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55ED9EE7-2CE0-472C-B572-F0CBF35DBFE6}" xr6:coauthVersionLast="47" xr6:coauthVersionMax="47" xr10:uidLastSave="{00000000-0000-0000-0000-000000000000}"/>
  <bookViews>
    <workbookView xWindow="-120" yWindow="-120" windowWidth="20730" windowHeight="11160" xr2:uid="{031832A0-9759-4A9D-BE16-6C8DC8F8AC91}"/>
  </bookViews>
  <sheets>
    <sheet name="HR-Employee DashBoard" sheetId="10" r:id="rId1"/>
    <sheet name="Department_Detail" sheetId="2" r:id="rId2"/>
    <sheet name="Department" sheetId="3" r:id="rId3"/>
    <sheet name="OverTime" sheetId="4" r:id="rId4"/>
    <sheet name="JobSatisfaction" sheetId="5" r:id="rId5"/>
    <sheet name="AgeGroup" sheetId="6" r:id="rId6"/>
    <sheet name="JobRole" sheetId="7" r:id="rId7"/>
    <sheet name="MaritalStatus" sheetId="8" r:id="rId8"/>
    <sheet name="MonthlyIncome by JobRole" sheetId="9" r:id="rId9"/>
    <sheet name="Sheet2" sheetId="12" r:id="rId10"/>
    <sheet name="Sheet6" sheetId="16" r:id="rId11"/>
    <sheet name="HR-employee Dataset" sheetId="1" r:id="rId12"/>
  </sheets>
  <definedNames>
    <definedName name="Slicer_BusinessTravel">#N/A</definedName>
    <definedName name="Slicer_DistanceFromHome_Label">#N/A</definedName>
    <definedName name="Slicer_JobLevel_Label">#N/A</definedName>
  </definedNames>
  <calcPr calcId="191029"/>
  <pivotCaches>
    <pivotCache cacheId="7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2" i="1"/>
  <c r="J8" i="1" a="1"/>
  <c r="J8"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c r="B180" i="1" a="1"/>
  <c r="B180" i="1" s="1"/>
  <c r="B181" i="1" a="1"/>
  <c r="B181" i="1" s="1"/>
  <c r="B182" i="1" a="1"/>
  <c r="B182" i="1" s="1"/>
  <c r="B183" i="1" a="1"/>
  <c r="B183" i="1" s="1"/>
  <c r="B184" i="1" a="1"/>
  <c r="B184" i="1" s="1"/>
  <c r="B185" i="1" a="1"/>
  <c r="B185" i="1" s="1"/>
  <c r="B186" i="1" a="1"/>
  <c r="B186" i="1" s="1"/>
  <c r="B187" i="1" a="1"/>
  <c r="B187" i="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c r="B212" i="1" a="1"/>
  <c r="B212" i="1" s="1"/>
  <c r="B213" i="1" a="1"/>
  <c r="B213" i="1" s="1"/>
  <c r="B214" i="1" a="1"/>
  <c r="B214" i="1" s="1"/>
  <c r="B215" i="1" a="1"/>
  <c r="B215" i="1" s="1"/>
  <c r="B216" i="1" a="1"/>
  <c r="B216" i="1" s="1"/>
  <c r="B217" i="1" a="1"/>
  <c r="B217" i="1" s="1"/>
  <c r="B218" i="1" a="1"/>
  <c r="B218" i="1" s="1"/>
  <c r="B219" i="1" a="1"/>
  <c r="B219" i="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c r="B276" i="1" a="1"/>
  <c r="B276" i="1" s="1"/>
  <c r="B277" i="1" a="1"/>
  <c r="B277" i="1" s="1"/>
  <c r="B278" i="1" a="1"/>
  <c r="B278" i="1" s="1"/>
  <c r="B279" i="1" a="1"/>
  <c r="B279" i="1" s="1"/>
  <c r="B280" i="1" a="1"/>
  <c r="B280" i="1" s="1"/>
  <c r="B281" i="1" a="1"/>
  <c r="B281" i="1" s="1"/>
  <c r="B282" i="1" a="1"/>
  <c r="B282" i="1" s="1"/>
  <c r="B283" i="1" a="1"/>
  <c r="B283" i="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c r="B454" i="1" a="1"/>
  <c r="B454" i="1" s="1"/>
  <c r="B455" i="1" a="1"/>
  <c r="B455" i="1" s="1"/>
  <c r="B456" i="1" a="1"/>
  <c r="B456" i="1" s="1"/>
  <c r="B457" i="1" a="1"/>
  <c r="B457" i="1" s="1"/>
  <c r="B458" i="1" a="1"/>
  <c r="B458" i="1" s="1"/>
  <c r="B459" i="1" a="1"/>
  <c r="B459" i="1" s="1"/>
  <c r="B460" i="1" a="1"/>
  <c r="B460" i="1" s="1"/>
  <c r="B461" i="1" a="1"/>
  <c r="B461" i="1"/>
  <c r="B462" i="1" a="1"/>
  <c r="B462" i="1" s="1"/>
  <c r="B463" i="1" a="1"/>
  <c r="B463" i="1" s="1"/>
  <c r="B464" i="1" a="1"/>
  <c r="B464" i="1" s="1"/>
  <c r="B465" i="1" a="1"/>
  <c r="B465" i="1" s="1"/>
  <c r="B466" i="1" a="1"/>
  <c r="B466" i="1" s="1"/>
  <c r="B467" i="1" a="1"/>
  <c r="B467" i="1" s="1"/>
  <c r="B468" i="1" a="1"/>
  <c r="B468" i="1" s="1"/>
  <c r="B469" i="1" a="1"/>
  <c r="B469" i="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c r="B486" i="1" a="1"/>
  <c r="B486" i="1" s="1"/>
  <c r="B487" i="1" a="1"/>
  <c r="B487" i="1" s="1"/>
  <c r="B488" i="1" a="1"/>
  <c r="B488" i="1" s="1"/>
  <c r="B489" i="1" a="1"/>
  <c r="B489" i="1" s="1"/>
  <c r="B490" i="1" a="1"/>
  <c r="B490" i="1" s="1"/>
  <c r="B491" i="1" a="1"/>
  <c r="B491" i="1" s="1"/>
  <c r="B492" i="1" a="1"/>
  <c r="B492" i="1" s="1"/>
  <c r="B493" i="1" a="1"/>
  <c r="B493" i="1"/>
  <c r="B494" i="1" a="1"/>
  <c r="B494" i="1" s="1"/>
  <c r="B495" i="1" a="1"/>
  <c r="B495" i="1" s="1"/>
  <c r="B496" i="1" a="1"/>
  <c r="B496" i="1" s="1"/>
  <c r="B497" i="1" a="1"/>
  <c r="B497" i="1" s="1"/>
  <c r="B498" i="1" a="1"/>
  <c r="B498" i="1" s="1"/>
  <c r="B499" i="1" a="1"/>
  <c r="B499" i="1" s="1"/>
  <c r="B500" i="1" a="1"/>
  <c r="B500" i="1" s="1"/>
  <c r="B501" i="1" a="1"/>
  <c r="B501" i="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c r="B542" i="1" a="1"/>
  <c r="B542" i="1" s="1"/>
  <c r="B543" i="1" a="1"/>
  <c r="B543" i="1" s="1"/>
  <c r="B544" i="1" a="1"/>
  <c r="B544" i="1" s="1"/>
  <c r="B545" i="1" a="1"/>
  <c r="B545" i="1" s="1"/>
  <c r="B546" i="1" a="1"/>
  <c r="B546" i="1" s="1"/>
  <c r="B547" i="1" a="1"/>
  <c r="B547" i="1" s="1"/>
  <c r="B548" i="1" a="1"/>
  <c r="B548" i="1" s="1"/>
  <c r="B549" i="1" a="1"/>
  <c r="B549" i="1"/>
  <c r="B550" i="1" a="1"/>
  <c r="B550" i="1" s="1"/>
  <c r="B551" i="1" a="1"/>
  <c r="B551" i="1" s="1"/>
  <c r="B552" i="1" a="1"/>
  <c r="B552" i="1" s="1"/>
  <c r="B553" i="1" a="1"/>
  <c r="B553" i="1" s="1"/>
  <c r="B554" i="1" a="1"/>
  <c r="B554" i="1" s="1"/>
  <c r="B555" i="1" a="1"/>
  <c r="B555" i="1" s="1"/>
  <c r="B556" i="1" a="1"/>
  <c r="B556" i="1" s="1"/>
  <c r="B557" i="1" a="1"/>
  <c r="B557" i="1"/>
  <c r="B558" i="1" a="1"/>
  <c r="B558" i="1" s="1"/>
  <c r="B559" i="1" a="1"/>
  <c r="B559" i="1" s="1"/>
  <c r="B560" i="1" a="1"/>
  <c r="B560" i="1" s="1"/>
  <c r="B561" i="1" a="1"/>
  <c r="B561" i="1" s="1"/>
  <c r="B562" i="1" a="1"/>
  <c r="B562" i="1" s="1"/>
  <c r="B563" i="1" a="1"/>
  <c r="B563" i="1" s="1"/>
  <c r="B564" i="1" a="1"/>
  <c r="B564" i="1" s="1"/>
  <c r="B565" i="1" a="1"/>
  <c r="B565" i="1"/>
  <c r="B566" i="1" a="1"/>
  <c r="B566" i="1" s="1"/>
  <c r="B567" i="1" a="1"/>
  <c r="B567" i="1" s="1"/>
  <c r="B568" i="1" a="1"/>
  <c r="B568" i="1" s="1"/>
  <c r="B569" i="1" a="1"/>
  <c r="B569" i="1" s="1"/>
  <c r="B570" i="1" a="1"/>
  <c r="B570" i="1" s="1"/>
  <c r="B571" i="1" a="1"/>
  <c r="B571" i="1" s="1"/>
  <c r="B572" i="1" a="1"/>
  <c r="B572" i="1" s="1"/>
  <c r="B573" i="1" a="1"/>
  <c r="B573" i="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c r="B622" i="1" a="1"/>
  <c r="B622" i="1" s="1"/>
  <c r="B623" i="1" a="1"/>
  <c r="B623" i="1" s="1"/>
  <c r="B624" i="1" a="1"/>
  <c r="B624" i="1" s="1"/>
  <c r="B625" i="1" a="1"/>
  <c r="B625" i="1" s="1"/>
  <c r="B626" i="1" a="1"/>
  <c r="B626" i="1" s="1"/>
  <c r="B627" i="1" a="1"/>
  <c r="B627" i="1" s="1"/>
  <c r="B628" i="1" a="1"/>
  <c r="B628" i="1" s="1"/>
  <c r="B629" i="1" a="1"/>
  <c r="B629" i="1"/>
  <c r="B630" i="1" a="1"/>
  <c r="B630" i="1" s="1"/>
  <c r="B631" i="1" a="1"/>
  <c r="B631" i="1" s="1"/>
  <c r="B632" i="1" a="1"/>
  <c r="B632" i="1" s="1"/>
  <c r="B633" i="1" a="1"/>
  <c r="B633" i="1" s="1"/>
  <c r="B634" i="1" a="1"/>
  <c r="B634" i="1" s="1"/>
  <c r="B635" i="1" a="1"/>
  <c r="B635" i="1" s="1"/>
  <c r="B636" i="1" a="1"/>
  <c r="B636" i="1" s="1"/>
  <c r="B637" i="1" a="1"/>
  <c r="B637" i="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c r="B662" i="1" a="1"/>
  <c r="B662" i="1" s="1"/>
  <c r="B663" i="1" a="1"/>
  <c r="B663" i="1" s="1"/>
  <c r="B664" i="1" a="1"/>
  <c r="B664" i="1" s="1"/>
  <c r="B665" i="1" a="1"/>
  <c r="B665" i="1" s="1"/>
  <c r="B666" i="1" a="1"/>
  <c r="B666" i="1" s="1"/>
  <c r="B667" i="1" a="1"/>
  <c r="B667" i="1" s="1"/>
  <c r="B668" i="1" a="1"/>
  <c r="B668" i="1" s="1"/>
  <c r="B669" i="1" a="1"/>
  <c r="B669" i="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c r="B694" i="1" a="1"/>
  <c r="B694" i="1" s="1"/>
  <c r="B695" i="1" a="1"/>
  <c r="B695" i="1" s="1"/>
  <c r="B696" i="1" a="1"/>
  <c r="B696" i="1" s="1"/>
  <c r="B697" i="1" a="1"/>
  <c r="B697" i="1" s="1"/>
  <c r="B698" i="1" a="1"/>
  <c r="B698" i="1" s="1"/>
  <c r="B699" i="1" a="1"/>
  <c r="B699" i="1" s="1"/>
  <c r="B700" i="1" a="1"/>
  <c r="B700" i="1" s="1"/>
  <c r="B701" i="1" a="1"/>
  <c r="B701" i="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c r="B718" i="1" a="1"/>
  <c r="B718" i="1" s="1"/>
  <c r="B719" i="1" a="1"/>
  <c r="B719" i="1" s="1"/>
  <c r="B720" i="1" a="1"/>
  <c r="B720" i="1" s="1"/>
  <c r="B721" i="1" a="1"/>
  <c r="B721" i="1" s="1"/>
  <c r="B722" i="1" a="1"/>
  <c r="B722" i="1" s="1"/>
  <c r="B723" i="1" a="1"/>
  <c r="B723" i="1" s="1"/>
  <c r="B724" i="1" a="1"/>
  <c r="B724" i="1" s="1"/>
  <c r="B725" i="1" a="1"/>
  <c r="B725" i="1"/>
  <c r="B726" i="1" a="1"/>
  <c r="B726" i="1" s="1"/>
  <c r="B727" i="1" a="1"/>
  <c r="B727" i="1" s="1"/>
  <c r="B728" i="1" a="1"/>
  <c r="B728" i="1" s="1"/>
  <c r="B729" i="1" a="1"/>
  <c r="B729" i="1" s="1"/>
  <c r="B730" i="1" a="1"/>
  <c r="B730" i="1" s="1"/>
  <c r="B731" i="1" a="1"/>
  <c r="B731" i="1" s="1"/>
  <c r="B732" i="1" a="1"/>
  <c r="B732" i="1" s="1"/>
  <c r="B733" i="1" a="1"/>
  <c r="B733" i="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c r="B750" i="1" a="1"/>
  <c r="B750" i="1" s="1"/>
  <c r="B751" i="1" a="1"/>
  <c r="B751" i="1" s="1"/>
  <c r="B752" i="1" a="1"/>
  <c r="B752" i="1" s="1"/>
  <c r="B753" i="1" a="1"/>
  <c r="B753" i="1" s="1"/>
  <c r="B754" i="1" a="1"/>
  <c r="B754" i="1" s="1"/>
  <c r="B755" i="1" a="1"/>
  <c r="B755" i="1" s="1"/>
  <c r="B756" i="1" a="1"/>
  <c r="B756" i="1" s="1"/>
  <c r="B757" i="1" a="1"/>
  <c r="B757" i="1"/>
  <c r="B758" i="1" a="1"/>
  <c r="B758" i="1" s="1"/>
  <c r="B759" i="1" a="1"/>
  <c r="B759" i="1" s="1"/>
  <c r="B760" i="1" a="1"/>
  <c r="B760" i="1" s="1"/>
  <c r="B761" i="1" a="1"/>
  <c r="B761" i="1" s="1"/>
  <c r="B762" i="1" a="1"/>
  <c r="B762" i="1" s="1"/>
  <c r="B763" i="1" a="1"/>
  <c r="B763" i="1" s="1"/>
  <c r="B764" i="1" a="1"/>
  <c r="B764" i="1" s="1"/>
  <c r="B765" i="1" a="1"/>
  <c r="B765" i="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c r="B790" i="1" a="1"/>
  <c r="B790" i="1" s="1"/>
  <c r="B791" i="1" a="1"/>
  <c r="B791" i="1" s="1"/>
  <c r="B792" i="1" a="1"/>
  <c r="B792" i="1" s="1"/>
  <c r="B793" i="1" a="1"/>
  <c r="B793" i="1" s="1"/>
  <c r="B794" i="1" a="1"/>
  <c r="B794" i="1" s="1"/>
  <c r="B795" i="1" a="1"/>
  <c r="B795" i="1" s="1"/>
  <c r="B796" i="1" a="1"/>
  <c r="B796" i="1" s="1"/>
  <c r="B797" i="1" a="1"/>
  <c r="B797" i="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s="1"/>
  <c r="B809" i="1" a="1"/>
  <c r="B809" i="1" s="1"/>
  <c r="B810" i="1" a="1"/>
  <c r="B810" i="1" s="1"/>
  <c r="B811" i="1" a="1"/>
  <c r="B811" i="1" s="1"/>
  <c r="B812" i="1" a="1"/>
  <c r="B812" i="1" s="1"/>
  <c r="B813" i="1" a="1"/>
  <c r="B813" i="1"/>
  <c r="B814" i="1" a="1"/>
  <c r="B814" i="1" s="1"/>
  <c r="B815" i="1" a="1"/>
  <c r="B815" i="1" s="1"/>
  <c r="B816" i="1" a="1"/>
  <c r="B816" i="1" s="1"/>
  <c r="B817" i="1" a="1"/>
  <c r="B817" i="1" s="1"/>
  <c r="B818" i="1" a="1"/>
  <c r="B818" i="1" s="1"/>
  <c r="B819" i="1" a="1"/>
  <c r="B819" i="1" s="1"/>
  <c r="B820" i="1" a="1"/>
  <c r="B820" i="1" s="1"/>
  <c r="B821" i="1" a="1"/>
  <c r="B821" i="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c r="B888" i="1" a="1"/>
  <c r="B888" i="1" s="1"/>
  <c r="B889" i="1" a="1"/>
  <c r="B889" i="1" s="1"/>
  <c r="B890" i="1" a="1"/>
  <c r="B890" i="1" s="1"/>
  <c r="B891" i="1" a="1"/>
  <c r="B891" i="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c r="B904" i="1" a="1"/>
  <c r="B904" i="1" s="1"/>
  <c r="B905" i="1" a="1"/>
  <c r="B905" i="1" s="1"/>
  <c r="B906" i="1" a="1"/>
  <c r="B906" i="1" s="1"/>
  <c r="B907" i="1" a="1"/>
  <c r="B907" i="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c r="B920" i="1" a="1"/>
  <c r="B920" i="1" s="1"/>
  <c r="B921" i="1" a="1"/>
  <c r="B921" i="1" s="1"/>
  <c r="B922" i="1" a="1"/>
  <c r="B922" i="1" s="1"/>
  <c r="B923" i="1" a="1"/>
  <c r="B923" i="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c r="B936" i="1" a="1"/>
  <c r="B936" i="1" s="1"/>
  <c r="B937" i="1" a="1"/>
  <c r="B937" i="1" s="1"/>
  <c r="B938" i="1" a="1"/>
  <c r="B938" i="1" s="1"/>
  <c r="B939" i="1" a="1"/>
  <c r="B939" i="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c r="B952" i="1" a="1"/>
  <c r="B952" i="1" s="1"/>
  <c r="B953" i="1" a="1"/>
  <c r="B953" i="1" s="1"/>
  <c r="B954" i="1" a="1"/>
  <c r="B954" i="1" s="1"/>
  <c r="B955" i="1" a="1"/>
  <c r="B955" i="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c r="B968" i="1" a="1"/>
  <c r="B968" i="1" s="1"/>
  <c r="B969" i="1" a="1"/>
  <c r="B969" i="1" s="1"/>
  <c r="B970" i="1" a="1"/>
  <c r="B970" i="1" s="1"/>
  <c r="B971" i="1" a="1"/>
  <c r="B971" i="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c r="B984" i="1" a="1"/>
  <c r="B984" i="1" s="1"/>
  <c r="B985" i="1" a="1"/>
  <c r="B985" i="1" s="1"/>
  <c r="B986" i="1" a="1"/>
  <c r="B986" i="1" s="1"/>
  <c r="B987" i="1" a="1"/>
  <c r="B987" i="1"/>
  <c r="B988" i="1" a="1"/>
  <c r="B988" i="1" s="1"/>
  <c r="B989" i="1" a="1"/>
  <c r="B989" i="1" s="1"/>
  <c r="B990" i="1" a="1"/>
  <c r="B990" i="1" s="1"/>
  <c r="B991" i="1" a="1"/>
  <c r="B991" i="1" s="1"/>
  <c r="B992" i="1" a="1"/>
  <c r="B992" i="1" s="1"/>
  <c r="B993" i="1" a="1"/>
  <c r="B993" i="1" s="1"/>
  <c r="B994" i="1" a="1"/>
  <c r="B994" i="1" s="1"/>
  <c r="B995" i="1" a="1"/>
  <c r="B995" i="1"/>
  <c r="B996" i="1" a="1"/>
  <c r="B996" i="1" s="1"/>
  <c r="B997" i="1" a="1"/>
  <c r="B997" i="1" s="1"/>
  <c r="B998" i="1" a="1"/>
  <c r="B998" i="1" s="1"/>
  <c r="B999" i="1" a="1"/>
  <c r="B999" i="1"/>
  <c r="B1000" i="1" a="1"/>
  <c r="B1000" i="1" s="1"/>
  <c r="B1001" i="1" a="1"/>
  <c r="B1001" i="1" s="1"/>
  <c r="B1002" i="1" a="1"/>
  <c r="B1002" i="1" s="1"/>
  <c r="B1003" i="1" a="1"/>
  <c r="B1003" i="1"/>
  <c r="B1004" i="1" a="1"/>
  <c r="B1004" i="1" s="1"/>
  <c r="B1005" i="1" a="1"/>
  <c r="B1005" i="1" s="1"/>
  <c r="B1006" i="1" a="1"/>
  <c r="B1006" i="1" s="1"/>
  <c r="B1007" i="1" a="1"/>
  <c r="B1007" i="1" s="1"/>
  <c r="B1008" i="1" a="1"/>
  <c r="B1008" i="1" s="1"/>
  <c r="B1009" i="1" a="1"/>
  <c r="B1009" i="1" s="1"/>
  <c r="B1010" i="1" a="1"/>
  <c r="B1010" i="1" s="1"/>
  <c r="B1011" i="1" a="1"/>
  <c r="B1011" i="1"/>
  <c r="B1012" i="1" a="1"/>
  <c r="B1012" i="1" s="1"/>
  <c r="B1013" i="1" a="1"/>
  <c r="B1013" i="1" s="1"/>
  <c r="B1014" i="1" a="1"/>
  <c r="B1014" i="1" s="1"/>
  <c r="B1015" i="1" a="1"/>
  <c r="B1015" i="1"/>
  <c r="B1016" i="1" a="1"/>
  <c r="B1016" i="1" s="1"/>
  <c r="B1017" i="1" a="1"/>
  <c r="B1017" i="1" s="1"/>
  <c r="B1018" i="1" a="1"/>
  <c r="B1018" i="1" s="1"/>
  <c r="B1019" i="1" a="1"/>
  <c r="B1019" i="1"/>
  <c r="B1020" i="1" a="1"/>
  <c r="B1020" i="1" s="1"/>
  <c r="B1021" i="1" a="1"/>
  <c r="B1021" i="1" s="1"/>
  <c r="B1022" i="1" a="1"/>
  <c r="B1022" i="1" s="1"/>
  <c r="B1023" i="1" a="1"/>
  <c r="B1023" i="1" s="1"/>
  <c r="B1024" i="1" a="1"/>
  <c r="B1024" i="1" s="1"/>
  <c r="B1025" i="1" a="1"/>
  <c r="B1025" i="1" s="1"/>
  <c r="B1026" i="1" a="1"/>
  <c r="B1026" i="1" s="1"/>
  <c r="B1027" i="1" a="1"/>
  <c r="B1027" i="1" s="1"/>
  <c r="B1028" i="1" a="1"/>
  <c r="B1028" i="1" s="1"/>
  <c r="B1029" i="1" a="1"/>
  <c r="B1029" i="1" s="1"/>
  <c r="B1030" i="1" a="1"/>
  <c r="B1030" i="1" s="1"/>
  <c r="B1031" i="1" a="1"/>
  <c r="B1031" i="1"/>
  <c r="B1032" i="1" a="1"/>
  <c r="B1032" i="1" s="1"/>
  <c r="B1033" i="1" a="1"/>
  <c r="B1033" i="1" s="1"/>
  <c r="B1034" i="1" a="1"/>
  <c r="B1034" i="1" s="1"/>
  <c r="B1035" i="1" a="1"/>
  <c r="B1035" i="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c r="B1048" i="1" a="1"/>
  <c r="B1048" i="1" s="1"/>
  <c r="B1049" i="1" a="1"/>
  <c r="B1049" i="1" s="1"/>
  <c r="B1050" i="1" a="1"/>
  <c r="B1050" i="1" s="1"/>
  <c r="B1051" i="1" a="1"/>
  <c r="B1051" i="1"/>
  <c r="B1052" i="1" a="1"/>
  <c r="B1052" i="1" s="1"/>
  <c r="B1053" i="1" a="1"/>
  <c r="B1053" i="1" s="1"/>
  <c r="B1054" i="1" a="1"/>
  <c r="B1054" i="1" s="1"/>
  <c r="B1055" i="1" a="1"/>
  <c r="B1055" i="1" s="1"/>
  <c r="B1056" i="1" a="1"/>
  <c r="B1056" i="1" s="1"/>
  <c r="B1057" i="1" a="1"/>
  <c r="B1057" i="1" s="1"/>
  <c r="B1058" i="1" a="1"/>
  <c r="B1058" i="1" s="1"/>
  <c r="B1059" i="1" a="1"/>
  <c r="B1059" i="1"/>
  <c r="B1060" i="1" a="1"/>
  <c r="B1060" i="1" s="1"/>
  <c r="B1061" i="1" a="1"/>
  <c r="B1061" i="1" s="1"/>
  <c r="B1062" i="1" a="1"/>
  <c r="B1062" i="1" s="1"/>
  <c r="B1063" i="1" a="1"/>
  <c r="B1063" i="1"/>
  <c r="B1064" i="1" a="1"/>
  <c r="B1064" i="1" s="1"/>
  <c r="B1065" i="1" a="1"/>
  <c r="B1065" i="1" s="1"/>
  <c r="B1066" i="1" a="1"/>
  <c r="B1066" i="1" s="1"/>
  <c r="B1067" i="1" a="1"/>
  <c r="B1067" i="1"/>
  <c r="B1068" i="1" a="1"/>
  <c r="B1068" i="1" s="1"/>
  <c r="B1069" i="1" a="1"/>
  <c r="B1069" i="1" s="1"/>
  <c r="B1070" i="1" a="1"/>
  <c r="B1070" i="1" s="1"/>
  <c r="B1071" i="1" a="1"/>
  <c r="B1071" i="1" s="1"/>
  <c r="B1072" i="1" a="1"/>
  <c r="B1072" i="1" s="1"/>
  <c r="B1073" i="1" a="1"/>
  <c r="B1073" i="1" s="1"/>
  <c r="B1074" i="1" a="1"/>
  <c r="B1074" i="1" s="1"/>
  <c r="B1075" i="1" a="1"/>
  <c r="B1075" i="1"/>
  <c r="B1076" i="1" a="1"/>
  <c r="B1076" i="1" s="1"/>
  <c r="B1077" i="1" a="1"/>
  <c r="B1077" i="1" s="1"/>
  <c r="B1078" i="1" a="1"/>
  <c r="B1078" i="1" s="1"/>
  <c r="B1079" i="1" a="1"/>
  <c r="B1079" i="1"/>
  <c r="B1080" i="1" a="1"/>
  <c r="B1080" i="1" s="1"/>
  <c r="B1081" i="1" a="1"/>
  <c r="B1081" i="1" s="1"/>
  <c r="B1082" i="1" a="1"/>
  <c r="B1082" i="1" s="1"/>
  <c r="B1083" i="1" a="1"/>
  <c r="B1083" i="1"/>
  <c r="B1084" i="1" a="1"/>
  <c r="B1084" i="1" s="1"/>
  <c r="B1085" i="1" a="1"/>
  <c r="B1085" i="1" s="1"/>
  <c r="B1086" i="1" a="1"/>
  <c r="B1086" i="1" s="1"/>
  <c r="B1087" i="1" a="1"/>
  <c r="B1087" i="1" s="1"/>
  <c r="B1088" i="1" a="1"/>
  <c r="B1088" i="1" s="1"/>
  <c r="B1089" i="1" a="1"/>
  <c r="B1089" i="1" s="1"/>
  <c r="B1090" i="1" a="1"/>
  <c r="B1090" i="1" s="1"/>
  <c r="B1091" i="1" a="1"/>
  <c r="B1091" i="1"/>
  <c r="B1092" i="1" a="1"/>
  <c r="B1092" i="1" s="1"/>
  <c r="B1093" i="1" a="1"/>
  <c r="B1093" i="1" s="1"/>
  <c r="B1094" i="1" a="1"/>
  <c r="B1094" i="1" s="1"/>
  <c r="B1095" i="1" a="1"/>
  <c r="B1095" i="1"/>
  <c r="B1096" i="1" a="1"/>
  <c r="B1096" i="1" s="1"/>
  <c r="B1097" i="1" a="1"/>
  <c r="B1097" i="1" s="1"/>
  <c r="B1098" i="1" a="1"/>
  <c r="B1098" i="1" s="1"/>
  <c r="B1099" i="1" a="1"/>
  <c r="B1099" i="1"/>
  <c r="B1100" i="1" a="1"/>
  <c r="B1100" i="1" s="1"/>
  <c r="B1101" i="1" a="1"/>
  <c r="B1101" i="1" s="1"/>
  <c r="B1102" i="1" a="1"/>
  <c r="B1102" i="1" s="1"/>
  <c r="B1103" i="1" a="1"/>
  <c r="B1103" i="1" s="1"/>
  <c r="B1104" i="1" a="1"/>
  <c r="B1104" i="1" s="1"/>
  <c r="B1105" i="1" a="1"/>
  <c r="B1105" i="1" s="1"/>
  <c r="B1106" i="1" a="1"/>
  <c r="B1106" i="1" s="1"/>
  <c r="B1107" i="1" a="1"/>
  <c r="B1107" i="1"/>
  <c r="B1108" i="1" a="1"/>
  <c r="B1108" i="1" s="1"/>
  <c r="B1109" i="1" a="1"/>
  <c r="B1109" i="1" s="1"/>
  <c r="B1110" i="1" a="1"/>
  <c r="B1110" i="1" s="1"/>
  <c r="B1111" i="1" a="1"/>
  <c r="B1111" i="1"/>
  <c r="B1112" i="1" a="1"/>
  <c r="B1112" i="1" s="1"/>
  <c r="B1113" i="1" a="1"/>
  <c r="B1113" i="1" s="1"/>
  <c r="B1114" i="1" a="1"/>
  <c r="B1114" i="1" s="1"/>
  <c r="B1115" i="1" a="1"/>
  <c r="B1115" i="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c r="B1128" i="1" a="1"/>
  <c r="B1128" i="1" s="1"/>
  <c r="B1129" i="1" a="1"/>
  <c r="B1129" i="1" s="1"/>
  <c r="B1130" i="1" a="1"/>
  <c r="B1130" i="1" s="1"/>
  <c r="B1131" i="1" a="1"/>
  <c r="B1131" i="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c r="B1144" i="1" a="1"/>
  <c r="B1144" i="1" s="1"/>
  <c r="B1145" i="1" a="1"/>
  <c r="B1145" i="1" s="1"/>
  <c r="B1146" i="1" a="1"/>
  <c r="B1146" i="1" s="1"/>
  <c r="B1147" i="1" a="1"/>
  <c r="B1147" i="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c r="B1160" i="1" a="1"/>
  <c r="B1160" i="1" s="1"/>
  <c r="B1161" i="1" a="1"/>
  <c r="B1161" i="1" s="1"/>
  <c r="B1162" i="1" a="1"/>
  <c r="B1162" i="1" s="1"/>
  <c r="B1163" i="1" a="1"/>
  <c r="B1163" i="1"/>
  <c r="B1164" i="1" a="1"/>
  <c r="B1164" i="1" s="1"/>
  <c r="B1165" i="1" a="1"/>
  <c r="B1165" i="1" s="1"/>
  <c r="B1166" i="1" a="1"/>
  <c r="B1166" i="1" s="1"/>
  <c r="B1167" i="1" a="1"/>
  <c r="B1167" i="1" s="1"/>
  <c r="B1168" i="1" a="1"/>
  <c r="B1168" i="1" s="1"/>
  <c r="B1169" i="1" a="1"/>
  <c r="B1169" i="1" s="1"/>
  <c r="B1170" i="1" a="1"/>
  <c r="B1170" i="1" s="1"/>
  <c r="B1171" i="1" a="1"/>
  <c r="B1171" i="1"/>
  <c r="B1172" i="1" a="1"/>
  <c r="B1172" i="1" s="1"/>
  <c r="B1173" i="1" a="1"/>
  <c r="B1173" i="1" s="1"/>
  <c r="B1174" i="1" a="1"/>
  <c r="B1174" i="1" s="1"/>
  <c r="B1175" i="1" a="1"/>
  <c r="B1175" i="1"/>
  <c r="B1176" i="1" a="1"/>
  <c r="B1176" i="1" s="1"/>
  <c r="B1177" i="1" a="1"/>
  <c r="B1177" i="1" s="1"/>
  <c r="B1178" i="1" a="1"/>
  <c r="B1178" i="1" s="1"/>
  <c r="B1179" i="1" a="1"/>
  <c r="B1179" i="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c r="B1192" i="1" a="1"/>
  <c r="B1192" i="1" s="1"/>
  <c r="B1193" i="1" a="1"/>
  <c r="B1193" i="1" s="1"/>
  <c r="B1194" i="1" a="1"/>
  <c r="B1194" i="1" s="1"/>
  <c r="B1195" i="1" a="1"/>
  <c r="B1195" i="1"/>
  <c r="B1196" i="1" a="1"/>
  <c r="B1196" i="1" s="1"/>
  <c r="B1197" i="1" a="1"/>
  <c r="B1197" i="1" s="1"/>
  <c r="B1198" i="1" a="1"/>
  <c r="B1198" i="1" s="1"/>
  <c r="B1199" i="1" a="1"/>
  <c r="B1199" i="1" s="1"/>
  <c r="B1200" i="1" a="1"/>
  <c r="B1200" i="1" s="1"/>
  <c r="B1201" i="1" a="1"/>
  <c r="B1201" i="1" s="1"/>
  <c r="B1202" i="1" a="1"/>
  <c r="B1202" i="1" s="1"/>
  <c r="B1203" i="1" a="1"/>
  <c r="B1203" i="1"/>
  <c r="B1204" i="1" a="1"/>
  <c r="B1204" i="1" s="1"/>
  <c r="B1205" i="1" a="1"/>
  <c r="B1205" i="1" s="1"/>
  <c r="B1206" i="1" a="1"/>
  <c r="B1206" i="1" s="1"/>
  <c r="B1207" i="1" a="1"/>
  <c r="B1207" i="1" s="1"/>
  <c r="B1208" i="1" a="1"/>
  <c r="B1208" i="1" s="1"/>
  <c r="B1209" i="1" a="1"/>
  <c r="B1209" i="1" s="1"/>
  <c r="B1210" i="1" a="1"/>
  <c r="B1210" i="1" s="1"/>
  <c r="B1211" i="1" a="1"/>
  <c r="B1211" i="1"/>
  <c r="B1212" i="1" a="1"/>
  <c r="B1212" i="1" s="1"/>
  <c r="B1213" i="1" a="1"/>
  <c r="B1213" i="1" s="1"/>
  <c r="B1214" i="1" a="1"/>
  <c r="B1214" i="1" s="1"/>
  <c r="B1215" i="1" a="1"/>
  <c r="B1215" i="1" s="1"/>
  <c r="B1216" i="1" a="1"/>
  <c r="B1216" i="1" s="1"/>
  <c r="B1217" i="1" a="1"/>
  <c r="B1217" i="1"/>
  <c r="B1218" i="1" a="1"/>
  <c r="B1218" i="1" s="1"/>
  <c r="B1219" i="1" a="1"/>
  <c r="B1219" i="1"/>
  <c r="B1220" i="1" a="1"/>
  <c r="B1220" i="1" s="1"/>
  <c r="B1221" i="1" a="1"/>
  <c r="B1221" i="1" s="1"/>
  <c r="B1222" i="1" a="1"/>
  <c r="B1222" i="1" s="1"/>
  <c r="B1223" i="1" a="1"/>
  <c r="B1223" i="1" s="1"/>
  <c r="B1224" i="1" a="1"/>
  <c r="B1224" i="1" s="1"/>
  <c r="B1225" i="1" a="1"/>
  <c r="B1225" i="1" s="1"/>
  <c r="B1226" i="1" a="1"/>
  <c r="B1226" i="1" s="1"/>
  <c r="B1227" i="1" a="1"/>
  <c r="B1227" i="1"/>
  <c r="B1228" i="1" a="1"/>
  <c r="B1228" i="1" s="1"/>
  <c r="B1229" i="1" a="1"/>
  <c r="B1229" i="1" s="1"/>
  <c r="B1230" i="1" a="1"/>
  <c r="B1230" i="1" s="1"/>
  <c r="B1231" i="1" a="1"/>
  <c r="B1231" i="1" s="1"/>
  <c r="B1232" i="1" a="1"/>
  <c r="B1232" i="1" s="1"/>
  <c r="B1233" i="1" a="1"/>
  <c r="B1233" i="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s="1"/>
  <c r="B1261" i="1" a="1"/>
  <c r="B1261" i="1" s="1"/>
  <c r="B1262" i="1" a="1"/>
  <c r="B1262" i="1" s="1"/>
  <c r="B1263" i="1" a="1"/>
  <c r="B1263" i="1" s="1"/>
  <c r="B1264" i="1" a="1"/>
  <c r="B1264" i="1" s="1"/>
  <c r="B1265" i="1" a="1"/>
  <c r="B1265" i="1" s="1"/>
  <c r="B1266" i="1" a="1"/>
  <c r="B1266" i="1" s="1"/>
  <c r="B1267" i="1" a="1"/>
  <c r="B1267" i="1"/>
  <c r="B1268" i="1" a="1"/>
  <c r="B1268" i="1" s="1"/>
  <c r="B1269" i="1" a="1"/>
  <c r="B1269" i="1" s="1"/>
  <c r="B1270" i="1" a="1"/>
  <c r="B1270" i="1" s="1"/>
  <c r="B1271" i="1" a="1"/>
  <c r="B1271" i="1" s="1"/>
  <c r="B1272" i="1" a="1"/>
  <c r="B1272" i="1" s="1"/>
  <c r="B1273" i="1" a="1"/>
  <c r="B1273" i="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c r="B1284" i="1" a="1"/>
  <c r="B1284" i="1" s="1"/>
  <c r="B1285" i="1" a="1"/>
  <c r="B1285" i="1" s="1"/>
  <c r="B1286" i="1" a="1"/>
  <c r="B1286" i="1" s="1"/>
  <c r="B1287" i="1" a="1"/>
  <c r="B1287" i="1" s="1"/>
  <c r="B1288" i="1" a="1"/>
  <c r="B1288" i="1" s="1"/>
  <c r="B1289" i="1" a="1"/>
  <c r="B1289" i="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c r="B1314" i="1" a="1"/>
  <c r="B1314" i="1" s="1"/>
  <c r="B1315" i="1" a="1"/>
  <c r="B1315" i="1" s="1"/>
  <c r="B1316" i="1" a="1"/>
  <c r="B1316" i="1" s="1"/>
  <c r="B1317" i="1" a="1"/>
  <c r="B1317" i="1" s="1"/>
  <c r="B1318" i="1" a="1"/>
  <c r="B1318" i="1" s="1"/>
  <c r="B1319" i="1" a="1"/>
  <c r="B1319" i="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c r="B1330" i="1" a="1"/>
  <c r="B1330" i="1" s="1"/>
  <c r="B1331" i="1" a="1"/>
  <c r="B1331" i="1" s="1"/>
  <c r="B1332" i="1" a="1"/>
  <c r="B1332" i="1" s="1"/>
  <c r="B1333" i="1" a="1"/>
  <c r="B1333" i="1" s="1"/>
  <c r="B1334" i="1" a="1"/>
  <c r="B1334" i="1" s="1"/>
  <c r="B1335" i="1" a="1"/>
  <c r="B1335" i="1"/>
  <c r="B1336" i="1" a="1"/>
  <c r="B1336" i="1" s="1"/>
  <c r="B1337" i="1" a="1"/>
  <c r="B1337" i="1" s="1"/>
  <c r="B1338" i="1" a="1"/>
  <c r="B1338" i="1" s="1"/>
  <c r="B1339" i="1" a="1"/>
  <c r="B1339" i="1" s="1"/>
  <c r="B1340" i="1" a="1"/>
  <c r="B1340" i="1" s="1"/>
  <c r="B1341" i="1" a="1"/>
  <c r="B1341" i="1" s="1"/>
  <c r="B1342" i="1" a="1"/>
  <c r="B1342" i="1" s="1"/>
  <c r="B1343" i="1" a="1"/>
  <c r="B1343" i="1" s="1"/>
  <c r="B1344" i="1" a="1"/>
  <c r="B1344" i="1" s="1"/>
  <c r="B1345" i="1" a="1"/>
  <c r="B1345" i="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s="1"/>
  <c r="B1405" i="1" a="1"/>
  <c r="B1405" i="1" s="1"/>
  <c r="B1406" i="1" a="1"/>
  <c r="B1406" i="1" s="1"/>
  <c r="B1407" i="1" a="1"/>
  <c r="B1407" i="1" s="1"/>
  <c r="B1408" i="1" a="1"/>
  <c r="B1408" i="1" s="1"/>
  <c r="B1409" i="1" a="1"/>
  <c r="B1409" i="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B2" i="1" a="1"/>
  <c r="B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s="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s="1"/>
  <c r="R210" i="1" a="1"/>
  <c r="R210" i="1" s="1"/>
  <c r="R211" i="1" a="1"/>
  <c r="R211" i="1" s="1"/>
  <c r="R212" i="1" a="1"/>
  <c r="R212" i="1" s="1"/>
  <c r="R213" i="1" a="1"/>
  <c r="R213" i="1" s="1"/>
  <c r="R214" i="1" a="1"/>
  <c r="R214" i="1" s="1"/>
  <c r="R215" i="1" a="1"/>
  <c r="R215" i="1" s="1"/>
  <c r="R216" i="1" a="1"/>
  <c r="R216" i="1" s="1"/>
  <c r="R217" i="1" a="1"/>
  <c r="R217" i="1" s="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s="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s="1"/>
  <c r="R293" i="1" a="1"/>
  <c r="R293" i="1" s="1"/>
  <c r="R294" i="1" a="1"/>
  <c r="R294" i="1" s="1"/>
  <c r="R295" i="1" a="1"/>
  <c r="R295" i="1" s="1"/>
  <c r="R296" i="1" a="1"/>
  <c r="R296" i="1" s="1"/>
  <c r="R297" i="1" a="1"/>
  <c r="R297" i="1" s="1"/>
  <c r="R298" i="1" a="1"/>
  <c r="R298" i="1" s="1"/>
  <c r="R299" i="1" a="1"/>
  <c r="R299" i="1" s="1"/>
  <c r="R300" i="1" a="1"/>
  <c r="R300" i="1" s="1"/>
  <c r="R301" i="1" a="1"/>
  <c r="R301" i="1" s="1"/>
  <c r="R302" i="1" a="1"/>
  <c r="R302" i="1" s="1"/>
  <c r="R303" i="1" a="1"/>
  <c r="R303" i="1" s="1"/>
  <c r="R304" i="1" a="1"/>
  <c r="R304" i="1" s="1"/>
  <c r="R305" i="1" a="1"/>
  <c r="R305" i="1" s="1"/>
  <c r="R306" i="1" a="1"/>
  <c r="R306" i="1" s="1"/>
  <c r="R307" i="1" a="1"/>
  <c r="R307" i="1" s="1"/>
  <c r="R308" i="1" a="1"/>
  <c r="R308" i="1" s="1"/>
  <c r="R309" i="1" a="1"/>
  <c r="R309" i="1" s="1"/>
  <c r="R310" i="1" a="1"/>
  <c r="R310" i="1" s="1"/>
  <c r="R311" i="1" a="1"/>
  <c r="R311" i="1" s="1"/>
  <c r="R312" i="1" a="1"/>
  <c r="R312" i="1" s="1"/>
  <c r="R313" i="1" a="1"/>
  <c r="R313" i="1" s="1"/>
  <c r="R314" i="1" a="1"/>
  <c r="R314" i="1" s="1"/>
  <c r="R315" i="1" a="1"/>
  <c r="R315" i="1" s="1"/>
  <c r="R316" i="1" a="1"/>
  <c r="R316" i="1" s="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s="1"/>
  <c r="R329" i="1" a="1"/>
  <c r="R329" i="1" s="1"/>
  <c r="R330" i="1" a="1"/>
  <c r="R330" i="1" s="1"/>
  <c r="R331" i="1" a="1"/>
  <c r="R331" i="1" s="1"/>
  <c r="R332" i="1" a="1"/>
  <c r="R332" i="1" s="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s="1"/>
  <c r="R369" i="1" a="1"/>
  <c r="R369" i="1" s="1"/>
  <c r="R370" i="1" a="1"/>
  <c r="R370" i="1" s="1"/>
  <c r="R371" i="1" a="1"/>
  <c r="R371" i="1" s="1"/>
  <c r="R372" i="1" a="1"/>
  <c r="R372" i="1" s="1"/>
  <c r="R373" i="1" a="1"/>
  <c r="R373" i="1" s="1"/>
  <c r="R374" i="1" a="1"/>
  <c r="R374" i="1" s="1"/>
  <c r="R375" i="1" a="1"/>
  <c r="R375" i="1" s="1"/>
  <c r="R376" i="1" a="1"/>
  <c r="R376" i="1" s="1"/>
  <c r="R377" i="1" a="1"/>
  <c r="R377" i="1" s="1"/>
  <c r="R378" i="1" a="1"/>
  <c r="R378" i="1" s="1"/>
  <c r="R379" i="1" a="1"/>
  <c r="R379" i="1" s="1"/>
  <c r="R380" i="1" a="1"/>
  <c r="R380" i="1" s="1"/>
  <c r="R381" i="1" a="1"/>
  <c r="R381" i="1" s="1"/>
  <c r="R382" i="1" a="1"/>
  <c r="R382" i="1" s="1"/>
  <c r="R383" i="1" a="1"/>
  <c r="R383" i="1" s="1"/>
  <c r="R384" i="1" a="1"/>
  <c r="R384" i="1" s="1"/>
  <c r="R385" i="1" a="1"/>
  <c r="R385" i="1" s="1"/>
  <c r="R386" i="1" a="1"/>
  <c r="R386" i="1" s="1"/>
  <c r="R387" i="1" a="1"/>
  <c r="R387" i="1" s="1"/>
  <c r="R388" i="1" a="1"/>
  <c r="R388" i="1" s="1"/>
  <c r="R389" i="1" a="1"/>
  <c r="R389" i="1" s="1"/>
  <c r="R390" i="1" a="1"/>
  <c r="R390" i="1" s="1"/>
  <c r="R391" i="1" a="1"/>
  <c r="R391" i="1" s="1"/>
  <c r="R392" i="1" a="1"/>
  <c r="R392" i="1" s="1"/>
  <c r="R393" i="1" a="1"/>
  <c r="R393" i="1" s="1"/>
  <c r="R394" i="1" a="1"/>
  <c r="R394" i="1" s="1"/>
  <c r="R395" i="1" a="1"/>
  <c r="R395" i="1" s="1"/>
  <c r="R396" i="1" a="1"/>
  <c r="R396" i="1" s="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s="1"/>
  <c r="R409" i="1" a="1"/>
  <c r="R409" i="1" s="1"/>
  <c r="R410" i="1" a="1"/>
  <c r="R410" i="1" s="1"/>
  <c r="R411" i="1" a="1"/>
  <c r="R411" i="1" s="1"/>
  <c r="R412" i="1" a="1"/>
  <c r="R412" i="1" s="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s="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5" i="1" a="1"/>
  <c r="R435" i="1" s="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s="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59" i="1" a="1"/>
  <c r="R459" i="1" s="1"/>
  <c r="R460" i="1" a="1"/>
  <c r="R460" i="1" s="1"/>
  <c r="R461" i="1" a="1"/>
  <c r="R461" i="1" s="1"/>
  <c r="R462" i="1" a="1"/>
  <c r="R462" i="1" s="1"/>
  <c r="R463" i="1" a="1"/>
  <c r="R463" i="1" s="1"/>
  <c r="R464" i="1" a="1"/>
  <c r="R464" i="1" s="1"/>
  <c r="R465" i="1" a="1"/>
  <c r="R465" i="1" s="1"/>
  <c r="R466" i="1" a="1"/>
  <c r="R466" i="1" s="1"/>
  <c r="R467" i="1" a="1"/>
  <c r="R467" i="1" s="1"/>
  <c r="R468" i="1" a="1"/>
  <c r="R468" i="1" s="1"/>
  <c r="R469" i="1" a="1"/>
  <c r="R469" i="1" s="1"/>
  <c r="R470" i="1" a="1"/>
  <c r="R470" i="1" s="1"/>
  <c r="R471" i="1" a="1"/>
  <c r="R471" i="1" s="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3" i="1" a="1"/>
  <c r="R513" i="1" s="1"/>
  <c r="R514" i="1" a="1"/>
  <c r="R514" i="1" s="1"/>
  <c r="R515" i="1" a="1"/>
  <c r="R515" i="1" s="1"/>
  <c r="R516" i="1" a="1"/>
  <c r="R516" i="1" s="1"/>
  <c r="R517" i="1" a="1"/>
  <c r="R517" i="1" s="1"/>
  <c r="R518" i="1" a="1"/>
  <c r="R518" i="1" s="1"/>
  <c r="R519" i="1" a="1"/>
  <c r="R519" i="1" s="1"/>
  <c r="R520" i="1" a="1"/>
  <c r="R520" i="1" s="1"/>
  <c r="R521" i="1" a="1"/>
  <c r="R521" i="1" s="1"/>
  <c r="R522" i="1" a="1"/>
  <c r="R522" i="1" s="1"/>
  <c r="R523" i="1" a="1"/>
  <c r="R523"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s="1"/>
  <c r="R544" i="1" a="1"/>
  <c r="R544" i="1" s="1"/>
  <c r="R545" i="1" a="1"/>
  <c r="R545" i="1" s="1"/>
  <c r="R546" i="1" a="1"/>
  <c r="R546" i="1" s="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s="1"/>
  <c r="R567" i="1" a="1"/>
  <c r="R567" i="1" s="1"/>
  <c r="R568" i="1" a="1"/>
  <c r="R568" i="1" s="1"/>
  <c r="R569" i="1" a="1"/>
  <c r="R569" i="1" s="1"/>
  <c r="R570" i="1" a="1"/>
  <c r="R570" i="1" s="1"/>
  <c r="R571" i="1" a="1"/>
  <c r="R571" i="1" s="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s="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s="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s="1"/>
  <c r="R811" i="1" a="1"/>
  <c r="R811" i="1" s="1"/>
  <c r="R812" i="1" a="1"/>
  <c r="R812" i="1" s="1"/>
  <c r="R813" i="1" a="1"/>
  <c r="R813" i="1" s="1"/>
  <c r="R814" i="1" a="1"/>
  <c r="R814" i="1" s="1"/>
  <c r="R815" i="1" a="1"/>
  <c r="R815" i="1" s="1"/>
  <c r="R816" i="1" a="1"/>
  <c r="R816" i="1" s="1"/>
  <c r="R817" i="1" a="1"/>
  <c r="R817" i="1" s="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s="1"/>
  <c r="R867" i="1" a="1"/>
  <c r="R867" i="1" s="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s="1"/>
  <c r="R884" i="1" a="1"/>
  <c r="R884" i="1" s="1"/>
  <c r="R885" i="1" a="1"/>
  <c r="R885" i="1" s="1"/>
  <c r="R886" i="1" a="1"/>
  <c r="R886" i="1" s="1"/>
  <c r="R887" i="1" a="1"/>
  <c r="R887" i="1" s="1"/>
  <c r="R888" i="1" a="1"/>
  <c r="R888" i="1" s="1"/>
  <c r="R889" i="1" a="1"/>
  <c r="R88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s="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s="1"/>
  <c r="R933" i="1" a="1"/>
  <c r="R933" i="1" s="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c r="R988" i="1" a="1"/>
  <c r="R988" i="1" s="1"/>
  <c r="R989" i="1" a="1"/>
  <c r="R989" i="1"/>
  <c r="R990" i="1" a="1"/>
  <c r="R990" i="1" s="1"/>
  <c r="R991" i="1" a="1"/>
  <c r="R991" i="1" s="1"/>
  <c r="R992" i="1" a="1"/>
  <c r="R992" i="1" s="1"/>
  <c r="R993" i="1" a="1"/>
  <c r="R993" i="1" s="1"/>
  <c r="R994" i="1" a="1"/>
  <c r="R994" i="1" s="1"/>
  <c r="R995" i="1" a="1"/>
  <c r="R995" i="1"/>
  <c r="R996" i="1" a="1"/>
  <c r="R996" i="1" s="1"/>
  <c r="R997" i="1" a="1"/>
  <c r="R997" i="1"/>
  <c r="R998" i="1" a="1"/>
  <c r="R998" i="1" s="1"/>
  <c r="R999" i="1" a="1"/>
  <c r="R999" i="1" s="1"/>
  <c r="R1000" i="1" a="1"/>
  <c r="R1000" i="1" s="1"/>
  <c r="R1001" i="1" a="1"/>
  <c r="R1001" i="1" s="1"/>
  <c r="R1002" i="1" a="1"/>
  <c r="R1002" i="1" s="1"/>
  <c r="R1003" i="1" a="1"/>
  <c r="R1003" i="1"/>
  <c r="R1004" i="1" a="1"/>
  <c r="R1004" i="1" s="1"/>
  <c r="R1005" i="1" a="1"/>
  <c r="R1005" i="1"/>
  <c r="R1006" i="1" a="1"/>
  <c r="R1006" i="1" s="1"/>
  <c r="R1007" i="1" a="1"/>
  <c r="R1007" i="1" s="1"/>
  <c r="R1008" i="1" a="1"/>
  <c r="R1008" i="1" s="1"/>
  <c r="R1009" i="1" a="1"/>
  <c r="R1009" i="1" s="1"/>
  <c r="R1010" i="1" a="1"/>
  <c r="R1010" i="1" s="1"/>
  <c r="R1011" i="1" a="1"/>
  <c r="R1011" i="1"/>
  <c r="R1012" i="1" a="1"/>
  <c r="R1012" i="1" s="1"/>
  <c r="R1013" i="1" a="1"/>
  <c r="R1013" i="1" s="1"/>
  <c r="R1014" i="1" a="1"/>
  <c r="R1014" i="1" s="1"/>
  <c r="R1015" i="1" a="1"/>
  <c r="R1015" i="1" s="1"/>
  <c r="R1016" i="1" a="1"/>
  <c r="R1016" i="1"/>
  <c r="R1017" i="1" a="1"/>
  <c r="R1017" i="1" s="1"/>
  <c r="R1018" i="1" a="1"/>
  <c r="R1018" i="1" s="1"/>
  <c r="R1019" i="1" a="1"/>
  <c r="R1019" i="1" s="1"/>
  <c r="R1020" i="1" a="1"/>
  <c r="R1020" i="1" s="1"/>
  <c r="R1021" i="1" a="1"/>
  <c r="R1021" i="1" s="1"/>
  <c r="R1022" i="1" a="1"/>
  <c r="R1022" i="1"/>
  <c r="R1023" i="1" a="1"/>
  <c r="R1023" i="1" s="1"/>
  <c r="R1024" i="1" a="1"/>
  <c r="R1024" i="1"/>
  <c r="R1025" i="1" a="1"/>
  <c r="R1025" i="1" s="1"/>
  <c r="R1026" i="1" a="1"/>
  <c r="R1026" i="1" s="1"/>
  <c r="R1027" i="1" a="1"/>
  <c r="R1027" i="1" s="1"/>
  <c r="R1028" i="1" a="1"/>
  <c r="R1028" i="1" s="1"/>
  <c r="R1029" i="1" a="1"/>
  <c r="R1029" i="1" s="1"/>
  <c r="R1030" i="1" a="1"/>
  <c r="R1030" i="1" s="1"/>
  <c r="R1031" i="1" a="1"/>
  <c r="R1031" i="1" s="1"/>
  <c r="R1032" i="1" a="1"/>
  <c r="R1032" i="1" s="1"/>
  <c r="R1033" i="1" a="1"/>
  <c r="R1033" i="1" s="1"/>
  <c r="R1034" i="1" a="1"/>
  <c r="R1034" i="1" s="1"/>
  <c r="R1035" i="1" a="1"/>
  <c r="R1035" i="1" s="1"/>
  <c r="R1036" i="1" a="1"/>
  <c r="R1036" i="1" s="1"/>
  <c r="R1037" i="1" a="1"/>
  <c r="R1037" i="1" s="1"/>
  <c r="R1038" i="1" a="1"/>
  <c r="R1038" i="1" s="1"/>
  <c r="R1039" i="1" a="1"/>
  <c r="R1039" i="1" s="1"/>
  <c r="R1040" i="1" a="1"/>
  <c r="R1040" i="1" s="1"/>
  <c r="R1041" i="1" a="1"/>
  <c r="R1041" i="1" s="1"/>
  <c r="R1042" i="1" a="1"/>
  <c r="R1042" i="1" s="1"/>
  <c r="R1043" i="1" a="1"/>
  <c r="R1043" i="1" s="1"/>
  <c r="R1044" i="1" a="1"/>
  <c r="R1044" i="1" s="1"/>
  <c r="R1045" i="1" a="1"/>
  <c r="R1045" i="1" s="1"/>
  <c r="R1046" i="1" a="1"/>
  <c r="R1046" i="1" s="1"/>
  <c r="R1047" i="1" a="1"/>
  <c r="R1047" i="1" s="1"/>
  <c r="R1048" i="1" a="1"/>
  <c r="R1048" i="1" s="1"/>
  <c r="R1049" i="1" a="1"/>
  <c r="R1049" i="1" s="1"/>
  <c r="R1050" i="1" a="1"/>
  <c r="R1050" i="1" s="1"/>
  <c r="R1051" i="1" a="1"/>
  <c r="R1051" i="1" s="1"/>
  <c r="R1052" i="1" a="1"/>
  <c r="R1052" i="1"/>
  <c r="R1053" i="1" a="1"/>
  <c r="R1053" i="1" s="1"/>
  <c r="R1054" i="1" a="1"/>
  <c r="R1054" i="1" s="1"/>
  <c r="R1055" i="1" a="1"/>
  <c r="R1055" i="1" s="1"/>
  <c r="R1056" i="1" a="1"/>
  <c r="R1056" i="1" s="1"/>
  <c r="R1057" i="1" a="1"/>
  <c r="R1057" i="1" s="1"/>
  <c r="R1058" i="1" a="1"/>
  <c r="R1058" i="1" s="1"/>
  <c r="R1059" i="1" a="1"/>
  <c r="R1059" i="1" s="1"/>
  <c r="R1060" i="1" a="1"/>
  <c r="R1060" i="1" s="1"/>
  <c r="R1061" i="1" a="1"/>
  <c r="R1061" i="1" s="1"/>
  <c r="R1062" i="1" a="1"/>
  <c r="R1062" i="1" s="1"/>
  <c r="R1063" i="1" a="1"/>
  <c r="R1063" i="1" s="1"/>
  <c r="R1064" i="1" a="1"/>
  <c r="R1064" i="1" s="1"/>
  <c r="R1065" i="1" a="1"/>
  <c r="R1065" i="1" s="1"/>
  <c r="R1066" i="1" a="1"/>
  <c r="R1066" i="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s="1"/>
  <c r="R1088" i="1" a="1"/>
  <c r="R1088" i="1" s="1"/>
  <c r="R1089" i="1" a="1"/>
  <c r="R1089" i="1" s="1"/>
  <c r="R1090" i="1" a="1"/>
  <c r="R1090" i="1" s="1"/>
  <c r="R1091" i="1" a="1"/>
  <c r="R1091" i="1" s="1"/>
  <c r="R1092" i="1" a="1"/>
  <c r="R1092" i="1" s="1"/>
  <c r="R1093" i="1" a="1"/>
  <c r="R1093" i="1" s="1"/>
  <c r="R1094" i="1" a="1"/>
  <c r="R1094" i="1"/>
  <c r="R1095" i="1" a="1"/>
  <c r="R1095" i="1" s="1"/>
  <c r="R1096" i="1" a="1"/>
  <c r="R1096" i="1" s="1"/>
  <c r="R1097" i="1" a="1"/>
  <c r="R1097" i="1" s="1"/>
  <c r="R1098" i="1" a="1"/>
  <c r="R1098" i="1"/>
  <c r="R1099" i="1" a="1"/>
  <c r="R1099" i="1" s="1"/>
  <c r="R1100" i="1" a="1"/>
  <c r="R1100" i="1" s="1"/>
  <c r="R1101" i="1" a="1"/>
  <c r="R1101" i="1" s="1"/>
  <c r="R1102" i="1" a="1"/>
  <c r="R1102" i="1" s="1"/>
  <c r="R1103" i="1" a="1"/>
  <c r="R1103" i="1" s="1"/>
  <c r="R1104" i="1" a="1"/>
  <c r="R1104" i="1" s="1"/>
  <c r="R1105" i="1" a="1"/>
  <c r="R1105" i="1" s="1"/>
  <c r="R1106" i="1" a="1"/>
  <c r="R1106" i="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s="1"/>
  <c r="R1130" i="1" a="1"/>
  <c r="R1130" i="1" s="1"/>
  <c r="R1131" i="1" a="1"/>
  <c r="R1131" i="1" s="1"/>
  <c r="R1132" i="1" a="1"/>
  <c r="R1132" i="1" s="1"/>
  <c r="R1133" i="1" a="1"/>
  <c r="R1133" i="1" s="1"/>
  <c r="R1134" i="1" a="1"/>
  <c r="R1134" i="1" s="1"/>
  <c r="R1135" i="1" a="1"/>
  <c r="R1135" i="1" s="1"/>
  <c r="R1136" i="1" a="1"/>
  <c r="R1136" i="1" s="1"/>
  <c r="R1137" i="1" a="1"/>
  <c r="R1137" i="1" s="1"/>
  <c r="R1138" i="1" a="1"/>
  <c r="R1138" i="1"/>
  <c r="R1139" i="1" a="1"/>
  <c r="R1139" i="1" s="1"/>
  <c r="R1140" i="1" a="1"/>
  <c r="R1140" i="1" s="1"/>
  <c r="R1141" i="1" a="1"/>
  <c r="R1141" i="1" s="1"/>
  <c r="R1142" i="1" a="1"/>
  <c r="R1142" i="1"/>
  <c r="R1143" i="1" a="1"/>
  <c r="R1143" i="1" s="1"/>
  <c r="R1144" i="1" a="1"/>
  <c r="R1144" i="1" s="1"/>
  <c r="R1145" i="1" a="1"/>
  <c r="R1145" i="1" s="1"/>
  <c r="R1146" i="1" a="1"/>
  <c r="R1146" i="1" s="1"/>
  <c r="R1147" i="1" a="1"/>
  <c r="R1147" i="1" s="1"/>
  <c r="R1148" i="1" a="1"/>
  <c r="R1148" i="1" s="1"/>
  <c r="R1149" i="1" a="1"/>
  <c r="R1149" i="1" s="1"/>
  <c r="R1150" i="1" a="1"/>
  <c r="R1150" i="1" s="1"/>
  <c r="R1151" i="1" a="1"/>
  <c r="R1151" i="1" s="1"/>
  <c r="R1152" i="1" a="1"/>
  <c r="R1152"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c r="R1163" i="1" a="1"/>
  <c r="R1163" i="1" s="1"/>
  <c r="R1164" i="1" a="1"/>
  <c r="R1164" i="1" s="1"/>
  <c r="R1165" i="1" a="1"/>
  <c r="R1165" i="1" s="1"/>
  <c r="R1166" i="1" a="1"/>
  <c r="R1166" i="1" s="1"/>
  <c r="R1167" i="1" a="1"/>
  <c r="R1167" i="1" s="1"/>
  <c r="R1168" i="1" a="1"/>
  <c r="R1168" i="1" s="1"/>
  <c r="R1169" i="1" a="1"/>
  <c r="R1169" i="1" s="1"/>
  <c r="R1170" i="1" a="1"/>
  <c r="R1170" i="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1187" i="1" a="1"/>
  <c r="R1187" i="1" s="1"/>
  <c r="R1188" i="1" a="1"/>
  <c r="R1188" i="1" s="1"/>
  <c r="R1189" i="1" a="1"/>
  <c r="R1189" i="1" s="1"/>
  <c r="R1190" i="1" a="1"/>
  <c r="R1190" i="1"/>
  <c r="R1191" i="1" a="1"/>
  <c r="R1191" i="1" s="1"/>
  <c r="R1192" i="1" a="1"/>
  <c r="R1192" i="1" s="1"/>
  <c r="R1193" i="1" a="1"/>
  <c r="R1193" i="1" s="1"/>
  <c r="R1194" i="1" a="1"/>
  <c r="R1194" i="1" s="1"/>
  <c r="R1195" i="1" a="1"/>
  <c r="R1195" i="1" s="1"/>
  <c r="R1196" i="1" a="1"/>
  <c r="R1196" i="1" s="1"/>
  <c r="R1197" i="1" a="1"/>
  <c r="R1197" i="1" s="1"/>
  <c r="R1198" i="1" a="1"/>
  <c r="R1198" i="1" s="1"/>
  <c r="R1199" i="1" a="1"/>
  <c r="R1199" i="1" s="1"/>
  <c r="R1200" i="1" a="1"/>
  <c r="R1200" i="1" s="1"/>
  <c r="R1201" i="1" a="1"/>
  <c r="R1201" i="1" s="1"/>
  <c r="R1202" i="1" a="1"/>
  <c r="R1202" i="1" s="1"/>
  <c r="R1203" i="1" a="1"/>
  <c r="R1203" i="1" s="1"/>
  <c r="R1204" i="1" a="1"/>
  <c r="R1204" i="1" s="1"/>
  <c r="R1205" i="1" a="1"/>
  <c r="R1205" i="1" s="1"/>
  <c r="R1206" i="1" a="1"/>
  <c r="R1206" i="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c r="R1223" i="1" a="1"/>
  <c r="R1223" i="1" s="1"/>
  <c r="R1224" i="1" a="1"/>
  <c r="R1224" i="1" s="1"/>
  <c r="R1225" i="1" a="1"/>
  <c r="R1225" i="1" s="1"/>
  <c r="R1226" i="1" a="1"/>
  <c r="R1226" i="1"/>
  <c r="R1227" i="1" a="1"/>
  <c r="R1227" i="1" s="1"/>
  <c r="R1228" i="1" a="1"/>
  <c r="R1228" i="1" s="1"/>
  <c r="R1229" i="1" a="1"/>
  <c r="R1229" i="1" s="1"/>
  <c r="R1230" i="1" a="1"/>
  <c r="R1230" i="1" s="1"/>
  <c r="R1231" i="1" a="1"/>
  <c r="R1231" i="1" s="1"/>
  <c r="R1232" i="1" a="1"/>
  <c r="R1232" i="1" s="1"/>
  <c r="R1233" i="1" a="1"/>
  <c r="R1233" i="1" s="1"/>
  <c r="R1234" i="1" a="1"/>
  <c r="R1234" i="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c r="R1275" i="1" a="1"/>
  <c r="R1275" i="1" s="1"/>
  <c r="R1276" i="1" a="1"/>
  <c r="R1276" i="1" s="1"/>
  <c r="R1277" i="1" a="1"/>
  <c r="R1277" i="1" s="1"/>
  <c r="R1278" i="1" a="1"/>
  <c r="R1278" i="1" s="1"/>
  <c r="R1279" i="1" a="1"/>
  <c r="R1279" i="1" s="1"/>
  <c r="R1280" i="1" a="1"/>
  <c r="R1280" i="1" s="1"/>
  <c r="R1281" i="1" a="1"/>
  <c r="R1281" i="1" s="1"/>
  <c r="R1282" i="1" a="1"/>
  <c r="R1282" i="1" s="1"/>
  <c r="R1283" i="1" a="1"/>
  <c r="R1283" i="1" s="1"/>
  <c r="R1284" i="1" a="1"/>
  <c r="R1284" i="1" s="1"/>
  <c r="R1285" i="1" a="1"/>
  <c r="R1285" i="1" s="1"/>
  <c r="R1286" i="1" a="1"/>
  <c r="R1286" i="1"/>
  <c r="R1287" i="1" a="1"/>
  <c r="R1287" i="1" s="1"/>
  <c r="R1288" i="1" a="1"/>
  <c r="R1288" i="1" s="1"/>
  <c r="R1289" i="1" a="1"/>
  <c r="R1289" i="1" s="1"/>
  <c r="R1290" i="1" a="1"/>
  <c r="R1290" i="1" s="1"/>
  <c r="R1291" i="1" a="1"/>
  <c r="R1291" i="1" s="1"/>
  <c r="R1292" i="1" a="1"/>
  <c r="R1292" i="1" s="1"/>
  <c r="R1293" i="1" a="1"/>
  <c r="R1293" i="1" s="1"/>
  <c r="R1294" i="1" a="1"/>
  <c r="R1294" i="1" s="1"/>
  <c r="R1295" i="1" a="1"/>
  <c r="R1295" i="1" s="1"/>
  <c r="R1296" i="1" a="1"/>
  <c r="R1296" i="1" s="1"/>
  <c r="R1297" i="1" a="1"/>
  <c r="R1297" i="1" s="1"/>
  <c r="R1298" i="1" a="1"/>
  <c r="R1298" i="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c r="R1315" i="1" a="1"/>
  <c r="R1315" i="1" s="1"/>
  <c r="R1316" i="1" a="1"/>
  <c r="R1316" i="1" s="1"/>
  <c r="R1317" i="1" a="1"/>
  <c r="R1317" i="1" s="1"/>
  <c r="R1318" i="1" a="1"/>
  <c r="R1318" i="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s="1"/>
  <c r="R1340" i="1" a="1"/>
  <c r="R1340" i="1" s="1"/>
  <c r="R1341" i="1" a="1"/>
  <c r="R1341" i="1" s="1"/>
  <c r="R1342" i="1" a="1"/>
  <c r="R1342" i="1" s="1"/>
  <c r="R1343" i="1" a="1"/>
  <c r="R1343" i="1" s="1"/>
  <c r="R1344" i="1" a="1"/>
  <c r="R1344" i="1" s="1"/>
  <c r="R1345" i="1" a="1"/>
  <c r="R1345" i="1" s="1"/>
  <c r="R1346" i="1" a="1"/>
  <c r="R1346" i="1" s="1"/>
  <c r="R1347" i="1" a="1"/>
  <c r="R1347" i="1" s="1"/>
  <c r="R1348" i="1" a="1"/>
  <c r="R1348" i="1" s="1"/>
  <c r="R1349" i="1" a="1"/>
  <c r="R1349" i="1" s="1"/>
  <c r="R1350" i="1" a="1"/>
  <c r="R1350" i="1"/>
  <c r="R1351" i="1" a="1"/>
  <c r="R1351" i="1" s="1"/>
  <c r="R1352" i="1" a="1"/>
  <c r="R1352" i="1" s="1"/>
  <c r="R1353" i="1" a="1"/>
  <c r="R1353" i="1" s="1"/>
  <c r="R1354" i="1" a="1"/>
  <c r="R1354" i="1"/>
  <c r="R1355" i="1" a="1"/>
  <c r="R1355" i="1" s="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1408" i="1" a="1"/>
  <c r="R1408" i="1" s="1"/>
  <c r="R1409" i="1" a="1"/>
  <c r="R1409" i="1" s="1"/>
  <c r="R1410" i="1" a="1"/>
  <c r="R1410" i="1" s="1"/>
  <c r="R1411" i="1" a="1"/>
  <c r="R1411" i="1"/>
  <c r="R1412" i="1" a="1"/>
  <c r="R1412" i="1" s="1"/>
  <c r="R1413" i="1" a="1"/>
  <c r="R1413" i="1" s="1"/>
  <c r="R1414" i="1" a="1"/>
  <c r="R1414" i="1" s="1"/>
  <c r="R1415" i="1" a="1"/>
  <c r="R1415" i="1" s="1"/>
  <c r="R1416" i="1" a="1"/>
  <c r="R1416" i="1" s="1"/>
  <c r="R1417" i="1" a="1"/>
  <c r="R1417" i="1"/>
  <c r="R1418" i="1" a="1"/>
  <c r="R1418" i="1" s="1"/>
  <c r="R1419" i="1" a="1"/>
  <c r="R1419" i="1" s="1"/>
  <c r="R1420" i="1" a="1"/>
  <c r="R1420" i="1" s="1"/>
  <c r="R1421" i="1" a="1"/>
  <c r="R1421" i="1"/>
  <c r="R1422" i="1" a="1"/>
  <c r="R1422" i="1" s="1"/>
  <c r="R1423" i="1" a="1"/>
  <c r="R1423" i="1" s="1"/>
  <c r="R1424" i="1" a="1"/>
  <c r="R1424" i="1" s="1"/>
  <c r="R1425" i="1" a="1"/>
  <c r="R1425" i="1" s="1"/>
  <c r="R1426" i="1" a="1"/>
  <c r="R1426" i="1" s="1"/>
  <c r="R1427" i="1" a="1"/>
  <c r="R1427" i="1"/>
  <c r="R1428" i="1" a="1"/>
  <c r="R1428" i="1" s="1"/>
  <c r="R1429" i="1" a="1"/>
  <c r="R1429" i="1" s="1"/>
  <c r="R1430" i="1" a="1"/>
  <c r="R1430" i="1" s="1"/>
  <c r="R1431" i="1" a="1"/>
  <c r="R1431" i="1" s="1"/>
  <c r="R1432" i="1" a="1"/>
  <c r="R1432" i="1" s="1"/>
  <c r="R1433" i="1" a="1"/>
  <c r="R1433" i="1"/>
  <c r="R1434" i="1" a="1"/>
  <c r="R1434" i="1" s="1"/>
  <c r="R1435" i="1" a="1"/>
  <c r="R1435" i="1" s="1"/>
  <c r="R1436" i="1" a="1"/>
  <c r="R1436" i="1" s="1"/>
  <c r="R1437" i="1" a="1"/>
  <c r="R1437" i="1"/>
  <c r="R1438" i="1" a="1"/>
  <c r="R1438" i="1" s="1"/>
  <c r="R1439" i="1" a="1"/>
  <c r="R1439" i="1" s="1"/>
  <c r="R1440" i="1" a="1"/>
  <c r="R1440" i="1" s="1"/>
  <c r="R1441" i="1" a="1"/>
  <c r="R1441" i="1" s="1"/>
  <c r="R1442" i="1" a="1"/>
  <c r="R1442" i="1" s="1"/>
  <c r="R1443" i="1" a="1"/>
  <c r="R1443" i="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c r="R1460" i="1" a="1"/>
  <c r="R1460" i="1" s="1"/>
  <c r="R1461" i="1" a="1"/>
  <c r="R1461" i="1" s="1"/>
  <c r="R1462" i="1" a="1"/>
  <c r="R1462" i="1" s="1"/>
  <c r="R1463" i="1" a="1"/>
  <c r="R1463" i="1" s="1"/>
  <c r="R1464" i="1" a="1"/>
  <c r="R1464" i="1" s="1"/>
  <c r="R1465" i="1" a="1"/>
  <c r="R1465" i="1"/>
  <c r="R1466" i="1" a="1"/>
  <c r="R1466" i="1" s="1"/>
  <c r="R1467" i="1" a="1"/>
  <c r="R1467" i="1" s="1"/>
  <c r="R1468" i="1" a="1"/>
  <c r="R1468" i="1" s="1"/>
  <c r="R1469" i="1" a="1"/>
  <c r="R1469" i="1"/>
  <c r="R1470" i="1" a="1"/>
  <c r="R1470" i="1" s="1"/>
  <c r="R1471" i="1" a="1"/>
  <c r="R1471" i="1" s="1"/>
  <c r="R2" i="1" a="1"/>
  <c r="R2" i="1" s="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s="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s="1"/>
  <c r="T258" i="1" a="1"/>
  <c r="T258" i="1" s="1"/>
  <c r="T259" i="1" a="1"/>
  <c r="T259" i="1" s="1"/>
  <c r="T260" i="1" a="1"/>
  <c r="T260" i="1" s="1"/>
  <c r="T261" i="1" a="1"/>
  <c r="T261" i="1" s="1"/>
  <c r="T262" i="1" a="1"/>
  <c r="T262" i="1" s="1"/>
  <c r="T263" i="1" a="1"/>
  <c r="T263" i="1" s="1"/>
  <c r="T264" i="1" a="1"/>
  <c r="T264" i="1" s="1"/>
  <c r="T265" i="1" a="1"/>
  <c r="T265" i="1" s="1"/>
  <c r="T266" i="1" a="1"/>
  <c r="T266" i="1" s="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s="1"/>
  <c r="T294" i="1" a="1"/>
  <c r="T294" i="1" s="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c r="T319" i="1" a="1"/>
  <c r="T319" i="1" s="1"/>
  <c r="T320" i="1" a="1"/>
  <c r="T320" i="1" s="1"/>
  <c r="T321" i="1" a="1"/>
  <c r="T321" i="1" s="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s="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s="1"/>
  <c r="T353" i="1" a="1"/>
  <c r="T353" i="1" s="1"/>
  <c r="T354" i="1" a="1"/>
  <c r="T354" i="1" s="1"/>
  <c r="T355" i="1" a="1"/>
  <c r="T355" i="1" s="1"/>
  <c r="T356" i="1" a="1"/>
  <c r="T356" i="1" s="1"/>
  <c r="T357" i="1" a="1"/>
  <c r="T357" i="1" s="1"/>
  <c r="T358" i="1" a="1"/>
  <c r="T358" i="1" s="1"/>
  <c r="T359" i="1" a="1"/>
  <c r="T359" i="1" s="1"/>
  <c r="T360" i="1" a="1"/>
  <c r="T360" i="1" s="1"/>
  <c r="T361" i="1" a="1"/>
  <c r="T361" i="1" s="1"/>
  <c r="T362" i="1" a="1"/>
  <c r="T362" i="1" s="1"/>
  <c r="T363" i="1" a="1"/>
  <c r="T363" i="1" s="1"/>
  <c r="T364" i="1" a="1"/>
  <c r="T364" i="1" s="1"/>
  <c r="T365" i="1" a="1"/>
  <c r="T365" i="1" s="1"/>
  <c r="T366" i="1" a="1"/>
  <c r="T366" i="1" s="1"/>
  <c r="T367" i="1" a="1"/>
  <c r="T367" i="1" s="1"/>
  <c r="T368" i="1" a="1"/>
  <c r="T368" i="1" s="1"/>
  <c r="T369" i="1" a="1"/>
  <c r="T369" i="1" s="1"/>
  <c r="T370" i="1" a="1"/>
  <c r="T370" i="1" s="1"/>
  <c r="T371" i="1" a="1"/>
  <c r="T371" i="1" s="1"/>
  <c r="T372" i="1" a="1"/>
  <c r="T372" i="1" s="1"/>
  <c r="T373" i="1" a="1"/>
  <c r="T373" i="1" s="1"/>
  <c r="T374" i="1" a="1"/>
  <c r="T374" i="1" s="1"/>
  <c r="T375" i="1" a="1"/>
  <c r="T375" i="1" s="1"/>
  <c r="T376" i="1" a="1"/>
  <c r="T376" i="1" s="1"/>
  <c r="T377" i="1" a="1"/>
  <c r="T377" i="1" s="1"/>
  <c r="T378" i="1" a="1"/>
  <c r="T378" i="1" s="1"/>
  <c r="T379" i="1" a="1"/>
  <c r="T379" i="1" s="1"/>
  <c r="T380" i="1" a="1"/>
  <c r="T380" i="1" s="1"/>
  <c r="T381" i="1" a="1"/>
  <c r="T381" i="1" s="1"/>
  <c r="T382" i="1" a="1"/>
  <c r="T382" i="1" s="1"/>
  <c r="T383" i="1" a="1"/>
  <c r="T383" i="1" s="1"/>
  <c r="T384" i="1" a="1"/>
  <c r="T384" i="1" s="1"/>
  <c r="T385" i="1" a="1"/>
  <c r="T385" i="1" s="1"/>
  <c r="T386" i="1" a="1"/>
  <c r="T386" i="1" s="1"/>
  <c r="T387" i="1" a="1"/>
  <c r="T387" i="1" s="1"/>
  <c r="T388" i="1" a="1"/>
  <c r="T388" i="1" s="1"/>
  <c r="T389" i="1" a="1"/>
  <c r="T389" i="1" s="1"/>
  <c r="T390" i="1" a="1"/>
  <c r="T390" i="1" s="1"/>
  <c r="T391" i="1" a="1"/>
  <c r="T391" i="1" s="1"/>
  <c r="T392" i="1" a="1"/>
  <c r="T392" i="1" s="1"/>
  <c r="T393" i="1" a="1"/>
  <c r="T393" i="1" s="1"/>
  <c r="T394" i="1" a="1"/>
  <c r="T394" i="1" s="1"/>
  <c r="T395" i="1" a="1"/>
  <c r="T395" i="1" s="1"/>
  <c r="T396" i="1" a="1"/>
  <c r="T396" i="1" s="1"/>
  <c r="T397" i="1" a="1"/>
  <c r="T397" i="1" s="1"/>
  <c r="T398" i="1" a="1"/>
  <c r="T398" i="1" s="1"/>
  <c r="T399" i="1" a="1"/>
  <c r="T399" i="1" s="1"/>
  <c r="T400" i="1" a="1"/>
  <c r="T400" i="1" s="1"/>
  <c r="T401" i="1" a="1"/>
  <c r="T401" i="1" s="1"/>
  <c r="T402" i="1" a="1"/>
  <c r="T402" i="1" s="1"/>
  <c r="T403" i="1" a="1"/>
  <c r="T403" i="1" s="1"/>
  <c r="T404" i="1" a="1"/>
  <c r="T404" i="1" s="1"/>
  <c r="T405" i="1" a="1"/>
  <c r="T405" i="1" s="1"/>
  <c r="T406" i="1" a="1"/>
  <c r="T406" i="1" s="1"/>
  <c r="T407" i="1" a="1"/>
  <c r="T407" i="1" s="1"/>
  <c r="T408" i="1" a="1"/>
  <c r="T408" i="1" s="1"/>
  <c r="T409" i="1" a="1"/>
  <c r="T409" i="1" s="1"/>
  <c r="T410" i="1" a="1"/>
  <c r="T410" i="1" s="1"/>
  <c r="T411" i="1" a="1"/>
  <c r="T411" i="1" s="1"/>
  <c r="T412" i="1" a="1"/>
  <c r="T412" i="1" s="1"/>
  <c r="T413" i="1" a="1"/>
  <c r="T413" i="1" s="1"/>
  <c r="T414" i="1" a="1"/>
  <c r="T414" i="1" s="1"/>
  <c r="T415" i="1" a="1"/>
  <c r="T415" i="1" s="1"/>
  <c r="T416" i="1" a="1"/>
  <c r="T416" i="1" s="1"/>
  <c r="T417" i="1" a="1"/>
  <c r="T417" i="1" s="1"/>
  <c r="T418" i="1" a="1"/>
  <c r="T418" i="1" s="1"/>
  <c r="T419" i="1" a="1"/>
  <c r="T419" i="1" s="1"/>
  <c r="T420" i="1" a="1"/>
  <c r="T420" i="1" s="1"/>
  <c r="T421" i="1" a="1"/>
  <c r="T421" i="1" s="1"/>
  <c r="T422" i="1" a="1"/>
  <c r="T422" i="1" s="1"/>
  <c r="T423" i="1" a="1"/>
  <c r="T423" i="1" s="1"/>
  <c r="T424" i="1" a="1"/>
  <c r="T424" i="1" s="1"/>
  <c r="T425" i="1" a="1"/>
  <c r="T425" i="1" s="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s="1"/>
  <c r="T441" i="1" a="1"/>
  <c r="T441" i="1" s="1"/>
  <c r="T442" i="1" a="1"/>
  <c r="T442" i="1" s="1"/>
  <c r="T443" i="1" a="1"/>
  <c r="T443" i="1" s="1"/>
  <c r="T444" i="1" a="1"/>
  <c r="T444" i="1" s="1"/>
  <c r="T445" i="1" a="1"/>
  <c r="T445" i="1" s="1"/>
  <c r="T446" i="1" a="1"/>
  <c r="T446" i="1"/>
  <c r="T447" i="1" a="1"/>
  <c r="T447" i="1" s="1"/>
  <c r="T448" i="1" a="1"/>
  <c r="T448" i="1" s="1"/>
  <c r="T449" i="1" a="1"/>
  <c r="T449" i="1" s="1"/>
  <c r="T450" i="1" a="1"/>
  <c r="T450" i="1" s="1"/>
  <c r="T451" i="1" a="1"/>
  <c r="T451" i="1" s="1"/>
  <c r="T452" i="1" a="1"/>
  <c r="T452" i="1" s="1"/>
  <c r="T453" i="1" a="1"/>
  <c r="T453" i="1" s="1"/>
  <c r="T454" i="1" a="1"/>
  <c r="T454" i="1" s="1"/>
  <c r="T455" i="1" a="1"/>
  <c r="T455" i="1" s="1"/>
  <c r="T456" i="1" a="1"/>
  <c r="T456" i="1" s="1"/>
  <c r="T457" i="1" a="1"/>
  <c r="T457" i="1" s="1"/>
  <c r="T458" i="1" a="1"/>
  <c r="T458" i="1" s="1"/>
  <c r="T459" i="1" a="1"/>
  <c r="T459" i="1" s="1"/>
  <c r="T460" i="1" a="1"/>
  <c r="T460" i="1" s="1"/>
  <c r="T461" i="1" a="1"/>
  <c r="T461" i="1" s="1"/>
  <c r="T462" i="1" a="1"/>
  <c r="T462" i="1" s="1"/>
  <c r="T463" i="1" a="1"/>
  <c r="T463" i="1" s="1"/>
  <c r="T464" i="1" a="1"/>
  <c r="T464" i="1" s="1"/>
  <c r="T465" i="1" a="1"/>
  <c r="T465" i="1" s="1"/>
  <c r="T466" i="1" a="1"/>
  <c r="T466" i="1" s="1"/>
  <c r="T467" i="1" a="1"/>
  <c r="T467" i="1" s="1"/>
  <c r="T468" i="1" a="1"/>
  <c r="T468" i="1" s="1"/>
  <c r="T469" i="1" a="1"/>
  <c r="T469" i="1" s="1"/>
  <c r="T470" i="1" a="1"/>
  <c r="T470" i="1" s="1"/>
  <c r="T471" i="1" a="1"/>
  <c r="T471" i="1" s="1"/>
  <c r="T472" i="1" a="1"/>
  <c r="T472" i="1" s="1"/>
  <c r="T473" i="1" a="1"/>
  <c r="T473" i="1" s="1"/>
  <c r="T474" i="1" a="1"/>
  <c r="T474" i="1" s="1"/>
  <c r="T475" i="1" a="1"/>
  <c r="T475" i="1" s="1"/>
  <c r="T476" i="1" a="1"/>
  <c r="T476" i="1" s="1"/>
  <c r="T477" i="1" a="1"/>
  <c r="T477" i="1" s="1"/>
  <c r="T478" i="1" a="1"/>
  <c r="T478" i="1" s="1"/>
  <c r="T479" i="1" a="1"/>
  <c r="T479" i="1" s="1"/>
  <c r="T480" i="1" a="1"/>
  <c r="T480" i="1" s="1"/>
  <c r="T481" i="1" a="1"/>
  <c r="T481" i="1" s="1"/>
  <c r="T482" i="1" a="1"/>
  <c r="T482" i="1" s="1"/>
  <c r="T483" i="1" a="1"/>
  <c r="T483" i="1" s="1"/>
  <c r="T484" i="1" a="1"/>
  <c r="T484" i="1" s="1"/>
  <c r="T485" i="1" a="1"/>
  <c r="T485" i="1" s="1"/>
  <c r="T486" i="1" a="1"/>
  <c r="T486" i="1" s="1"/>
  <c r="T487" i="1" a="1"/>
  <c r="T487" i="1" s="1"/>
  <c r="T488" i="1" a="1"/>
  <c r="T488" i="1" s="1"/>
  <c r="T489" i="1" a="1"/>
  <c r="T489" i="1" s="1"/>
  <c r="T490" i="1" a="1"/>
  <c r="T490" i="1" s="1"/>
  <c r="T491" i="1" a="1"/>
  <c r="T491" i="1" s="1"/>
  <c r="T492" i="1" a="1"/>
  <c r="T492" i="1" s="1"/>
  <c r="T493" i="1" a="1"/>
  <c r="T493" i="1" s="1"/>
  <c r="T494" i="1" a="1"/>
  <c r="T494" i="1" s="1"/>
  <c r="T495" i="1" a="1"/>
  <c r="T495" i="1" s="1"/>
  <c r="T496" i="1" a="1"/>
  <c r="T496" i="1" s="1"/>
  <c r="T497" i="1" a="1"/>
  <c r="T497" i="1" s="1"/>
  <c r="T498" i="1" a="1"/>
  <c r="T498" i="1" s="1"/>
  <c r="T499" i="1" a="1"/>
  <c r="T499" i="1" s="1"/>
  <c r="T500" i="1" a="1"/>
  <c r="T500" i="1" s="1"/>
  <c r="T501" i="1" a="1"/>
  <c r="T501" i="1" s="1"/>
  <c r="T502" i="1" a="1"/>
  <c r="T502" i="1" s="1"/>
  <c r="T503" i="1" a="1"/>
  <c r="T503" i="1" s="1"/>
  <c r="T504" i="1" a="1"/>
  <c r="T504" i="1" s="1"/>
  <c r="T505" i="1" a="1"/>
  <c r="T505" i="1" s="1"/>
  <c r="T506" i="1" a="1"/>
  <c r="T506" i="1" s="1"/>
  <c r="T507" i="1" a="1"/>
  <c r="T507" i="1" s="1"/>
  <c r="T508" i="1" a="1"/>
  <c r="T508" i="1" s="1"/>
  <c r="T509" i="1" a="1"/>
  <c r="T509" i="1" s="1"/>
  <c r="T510" i="1" a="1"/>
  <c r="T510" i="1" s="1"/>
  <c r="T511" i="1" a="1"/>
  <c r="T511" i="1" s="1"/>
  <c r="T512" i="1" a="1"/>
  <c r="T512" i="1" s="1"/>
  <c r="T513" i="1" a="1"/>
  <c r="T513" i="1" s="1"/>
  <c r="T514" i="1" a="1"/>
  <c r="T514" i="1" s="1"/>
  <c r="T515" i="1" a="1"/>
  <c r="T515" i="1" s="1"/>
  <c r="T516" i="1" a="1"/>
  <c r="T516" i="1" s="1"/>
  <c r="T517" i="1" a="1"/>
  <c r="T517" i="1" s="1"/>
  <c r="T518" i="1" a="1"/>
  <c r="T518" i="1" s="1"/>
  <c r="T519" i="1" a="1"/>
  <c r="T519" i="1" s="1"/>
  <c r="T520" i="1" a="1"/>
  <c r="T520" i="1" s="1"/>
  <c r="T521" i="1" a="1"/>
  <c r="T521" i="1" s="1"/>
  <c r="T522" i="1" a="1"/>
  <c r="T522" i="1" s="1"/>
  <c r="T523" i="1" a="1"/>
  <c r="T523" i="1" s="1"/>
  <c r="T524" i="1" a="1"/>
  <c r="T524" i="1" s="1"/>
  <c r="T525" i="1" a="1"/>
  <c r="T525" i="1" s="1"/>
  <c r="T526" i="1" a="1"/>
  <c r="T526" i="1" s="1"/>
  <c r="T527" i="1" a="1"/>
  <c r="T527" i="1" s="1"/>
  <c r="T528" i="1" a="1"/>
  <c r="T528" i="1" s="1"/>
  <c r="T529" i="1" a="1"/>
  <c r="T529" i="1" s="1"/>
  <c r="T530" i="1" a="1"/>
  <c r="T530" i="1" s="1"/>
  <c r="T531" i="1" a="1"/>
  <c r="T531" i="1" s="1"/>
  <c r="T532" i="1" a="1"/>
  <c r="T532" i="1" s="1"/>
  <c r="T533" i="1" a="1"/>
  <c r="T533" i="1" s="1"/>
  <c r="T534" i="1" a="1"/>
  <c r="T534" i="1" s="1"/>
  <c r="T535" i="1" a="1"/>
  <c r="T535" i="1" s="1"/>
  <c r="T536" i="1" a="1"/>
  <c r="T536" i="1" s="1"/>
  <c r="T537" i="1" a="1"/>
  <c r="T537" i="1" s="1"/>
  <c r="T538" i="1" a="1"/>
  <c r="T538" i="1" s="1"/>
  <c r="T539" i="1" a="1"/>
  <c r="T539" i="1" s="1"/>
  <c r="T540" i="1" a="1"/>
  <c r="T540" i="1" s="1"/>
  <c r="T541" i="1" a="1"/>
  <c r="T541" i="1" s="1"/>
  <c r="T542" i="1" a="1"/>
  <c r="T542" i="1" s="1"/>
  <c r="T543" i="1" a="1"/>
  <c r="T543" i="1" s="1"/>
  <c r="T544" i="1" a="1"/>
  <c r="T544" i="1" s="1"/>
  <c r="T545" i="1" a="1"/>
  <c r="T545" i="1" s="1"/>
  <c r="T546" i="1" a="1"/>
  <c r="T546" i="1" s="1"/>
  <c r="T547" i="1" a="1"/>
  <c r="T547" i="1" s="1"/>
  <c r="T548" i="1" a="1"/>
  <c r="T548" i="1" s="1"/>
  <c r="T549" i="1" a="1"/>
  <c r="T549" i="1" s="1"/>
  <c r="T550" i="1" a="1"/>
  <c r="T550" i="1" s="1"/>
  <c r="T551" i="1" a="1"/>
  <c r="T551" i="1" s="1"/>
  <c r="T552" i="1" a="1"/>
  <c r="T552" i="1" s="1"/>
  <c r="T553" i="1" a="1"/>
  <c r="T553" i="1" s="1"/>
  <c r="T554" i="1" a="1"/>
  <c r="T554" i="1" s="1"/>
  <c r="T555" i="1" a="1"/>
  <c r="T555" i="1" s="1"/>
  <c r="T556" i="1" a="1"/>
  <c r="T556" i="1" s="1"/>
  <c r="T557" i="1" a="1"/>
  <c r="T557" i="1" s="1"/>
  <c r="T558" i="1" a="1"/>
  <c r="T558" i="1" s="1"/>
  <c r="T559" i="1" a="1"/>
  <c r="T559" i="1" s="1"/>
  <c r="T560" i="1" a="1"/>
  <c r="T560" i="1" s="1"/>
  <c r="T561" i="1" a="1"/>
  <c r="T561" i="1" s="1"/>
  <c r="T562" i="1" a="1"/>
  <c r="T562" i="1" s="1"/>
  <c r="T563" i="1" a="1"/>
  <c r="T563" i="1" s="1"/>
  <c r="T564" i="1" a="1"/>
  <c r="T564" i="1" s="1"/>
  <c r="T565" i="1" a="1"/>
  <c r="T565" i="1" s="1"/>
  <c r="T566" i="1" a="1"/>
  <c r="T566" i="1" s="1"/>
  <c r="T567" i="1" a="1"/>
  <c r="T567" i="1" s="1"/>
  <c r="T568" i="1" a="1"/>
  <c r="T568" i="1" s="1"/>
  <c r="T569" i="1" a="1"/>
  <c r="T569" i="1" s="1"/>
  <c r="T570" i="1" a="1"/>
  <c r="T570" i="1" s="1"/>
  <c r="T571" i="1" a="1"/>
  <c r="T571" i="1" s="1"/>
  <c r="T572" i="1" a="1"/>
  <c r="T572" i="1" s="1"/>
  <c r="T573" i="1" a="1"/>
  <c r="T573" i="1" s="1"/>
  <c r="T574" i="1" a="1"/>
  <c r="T574" i="1" s="1"/>
  <c r="T575" i="1" a="1"/>
  <c r="T575" i="1" s="1"/>
  <c r="T576" i="1" a="1"/>
  <c r="T576" i="1" s="1"/>
  <c r="T577" i="1" a="1"/>
  <c r="T577" i="1" s="1"/>
  <c r="T578" i="1" a="1"/>
  <c r="T578" i="1" s="1"/>
  <c r="T579" i="1" a="1"/>
  <c r="T579" i="1" s="1"/>
  <c r="T580" i="1" a="1"/>
  <c r="T580" i="1" s="1"/>
  <c r="T581" i="1" a="1"/>
  <c r="T581" i="1" s="1"/>
  <c r="T582" i="1" a="1"/>
  <c r="T582" i="1" s="1"/>
  <c r="T583" i="1" a="1"/>
  <c r="T583" i="1" s="1"/>
  <c r="T584" i="1" a="1"/>
  <c r="T584" i="1" s="1"/>
  <c r="T585" i="1" a="1"/>
  <c r="T585" i="1" s="1"/>
  <c r="T586" i="1" a="1"/>
  <c r="T586" i="1" s="1"/>
  <c r="T587" i="1" a="1"/>
  <c r="T587" i="1" s="1"/>
  <c r="T588" i="1" a="1"/>
  <c r="T588" i="1" s="1"/>
  <c r="T589" i="1" a="1"/>
  <c r="T589" i="1" s="1"/>
  <c r="T590" i="1" a="1"/>
  <c r="T590" i="1" s="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s="1"/>
  <c r="T602" i="1" a="1"/>
  <c r="T602" i="1" s="1"/>
  <c r="T603" i="1" a="1"/>
  <c r="T603" i="1" s="1"/>
  <c r="T604" i="1" a="1"/>
  <c r="T604" i="1" s="1"/>
  <c r="T605" i="1" a="1"/>
  <c r="T605" i="1" s="1"/>
  <c r="T606" i="1" a="1"/>
  <c r="T606" i="1" s="1"/>
  <c r="T607" i="1" a="1"/>
  <c r="T607" i="1" s="1"/>
  <c r="T608" i="1" a="1"/>
  <c r="T608" i="1" s="1"/>
  <c r="T609" i="1" a="1"/>
  <c r="T609" i="1" s="1"/>
  <c r="T610" i="1" a="1"/>
  <c r="T610" i="1" s="1"/>
  <c r="T611" i="1" a="1"/>
  <c r="T611" i="1" s="1"/>
  <c r="T612" i="1" a="1"/>
  <c r="T612" i="1" s="1"/>
  <c r="T613" i="1" a="1"/>
  <c r="T613" i="1" s="1"/>
  <c r="T614" i="1" a="1"/>
  <c r="T614" i="1" s="1"/>
  <c r="T615" i="1" a="1"/>
  <c r="T615" i="1" s="1"/>
  <c r="T616" i="1" a="1"/>
  <c r="T616" i="1" s="1"/>
  <c r="T617" i="1" a="1"/>
  <c r="T617" i="1" s="1"/>
  <c r="T618" i="1" a="1"/>
  <c r="T618" i="1" s="1"/>
  <c r="T619" i="1" a="1"/>
  <c r="T619" i="1" s="1"/>
  <c r="T620" i="1" a="1"/>
  <c r="T620" i="1" s="1"/>
  <c r="T621" i="1" a="1"/>
  <c r="T621" i="1" s="1"/>
  <c r="T622" i="1" a="1"/>
  <c r="T622" i="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s="1"/>
  <c r="T666" i="1" a="1"/>
  <c r="T666" i="1" s="1"/>
  <c r="T667" i="1" a="1"/>
  <c r="T667" i="1" s="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s="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s="1"/>
  <c r="T720" i="1" a="1"/>
  <c r="T720" i="1" s="1"/>
  <c r="T721" i="1" a="1"/>
  <c r="T721" i="1" s="1"/>
  <c r="T722" i="1" a="1"/>
  <c r="T722" i="1" s="1"/>
  <c r="T723" i="1" a="1"/>
  <c r="T723" i="1" s="1"/>
  <c r="T724" i="1" a="1"/>
  <c r="T724" i="1" s="1"/>
  <c r="T725" i="1" a="1"/>
  <c r="T725" i="1" s="1"/>
  <c r="T726" i="1" a="1"/>
  <c r="T726" i="1" s="1"/>
  <c r="T727" i="1" a="1"/>
  <c r="T727" i="1" s="1"/>
  <c r="T728" i="1" a="1"/>
  <c r="T728" i="1" s="1"/>
  <c r="T729" i="1" a="1"/>
  <c r="T729" i="1" s="1"/>
  <c r="T730" i="1" a="1"/>
  <c r="T730" i="1" s="1"/>
  <c r="T731" i="1" a="1"/>
  <c r="T731" i="1" s="1"/>
  <c r="T732" i="1" a="1"/>
  <c r="T732" i="1" s="1"/>
  <c r="T733" i="1" a="1"/>
  <c r="T733" i="1" s="1"/>
  <c r="T734" i="1" a="1"/>
  <c r="T734" i="1" s="1"/>
  <c r="T735" i="1" a="1"/>
  <c r="T735" i="1" s="1"/>
  <c r="T736" i="1" a="1"/>
  <c r="T736" i="1" s="1"/>
  <c r="T737" i="1" a="1"/>
  <c r="T737" i="1" s="1"/>
  <c r="T738" i="1" a="1"/>
  <c r="T738" i="1" s="1"/>
  <c r="T739" i="1" a="1"/>
  <c r="T739" i="1" s="1"/>
  <c r="T740" i="1" a="1"/>
  <c r="T740" i="1" s="1"/>
  <c r="T741" i="1" a="1"/>
  <c r="T741" i="1" s="1"/>
  <c r="T742" i="1" a="1"/>
  <c r="T742" i="1" s="1"/>
  <c r="T743" i="1" a="1"/>
  <c r="T743" i="1" s="1"/>
  <c r="T744" i="1" a="1"/>
  <c r="T744" i="1" s="1"/>
  <c r="T745" i="1" a="1"/>
  <c r="T745" i="1" s="1"/>
  <c r="T746" i="1" a="1"/>
  <c r="T746" i="1" s="1"/>
  <c r="T747" i="1" a="1"/>
  <c r="T747" i="1" s="1"/>
  <c r="T748" i="1" a="1"/>
  <c r="T748" i="1" s="1"/>
  <c r="T749" i="1" a="1"/>
  <c r="T749" i="1"/>
  <c r="T750" i="1" a="1"/>
  <c r="T750" i="1" s="1"/>
  <c r="T751" i="1" a="1"/>
  <c r="T751" i="1" s="1"/>
  <c r="T752" i="1" a="1"/>
  <c r="T752" i="1" s="1"/>
  <c r="T753" i="1" a="1"/>
  <c r="T753" i="1" s="1"/>
  <c r="T754" i="1" a="1"/>
  <c r="T754" i="1" s="1"/>
  <c r="T755" i="1" a="1"/>
  <c r="T755" i="1" s="1"/>
  <c r="T756" i="1" a="1"/>
  <c r="T756" i="1" s="1"/>
  <c r="T757" i="1" a="1"/>
  <c r="T757" i="1" s="1"/>
  <c r="T758" i="1" a="1"/>
  <c r="T758" i="1" s="1"/>
  <c r="T759" i="1" a="1"/>
  <c r="T759" i="1" s="1"/>
  <c r="T760" i="1" a="1"/>
  <c r="T760" i="1" s="1"/>
  <c r="T761" i="1" a="1"/>
  <c r="T761" i="1" s="1"/>
  <c r="T762" i="1" a="1"/>
  <c r="T762" i="1" s="1"/>
  <c r="T763" i="1" a="1"/>
  <c r="T763" i="1" s="1"/>
  <c r="T764" i="1" a="1"/>
  <c r="T764" i="1" s="1"/>
  <c r="T765" i="1" a="1"/>
  <c r="T765" i="1" s="1"/>
  <c r="T766" i="1" a="1"/>
  <c r="T766" i="1" s="1"/>
  <c r="T767" i="1" a="1"/>
  <c r="T767" i="1" s="1"/>
  <c r="T768" i="1" a="1"/>
  <c r="T768" i="1" s="1"/>
  <c r="T769" i="1" a="1"/>
  <c r="T769" i="1" s="1"/>
  <c r="T770" i="1" a="1"/>
  <c r="T770" i="1" s="1"/>
  <c r="T771" i="1" a="1"/>
  <c r="T771" i="1" s="1"/>
  <c r="T772" i="1" a="1"/>
  <c r="T772" i="1" s="1"/>
  <c r="T773" i="1" a="1"/>
  <c r="T773" i="1" s="1"/>
  <c r="T774" i="1" a="1"/>
  <c r="T774" i="1" s="1"/>
  <c r="T775" i="1" a="1"/>
  <c r="T775" i="1" s="1"/>
  <c r="T776" i="1" a="1"/>
  <c r="T776" i="1" s="1"/>
  <c r="T777" i="1" a="1"/>
  <c r="T777" i="1" s="1"/>
  <c r="T778" i="1" a="1"/>
  <c r="T778" i="1" s="1"/>
  <c r="T779" i="1" a="1"/>
  <c r="T779" i="1" s="1"/>
  <c r="T780" i="1" a="1"/>
  <c r="T780" i="1" s="1"/>
  <c r="T781" i="1" a="1"/>
  <c r="T781" i="1" s="1"/>
  <c r="T782" i="1" a="1"/>
  <c r="T782" i="1" s="1"/>
  <c r="T783" i="1" a="1"/>
  <c r="T783" i="1" s="1"/>
  <c r="T784" i="1" a="1"/>
  <c r="T784" i="1" s="1"/>
  <c r="T785" i="1" a="1"/>
  <c r="T785" i="1" s="1"/>
  <c r="T786" i="1" a="1"/>
  <c r="T786" i="1" s="1"/>
  <c r="T787" i="1" a="1"/>
  <c r="T787" i="1" s="1"/>
  <c r="T788" i="1" a="1"/>
  <c r="T788" i="1" s="1"/>
  <c r="T789" i="1" a="1"/>
  <c r="T789" i="1" s="1"/>
  <c r="T790" i="1" a="1"/>
  <c r="T790" i="1" s="1"/>
  <c r="T791" i="1" a="1"/>
  <c r="T791" i="1" s="1"/>
  <c r="T792" i="1" a="1"/>
  <c r="T792" i="1" s="1"/>
  <c r="T793" i="1" a="1"/>
  <c r="T793" i="1" s="1"/>
  <c r="T794" i="1" a="1"/>
  <c r="T794" i="1" s="1"/>
  <c r="T795" i="1" a="1"/>
  <c r="T795" i="1" s="1"/>
  <c r="T796" i="1" a="1"/>
  <c r="T796" i="1" s="1"/>
  <c r="T797" i="1" a="1"/>
  <c r="T797" i="1" s="1"/>
  <c r="T798" i="1" a="1"/>
  <c r="T798" i="1" s="1"/>
  <c r="T799" i="1" a="1"/>
  <c r="T799" i="1" s="1"/>
  <c r="T800" i="1" a="1"/>
  <c r="T800" i="1" s="1"/>
  <c r="T801" i="1" a="1"/>
  <c r="T801" i="1" s="1"/>
  <c r="T802" i="1" a="1"/>
  <c r="T802" i="1" s="1"/>
  <c r="T803" i="1" a="1"/>
  <c r="T803" i="1" s="1"/>
  <c r="T804" i="1" a="1"/>
  <c r="T804" i="1" s="1"/>
  <c r="T805" i="1" a="1"/>
  <c r="T805" i="1" s="1"/>
  <c r="T806" i="1" a="1"/>
  <c r="T806" i="1" s="1"/>
  <c r="T807" i="1" a="1"/>
  <c r="T807" i="1" s="1"/>
  <c r="T808" i="1" a="1"/>
  <c r="T808" i="1" s="1"/>
  <c r="T809" i="1" a="1"/>
  <c r="T809" i="1" s="1"/>
  <c r="T810" i="1" a="1"/>
  <c r="T810" i="1" s="1"/>
  <c r="T811" i="1" a="1"/>
  <c r="T811" i="1" s="1"/>
  <c r="T812" i="1" a="1"/>
  <c r="T812" i="1" s="1"/>
  <c r="T813" i="1" a="1"/>
  <c r="T813" i="1" s="1"/>
  <c r="T814" i="1" a="1"/>
  <c r="T814" i="1" s="1"/>
  <c r="T815" i="1" a="1"/>
  <c r="T815" i="1" s="1"/>
  <c r="T816" i="1" a="1"/>
  <c r="T816" i="1" s="1"/>
  <c r="T817" i="1" a="1"/>
  <c r="T817" i="1" s="1"/>
  <c r="T818" i="1" a="1"/>
  <c r="T818" i="1" s="1"/>
  <c r="T819" i="1" a="1"/>
  <c r="T819" i="1" s="1"/>
  <c r="T820" i="1" a="1"/>
  <c r="T820" i="1" s="1"/>
  <c r="T821" i="1" a="1"/>
  <c r="T821" i="1" s="1"/>
  <c r="T822" i="1" a="1"/>
  <c r="T822" i="1" s="1"/>
  <c r="T823" i="1" a="1"/>
  <c r="T823" i="1" s="1"/>
  <c r="T824" i="1" a="1"/>
  <c r="T824" i="1" s="1"/>
  <c r="T825" i="1" a="1"/>
  <c r="T825" i="1" s="1"/>
  <c r="T826" i="1" a="1"/>
  <c r="T826" i="1" s="1"/>
  <c r="T827" i="1" a="1"/>
  <c r="T827" i="1" s="1"/>
  <c r="T828" i="1" a="1"/>
  <c r="T828" i="1" s="1"/>
  <c r="T829" i="1" a="1"/>
  <c r="T829" i="1" s="1"/>
  <c r="T830" i="1" a="1"/>
  <c r="T830" i="1" s="1"/>
  <c r="T831" i="1" a="1"/>
  <c r="T831" i="1" s="1"/>
  <c r="T832" i="1" a="1"/>
  <c r="T832" i="1" s="1"/>
  <c r="T833" i="1" a="1"/>
  <c r="T833" i="1" s="1"/>
  <c r="T834" i="1" a="1"/>
  <c r="T834" i="1" s="1"/>
  <c r="T835" i="1" a="1"/>
  <c r="T835" i="1" s="1"/>
  <c r="T836" i="1" a="1"/>
  <c r="T836" i="1" s="1"/>
  <c r="T837" i="1" a="1"/>
  <c r="T837" i="1"/>
  <c r="T838" i="1" a="1"/>
  <c r="T838" i="1" s="1"/>
  <c r="T839" i="1" a="1"/>
  <c r="T839" i="1" s="1"/>
  <c r="T840" i="1" a="1"/>
  <c r="T840" i="1" s="1"/>
  <c r="T841" i="1" a="1"/>
  <c r="T841" i="1" s="1"/>
  <c r="T842" i="1" a="1"/>
  <c r="T842" i="1" s="1"/>
  <c r="T843" i="1" a="1"/>
  <c r="T843" i="1" s="1"/>
  <c r="T844" i="1" a="1"/>
  <c r="T844" i="1" s="1"/>
  <c r="T845" i="1" a="1"/>
  <c r="T845" i="1" s="1"/>
  <c r="T846" i="1" a="1"/>
  <c r="T846" i="1" s="1"/>
  <c r="T847" i="1" a="1"/>
  <c r="T847" i="1" s="1"/>
  <c r="T848" i="1" a="1"/>
  <c r="T848" i="1" s="1"/>
  <c r="T849" i="1" a="1"/>
  <c r="T849" i="1" s="1"/>
  <c r="T850" i="1" a="1"/>
  <c r="T850" i="1" s="1"/>
  <c r="T851" i="1" a="1"/>
  <c r="T851" i="1" s="1"/>
  <c r="T852" i="1" a="1"/>
  <c r="T852" i="1" s="1"/>
  <c r="T853" i="1" a="1"/>
  <c r="T853" i="1" s="1"/>
  <c r="T854" i="1" a="1"/>
  <c r="T854" i="1" s="1"/>
  <c r="T855" i="1" a="1"/>
  <c r="T855" i="1" s="1"/>
  <c r="T856" i="1" a="1"/>
  <c r="T856" i="1" s="1"/>
  <c r="T857" i="1" a="1"/>
  <c r="T857" i="1" s="1"/>
  <c r="T858" i="1" a="1"/>
  <c r="T858" i="1" s="1"/>
  <c r="T859" i="1" a="1"/>
  <c r="T859" i="1" s="1"/>
  <c r="T860" i="1" a="1"/>
  <c r="T860" i="1" s="1"/>
  <c r="T861" i="1" a="1"/>
  <c r="T861" i="1" s="1"/>
  <c r="T862" i="1" a="1"/>
  <c r="T862" i="1" s="1"/>
  <c r="T863" i="1" a="1"/>
  <c r="T863" i="1" s="1"/>
  <c r="T864" i="1" a="1"/>
  <c r="T864" i="1" s="1"/>
  <c r="T865" i="1" a="1"/>
  <c r="T865" i="1" s="1"/>
  <c r="T866" i="1" a="1"/>
  <c r="T866" i="1" s="1"/>
  <c r="T867" i="1" a="1"/>
  <c r="T867" i="1" s="1"/>
  <c r="T868" i="1" a="1"/>
  <c r="T868" i="1" s="1"/>
  <c r="T869" i="1" a="1"/>
  <c r="T869" i="1" s="1"/>
  <c r="T870" i="1" a="1"/>
  <c r="T870" i="1" s="1"/>
  <c r="T871" i="1" a="1"/>
  <c r="T871" i="1" s="1"/>
  <c r="T872" i="1" a="1"/>
  <c r="T872" i="1" s="1"/>
  <c r="T873" i="1" a="1"/>
  <c r="T873" i="1" s="1"/>
  <c r="T874" i="1" a="1"/>
  <c r="T874" i="1" s="1"/>
  <c r="T875" i="1" a="1"/>
  <c r="T875" i="1" s="1"/>
  <c r="T876" i="1" a="1"/>
  <c r="T876" i="1" s="1"/>
  <c r="T877" i="1" a="1"/>
  <c r="T877" i="1" s="1"/>
  <c r="T878" i="1" a="1"/>
  <c r="T878" i="1" s="1"/>
  <c r="T879" i="1" a="1"/>
  <c r="T879" i="1" s="1"/>
  <c r="T880" i="1" a="1"/>
  <c r="T880" i="1" s="1"/>
  <c r="T881" i="1" a="1"/>
  <c r="T881" i="1" s="1"/>
  <c r="T882" i="1" a="1"/>
  <c r="T882" i="1" s="1"/>
  <c r="T883" i="1" a="1"/>
  <c r="T883" i="1" s="1"/>
  <c r="T884" i="1" a="1"/>
  <c r="T884" i="1" s="1"/>
  <c r="T885" i="1" a="1"/>
  <c r="T885" i="1" s="1"/>
  <c r="T886" i="1" a="1"/>
  <c r="T886" i="1" s="1"/>
  <c r="T887" i="1" a="1"/>
  <c r="T887" i="1" s="1"/>
  <c r="T888" i="1" a="1"/>
  <c r="T888" i="1" s="1"/>
  <c r="T889" i="1" a="1"/>
  <c r="T889" i="1" s="1"/>
  <c r="T890" i="1" a="1"/>
  <c r="T890" i="1" s="1"/>
  <c r="T891" i="1" a="1"/>
  <c r="T891" i="1" s="1"/>
  <c r="T892" i="1" a="1"/>
  <c r="T892" i="1" s="1"/>
  <c r="T893" i="1" a="1"/>
  <c r="T893" i="1" s="1"/>
  <c r="T894" i="1" a="1"/>
  <c r="T894" i="1" s="1"/>
  <c r="T895" i="1" a="1"/>
  <c r="T895" i="1" s="1"/>
  <c r="T896" i="1" a="1"/>
  <c r="T896" i="1" s="1"/>
  <c r="T897" i="1" a="1"/>
  <c r="T897" i="1" s="1"/>
  <c r="T898" i="1" a="1"/>
  <c r="T898" i="1" s="1"/>
  <c r="T899" i="1" a="1"/>
  <c r="T899" i="1" s="1"/>
  <c r="T900" i="1" a="1"/>
  <c r="T900" i="1" s="1"/>
  <c r="T901" i="1" a="1"/>
  <c r="T901" i="1" s="1"/>
  <c r="T902" i="1" a="1"/>
  <c r="T902" i="1" s="1"/>
  <c r="T903" i="1" a="1"/>
  <c r="T903" i="1" s="1"/>
  <c r="T904" i="1" a="1"/>
  <c r="T904" i="1" s="1"/>
  <c r="T905" i="1" a="1"/>
  <c r="T905" i="1" s="1"/>
  <c r="T906" i="1" a="1"/>
  <c r="T906" i="1" s="1"/>
  <c r="T907" i="1" a="1"/>
  <c r="T907" i="1" s="1"/>
  <c r="T908" i="1" a="1"/>
  <c r="T908" i="1" s="1"/>
  <c r="T909" i="1" a="1"/>
  <c r="T909" i="1" s="1"/>
  <c r="T910" i="1" a="1"/>
  <c r="T910" i="1" s="1"/>
  <c r="T911" i="1" a="1"/>
  <c r="T911" i="1" s="1"/>
  <c r="T912" i="1" a="1"/>
  <c r="T912" i="1" s="1"/>
  <c r="T913" i="1" a="1"/>
  <c r="T913" i="1" s="1"/>
  <c r="T914" i="1" a="1"/>
  <c r="T914" i="1" s="1"/>
  <c r="T915" i="1" a="1"/>
  <c r="T915" i="1" s="1"/>
  <c r="T916" i="1" a="1"/>
  <c r="T916" i="1" s="1"/>
  <c r="T917" i="1" a="1"/>
  <c r="T917" i="1"/>
  <c r="T918" i="1" a="1"/>
  <c r="T918" i="1" s="1"/>
  <c r="T919" i="1" a="1"/>
  <c r="T919" i="1" s="1"/>
  <c r="T920" i="1" a="1"/>
  <c r="T920" i="1" s="1"/>
  <c r="T921" i="1" a="1"/>
  <c r="T921" i="1" s="1"/>
  <c r="T922" i="1" a="1"/>
  <c r="T922" i="1" s="1"/>
  <c r="T923" i="1" a="1"/>
  <c r="T923" i="1" s="1"/>
  <c r="T924" i="1" a="1"/>
  <c r="T924" i="1" s="1"/>
  <c r="T925" i="1" a="1"/>
  <c r="T925" i="1" s="1"/>
  <c r="T926" i="1" a="1"/>
  <c r="T926" i="1" s="1"/>
  <c r="T927" i="1" a="1"/>
  <c r="T927" i="1" s="1"/>
  <c r="T928" i="1" a="1"/>
  <c r="T928" i="1" s="1"/>
  <c r="T929" i="1" a="1"/>
  <c r="T929" i="1" s="1"/>
  <c r="T930" i="1" a="1"/>
  <c r="T930" i="1" s="1"/>
  <c r="T931" i="1" a="1"/>
  <c r="T931" i="1" s="1"/>
  <c r="T932" i="1" a="1"/>
  <c r="T932" i="1" s="1"/>
  <c r="T933" i="1" a="1"/>
  <c r="T933" i="1" s="1"/>
  <c r="T934" i="1" a="1"/>
  <c r="T934" i="1" s="1"/>
  <c r="T935" i="1" a="1"/>
  <c r="T935" i="1" s="1"/>
  <c r="T936" i="1" a="1"/>
  <c r="T936" i="1" s="1"/>
  <c r="T937" i="1" a="1"/>
  <c r="T937" i="1" s="1"/>
  <c r="T938" i="1" a="1"/>
  <c r="T938" i="1" s="1"/>
  <c r="T939" i="1" a="1"/>
  <c r="T939" i="1" s="1"/>
  <c r="T940" i="1" a="1"/>
  <c r="T940" i="1" s="1"/>
  <c r="T941" i="1" a="1"/>
  <c r="T941" i="1" s="1"/>
  <c r="T942" i="1" a="1"/>
  <c r="T942" i="1" s="1"/>
  <c r="T943" i="1" a="1"/>
  <c r="T943" i="1" s="1"/>
  <c r="T944" i="1" a="1"/>
  <c r="T944" i="1" s="1"/>
  <c r="T945" i="1" a="1"/>
  <c r="T945" i="1" s="1"/>
  <c r="T946" i="1" a="1"/>
  <c r="T946" i="1" s="1"/>
  <c r="T947" i="1" a="1"/>
  <c r="T947" i="1" s="1"/>
  <c r="T948" i="1" a="1"/>
  <c r="T948" i="1" s="1"/>
  <c r="T949" i="1" a="1"/>
  <c r="T949" i="1" s="1"/>
  <c r="T950" i="1" a="1"/>
  <c r="T950" i="1" s="1"/>
  <c r="T951" i="1" a="1"/>
  <c r="T951" i="1" s="1"/>
  <c r="T952" i="1" a="1"/>
  <c r="T952" i="1" s="1"/>
  <c r="T953" i="1" a="1"/>
  <c r="T953" i="1" s="1"/>
  <c r="T954" i="1" a="1"/>
  <c r="T954" i="1" s="1"/>
  <c r="T955" i="1" a="1"/>
  <c r="T955" i="1" s="1"/>
  <c r="T956" i="1" a="1"/>
  <c r="T956" i="1" s="1"/>
  <c r="T957" i="1" a="1"/>
  <c r="T957" i="1" s="1"/>
  <c r="T958" i="1" a="1"/>
  <c r="T958" i="1" s="1"/>
  <c r="T959" i="1" a="1"/>
  <c r="T959" i="1" s="1"/>
  <c r="T960" i="1" a="1"/>
  <c r="T960" i="1" s="1"/>
  <c r="T961" i="1" a="1"/>
  <c r="T961" i="1" s="1"/>
  <c r="T962" i="1" a="1"/>
  <c r="T962" i="1" s="1"/>
  <c r="T963" i="1" a="1"/>
  <c r="T963" i="1" s="1"/>
  <c r="T964" i="1" a="1"/>
  <c r="T964" i="1" s="1"/>
  <c r="T965" i="1" a="1"/>
  <c r="T965" i="1" s="1"/>
  <c r="T966" i="1" a="1"/>
  <c r="T966" i="1" s="1"/>
  <c r="T967" i="1" a="1"/>
  <c r="T967" i="1"/>
  <c r="T968" i="1" a="1"/>
  <c r="T968" i="1" s="1"/>
  <c r="T969" i="1" a="1"/>
  <c r="T969" i="1" s="1"/>
  <c r="T970" i="1" a="1"/>
  <c r="T970" i="1" s="1"/>
  <c r="T971" i="1" a="1"/>
  <c r="T971" i="1" s="1"/>
  <c r="T972" i="1" a="1"/>
  <c r="T972" i="1" s="1"/>
  <c r="T973" i="1" a="1"/>
  <c r="T973" i="1" s="1"/>
  <c r="T974" i="1" a="1"/>
  <c r="T974" i="1" s="1"/>
  <c r="T975" i="1" a="1"/>
  <c r="T975" i="1" s="1"/>
  <c r="T976" i="1" a="1"/>
  <c r="T976" i="1" s="1"/>
  <c r="T977" i="1" a="1"/>
  <c r="T977" i="1" s="1"/>
  <c r="T978" i="1" a="1"/>
  <c r="T978" i="1" s="1"/>
  <c r="T979" i="1" a="1"/>
  <c r="T979" i="1" s="1"/>
  <c r="T980" i="1" a="1"/>
  <c r="T980" i="1" s="1"/>
  <c r="T981" i="1" a="1"/>
  <c r="T981" i="1" s="1"/>
  <c r="T982" i="1" a="1"/>
  <c r="T982" i="1" s="1"/>
  <c r="T983" i="1" a="1"/>
  <c r="T983" i="1" s="1"/>
  <c r="T984" i="1" a="1"/>
  <c r="T984" i="1" s="1"/>
  <c r="T985" i="1" a="1"/>
  <c r="T985" i="1" s="1"/>
  <c r="T986" i="1" a="1"/>
  <c r="T986" i="1" s="1"/>
  <c r="T987" i="1" a="1"/>
  <c r="T987" i="1" s="1"/>
  <c r="T988" i="1" a="1"/>
  <c r="T988" i="1" s="1"/>
  <c r="T989" i="1" a="1"/>
  <c r="T989" i="1" s="1"/>
  <c r="T990" i="1" a="1"/>
  <c r="T990" i="1" s="1"/>
  <c r="T991" i="1" a="1"/>
  <c r="T991" i="1" s="1"/>
  <c r="T992" i="1" a="1"/>
  <c r="T992" i="1" s="1"/>
  <c r="T993" i="1" a="1"/>
  <c r="T993" i="1" s="1"/>
  <c r="T994" i="1" a="1"/>
  <c r="T994" i="1" s="1"/>
  <c r="T995" i="1" a="1"/>
  <c r="T995" i="1" s="1"/>
  <c r="T996" i="1" a="1"/>
  <c r="T996" i="1" s="1"/>
  <c r="T997" i="1" a="1"/>
  <c r="T997" i="1"/>
  <c r="T998" i="1" a="1"/>
  <c r="T998" i="1" s="1"/>
  <c r="T999" i="1" a="1"/>
  <c r="T999" i="1" s="1"/>
  <c r="T1000" i="1" a="1"/>
  <c r="T1000" i="1" s="1"/>
  <c r="T1001" i="1" a="1"/>
  <c r="T1001" i="1" s="1"/>
  <c r="T1002" i="1" a="1"/>
  <c r="T1002" i="1" s="1"/>
  <c r="T1003" i="1" a="1"/>
  <c r="T1003" i="1" s="1"/>
  <c r="T1004" i="1" a="1"/>
  <c r="T1004" i="1" s="1"/>
  <c r="T1005" i="1" a="1"/>
  <c r="T1005" i="1" s="1"/>
  <c r="T1006" i="1" a="1"/>
  <c r="T1006" i="1" s="1"/>
  <c r="T1007" i="1" a="1"/>
  <c r="T1007" i="1" s="1"/>
  <c r="T1008" i="1" a="1"/>
  <c r="T1008" i="1" s="1"/>
  <c r="T1009" i="1" a="1"/>
  <c r="T1009" i="1" s="1"/>
  <c r="T1010" i="1" a="1"/>
  <c r="T1010" i="1" s="1"/>
  <c r="T1011" i="1" a="1"/>
  <c r="T1011" i="1" s="1"/>
  <c r="T1012" i="1" a="1"/>
  <c r="T1012" i="1" s="1"/>
  <c r="T1013" i="1" a="1"/>
  <c r="T1013" i="1" s="1"/>
  <c r="T1014" i="1" a="1"/>
  <c r="T1014" i="1" s="1"/>
  <c r="T1015" i="1" a="1"/>
  <c r="T1015" i="1" s="1"/>
  <c r="T1016" i="1" a="1"/>
  <c r="T1016" i="1" s="1"/>
  <c r="T1017" i="1" a="1"/>
  <c r="T1017" i="1" s="1"/>
  <c r="T1018" i="1" a="1"/>
  <c r="T1018" i="1" s="1"/>
  <c r="T1019" i="1" a="1"/>
  <c r="T1019" i="1" s="1"/>
  <c r="T1020" i="1" a="1"/>
  <c r="T1020" i="1" s="1"/>
  <c r="T1021" i="1" a="1"/>
  <c r="T1021" i="1" s="1"/>
  <c r="T1022" i="1" a="1"/>
  <c r="T1022" i="1" s="1"/>
  <c r="T1023" i="1" a="1"/>
  <c r="T1023" i="1" s="1"/>
  <c r="T1024" i="1" a="1"/>
  <c r="T1024" i="1" s="1"/>
  <c r="T1025" i="1" a="1"/>
  <c r="T1025" i="1" s="1"/>
  <c r="T1026" i="1" a="1"/>
  <c r="T1026" i="1" s="1"/>
  <c r="T1027" i="1" a="1"/>
  <c r="T1027" i="1" s="1"/>
  <c r="T1028" i="1" a="1"/>
  <c r="T1028" i="1" s="1"/>
  <c r="T1029" i="1" a="1"/>
  <c r="T1029" i="1" s="1"/>
  <c r="T1030" i="1" a="1"/>
  <c r="T1030" i="1" s="1"/>
  <c r="T1031" i="1" a="1"/>
  <c r="T1031" i="1" s="1"/>
  <c r="T1032" i="1" a="1"/>
  <c r="T1032" i="1" s="1"/>
  <c r="T1033" i="1" a="1"/>
  <c r="T1033" i="1" s="1"/>
  <c r="T1034" i="1" a="1"/>
  <c r="T1034" i="1" s="1"/>
  <c r="T1035" i="1" a="1"/>
  <c r="T1035" i="1" s="1"/>
  <c r="T1036" i="1" a="1"/>
  <c r="T1036" i="1" s="1"/>
  <c r="T1037" i="1" a="1"/>
  <c r="T1037" i="1" s="1"/>
  <c r="T1038" i="1" a="1"/>
  <c r="T1038" i="1" s="1"/>
  <c r="T1039" i="1" a="1"/>
  <c r="T1039" i="1" s="1"/>
  <c r="T1040" i="1" a="1"/>
  <c r="T1040" i="1" s="1"/>
  <c r="T1041" i="1" a="1"/>
  <c r="T1041" i="1" s="1"/>
  <c r="T1042" i="1" a="1"/>
  <c r="T1042" i="1" s="1"/>
  <c r="T1043" i="1" a="1"/>
  <c r="T1043" i="1" s="1"/>
  <c r="T1044" i="1" a="1"/>
  <c r="T1044" i="1" s="1"/>
  <c r="T1045" i="1" a="1"/>
  <c r="T1045" i="1" s="1"/>
  <c r="T1046" i="1" a="1"/>
  <c r="T1046" i="1" s="1"/>
  <c r="T1047" i="1" a="1"/>
  <c r="T1047" i="1" s="1"/>
  <c r="T1048" i="1" a="1"/>
  <c r="T1048" i="1" s="1"/>
  <c r="T1049" i="1" a="1"/>
  <c r="T1049" i="1" s="1"/>
  <c r="T1050" i="1" a="1"/>
  <c r="T1050" i="1" s="1"/>
  <c r="T1051" i="1" a="1"/>
  <c r="T1051" i="1" s="1"/>
  <c r="T1052" i="1" a="1"/>
  <c r="T1052" i="1" s="1"/>
  <c r="T1053" i="1" a="1"/>
  <c r="T1053" i="1" s="1"/>
  <c r="T1054" i="1" a="1"/>
  <c r="T1054" i="1" s="1"/>
  <c r="T1055" i="1" a="1"/>
  <c r="T1055" i="1" s="1"/>
  <c r="T1056" i="1" a="1"/>
  <c r="T1056" i="1" s="1"/>
  <c r="T1057" i="1" a="1"/>
  <c r="T1057" i="1" s="1"/>
  <c r="T1058" i="1" a="1"/>
  <c r="T1058" i="1" s="1"/>
  <c r="T1059" i="1" a="1"/>
  <c r="T1059" i="1" s="1"/>
  <c r="T1060" i="1" a="1"/>
  <c r="T1060" i="1" s="1"/>
  <c r="T1061" i="1" a="1"/>
  <c r="T1061" i="1"/>
  <c r="T1062" i="1" a="1"/>
  <c r="T1062" i="1" s="1"/>
  <c r="T1063" i="1" a="1"/>
  <c r="T1063" i="1" s="1"/>
  <c r="T1064" i="1" a="1"/>
  <c r="T1064" i="1" s="1"/>
  <c r="T1065" i="1" a="1"/>
  <c r="T1065" i="1" s="1"/>
  <c r="T1066" i="1" a="1"/>
  <c r="T1066" i="1" s="1"/>
  <c r="T1067" i="1" a="1"/>
  <c r="T1067" i="1" s="1"/>
  <c r="T1068" i="1" a="1"/>
  <c r="T1068" i="1" s="1"/>
  <c r="T1069" i="1" a="1"/>
  <c r="T1069" i="1" s="1"/>
  <c r="T1070" i="1" a="1"/>
  <c r="T1070" i="1" s="1"/>
  <c r="T1071" i="1" a="1"/>
  <c r="T1071" i="1" s="1"/>
  <c r="T1072" i="1" a="1"/>
  <c r="T1072" i="1" s="1"/>
  <c r="T1073" i="1" a="1"/>
  <c r="T1073" i="1" s="1"/>
  <c r="T1074" i="1" a="1"/>
  <c r="T1074" i="1" s="1"/>
  <c r="T1075" i="1" a="1"/>
  <c r="T1075" i="1" s="1"/>
  <c r="T1076" i="1" a="1"/>
  <c r="T1076" i="1" s="1"/>
  <c r="T1077" i="1" a="1"/>
  <c r="T1077" i="1" s="1"/>
  <c r="T1078" i="1" a="1"/>
  <c r="T1078" i="1" s="1"/>
  <c r="T1079" i="1" a="1"/>
  <c r="T1079" i="1" s="1"/>
  <c r="T1080" i="1" a="1"/>
  <c r="T1080" i="1" s="1"/>
  <c r="T1081" i="1" a="1"/>
  <c r="T1081" i="1" s="1"/>
  <c r="T1082" i="1" a="1"/>
  <c r="T1082" i="1" s="1"/>
  <c r="T1083" i="1" a="1"/>
  <c r="T1083" i="1" s="1"/>
  <c r="T1084" i="1" a="1"/>
  <c r="T1084" i="1" s="1"/>
  <c r="T1085" i="1" a="1"/>
  <c r="T1085" i="1" s="1"/>
  <c r="T1086" i="1" a="1"/>
  <c r="T1086" i="1" s="1"/>
  <c r="T1087" i="1" a="1"/>
  <c r="T1087" i="1" s="1"/>
  <c r="T1088" i="1" a="1"/>
  <c r="T1088" i="1" s="1"/>
  <c r="T1089" i="1" a="1"/>
  <c r="T1089" i="1" s="1"/>
  <c r="T1090" i="1" a="1"/>
  <c r="T1090" i="1" s="1"/>
  <c r="T1091" i="1" a="1"/>
  <c r="T1091" i="1" s="1"/>
  <c r="T1092" i="1" a="1"/>
  <c r="T1092" i="1" s="1"/>
  <c r="T1093" i="1" a="1"/>
  <c r="T1093" i="1" s="1"/>
  <c r="T1094" i="1" a="1"/>
  <c r="T1094" i="1" s="1"/>
  <c r="T1095" i="1" a="1"/>
  <c r="T1095" i="1" s="1"/>
  <c r="T1096" i="1" a="1"/>
  <c r="T1096" i="1" s="1"/>
  <c r="T1097" i="1" a="1"/>
  <c r="T1097" i="1" s="1"/>
  <c r="T1098" i="1" a="1"/>
  <c r="T1098" i="1" s="1"/>
  <c r="T1099" i="1" a="1"/>
  <c r="T1099" i="1" s="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s="1"/>
  <c r="T1112" i="1" a="1"/>
  <c r="T1112" i="1" s="1"/>
  <c r="T1113" i="1" a="1"/>
  <c r="T1113" i="1" s="1"/>
  <c r="T1114" i="1" a="1"/>
  <c r="T1114" i="1" s="1"/>
  <c r="T1115" i="1" a="1"/>
  <c r="T1115" i="1" s="1"/>
  <c r="T1116" i="1" a="1"/>
  <c r="T1116" i="1" s="1"/>
  <c r="T1117" i="1" a="1"/>
  <c r="T1117" i="1" s="1"/>
  <c r="T1118" i="1" a="1"/>
  <c r="T1118" i="1" s="1"/>
  <c r="T1119" i="1" a="1"/>
  <c r="T1119" i="1" s="1"/>
  <c r="T1120" i="1" a="1"/>
  <c r="T1120" i="1" s="1"/>
  <c r="T1121" i="1" a="1"/>
  <c r="T1121" i="1" s="1"/>
  <c r="T1122" i="1" a="1"/>
  <c r="T1122" i="1" s="1"/>
  <c r="T1123" i="1" a="1"/>
  <c r="T1123" i="1" s="1"/>
  <c r="T1124" i="1" a="1"/>
  <c r="T1124" i="1" s="1"/>
  <c r="T1125" i="1" a="1"/>
  <c r="T1125" i="1" s="1"/>
  <c r="T1126" i="1" a="1"/>
  <c r="T1126" i="1" s="1"/>
  <c r="T1127" i="1" a="1"/>
  <c r="T1127" i="1" s="1"/>
  <c r="T1128" i="1" a="1"/>
  <c r="T1128" i="1" s="1"/>
  <c r="T1129" i="1" a="1"/>
  <c r="T1129" i="1" s="1"/>
  <c r="T1130" i="1" a="1"/>
  <c r="T1130" i="1" s="1"/>
  <c r="T1131" i="1" a="1"/>
  <c r="T1131" i="1" s="1"/>
  <c r="T1132" i="1" a="1"/>
  <c r="T1132" i="1" s="1"/>
  <c r="T1133" i="1" a="1"/>
  <c r="T1133" i="1" s="1"/>
  <c r="T1134" i="1" a="1"/>
  <c r="T1134" i="1" s="1"/>
  <c r="T1135" i="1" a="1"/>
  <c r="T1135" i="1" s="1"/>
  <c r="T1136" i="1" a="1"/>
  <c r="T1136" i="1" s="1"/>
  <c r="T1137" i="1" a="1"/>
  <c r="T1137" i="1" s="1"/>
  <c r="T1138" i="1" a="1"/>
  <c r="T1138" i="1" s="1"/>
  <c r="T1139" i="1" a="1"/>
  <c r="T1139" i="1" s="1"/>
  <c r="T1140" i="1" a="1"/>
  <c r="T1140" i="1" s="1"/>
  <c r="T1141" i="1" a="1"/>
  <c r="T1141" i="1" s="1"/>
  <c r="T1142" i="1" a="1"/>
  <c r="T1142" i="1" s="1"/>
  <c r="T1143" i="1" a="1"/>
  <c r="T1143" i="1" s="1"/>
  <c r="T1144" i="1" a="1"/>
  <c r="T1144" i="1" s="1"/>
  <c r="T1145" i="1" a="1"/>
  <c r="T1145" i="1" s="1"/>
  <c r="T1146" i="1" a="1"/>
  <c r="T1146" i="1" s="1"/>
  <c r="T1147" i="1" a="1"/>
  <c r="T1147" i="1" s="1"/>
  <c r="T1148" i="1" a="1"/>
  <c r="T1148" i="1" s="1"/>
  <c r="T1149" i="1" a="1"/>
  <c r="T1149" i="1"/>
  <c r="T1150" i="1" a="1"/>
  <c r="T1150" i="1" s="1"/>
  <c r="T1151" i="1" a="1"/>
  <c r="T1151" i="1" s="1"/>
  <c r="T1152" i="1" a="1"/>
  <c r="T1152" i="1" s="1"/>
  <c r="T1153" i="1" a="1"/>
  <c r="T1153" i="1" s="1"/>
  <c r="T1154" i="1" a="1"/>
  <c r="T1154" i="1" s="1"/>
  <c r="T1155" i="1" a="1"/>
  <c r="T1155" i="1" s="1"/>
  <c r="T1156" i="1" a="1"/>
  <c r="T1156" i="1" s="1"/>
  <c r="T1157" i="1" a="1"/>
  <c r="T1157" i="1" s="1"/>
  <c r="T1158" i="1" a="1"/>
  <c r="T1158" i="1" s="1"/>
  <c r="T1159" i="1" a="1"/>
  <c r="T1159" i="1" s="1"/>
  <c r="T1160" i="1" a="1"/>
  <c r="T1160" i="1" s="1"/>
  <c r="T1161" i="1" a="1"/>
  <c r="T1161" i="1" s="1"/>
  <c r="T1162" i="1" a="1"/>
  <c r="T1162" i="1" s="1"/>
  <c r="T1163" i="1" a="1"/>
  <c r="T1163" i="1" s="1"/>
  <c r="T1164" i="1" a="1"/>
  <c r="T1164" i="1" s="1"/>
  <c r="T1165" i="1" a="1"/>
  <c r="T1165" i="1" s="1"/>
  <c r="T1166" i="1" a="1"/>
  <c r="T1166" i="1" s="1"/>
  <c r="T1167" i="1" a="1"/>
  <c r="T1167" i="1" s="1"/>
  <c r="T1168" i="1" a="1"/>
  <c r="T1168" i="1" s="1"/>
  <c r="T1169" i="1" a="1"/>
  <c r="T1169" i="1" s="1"/>
  <c r="T1170" i="1" a="1"/>
  <c r="T1170" i="1" s="1"/>
  <c r="T1171" i="1" a="1"/>
  <c r="T1171" i="1" s="1"/>
  <c r="T1172" i="1" a="1"/>
  <c r="T1172" i="1" s="1"/>
  <c r="T1173" i="1" a="1"/>
  <c r="T1173" i="1" s="1"/>
  <c r="T1174" i="1" a="1"/>
  <c r="T1174" i="1" s="1"/>
  <c r="T1175" i="1" a="1"/>
  <c r="T1175" i="1" s="1"/>
  <c r="T1176" i="1" a="1"/>
  <c r="T1176" i="1" s="1"/>
  <c r="T1177" i="1" a="1"/>
  <c r="T1177" i="1" s="1"/>
  <c r="T1178" i="1" a="1"/>
  <c r="T1178" i="1" s="1"/>
  <c r="T1179" i="1" a="1"/>
  <c r="T1179" i="1" s="1"/>
  <c r="T1180" i="1" a="1"/>
  <c r="T1180" i="1" s="1"/>
  <c r="T1181" i="1" a="1"/>
  <c r="T1181" i="1" s="1"/>
  <c r="T1182" i="1" a="1"/>
  <c r="T1182" i="1" s="1"/>
  <c r="T1183" i="1" a="1"/>
  <c r="T1183" i="1" s="1"/>
  <c r="T1184" i="1" a="1"/>
  <c r="T1184" i="1" s="1"/>
  <c r="T1185" i="1" a="1"/>
  <c r="T1185" i="1" s="1"/>
  <c r="T1186" i="1" a="1"/>
  <c r="T1186" i="1" s="1"/>
  <c r="T1187" i="1" a="1"/>
  <c r="T1187" i="1" s="1"/>
  <c r="T1188" i="1" a="1"/>
  <c r="T1188" i="1" s="1"/>
  <c r="T1189" i="1" a="1"/>
  <c r="T1189" i="1" s="1"/>
  <c r="T1190" i="1" a="1"/>
  <c r="T1190" i="1" s="1"/>
  <c r="T1191" i="1" a="1"/>
  <c r="T1191" i="1" s="1"/>
  <c r="T1192" i="1" a="1"/>
  <c r="T1192" i="1" s="1"/>
  <c r="T1193" i="1" a="1"/>
  <c r="T1193" i="1" s="1"/>
  <c r="T1194" i="1" a="1"/>
  <c r="T1194" i="1" s="1"/>
  <c r="T1195" i="1" a="1"/>
  <c r="T1195" i="1" s="1"/>
  <c r="T1196" i="1" a="1"/>
  <c r="T1196" i="1" s="1"/>
  <c r="T1197" i="1" a="1"/>
  <c r="T1197" i="1" s="1"/>
  <c r="T1198" i="1" a="1"/>
  <c r="T1198" i="1" s="1"/>
  <c r="T1199" i="1" a="1"/>
  <c r="T1199" i="1" s="1"/>
  <c r="T1200" i="1" a="1"/>
  <c r="T1200" i="1" s="1"/>
  <c r="T1201" i="1" a="1"/>
  <c r="T1201" i="1" s="1"/>
  <c r="T1202" i="1" a="1"/>
  <c r="T1202" i="1" s="1"/>
  <c r="T1203" i="1" a="1"/>
  <c r="T1203" i="1" s="1"/>
  <c r="T1204" i="1" a="1"/>
  <c r="T1204" i="1" s="1"/>
  <c r="T1205" i="1" a="1"/>
  <c r="T1205" i="1" s="1"/>
  <c r="T1206" i="1" a="1"/>
  <c r="T1206" i="1" s="1"/>
  <c r="T1207" i="1" a="1"/>
  <c r="T1207" i="1" s="1"/>
  <c r="T1208" i="1" a="1"/>
  <c r="T1208" i="1" s="1"/>
  <c r="T1209" i="1" a="1"/>
  <c r="T1209" i="1" s="1"/>
  <c r="T1210" i="1" a="1"/>
  <c r="T1210" i="1" s="1"/>
  <c r="T1211" i="1" a="1"/>
  <c r="T1211" i="1" s="1"/>
  <c r="T1212" i="1" a="1"/>
  <c r="T1212" i="1" s="1"/>
  <c r="T1213" i="1" a="1"/>
  <c r="T1213" i="1" s="1"/>
  <c r="T1214" i="1" a="1"/>
  <c r="T1214" i="1" s="1"/>
  <c r="T1215" i="1" a="1"/>
  <c r="T1215" i="1" s="1"/>
  <c r="T1216" i="1" a="1"/>
  <c r="T1216" i="1" s="1"/>
  <c r="T1217" i="1" a="1"/>
  <c r="T1217" i="1" s="1"/>
  <c r="T1218" i="1" a="1"/>
  <c r="T1218" i="1" s="1"/>
  <c r="T1219" i="1" a="1"/>
  <c r="T1219" i="1" s="1"/>
  <c r="T1220" i="1" a="1"/>
  <c r="T1220" i="1" s="1"/>
  <c r="T1221" i="1" a="1"/>
  <c r="T1221" i="1" s="1"/>
  <c r="T1222" i="1" a="1"/>
  <c r="T1222" i="1" s="1"/>
  <c r="T1223" i="1" a="1"/>
  <c r="T1223" i="1" s="1"/>
  <c r="T1224" i="1" a="1"/>
  <c r="T1224" i="1" s="1"/>
  <c r="T1225" i="1" a="1"/>
  <c r="T1225" i="1" s="1"/>
  <c r="T1226" i="1" a="1"/>
  <c r="T1226" i="1" s="1"/>
  <c r="T1227" i="1" a="1"/>
  <c r="T1227" i="1" s="1"/>
  <c r="T1228" i="1" a="1"/>
  <c r="T1228" i="1" s="1"/>
  <c r="T1229" i="1" a="1"/>
  <c r="T1229" i="1"/>
  <c r="T1230" i="1" a="1"/>
  <c r="T1230" i="1" s="1"/>
  <c r="T1231" i="1" a="1"/>
  <c r="T1231" i="1" s="1"/>
  <c r="T1232" i="1" a="1"/>
  <c r="T1232" i="1" s="1"/>
  <c r="T1233" i="1" a="1"/>
  <c r="T1233" i="1" s="1"/>
  <c r="T1234" i="1" a="1"/>
  <c r="T1234" i="1" s="1"/>
  <c r="T1235" i="1" a="1"/>
  <c r="T1235" i="1" s="1"/>
  <c r="T1236" i="1" a="1"/>
  <c r="T1236" i="1" s="1"/>
  <c r="T1237" i="1" a="1"/>
  <c r="T1237" i="1" s="1"/>
  <c r="T1238" i="1" a="1"/>
  <c r="T1238" i="1" s="1"/>
  <c r="T1239" i="1" a="1"/>
  <c r="T1239" i="1" s="1"/>
  <c r="T1240" i="1" a="1"/>
  <c r="T1240" i="1" s="1"/>
  <c r="T1241" i="1" a="1"/>
  <c r="T1241" i="1" s="1"/>
  <c r="T1242" i="1" a="1"/>
  <c r="T1242" i="1" s="1"/>
  <c r="T1243" i="1" a="1"/>
  <c r="T1243" i="1" s="1"/>
  <c r="T1244" i="1" a="1"/>
  <c r="T1244" i="1" s="1"/>
  <c r="T1245" i="1" a="1"/>
  <c r="T1245" i="1" s="1"/>
  <c r="T1246" i="1" a="1"/>
  <c r="T1246" i="1" s="1"/>
  <c r="T1247" i="1" a="1"/>
  <c r="T1247" i="1" s="1"/>
  <c r="T1248" i="1" a="1"/>
  <c r="T1248" i="1" s="1"/>
  <c r="T1249" i="1" a="1"/>
  <c r="T1249" i="1" s="1"/>
  <c r="T1250" i="1" a="1"/>
  <c r="T1250" i="1" s="1"/>
  <c r="T1251" i="1" a="1"/>
  <c r="T1251" i="1" s="1"/>
  <c r="T1252" i="1" a="1"/>
  <c r="T1252" i="1" s="1"/>
  <c r="T1253" i="1" a="1"/>
  <c r="T1253" i="1" s="1"/>
  <c r="T1254" i="1" a="1"/>
  <c r="T1254" i="1" s="1"/>
  <c r="T1255" i="1" a="1"/>
  <c r="T1255" i="1" s="1"/>
  <c r="T1256" i="1" a="1"/>
  <c r="T1256" i="1" s="1"/>
  <c r="T1257" i="1" a="1"/>
  <c r="T1257" i="1" s="1"/>
  <c r="T1258" i="1" a="1"/>
  <c r="T1258" i="1" s="1"/>
  <c r="T1259" i="1" a="1"/>
  <c r="T1259" i="1" s="1"/>
  <c r="T1260" i="1" a="1"/>
  <c r="T1260" i="1" s="1"/>
  <c r="T1261" i="1" a="1"/>
  <c r="T1261" i="1" s="1"/>
  <c r="T1262" i="1" a="1"/>
  <c r="T1262" i="1" s="1"/>
  <c r="T1263" i="1" a="1"/>
  <c r="T1263" i="1" s="1"/>
  <c r="T1264" i="1" a="1"/>
  <c r="T1264" i="1" s="1"/>
  <c r="T1265" i="1" a="1"/>
  <c r="T1265" i="1" s="1"/>
  <c r="T1266" i="1" a="1"/>
  <c r="T1266" i="1" s="1"/>
  <c r="T1267" i="1" a="1"/>
  <c r="T1267" i="1" s="1"/>
  <c r="T1268" i="1" a="1"/>
  <c r="T1268" i="1" s="1"/>
  <c r="T1269" i="1" a="1"/>
  <c r="T1269" i="1" s="1"/>
  <c r="T1270" i="1" a="1"/>
  <c r="T1270" i="1" s="1"/>
  <c r="T1271" i="1" a="1"/>
  <c r="T1271" i="1" s="1"/>
  <c r="T1272" i="1" a="1"/>
  <c r="T1272" i="1" s="1"/>
  <c r="T1273" i="1" a="1"/>
  <c r="T1273" i="1" s="1"/>
  <c r="T1274" i="1" a="1"/>
  <c r="T1274" i="1" s="1"/>
  <c r="T1275" i="1" a="1"/>
  <c r="T1275" i="1" s="1"/>
  <c r="T1276" i="1" a="1"/>
  <c r="T1276" i="1" s="1"/>
  <c r="T1277" i="1" a="1"/>
  <c r="T1277" i="1" s="1"/>
  <c r="T1278" i="1" a="1"/>
  <c r="T1278" i="1" s="1"/>
  <c r="T1279" i="1" a="1"/>
  <c r="T1279" i="1" s="1"/>
  <c r="T1280" i="1" a="1"/>
  <c r="T1280" i="1" s="1"/>
  <c r="T1281" i="1" a="1"/>
  <c r="T1281" i="1" s="1"/>
  <c r="T1282" i="1" a="1"/>
  <c r="T1282" i="1" s="1"/>
  <c r="T1283" i="1" a="1"/>
  <c r="T1283" i="1" s="1"/>
  <c r="T1284" i="1" a="1"/>
  <c r="T1284" i="1" s="1"/>
  <c r="T1285" i="1" a="1"/>
  <c r="T1285" i="1" s="1"/>
  <c r="T1286" i="1" a="1"/>
  <c r="T1286" i="1" s="1"/>
  <c r="T1287" i="1" a="1"/>
  <c r="T1287" i="1" s="1"/>
  <c r="T1288" i="1" a="1"/>
  <c r="T1288" i="1" s="1"/>
  <c r="T1289" i="1" a="1"/>
  <c r="T1289" i="1" s="1"/>
  <c r="T1290" i="1" a="1"/>
  <c r="T1290" i="1" s="1"/>
  <c r="T1291" i="1" a="1"/>
  <c r="T1291" i="1" s="1"/>
  <c r="T1292" i="1" a="1"/>
  <c r="T1292" i="1" s="1"/>
  <c r="T1293" i="1" a="1"/>
  <c r="T1293" i="1" s="1"/>
  <c r="T1294" i="1" a="1"/>
  <c r="T1294" i="1" s="1"/>
  <c r="T1295" i="1" a="1"/>
  <c r="T1295" i="1" s="1"/>
  <c r="T1296" i="1" a="1"/>
  <c r="T1296" i="1" s="1"/>
  <c r="T1297" i="1" a="1"/>
  <c r="T1297" i="1" s="1"/>
  <c r="T1298" i="1" a="1"/>
  <c r="T1298" i="1" s="1"/>
  <c r="T1299" i="1" a="1"/>
  <c r="T1299" i="1" s="1"/>
  <c r="T1300" i="1" a="1"/>
  <c r="T1300" i="1" s="1"/>
  <c r="T1301" i="1" a="1"/>
  <c r="T1301" i="1" s="1"/>
  <c r="T1302" i="1" a="1"/>
  <c r="T1302" i="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s="1"/>
  <c r="T1313" i="1" a="1"/>
  <c r="T1313" i="1" s="1"/>
  <c r="T1314" i="1" a="1"/>
  <c r="T1314" i="1" s="1"/>
  <c r="T1315" i="1" a="1"/>
  <c r="T1315" i="1" s="1"/>
  <c r="T1316" i="1" a="1"/>
  <c r="T1316" i="1" s="1"/>
  <c r="T1317" i="1" a="1"/>
  <c r="T1317" i="1" s="1"/>
  <c r="T1318" i="1" a="1"/>
  <c r="T1318" i="1" s="1"/>
  <c r="T1319" i="1" a="1"/>
  <c r="T1319" i="1" s="1"/>
  <c r="T1320" i="1" a="1"/>
  <c r="T1320" i="1" s="1"/>
  <c r="T1321" i="1" a="1"/>
  <c r="T1321" i="1" s="1"/>
  <c r="T1322" i="1" a="1"/>
  <c r="T1322" i="1" s="1"/>
  <c r="T1323" i="1" a="1"/>
  <c r="T1323" i="1" s="1"/>
  <c r="T1324" i="1" a="1"/>
  <c r="T1324" i="1" s="1"/>
  <c r="T1325" i="1" a="1"/>
  <c r="T1325" i="1" s="1"/>
  <c r="T1326" i="1" a="1"/>
  <c r="T1326" i="1" s="1"/>
  <c r="T1327" i="1" a="1"/>
  <c r="T1327" i="1" s="1"/>
  <c r="T1328" i="1" a="1"/>
  <c r="T1328" i="1" s="1"/>
  <c r="T1329" i="1" a="1"/>
  <c r="T1329" i="1" s="1"/>
  <c r="T1330" i="1" a="1"/>
  <c r="T1330" i="1" s="1"/>
  <c r="T1331" i="1" a="1"/>
  <c r="T1331" i="1" s="1"/>
  <c r="T1332" i="1" a="1"/>
  <c r="T1332" i="1" s="1"/>
  <c r="T1333" i="1" a="1"/>
  <c r="T1333" i="1" s="1"/>
  <c r="T1334" i="1" a="1"/>
  <c r="T1334" i="1" s="1"/>
  <c r="T1335" i="1" a="1"/>
  <c r="T1335" i="1" s="1"/>
  <c r="T1336" i="1" a="1"/>
  <c r="T1336" i="1" s="1"/>
  <c r="T1337" i="1" a="1"/>
  <c r="T1337" i="1" s="1"/>
  <c r="T1338" i="1" a="1"/>
  <c r="T1338" i="1" s="1"/>
  <c r="T1339" i="1" a="1"/>
  <c r="T1339" i="1" s="1"/>
  <c r="T1340" i="1" a="1"/>
  <c r="T1340" i="1" s="1"/>
  <c r="T1341" i="1" a="1"/>
  <c r="T1341" i="1" s="1"/>
  <c r="T1342" i="1" a="1"/>
  <c r="T1342" i="1" s="1"/>
  <c r="T1343" i="1" a="1"/>
  <c r="T1343" i="1" s="1"/>
  <c r="T1344" i="1" a="1"/>
  <c r="T1344" i="1" s="1"/>
  <c r="T1345" i="1" a="1"/>
  <c r="T1345" i="1" s="1"/>
  <c r="T1346" i="1" a="1"/>
  <c r="T1346" i="1" s="1"/>
  <c r="T1347" i="1" a="1"/>
  <c r="T1347" i="1" s="1"/>
  <c r="T1348" i="1" a="1"/>
  <c r="T1348" i="1" s="1"/>
  <c r="T1349" i="1" a="1"/>
  <c r="T1349" i="1" s="1"/>
  <c r="T1350" i="1" a="1"/>
  <c r="T1350" i="1" s="1"/>
  <c r="T1351" i="1" a="1"/>
  <c r="T1351" i="1" s="1"/>
  <c r="T1352" i="1" a="1"/>
  <c r="T1352" i="1" s="1"/>
  <c r="T1353" i="1" a="1"/>
  <c r="T1353" i="1" s="1"/>
  <c r="T1354" i="1" a="1"/>
  <c r="T1354" i="1" s="1"/>
  <c r="T1355" i="1" a="1"/>
  <c r="T1355" i="1" s="1"/>
  <c r="T1356" i="1" a="1"/>
  <c r="T1356" i="1" s="1"/>
  <c r="T1357" i="1" a="1"/>
  <c r="T1357" i="1" s="1"/>
  <c r="T1358" i="1" a="1"/>
  <c r="T1358" i="1" s="1"/>
  <c r="T1359" i="1" a="1"/>
  <c r="T1359" i="1" s="1"/>
  <c r="T1360" i="1" a="1"/>
  <c r="T1360" i="1" s="1"/>
  <c r="T1361" i="1" a="1"/>
  <c r="T1361" i="1" s="1"/>
  <c r="T1362" i="1" a="1"/>
  <c r="T1362" i="1" s="1"/>
  <c r="T1363" i="1" a="1"/>
  <c r="T1363" i="1" s="1"/>
  <c r="T1364" i="1" a="1"/>
  <c r="T1364" i="1" s="1"/>
  <c r="T1365" i="1" a="1"/>
  <c r="T1365" i="1" s="1"/>
  <c r="T1366" i="1" a="1"/>
  <c r="T1366" i="1" s="1"/>
  <c r="T1367" i="1" a="1"/>
  <c r="T1367" i="1" s="1"/>
  <c r="T1368" i="1" a="1"/>
  <c r="T1368" i="1" s="1"/>
  <c r="T1369" i="1" a="1"/>
  <c r="T1369" i="1" s="1"/>
  <c r="T1370" i="1" a="1"/>
  <c r="T1370" i="1" s="1"/>
  <c r="T1371" i="1" a="1"/>
  <c r="T1371" i="1" s="1"/>
  <c r="T1372" i="1" a="1"/>
  <c r="T1372" i="1" s="1"/>
  <c r="T1373" i="1" a="1"/>
  <c r="T1373" i="1" s="1"/>
  <c r="T1374" i="1" a="1"/>
  <c r="T1374" i="1" s="1"/>
  <c r="T1375" i="1" a="1"/>
  <c r="T1375" i="1" s="1"/>
  <c r="T1376" i="1" a="1"/>
  <c r="T1376" i="1" s="1"/>
  <c r="T1377" i="1" a="1"/>
  <c r="T1377" i="1" s="1"/>
  <c r="T1378" i="1" a="1"/>
  <c r="T1378" i="1" s="1"/>
  <c r="T1379" i="1" a="1"/>
  <c r="T1379" i="1" s="1"/>
  <c r="T1380" i="1" a="1"/>
  <c r="T1380" i="1" s="1"/>
  <c r="T1381" i="1" a="1"/>
  <c r="T1381" i="1" s="1"/>
  <c r="T1382" i="1" a="1"/>
  <c r="T1382" i="1" s="1"/>
  <c r="T1383" i="1" a="1"/>
  <c r="T1383" i="1" s="1"/>
  <c r="T1384" i="1" a="1"/>
  <c r="T1384" i="1" s="1"/>
  <c r="T1385" i="1" a="1"/>
  <c r="T1385" i="1" s="1"/>
  <c r="T1386" i="1" a="1"/>
  <c r="T1386" i="1" s="1"/>
  <c r="T1387" i="1" a="1"/>
  <c r="T1387" i="1" s="1"/>
  <c r="T1388" i="1" a="1"/>
  <c r="T1388" i="1" s="1"/>
  <c r="T1389" i="1" a="1"/>
  <c r="T1389" i="1" s="1"/>
  <c r="T1390" i="1" a="1"/>
  <c r="T1390" i="1" s="1"/>
  <c r="T1391" i="1" a="1"/>
  <c r="T1391" i="1" s="1"/>
  <c r="T1392" i="1" a="1"/>
  <c r="T1392" i="1" s="1"/>
  <c r="T1393" i="1" a="1"/>
  <c r="T1393" i="1" s="1"/>
  <c r="T1394" i="1" a="1"/>
  <c r="T1394" i="1" s="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s="1"/>
  <c r="T1405" i="1" a="1"/>
  <c r="T1405" i="1" s="1"/>
  <c r="T1406" i="1" a="1"/>
  <c r="T1406" i="1" s="1"/>
  <c r="T1407" i="1" a="1"/>
  <c r="T1407" i="1" s="1"/>
  <c r="T1408" i="1" a="1"/>
  <c r="T1408" i="1" s="1"/>
  <c r="T1409" i="1" a="1"/>
  <c r="T1409" i="1" s="1"/>
  <c r="T1410" i="1" a="1"/>
  <c r="T1410" i="1" s="1"/>
  <c r="T1411" i="1" a="1"/>
  <c r="T1411" i="1" s="1"/>
  <c r="T1412" i="1" a="1"/>
  <c r="T1412" i="1" s="1"/>
  <c r="T1413" i="1" a="1"/>
  <c r="T1413" i="1" s="1"/>
  <c r="T1414" i="1" a="1"/>
  <c r="T1414" i="1" s="1"/>
  <c r="T1415" i="1" a="1"/>
  <c r="T1415" i="1" s="1"/>
  <c r="T1416" i="1" a="1"/>
  <c r="T1416" i="1" s="1"/>
  <c r="T1417" i="1" a="1"/>
  <c r="T1417" i="1" s="1"/>
  <c r="T1418" i="1" a="1"/>
  <c r="T1418" i="1" s="1"/>
  <c r="T1419" i="1" a="1"/>
  <c r="T1419" i="1" s="1"/>
  <c r="T1420" i="1" a="1"/>
  <c r="T1420" i="1" s="1"/>
  <c r="T1421" i="1" a="1"/>
  <c r="T1421" i="1" s="1"/>
  <c r="T1422" i="1" a="1"/>
  <c r="T1422" i="1" s="1"/>
  <c r="T1423" i="1" a="1"/>
  <c r="T1423" i="1" s="1"/>
  <c r="T1424" i="1" a="1"/>
  <c r="T1424" i="1" s="1"/>
  <c r="T1425" i="1" a="1"/>
  <c r="T1425" i="1" s="1"/>
  <c r="T1426" i="1" a="1"/>
  <c r="T1426" i="1" s="1"/>
  <c r="T1427" i="1" a="1"/>
  <c r="T1427" i="1" s="1"/>
  <c r="T1428" i="1" a="1"/>
  <c r="T1428" i="1" s="1"/>
  <c r="T1429" i="1" a="1"/>
  <c r="T1429" i="1" s="1"/>
  <c r="T1430" i="1" a="1"/>
  <c r="T1430" i="1" s="1"/>
  <c r="T1431" i="1" a="1"/>
  <c r="T1431" i="1" s="1"/>
  <c r="T1432" i="1" a="1"/>
  <c r="T1432" i="1" s="1"/>
  <c r="T1433" i="1" a="1"/>
  <c r="T1433" i="1" s="1"/>
  <c r="T1434" i="1" a="1"/>
  <c r="T1434" i="1" s="1"/>
  <c r="T1435" i="1" a="1"/>
  <c r="T1435" i="1" s="1"/>
  <c r="T1436" i="1" a="1"/>
  <c r="T1436" i="1" s="1"/>
  <c r="T1437" i="1" a="1"/>
  <c r="T1437" i="1" s="1"/>
  <c r="T1438" i="1" a="1"/>
  <c r="T1438" i="1" s="1"/>
  <c r="T1439" i="1" a="1"/>
  <c r="T1439" i="1" s="1"/>
  <c r="T1440" i="1" a="1"/>
  <c r="T1440" i="1" s="1"/>
  <c r="T1441" i="1" a="1"/>
  <c r="T1441" i="1" s="1"/>
  <c r="T1442" i="1" a="1"/>
  <c r="T1442" i="1" s="1"/>
  <c r="T1443" i="1" a="1"/>
  <c r="T1443" i="1" s="1"/>
  <c r="T1444" i="1" a="1"/>
  <c r="T1444" i="1" s="1"/>
  <c r="T1445" i="1" a="1"/>
  <c r="T1445" i="1" s="1"/>
  <c r="T1446" i="1" a="1"/>
  <c r="T1446" i="1" s="1"/>
  <c r="T1447" i="1" a="1"/>
  <c r="T1447" i="1" s="1"/>
  <c r="T1448" i="1" a="1"/>
  <c r="T1448" i="1" s="1"/>
  <c r="T1449" i="1" a="1"/>
  <c r="T1449" i="1" s="1"/>
  <c r="T1450" i="1" a="1"/>
  <c r="T1450" i="1" s="1"/>
  <c r="T1451" i="1" a="1"/>
  <c r="T1451" i="1" s="1"/>
  <c r="T1452" i="1" a="1"/>
  <c r="T1452" i="1" s="1"/>
  <c r="T1453" i="1" a="1"/>
  <c r="T1453" i="1" s="1"/>
  <c r="T1454" i="1" a="1"/>
  <c r="T1454" i="1" s="1"/>
  <c r="T1455" i="1" a="1"/>
  <c r="T1455" i="1" s="1"/>
  <c r="T1456" i="1" a="1"/>
  <c r="T1456" i="1" s="1"/>
  <c r="T1457" i="1" a="1"/>
  <c r="T1457" i="1" s="1"/>
  <c r="T1458" i="1" a="1"/>
  <c r="T1458" i="1" s="1"/>
  <c r="T1459" i="1" a="1"/>
  <c r="T1459" i="1" s="1"/>
  <c r="T1460" i="1" a="1"/>
  <c r="T1460" i="1" s="1"/>
  <c r="T1461" i="1" a="1"/>
  <c r="T1461" i="1" s="1"/>
  <c r="T1462" i="1" a="1"/>
  <c r="T1462" i="1" s="1"/>
  <c r="T1463" i="1" a="1"/>
  <c r="T1463" i="1" s="1"/>
  <c r="T1464" i="1" a="1"/>
  <c r="T1464" i="1" s="1"/>
  <c r="T1465" i="1" a="1"/>
  <c r="T1465" i="1" s="1"/>
  <c r="T1466" i="1" a="1"/>
  <c r="T1466" i="1" s="1"/>
  <c r="T1467" i="1" a="1"/>
  <c r="T1467" i="1" s="1"/>
  <c r="T1468" i="1" a="1"/>
  <c r="T1468" i="1" s="1"/>
  <c r="T1469" i="1" a="1"/>
  <c r="T1469" i="1" s="1"/>
  <c r="T1470" i="1" a="1"/>
  <c r="T1470" i="1" s="1"/>
  <c r="T1471" i="1" a="1"/>
  <c r="T1471" i="1" s="1"/>
  <c r="T2" i="1" a="1"/>
  <c r="T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2" i="1" a="1"/>
  <c r="N2" i="1"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s="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s="1"/>
  <c r="W358" i="1" a="1"/>
  <c r="W358" i="1" s="1"/>
  <c r="W359" i="1" a="1"/>
  <c r="W359" i="1" s="1"/>
  <c r="W360" i="1" a="1"/>
  <c r="W360" i="1" s="1"/>
  <c r="W361" i="1" a="1"/>
  <c r="W361" i="1" s="1"/>
  <c r="W362" i="1" a="1"/>
  <c r="W362" i="1" s="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s="1"/>
  <c r="W417" i="1" a="1"/>
  <c r="W417" i="1" s="1"/>
  <c r="W418" i="1" a="1"/>
  <c r="W418" i="1" s="1"/>
  <c r="W419" i="1" a="1"/>
  <c r="W419" i="1" s="1"/>
  <c r="W420" i="1" a="1"/>
  <c r="W420" i="1" s="1"/>
  <c r="W421" i="1" a="1"/>
  <c r="W421" i="1" s="1"/>
  <c r="W422" i="1" a="1"/>
  <c r="W422" i="1" s="1"/>
  <c r="W423" i="1" a="1"/>
  <c r="W423" i="1" s="1"/>
  <c r="W424" i="1" a="1"/>
  <c r="W424" i="1" s="1"/>
  <c r="W425" i="1" a="1"/>
  <c r="W425" i="1" s="1"/>
  <c r="W426" i="1" a="1"/>
  <c r="W426" i="1" s="1"/>
  <c r="W427" i="1" a="1"/>
  <c r="W427" i="1" s="1"/>
  <c r="W428" i="1" a="1"/>
  <c r="W428" i="1" s="1"/>
  <c r="W429" i="1" a="1"/>
  <c r="W429" i="1" s="1"/>
  <c r="W430" i="1" a="1"/>
  <c r="W430" i="1" s="1"/>
  <c r="W431" i="1" a="1"/>
  <c r="W431" i="1" s="1"/>
  <c r="W432" i="1" a="1"/>
  <c r="W432" i="1" s="1"/>
  <c r="W433" i="1" a="1"/>
  <c r="W433" i="1" s="1"/>
  <c r="W434" i="1" a="1"/>
  <c r="W434" i="1" s="1"/>
  <c r="W435" i="1" a="1"/>
  <c r="W435" i="1" s="1"/>
  <c r="W436" i="1" a="1"/>
  <c r="W436" i="1" s="1"/>
  <c r="W437" i="1" a="1"/>
  <c r="W437" i="1" s="1"/>
  <c r="W438" i="1" a="1"/>
  <c r="W438" i="1" s="1"/>
  <c r="W439" i="1" a="1"/>
  <c r="W439" i="1" s="1"/>
  <c r="W440" i="1" a="1"/>
  <c r="W440" i="1" s="1"/>
  <c r="W441" i="1" a="1"/>
  <c r="W441" i="1" s="1"/>
  <c r="W442" i="1" a="1"/>
  <c r="W442" i="1" s="1"/>
  <c r="W443" i="1" a="1"/>
  <c r="W443" i="1" s="1"/>
  <c r="W444" i="1" a="1"/>
  <c r="W444" i="1" s="1"/>
  <c r="W445" i="1" a="1"/>
  <c r="W445" i="1" s="1"/>
  <c r="W446" i="1" a="1"/>
  <c r="W446" i="1" s="1"/>
  <c r="W447" i="1" a="1"/>
  <c r="W447" i="1" s="1"/>
  <c r="W448" i="1" a="1"/>
  <c r="W448" i="1" s="1"/>
  <c r="W449" i="1" a="1"/>
  <c r="W449" i="1" s="1"/>
  <c r="W450" i="1" a="1"/>
  <c r="W450" i="1" s="1"/>
  <c r="W451" i="1" a="1"/>
  <c r="W451" i="1" s="1"/>
  <c r="W452" i="1" a="1"/>
  <c r="W452" i="1" s="1"/>
  <c r="W453" i="1" a="1"/>
  <c r="W453" i="1" s="1"/>
  <c r="W454" i="1" a="1"/>
  <c r="W454" i="1" s="1"/>
  <c r="W455" i="1" a="1"/>
  <c r="W455" i="1" s="1"/>
  <c r="W456" i="1" a="1"/>
  <c r="W456" i="1" s="1"/>
  <c r="W457" i="1" a="1"/>
  <c r="W457" i="1" s="1"/>
  <c r="W458" i="1" a="1"/>
  <c r="W458" i="1" s="1"/>
  <c r="W459" i="1" a="1"/>
  <c r="W459" i="1" s="1"/>
  <c r="W460" i="1" a="1"/>
  <c r="W460" i="1" s="1"/>
  <c r="W461" i="1" a="1"/>
  <c r="W461" i="1" s="1"/>
  <c r="W462" i="1" a="1"/>
  <c r="W462" i="1" s="1"/>
  <c r="W463" i="1" a="1"/>
  <c r="W463" i="1" s="1"/>
  <c r="W464" i="1" a="1"/>
  <c r="W464" i="1" s="1"/>
  <c r="W465" i="1" a="1"/>
  <c r="W465" i="1" s="1"/>
  <c r="W466" i="1" a="1"/>
  <c r="W466" i="1" s="1"/>
  <c r="W467" i="1" a="1"/>
  <c r="W467" i="1" s="1"/>
  <c r="W468" i="1" a="1"/>
  <c r="W468" i="1" s="1"/>
  <c r="W469" i="1" a="1"/>
  <c r="W469" i="1" s="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s="1"/>
  <c r="W481" i="1" a="1"/>
  <c r="W481" i="1" s="1"/>
  <c r="W482" i="1" a="1"/>
  <c r="W482" i="1" s="1"/>
  <c r="W483" i="1" a="1"/>
  <c r="W483" i="1" s="1"/>
  <c r="W484" i="1" a="1"/>
  <c r="W484" i="1" s="1"/>
  <c r="W485" i="1" a="1"/>
  <c r="W485" i="1" s="1"/>
  <c r="W486" i="1" a="1"/>
  <c r="W486" i="1" s="1"/>
  <c r="W487" i="1" a="1"/>
  <c r="W487" i="1" s="1"/>
  <c r="W488" i="1" a="1"/>
  <c r="W488" i="1" s="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s="1"/>
  <c r="W503" i="1" a="1"/>
  <c r="W503" i="1" s="1"/>
  <c r="W504" i="1" a="1"/>
  <c r="W504" i="1" s="1"/>
  <c r="W505" i="1" a="1"/>
  <c r="W505" i="1" s="1"/>
  <c r="W506" i="1" a="1"/>
  <c r="W506" i="1" s="1"/>
  <c r="W507" i="1" a="1"/>
  <c r="W507" i="1" s="1"/>
  <c r="W508" i="1" a="1"/>
  <c r="W508" i="1" s="1"/>
  <c r="W509" i="1" a="1"/>
  <c r="W509" i="1" s="1"/>
  <c r="W510" i="1" a="1"/>
  <c r="W510" i="1" s="1"/>
  <c r="W511" i="1" a="1"/>
  <c r="W511" i="1" s="1"/>
  <c r="W512" i="1" a="1"/>
  <c r="W512" i="1" s="1"/>
  <c r="W513" i="1" a="1"/>
  <c r="W513" i="1" s="1"/>
  <c r="W514" i="1" a="1"/>
  <c r="W514" i="1" s="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538" i="1" a="1"/>
  <c r="W538" i="1" s="1"/>
  <c r="W539" i="1" a="1"/>
  <c r="W539"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51" i="1" a="1"/>
  <c r="W551" i="1" s="1"/>
  <c r="W552" i="1" a="1"/>
  <c r="W552" i="1" s="1"/>
  <c r="W553" i="1" a="1"/>
  <c r="W553" i="1" s="1"/>
  <c r="W554" i="1" a="1"/>
  <c r="W554" i="1" s="1"/>
  <c r="W555" i="1" a="1"/>
  <c r="W555" i="1" s="1"/>
  <c r="W556" i="1" a="1"/>
  <c r="W556" i="1" s="1"/>
  <c r="W557" i="1" a="1"/>
  <c r="W557" i="1" s="1"/>
  <c r="W558" i="1" a="1"/>
  <c r="W558" i="1" s="1"/>
  <c r="W559" i="1" a="1"/>
  <c r="W559" i="1" s="1"/>
  <c r="W560" i="1" a="1"/>
  <c r="W560" i="1" s="1"/>
  <c r="W561" i="1" a="1"/>
  <c r="W561" i="1" s="1"/>
  <c r="W562" i="1" a="1"/>
  <c r="W562" i="1" s="1"/>
  <c r="W563" i="1" a="1"/>
  <c r="W563" i="1" s="1"/>
  <c r="W564" i="1" a="1"/>
  <c r="W564" i="1" s="1"/>
  <c r="W565" i="1" a="1"/>
  <c r="W565" i="1" s="1"/>
  <c r="W566" i="1" a="1"/>
  <c r="W566" i="1" s="1"/>
  <c r="W567" i="1" a="1"/>
  <c r="W567" i="1" s="1"/>
  <c r="W568" i="1" a="1"/>
  <c r="W568" i="1" s="1"/>
  <c r="W569" i="1" a="1"/>
  <c r="W569" i="1" s="1"/>
  <c r="W570" i="1" a="1"/>
  <c r="W570" i="1" s="1"/>
  <c r="W571" i="1" a="1"/>
  <c r="W571" i="1" s="1"/>
  <c r="W572" i="1" a="1"/>
  <c r="W572" i="1" s="1"/>
  <c r="W573" i="1" a="1"/>
  <c r="W573" i="1" s="1"/>
  <c r="W574" i="1" a="1"/>
  <c r="W574" i="1" s="1"/>
  <c r="W575" i="1" a="1"/>
  <c r="W575" i="1" s="1"/>
  <c r="W576" i="1" a="1"/>
  <c r="W576" i="1" s="1"/>
  <c r="W577" i="1" a="1"/>
  <c r="W577" i="1" s="1"/>
  <c r="W578" i="1" a="1"/>
  <c r="W578" i="1" s="1"/>
  <c r="W579" i="1" a="1"/>
  <c r="W579" i="1" s="1"/>
  <c r="W580" i="1" a="1"/>
  <c r="W580" i="1" s="1"/>
  <c r="W581" i="1" a="1"/>
  <c r="W581" i="1" s="1"/>
  <c r="W582" i="1" a="1"/>
  <c r="W582" i="1" s="1"/>
  <c r="W583" i="1" a="1"/>
  <c r="W583" i="1" s="1"/>
  <c r="W584" i="1" a="1"/>
  <c r="W584" i="1" s="1"/>
  <c r="W585" i="1" a="1"/>
  <c r="W585" i="1" s="1"/>
  <c r="W586" i="1" a="1"/>
  <c r="W586" i="1" s="1"/>
  <c r="W587" i="1" a="1"/>
  <c r="W587" i="1" s="1"/>
  <c r="W588" i="1" a="1"/>
  <c r="W588" i="1" s="1"/>
  <c r="W589" i="1" a="1"/>
  <c r="W589" i="1" s="1"/>
  <c r="W590" i="1" a="1"/>
  <c r="W590" i="1" s="1"/>
  <c r="W591" i="1" a="1"/>
  <c r="W591" i="1" s="1"/>
  <c r="W592" i="1" a="1"/>
  <c r="W592" i="1" s="1"/>
  <c r="W593" i="1" a="1"/>
  <c r="W593" i="1" s="1"/>
  <c r="W594" i="1" a="1"/>
  <c r="W594" i="1" s="1"/>
  <c r="W595" i="1" a="1"/>
  <c r="W595" i="1" s="1"/>
  <c r="W596" i="1" a="1"/>
  <c r="W596" i="1" s="1"/>
  <c r="W597" i="1" a="1"/>
  <c r="W597" i="1" s="1"/>
  <c r="W598" i="1" a="1"/>
  <c r="W598" i="1" s="1"/>
  <c r="W599" i="1" a="1"/>
  <c r="W599" i="1" s="1"/>
  <c r="W600" i="1" a="1"/>
  <c r="W600" i="1" s="1"/>
  <c r="W601" i="1" a="1"/>
  <c r="W601" i="1" s="1"/>
  <c r="W602" i="1" a="1"/>
  <c r="W602" i="1" s="1"/>
  <c r="W603" i="1" a="1"/>
  <c r="W603" i="1" s="1"/>
  <c r="W604" i="1" a="1"/>
  <c r="W604" i="1" s="1"/>
  <c r="W605" i="1" a="1"/>
  <c r="W605" i="1" s="1"/>
  <c r="W606" i="1" a="1"/>
  <c r="W606" i="1" s="1"/>
  <c r="W607" i="1" a="1"/>
  <c r="W607" i="1" s="1"/>
  <c r="W608" i="1" a="1"/>
  <c r="W608" i="1" s="1"/>
  <c r="W609" i="1" a="1"/>
  <c r="W609" i="1" s="1"/>
  <c r="W610" i="1" a="1"/>
  <c r="W610" i="1" s="1"/>
  <c r="W611" i="1" a="1"/>
  <c r="W611" i="1" s="1"/>
  <c r="W612" i="1" a="1"/>
  <c r="W612" i="1" s="1"/>
  <c r="W613" i="1" a="1"/>
  <c r="W613" i="1" s="1"/>
  <c r="W614" i="1" a="1"/>
  <c r="W614" i="1" s="1"/>
  <c r="W615" i="1" a="1"/>
  <c r="W615" i="1" s="1"/>
  <c r="W616" i="1" a="1"/>
  <c r="W616" i="1" s="1"/>
  <c r="W617" i="1" a="1"/>
  <c r="W617" i="1" s="1"/>
  <c r="W618" i="1" a="1"/>
  <c r="W618" i="1" s="1"/>
  <c r="W619" i="1" a="1"/>
  <c r="W619" i="1" s="1"/>
  <c r="W620" i="1" a="1"/>
  <c r="W620" i="1" s="1"/>
  <c r="W621" i="1" a="1"/>
  <c r="W621" i="1" s="1"/>
  <c r="W622" i="1" a="1"/>
  <c r="W622" i="1" s="1"/>
  <c r="W623" i="1" a="1"/>
  <c r="W623" i="1" s="1"/>
  <c r="W624" i="1" a="1"/>
  <c r="W624" i="1" s="1"/>
  <c r="W625" i="1" a="1"/>
  <c r="W625" i="1" s="1"/>
  <c r="W626" i="1" a="1"/>
  <c r="W626" i="1" s="1"/>
  <c r="W627" i="1" a="1"/>
  <c r="W627" i="1" s="1"/>
  <c r="W628" i="1" a="1"/>
  <c r="W628" i="1" s="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s="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s="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s="1"/>
  <c r="W668" i="1" a="1"/>
  <c r="W668" i="1" s="1"/>
  <c r="W669" i="1" a="1"/>
  <c r="W669" i="1" s="1"/>
  <c r="W670" i="1" a="1"/>
  <c r="W670" i="1" s="1"/>
  <c r="W671" i="1" a="1"/>
  <c r="W671" i="1" s="1"/>
  <c r="W672" i="1" a="1"/>
  <c r="W672" i="1" s="1"/>
  <c r="W673" i="1" a="1"/>
  <c r="W673" i="1" s="1"/>
  <c r="W674" i="1" a="1"/>
  <c r="W674" i="1" s="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s="1"/>
  <c r="W705" i="1" a="1"/>
  <c r="W705" i="1" s="1"/>
  <c r="W706" i="1" a="1"/>
  <c r="W706" i="1" s="1"/>
  <c r="W707" i="1" a="1"/>
  <c r="W707" i="1" s="1"/>
  <c r="W708" i="1" a="1"/>
  <c r="W708" i="1" s="1"/>
  <c r="W709" i="1" a="1"/>
  <c r="W709" i="1" s="1"/>
  <c r="W710" i="1" a="1"/>
  <c r="W710" i="1" s="1"/>
  <c r="W711" i="1" a="1"/>
  <c r="W711" i="1" s="1"/>
  <c r="W712" i="1" a="1"/>
  <c r="W712" i="1" s="1"/>
  <c r="W713" i="1" a="1"/>
  <c r="W713" i="1" s="1"/>
  <c r="W714" i="1" a="1"/>
  <c r="W714" i="1" s="1"/>
  <c r="W715" i="1" a="1"/>
  <c r="W715" i="1" s="1"/>
  <c r="W716" i="1" a="1"/>
  <c r="W716" i="1" s="1"/>
  <c r="W717" i="1" a="1"/>
  <c r="W717" i="1"/>
  <c r="W718" i="1" a="1"/>
  <c r="W718" i="1" s="1"/>
  <c r="W719" i="1" a="1"/>
  <c r="W719" i="1" s="1"/>
  <c r="W720" i="1" a="1"/>
  <c r="W720" i="1" s="1"/>
  <c r="W721" i="1" a="1"/>
  <c r="W721" i="1" s="1"/>
  <c r="W722" i="1" a="1"/>
  <c r="W722" i="1" s="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s="1"/>
  <c r="W737" i="1" a="1"/>
  <c r="W737" i="1" s="1"/>
  <c r="W738" i="1" a="1"/>
  <c r="W738" i="1" s="1"/>
  <c r="W739" i="1" a="1"/>
  <c r="W739" i="1" s="1"/>
  <c r="W740" i="1" a="1"/>
  <c r="W740" i="1" s="1"/>
  <c r="W741" i="1" a="1"/>
  <c r="W741" i="1" s="1"/>
  <c r="W742" i="1" a="1"/>
  <c r="W742" i="1" s="1"/>
  <c r="W743" i="1" a="1"/>
  <c r="W743" i="1" s="1"/>
  <c r="W744" i="1" a="1"/>
  <c r="W744" i="1" s="1"/>
  <c r="W745" i="1" a="1"/>
  <c r="W745" i="1" s="1"/>
  <c r="W746" i="1" a="1"/>
  <c r="W746" i="1" s="1"/>
  <c r="W747" i="1" a="1"/>
  <c r="W747" i="1" s="1"/>
  <c r="W748" i="1" a="1"/>
  <c r="W748" i="1" s="1"/>
  <c r="W749" i="1" a="1"/>
  <c r="W749" i="1" s="1"/>
  <c r="W750" i="1" a="1"/>
  <c r="W750" i="1" s="1"/>
  <c r="W751" i="1" a="1"/>
  <c r="W751" i="1" s="1"/>
  <c r="W752" i="1" a="1"/>
  <c r="W752" i="1" s="1"/>
  <c r="W753" i="1" a="1"/>
  <c r="W753" i="1" s="1"/>
  <c r="W754" i="1" a="1"/>
  <c r="W754" i="1" s="1"/>
  <c r="W755" i="1" a="1"/>
  <c r="W755" i="1" s="1"/>
  <c r="W756" i="1" a="1"/>
  <c r="W756" i="1" s="1"/>
  <c r="W757" i="1" a="1"/>
  <c r="W757" i="1" s="1"/>
  <c r="W758" i="1" a="1"/>
  <c r="W758" i="1" s="1"/>
  <c r="W759" i="1" a="1"/>
  <c r="W759" i="1" s="1"/>
  <c r="W760" i="1" a="1"/>
  <c r="W760" i="1" s="1"/>
  <c r="W761" i="1" a="1"/>
  <c r="W761" i="1" s="1"/>
  <c r="W762" i="1" a="1"/>
  <c r="W762" i="1" s="1"/>
  <c r="W763" i="1" a="1"/>
  <c r="W763" i="1" s="1"/>
  <c r="W764" i="1" a="1"/>
  <c r="W764" i="1" s="1"/>
  <c r="W765" i="1" a="1"/>
  <c r="W765" i="1" s="1"/>
  <c r="W766" i="1" a="1"/>
  <c r="W766" i="1" s="1"/>
  <c r="W767" i="1" a="1"/>
  <c r="W767" i="1" s="1"/>
  <c r="W768" i="1" a="1"/>
  <c r="W768" i="1" s="1"/>
  <c r="W769" i="1" a="1"/>
  <c r="W769" i="1" s="1"/>
  <c r="W770" i="1" a="1"/>
  <c r="W770" i="1" s="1"/>
  <c r="W771" i="1" a="1"/>
  <c r="W771" i="1" s="1"/>
  <c r="W772" i="1" a="1"/>
  <c r="W772" i="1" s="1"/>
  <c r="W773" i="1" a="1"/>
  <c r="W773" i="1" s="1"/>
  <c r="W774" i="1" a="1"/>
  <c r="W774" i="1" s="1"/>
  <c r="W775" i="1" a="1"/>
  <c r="W775" i="1" s="1"/>
  <c r="W776" i="1" a="1"/>
  <c r="W776" i="1" s="1"/>
  <c r="W777" i="1" a="1"/>
  <c r="W777" i="1" s="1"/>
  <c r="W778" i="1" a="1"/>
  <c r="W778" i="1" s="1"/>
  <c r="W779" i="1" a="1"/>
  <c r="W779" i="1" s="1"/>
  <c r="W780" i="1" a="1"/>
  <c r="W780" i="1" s="1"/>
  <c r="W781" i="1" a="1"/>
  <c r="W781" i="1" s="1"/>
  <c r="W782" i="1" a="1"/>
  <c r="W782" i="1" s="1"/>
  <c r="W783" i="1" a="1"/>
  <c r="W783" i="1" s="1"/>
  <c r="W784" i="1" a="1"/>
  <c r="W784" i="1" s="1"/>
  <c r="W785" i="1" a="1"/>
  <c r="W785" i="1" s="1"/>
  <c r="W786" i="1" a="1"/>
  <c r="W786" i="1" s="1"/>
  <c r="W787" i="1" a="1"/>
  <c r="W787" i="1" s="1"/>
  <c r="W788" i="1" a="1"/>
  <c r="W788" i="1" s="1"/>
  <c r="W789" i="1" a="1"/>
  <c r="W789" i="1" s="1"/>
  <c r="W790" i="1" a="1"/>
  <c r="W790" i="1" s="1"/>
  <c r="W791" i="1" a="1"/>
  <c r="W791" i="1" s="1"/>
  <c r="W792" i="1" a="1"/>
  <c r="W792" i="1" s="1"/>
  <c r="W793" i="1" a="1"/>
  <c r="W793" i="1" s="1"/>
  <c r="W794" i="1" a="1"/>
  <c r="W794" i="1" s="1"/>
  <c r="W795" i="1" a="1"/>
  <c r="W795" i="1" s="1"/>
  <c r="W796" i="1" a="1"/>
  <c r="W796" i="1" s="1"/>
  <c r="W797" i="1" a="1"/>
  <c r="W797" i="1" s="1"/>
  <c r="W798" i="1" a="1"/>
  <c r="W798" i="1" s="1"/>
  <c r="W799" i="1" a="1"/>
  <c r="W799" i="1" s="1"/>
  <c r="W800" i="1" a="1"/>
  <c r="W800" i="1" s="1"/>
  <c r="W801" i="1" a="1"/>
  <c r="W801" i="1" s="1"/>
  <c r="W802" i="1" a="1"/>
  <c r="W802" i="1" s="1"/>
  <c r="W803" i="1" a="1"/>
  <c r="W803" i="1" s="1"/>
  <c r="W804" i="1" a="1"/>
  <c r="W804" i="1" s="1"/>
  <c r="W805" i="1" a="1"/>
  <c r="W805" i="1" s="1"/>
  <c r="W806" i="1" a="1"/>
  <c r="W806" i="1" s="1"/>
  <c r="W807" i="1" a="1"/>
  <c r="W807" i="1" s="1"/>
  <c r="W808" i="1" a="1"/>
  <c r="W808" i="1" s="1"/>
  <c r="W809" i="1" a="1"/>
  <c r="W809" i="1" s="1"/>
  <c r="W810" i="1" a="1"/>
  <c r="W810" i="1" s="1"/>
  <c r="W811" i="1" a="1"/>
  <c r="W811" i="1" s="1"/>
  <c r="W812" i="1" a="1"/>
  <c r="W812" i="1" s="1"/>
  <c r="W813" i="1" a="1"/>
  <c r="W813" i="1" s="1"/>
  <c r="W814" i="1" a="1"/>
  <c r="W814" i="1" s="1"/>
  <c r="W815" i="1" a="1"/>
  <c r="W815" i="1" s="1"/>
  <c r="W816" i="1" a="1"/>
  <c r="W816" i="1" s="1"/>
  <c r="W817" i="1" a="1"/>
  <c r="W817" i="1" s="1"/>
  <c r="W818" i="1" a="1"/>
  <c r="W818" i="1" s="1"/>
  <c r="W819" i="1" a="1"/>
  <c r="W819" i="1" s="1"/>
  <c r="W820" i="1" a="1"/>
  <c r="W820" i="1" s="1"/>
  <c r="W821" i="1" a="1"/>
  <c r="W821" i="1" s="1"/>
  <c r="W822" i="1" a="1"/>
  <c r="W822" i="1" s="1"/>
  <c r="W823" i="1" a="1"/>
  <c r="W823" i="1" s="1"/>
  <c r="W824" i="1" a="1"/>
  <c r="W824" i="1" s="1"/>
  <c r="W825" i="1" a="1"/>
  <c r="W825" i="1" s="1"/>
  <c r="W826" i="1" a="1"/>
  <c r="W826" i="1" s="1"/>
  <c r="W827" i="1" a="1"/>
  <c r="W827" i="1" s="1"/>
  <c r="W828" i="1" a="1"/>
  <c r="W828" i="1" s="1"/>
  <c r="W829" i="1" a="1"/>
  <c r="W829" i="1" s="1"/>
  <c r="W830" i="1" a="1"/>
  <c r="W830" i="1" s="1"/>
  <c r="W831" i="1" a="1"/>
  <c r="W831" i="1" s="1"/>
  <c r="W832" i="1" a="1"/>
  <c r="W832" i="1" s="1"/>
  <c r="W833" i="1" a="1"/>
  <c r="W833" i="1" s="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s="1"/>
  <c r="W848" i="1" a="1"/>
  <c r="W848" i="1" s="1"/>
  <c r="W849" i="1" a="1"/>
  <c r="W849" i="1" s="1"/>
  <c r="W850" i="1" a="1"/>
  <c r="W850" i="1" s="1"/>
  <c r="W851" i="1" a="1"/>
  <c r="W851" i="1" s="1"/>
  <c r="W852" i="1" a="1"/>
  <c r="W852" i="1" s="1"/>
  <c r="W853" i="1" a="1"/>
  <c r="W853" i="1" s="1"/>
  <c r="W854" i="1" a="1"/>
  <c r="W854" i="1" s="1"/>
  <c r="W855" i="1" a="1"/>
  <c r="W855" i="1" s="1"/>
  <c r="W856" i="1" a="1"/>
  <c r="W856" i="1" s="1"/>
  <c r="W857" i="1" a="1"/>
  <c r="W857" i="1" s="1"/>
  <c r="W858" i="1" a="1"/>
  <c r="W858" i="1" s="1"/>
  <c r="W859" i="1" a="1"/>
  <c r="W859" i="1" s="1"/>
  <c r="W860" i="1" a="1"/>
  <c r="W860" i="1" s="1"/>
  <c r="W861" i="1" a="1"/>
  <c r="W861" i="1" s="1"/>
  <c r="W862" i="1" a="1"/>
  <c r="W862" i="1" s="1"/>
  <c r="W863" i="1" a="1"/>
  <c r="W863" i="1" s="1"/>
  <c r="W864" i="1" a="1"/>
  <c r="W864" i="1" s="1"/>
  <c r="W865" i="1" a="1"/>
  <c r="W865" i="1" s="1"/>
  <c r="W866" i="1" a="1"/>
  <c r="W866" i="1" s="1"/>
  <c r="W867" i="1" a="1"/>
  <c r="W867" i="1" s="1"/>
  <c r="W868" i="1" a="1"/>
  <c r="W868" i="1" s="1"/>
  <c r="W869" i="1" a="1"/>
  <c r="W869" i="1" s="1"/>
  <c r="W870" i="1" a="1"/>
  <c r="W870" i="1" s="1"/>
  <c r="W871" i="1" a="1"/>
  <c r="W871" i="1" s="1"/>
  <c r="W872" i="1" a="1"/>
  <c r="W872" i="1" s="1"/>
  <c r="W873" i="1" a="1"/>
  <c r="W873" i="1" s="1"/>
  <c r="W874" i="1" a="1"/>
  <c r="W874" i="1" s="1"/>
  <c r="W875" i="1" a="1"/>
  <c r="W875" i="1" s="1"/>
  <c r="W876" i="1" a="1"/>
  <c r="W876" i="1" s="1"/>
  <c r="W877" i="1" a="1"/>
  <c r="W877" i="1" s="1"/>
  <c r="W878" i="1" a="1"/>
  <c r="W878" i="1" s="1"/>
  <c r="W879" i="1" a="1"/>
  <c r="W879" i="1" s="1"/>
  <c r="W880" i="1" a="1"/>
  <c r="W880" i="1" s="1"/>
  <c r="W881" i="1" a="1"/>
  <c r="W881" i="1" s="1"/>
  <c r="W882" i="1" a="1"/>
  <c r="W882" i="1" s="1"/>
  <c r="W883" i="1" a="1"/>
  <c r="W883" i="1" s="1"/>
  <c r="W884" i="1" a="1"/>
  <c r="W884" i="1" s="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s="1"/>
  <c r="W896" i="1" a="1"/>
  <c r="W896" i="1" s="1"/>
  <c r="W897" i="1" a="1"/>
  <c r="W897" i="1" s="1"/>
  <c r="W898" i="1" a="1"/>
  <c r="W898" i="1" s="1"/>
  <c r="W899" i="1" a="1"/>
  <c r="W899" i="1" s="1"/>
  <c r="W900" i="1" a="1"/>
  <c r="W900" i="1" s="1"/>
  <c r="W901" i="1" a="1"/>
  <c r="W901" i="1" s="1"/>
  <c r="W902" i="1" a="1"/>
  <c r="W902" i="1" s="1"/>
  <c r="W903" i="1" a="1"/>
  <c r="W903" i="1" s="1"/>
  <c r="W904" i="1" a="1"/>
  <c r="W904" i="1" s="1"/>
  <c r="W905" i="1" a="1"/>
  <c r="W905" i="1" s="1"/>
  <c r="W906" i="1" a="1"/>
  <c r="W906" i="1" s="1"/>
  <c r="W907" i="1" a="1"/>
  <c r="W907" i="1" s="1"/>
  <c r="W908" i="1" a="1"/>
  <c r="W908" i="1" s="1"/>
  <c r="W909" i="1" a="1"/>
  <c r="W909" i="1" s="1"/>
  <c r="W910" i="1" a="1"/>
  <c r="W910" i="1" s="1"/>
  <c r="W911" i="1" a="1"/>
  <c r="W911" i="1" s="1"/>
  <c r="W912" i="1" a="1"/>
  <c r="W912" i="1" s="1"/>
  <c r="W913" i="1" a="1"/>
  <c r="W913" i="1" s="1"/>
  <c r="W914" i="1" a="1"/>
  <c r="W914" i="1" s="1"/>
  <c r="W915" i="1" a="1"/>
  <c r="W915" i="1" s="1"/>
  <c r="W916" i="1" a="1"/>
  <c r="W916" i="1" s="1"/>
  <c r="W917" i="1" a="1"/>
  <c r="W917" i="1" s="1"/>
  <c r="W918" i="1" a="1"/>
  <c r="W918" i="1" s="1"/>
  <c r="W919" i="1" a="1"/>
  <c r="W919" i="1" s="1"/>
  <c r="W920" i="1" a="1"/>
  <c r="W920" i="1" s="1"/>
  <c r="W921" i="1" a="1"/>
  <c r="W921" i="1" s="1"/>
  <c r="W922" i="1" a="1"/>
  <c r="W922" i="1" s="1"/>
  <c r="W923" i="1" a="1"/>
  <c r="W923" i="1" s="1"/>
  <c r="W924" i="1" a="1"/>
  <c r="W924" i="1" s="1"/>
  <c r="W925" i="1" a="1"/>
  <c r="W925" i="1" s="1"/>
  <c r="W926" i="1" a="1"/>
  <c r="W926" i="1" s="1"/>
  <c r="W927" i="1" a="1"/>
  <c r="W927" i="1" s="1"/>
  <c r="W928" i="1" a="1"/>
  <c r="W928" i="1" s="1"/>
  <c r="W929" i="1" a="1"/>
  <c r="W929" i="1" s="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s="1"/>
  <c r="W945" i="1" a="1"/>
  <c r="W945" i="1" s="1"/>
  <c r="W946" i="1" a="1"/>
  <c r="W946" i="1" s="1"/>
  <c r="W947" i="1" a="1"/>
  <c r="W947" i="1" s="1"/>
  <c r="W948" i="1" a="1"/>
  <c r="W948" i="1" s="1"/>
  <c r="W949" i="1" a="1"/>
  <c r="W949" i="1" s="1"/>
  <c r="W950" i="1" a="1"/>
  <c r="W950" i="1" s="1"/>
  <c r="W951" i="1" a="1"/>
  <c r="W951" i="1" s="1"/>
  <c r="W952" i="1" a="1"/>
  <c r="W952" i="1" s="1"/>
  <c r="W953" i="1" a="1"/>
  <c r="W953" i="1" s="1"/>
  <c r="W954" i="1" a="1"/>
  <c r="W954" i="1" s="1"/>
  <c r="W955" i="1" a="1"/>
  <c r="W955" i="1" s="1"/>
  <c r="W956" i="1" a="1"/>
  <c r="W956" i="1" s="1"/>
  <c r="W957" i="1" a="1"/>
  <c r="W957" i="1" s="1"/>
  <c r="W958" i="1" a="1"/>
  <c r="W958" i="1" s="1"/>
  <c r="W959" i="1" a="1"/>
  <c r="W959" i="1" s="1"/>
  <c r="W960" i="1" a="1"/>
  <c r="W960" i="1" s="1"/>
  <c r="W961" i="1" a="1"/>
  <c r="W961" i="1" s="1"/>
  <c r="W962" i="1" a="1"/>
  <c r="W962" i="1" s="1"/>
  <c r="W963" i="1" a="1"/>
  <c r="W963" i="1" s="1"/>
  <c r="W964" i="1" a="1"/>
  <c r="W964" i="1" s="1"/>
  <c r="W965" i="1" a="1"/>
  <c r="W965" i="1" s="1"/>
  <c r="W966" i="1" a="1"/>
  <c r="W966" i="1" s="1"/>
  <c r="W967" i="1" a="1"/>
  <c r="W967" i="1" s="1"/>
  <c r="W968" i="1" a="1"/>
  <c r="W968" i="1" s="1"/>
  <c r="W969" i="1" a="1"/>
  <c r="W969" i="1" s="1"/>
  <c r="W970" i="1" a="1"/>
  <c r="W970" i="1" s="1"/>
  <c r="W971" i="1" a="1"/>
  <c r="W971" i="1" s="1"/>
  <c r="W972" i="1" a="1"/>
  <c r="W972" i="1" s="1"/>
  <c r="W973" i="1" a="1"/>
  <c r="W973" i="1" s="1"/>
  <c r="W974" i="1" a="1"/>
  <c r="W974" i="1" s="1"/>
  <c r="W975" i="1" a="1"/>
  <c r="W975" i="1" s="1"/>
  <c r="W976" i="1" a="1"/>
  <c r="W976" i="1" s="1"/>
  <c r="W977" i="1" a="1"/>
  <c r="W977" i="1" s="1"/>
  <c r="W978" i="1" a="1"/>
  <c r="W978" i="1" s="1"/>
  <c r="W979" i="1" a="1"/>
  <c r="W979" i="1" s="1"/>
  <c r="W980" i="1" a="1"/>
  <c r="W980" i="1" s="1"/>
  <c r="W981" i="1" a="1"/>
  <c r="W981" i="1" s="1"/>
  <c r="W982" i="1" a="1"/>
  <c r="W982" i="1" s="1"/>
  <c r="W983" i="1" a="1"/>
  <c r="W983" i="1" s="1"/>
  <c r="W984" i="1" a="1"/>
  <c r="W984" i="1" s="1"/>
  <c r="W985" i="1" a="1"/>
  <c r="W985" i="1" s="1"/>
  <c r="W986" i="1" a="1"/>
  <c r="W986" i="1" s="1"/>
  <c r="W987" i="1" a="1"/>
  <c r="W987" i="1" s="1"/>
  <c r="W988" i="1" a="1"/>
  <c r="W988" i="1" s="1"/>
  <c r="W989" i="1" a="1"/>
  <c r="W989" i="1" s="1"/>
  <c r="W990" i="1" a="1"/>
  <c r="W990" i="1" s="1"/>
  <c r="W991" i="1" a="1"/>
  <c r="W991" i="1" s="1"/>
  <c r="W992" i="1" a="1"/>
  <c r="W992" i="1" s="1"/>
  <c r="W993" i="1" a="1"/>
  <c r="W993" i="1" s="1"/>
  <c r="W994" i="1" a="1"/>
  <c r="W994" i="1" s="1"/>
  <c r="W995" i="1" a="1"/>
  <c r="W995" i="1" s="1"/>
  <c r="W996" i="1" a="1"/>
  <c r="W996" i="1" s="1"/>
  <c r="W997" i="1" a="1"/>
  <c r="W997" i="1" s="1"/>
  <c r="W998" i="1" a="1"/>
  <c r="W998" i="1" s="1"/>
  <c r="W999" i="1" a="1"/>
  <c r="W999" i="1" s="1"/>
  <c r="W1000" i="1" a="1"/>
  <c r="W1000" i="1" s="1"/>
  <c r="W1001" i="1" a="1"/>
  <c r="W1001" i="1" s="1"/>
  <c r="W1002" i="1" a="1"/>
  <c r="W1002" i="1" s="1"/>
  <c r="W1003" i="1" a="1"/>
  <c r="W1003" i="1" s="1"/>
  <c r="W1004" i="1" a="1"/>
  <c r="W1004" i="1" s="1"/>
  <c r="W1005" i="1" a="1"/>
  <c r="W1005" i="1" s="1"/>
  <c r="W1006" i="1" a="1"/>
  <c r="W1006" i="1" s="1"/>
  <c r="W1007" i="1" a="1"/>
  <c r="W1007" i="1" s="1"/>
  <c r="W1008" i="1" a="1"/>
  <c r="W1008" i="1" s="1"/>
  <c r="W1009" i="1" a="1"/>
  <c r="W1009" i="1" s="1"/>
  <c r="W1010" i="1" a="1"/>
  <c r="W1010" i="1" s="1"/>
  <c r="W1011" i="1" a="1"/>
  <c r="W1011" i="1" s="1"/>
  <c r="W1012" i="1" a="1"/>
  <c r="W1012" i="1" s="1"/>
  <c r="W1013" i="1" a="1"/>
  <c r="W1013" i="1" s="1"/>
  <c r="W1014" i="1" a="1"/>
  <c r="W1014" i="1" s="1"/>
  <c r="W1015" i="1" a="1"/>
  <c r="W1015" i="1" s="1"/>
  <c r="W1016" i="1" a="1"/>
  <c r="W1016" i="1" s="1"/>
  <c r="W1017" i="1" a="1"/>
  <c r="W1017" i="1" s="1"/>
  <c r="W1018" i="1" a="1"/>
  <c r="W1018" i="1" s="1"/>
  <c r="W1019" i="1" a="1"/>
  <c r="W1019" i="1" s="1"/>
  <c r="W1020" i="1" a="1"/>
  <c r="W1020" i="1" s="1"/>
  <c r="W1021" i="1" a="1"/>
  <c r="W1021" i="1" s="1"/>
  <c r="W1022" i="1" a="1"/>
  <c r="W1022" i="1" s="1"/>
  <c r="W1023" i="1" a="1"/>
  <c r="W1023" i="1" s="1"/>
  <c r="W1024" i="1" a="1"/>
  <c r="W1024" i="1" s="1"/>
  <c r="W1025" i="1" a="1"/>
  <c r="W1025" i="1" s="1"/>
  <c r="W1026" i="1" a="1"/>
  <c r="W1026" i="1" s="1"/>
  <c r="W1027" i="1" a="1"/>
  <c r="W1027" i="1" s="1"/>
  <c r="W1028" i="1" a="1"/>
  <c r="W1028" i="1" s="1"/>
  <c r="W1029" i="1" a="1"/>
  <c r="W1029" i="1" s="1"/>
  <c r="W1030" i="1" a="1"/>
  <c r="W1030" i="1" s="1"/>
  <c r="W1031" i="1" a="1"/>
  <c r="W1031" i="1" s="1"/>
  <c r="W1032" i="1" a="1"/>
  <c r="W1032" i="1" s="1"/>
  <c r="W1033" i="1" a="1"/>
  <c r="W1033" i="1" s="1"/>
  <c r="W1034" i="1" a="1"/>
  <c r="W1034" i="1" s="1"/>
  <c r="W1035" i="1" a="1"/>
  <c r="W1035" i="1" s="1"/>
  <c r="W1036" i="1" a="1"/>
  <c r="W1036" i="1" s="1"/>
  <c r="W1037" i="1" a="1"/>
  <c r="W1037" i="1" s="1"/>
  <c r="W1038" i="1" a="1"/>
  <c r="W1038" i="1" s="1"/>
  <c r="W1039" i="1" a="1"/>
  <c r="W1039" i="1" s="1"/>
  <c r="W1040" i="1" a="1"/>
  <c r="W1040" i="1" s="1"/>
  <c r="W1041" i="1" a="1"/>
  <c r="W1041" i="1" s="1"/>
  <c r="W1042" i="1" a="1"/>
  <c r="W1042" i="1" s="1"/>
  <c r="W1043" i="1" a="1"/>
  <c r="W1043" i="1" s="1"/>
  <c r="W1044" i="1" a="1"/>
  <c r="W1044" i="1" s="1"/>
  <c r="W1045" i="1" a="1"/>
  <c r="W1045" i="1" s="1"/>
  <c r="W1046" i="1" a="1"/>
  <c r="W1046" i="1" s="1"/>
  <c r="W1047" i="1" a="1"/>
  <c r="W1047" i="1" s="1"/>
  <c r="W1048" i="1" a="1"/>
  <c r="W1048" i="1" s="1"/>
  <c r="W1049" i="1" a="1"/>
  <c r="W1049" i="1" s="1"/>
  <c r="W1050" i="1" a="1"/>
  <c r="W1050" i="1" s="1"/>
  <c r="W1051" i="1" a="1"/>
  <c r="W1051" i="1" s="1"/>
  <c r="W1052" i="1" a="1"/>
  <c r="W1052" i="1" s="1"/>
  <c r="W1053" i="1" a="1"/>
  <c r="W1053" i="1" s="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s="1"/>
  <c r="W1066" i="1" a="1"/>
  <c r="W1066" i="1" s="1"/>
  <c r="W1067" i="1" a="1"/>
  <c r="W1067" i="1" s="1"/>
  <c r="W1068" i="1" a="1"/>
  <c r="W1068" i="1" s="1"/>
  <c r="W1069" i="1" a="1"/>
  <c r="W1069" i="1" s="1"/>
  <c r="W1070" i="1" a="1"/>
  <c r="W1070" i="1" s="1"/>
  <c r="W1071" i="1" a="1"/>
  <c r="W1071" i="1" s="1"/>
  <c r="W1072" i="1" a="1"/>
  <c r="W1072" i="1" s="1"/>
  <c r="W1073" i="1" a="1"/>
  <c r="W1073" i="1" s="1"/>
  <c r="W1074" i="1" a="1"/>
  <c r="W1074" i="1" s="1"/>
  <c r="W1075" i="1" a="1"/>
  <c r="W1075" i="1" s="1"/>
  <c r="W1076" i="1" a="1"/>
  <c r="W1076" i="1" s="1"/>
  <c r="W1077" i="1" a="1"/>
  <c r="W1077" i="1" s="1"/>
  <c r="W1078" i="1" a="1"/>
  <c r="W1078" i="1" s="1"/>
  <c r="W1079" i="1" a="1"/>
  <c r="W1079" i="1" s="1"/>
  <c r="W1080" i="1" a="1"/>
  <c r="W1080" i="1" s="1"/>
  <c r="W1081" i="1" a="1"/>
  <c r="W1081" i="1" s="1"/>
  <c r="W1082" i="1" a="1"/>
  <c r="W1082" i="1" s="1"/>
  <c r="W1083" i="1" a="1"/>
  <c r="W1083" i="1" s="1"/>
  <c r="W1084" i="1" a="1"/>
  <c r="W1084" i="1" s="1"/>
  <c r="W1085" i="1" a="1"/>
  <c r="W1085" i="1" s="1"/>
  <c r="W1086" i="1" a="1"/>
  <c r="W1086" i="1" s="1"/>
  <c r="W1087" i="1" a="1"/>
  <c r="W1087" i="1" s="1"/>
  <c r="W1088" i="1" a="1"/>
  <c r="W1088" i="1" s="1"/>
  <c r="W1089" i="1" a="1"/>
  <c r="W1089" i="1" s="1"/>
  <c r="W1090" i="1" a="1"/>
  <c r="W1090" i="1" s="1"/>
  <c r="W1091" i="1" a="1"/>
  <c r="W1091" i="1" s="1"/>
  <c r="W1092" i="1" a="1"/>
  <c r="W1092" i="1" s="1"/>
  <c r="W1093" i="1" a="1"/>
  <c r="W1093" i="1" s="1"/>
  <c r="W1094" i="1" a="1"/>
  <c r="W1094" i="1" s="1"/>
  <c r="W1095" i="1" a="1"/>
  <c r="W1095" i="1" s="1"/>
  <c r="W1096" i="1" a="1"/>
  <c r="W1096" i="1" s="1"/>
  <c r="W1097" i="1" a="1"/>
  <c r="W1097" i="1" s="1"/>
  <c r="W1098" i="1" a="1"/>
  <c r="W1098" i="1" s="1"/>
  <c r="W1099" i="1" a="1"/>
  <c r="W1099" i="1" s="1"/>
  <c r="W1100" i="1" a="1"/>
  <c r="W1100" i="1" s="1"/>
  <c r="W1101" i="1" a="1"/>
  <c r="W1101" i="1" s="1"/>
  <c r="W1102" i="1" a="1"/>
  <c r="W1102" i="1" s="1"/>
  <c r="W1103" i="1" a="1"/>
  <c r="W1103" i="1" s="1"/>
  <c r="W1104" i="1" a="1"/>
  <c r="W1104" i="1" s="1"/>
  <c r="W1105" i="1" a="1"/>
  <c r="W1105" i="1" s="1"/>
  <c r="W1106" i="1" a="1"/>
  <c r="W1106" i="1" s="1"/>
  <c r="W1107" i="1" a="1"/>
  <c r="W1107" i="1" s="1"/>
  <c r="W1108" i="1" a="1"/>
  <c r="W1108" i="1" s="1"/>
  <c r="W1109" i="1" a="1"/>
  <c r="W1109" i="1" s="1"/>
  <c r="W1110" i="1" a="1"/>
  <c r="W1110" i="1" s="1"/>
  <c r="W1111" i="1" a="1"/>
  <c r="W1111" i="1" s="1"/>
  <c r="W1112" i="1" a="1"/>
  <c r="W1112" i="1" s="1"/>
  <c r="W1113" i="1" a="1"/>
  <c r="W1113" i="1" s="1"/>
  <c r="W1114" i="1" a="1"/>
  <c r="W1114" i="1" s="1"/>
  <c r="W1115" i="1" a="1"/>
  <c r="W1115" i="1" s="1"/>
  <c r="W1116" i="1" a="1"/>
  <c r="W1116" i="1" s="1"/>
  <c r="W1117" i="1" a="1"/>
  <c r="W1117" i="1" s="1"/>
  <c r="W1118" i="1" a="1"/>
  <c r="W1118" i="1" s="1"/>
  <c r="W1119" i="1" a="1"/>
  <c r="W1119" i="1" s="1"/>
  <c r="W1120" i="1" a="1"/>
  <c r="W1120" i="1" s="1"/>
  <c r="W1121" i="1" a="1"/>
  <c r="W1121" i="1" s="1"/>
  <c r="W1122" i="1" a="1"/>
  <c r="W1122" i="1" s="1"/>
  <c r="W1123" i="1" a="1"/>
  <c r="W1123" i="1" s="1"/>
  <c r="W1124" i="1" a="1"/>
  <c r="W1124" i="1" s="1"/>
  <c r="W1125" i="1" a="1"/>
  <c r="W1125" i="1" s="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s="1"/>
  <c r="W1136" i="1" a="1"/>
  <c r="W1136" i="1" s="1"/>
  <c r="W1137" i="1" a="1"/>
  <c r="W1137" i="1" s="1"/>
  <c r="W1138" i="1" a="1"/>
  <c r="W1138" i="1" s="1"/>
  <c r="W1139" i="1" a="1"/>
  <c r="W1139" i="1" s="1"/>
  <c r="W1140" i="1" a="1"/>
  <c r="W1140" i="1" s="1"/>
  <c r="W1141" i="1" a="1"/>
  <c r="W1141" i="1" s="1"/>
  <c r="W1142" i="1" a="1"/>
  <c r="W1142" i="1" s="1"/>
  <c r="W1143" i="1" a="1"/>
  <c r="W1143" i="1" s="1"/>
  <c r="W1144" i="1" a="1"/>
  <c r="W1144" i="1" s="1"/>
  <c r="W1145" i="1" a="1"/>
  <c r="W1145" i="1" s="1"/>
  <c r="W1146" i="1" a="1"/>
  <c r="W1146" i="1" s="1"/>
  <c r="W1147" i="1" a="1"/>
  <c r="W1147" i="1" s="1"/>
  <c r="W1148" i="1" a="1"/>
  <c r="W1148" i="1" s="1"/>
  <c r="W1149" i="1" a="1"/>
  <c r="W1149" i="1" s="1"/>
  <c r="W1150" i="1" a="1"/>
  <c r="W1150" i="1" s="1"/>
  <c r="W1151" i="1" a="1"/>
  <c r="W1151" i="1" s="1"/>
  <c r="W1152" i="1" a="1"/>
  <c r="W1152" i="1" s="1"/>
  <c r="W1153" i="1" a="1"/>
  <c r="W1153" i="1" s="1"/>
  <c r="W1154" i="1" a="1"/>
  <c r="W1154" i="1" s="1"/>
  <c r="W1155" i="1" a="1"/>
  <c r="W1155" i="1" s="1"/>
  <c r="W1156" i="1" a="1"/>
  <c r="W1156" i="1" s="1"/>
  <c r="W1157" i="1" a="1"/>
  <c r="W1157" i="1" s="1"/>
  <c r="W1158" i="1" a="1"/>
  <c r="W1158" i="1" s="1"/>
  <c r="W1159" i="1" a="1"/>
  <c r="W1159" i="1" s="1"/>
  <c r="W1160" i="1" a="1"/>
  <c r="W1160" i="1" s="1"/>
  <c r="W1161" i="1" a="1"/>
  <c r="W1161" i="1" s="1"/>
  <c r="W1162" i="1" a="1"/>
  <c r="W1162" i="1" s="1"/>
  <c r="W1163" i="1" a="1"/>
  <c r="W1163" i="1" s="1"/>
  <c r="W1164" i="1" a="1"/>
  <c r="W1164" i="1" s="1"/>
  <c r="W1165" i="1" a="1"/>
  <c r="W1165" i="1" s="1"/>
  <c r="W1166" i="1" a="1"/>
  <c r="W1166" i="1" s="1"/>
  <c r="W1167" i="1" a="1"/>
  <c r="W1167" i="1" s="1"/>
  <c r="W1168" i="1" a="1"/>
  <c r="W1168" i="1" s="1"/>
  <c r="W1169" i="1" a="1"/>
  <c r="W1169" i="1" s="1"/>
  <c r="W1170" i="1" a="1"/>
  <c r="W1170" i="1" s="1"/>
  <c r="W1171" i="1" a="1"/>
  <c r="W1171" i="1" s="1"/>
  <c r="W1172" i="1" a="1"/>
  <c r="W1172" i="1" s="1"/>
  <c r="W1173" i="1" a="1"/>
  <c r="W1173" i="1" s="1"/>
  <c r="W1174" i="1" a="1"/>
  <c r="W1174" i="1" s="1"/>
  <c r="W1175" i="1" a="1"/>
  <c r="W1175" i="1" s="1"/>
  <c r="W1176" i="1" a="1"/>
  <c r="W1176" i="1" s="1"/>
  <c r="W1177" i="1" a="1"/>
  <c r="W1177" i="1" s="1"/>
  <c r="W1178" i="1" a="1"/>
  <c r="W1178" i="1" s="1"/>
  <c r="W1179" i="1" a="1"/>
  <c r="W1179" i="1" s="1"/>
  <c r="W1180" i="1" a="1"/>
  <c r="W1180" i="1" s="1"/>
  <c r="W1181" i="1" a="1"/>
  <c r="W1181" i="1" s="1"/>
  <c r="W1182" i="1" a="1"/>
  <c r="W1182" i="1" s="1"/>
  <c r="W1183" i="1" a="1"/>
  <c r="W1183" i="1" s="1"/>
  <c r="W1184" i="1" a="1"/>
  <c r="W1184" i="1" s="1"/>
  <c r="W1185" i="1" a="1"/>
  <c r="W1185" i="1" s="1"/>
  <c r="W1186" i="1" a="1"/>
  <c r="W1186" i="1" s="1"/>
  <c r="W1187" i="1" a="1"/>
  <c r="W1187" i="1" s="1"/>
  <c r="W1188" i="1" a="1"/>
  <c r="W1188" i="1" s="1"/>
  <c r="W1189" i="1" a="1"/>
  <c r="W1189" i="1" s="1"/>
  <c r="W1190" i="1" a="1"/>
  <c r="W1190" i="1" s="1"/>
  <c r="W1191" i="1" a="1"/>
  <c r="W1191" i="1" s="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s="1"/>
  <c r="W1204" i="1" a="1"/>
  <c r="W1204" i="1" s="1"/>
  <c r="W1205" i="1" a="1"/>
  <c r="W1205" i="1" s="1"/>
  <c r="W1206" i="1" a="1"/>
  <c r="W1206" i="1" s="1"/>
  <c r="W1207" i="1" a="1"/>
  <c r="W1207" i="1" s="1"/>
  <c r="W1208" i="1" a="1"/>
  <c r="W1208" i="1" s="1"/>
  <c r="W1209" i="1" a="1"/>
  <c r="W1209" i="1" s="1"/>
  <c r="W1210" i="1" a="1"/>
  <c r="W1210" i="1" s="1"/>
  <c r="W1211" i="1" a="1"/>
  <c r="W1211" i="1" s="1"/>
  <c r="W1212" i="1" a="1"/>
  <c r="W1212" i="1" s="1"/>
  <c r="W1213" i="1" a="1"/>
  <c r="W1213" i="1" s="1"/>
  <c r="W1214" i="1" a="1"/>
  <c r="W1214" i="1" s="1"/>
  <c r="W1215" i="1" a="1"/>
  <c r="W1215" i="1" s="1"/>
  <c r="W1216" i="1" a="1"/>
  <c r="W1216" i="1" s="1"/>
  <c r="W1217" i="1" a="1"/>
  <c r="W1217" i="1" s="1"/>
  <c r="W1218" i="1" a="1"/>
  <c r="W1218" i="1" s="1"/>
  <c r="W1219" i="1" a="1"/>
  <c r="W1219" i="1" s="1"/>
  <c r="W1220" i="1" a="1"/>
  <c r="W1220" i="1" s="1"/>
  <c r="W1221" i="1" a="1"/>
  <c r="W1221" i="1" s="1"/>
  <c r="W1222" i="1" a="1"/>
  <c r="W1222" i="1" s="1"/>
  <c r="W1223" i="1" a="1"/>
  <c r="W1223" i="1" s="1"/>
  <c r="W1224" i="1" a="1"/>
  <c r="W1224" i="1" s="1"/>
  <c r="W1225" i="1" a="1"/>
  <c r="W1225" i="1" s="1"/>
  <c r="W1226" i="1" a="1"/>
  <c r="W1226" i="1" s="1"/>
  <c r="W1227" i="1" a="1"/>
  <c r="W1227" i="1" s="1"/>
  <c r="W1228" i="1" a="1"/>
  <c r="W1228" i="1" s="1"/>
  <c r="W1229" i="1" a="1"/>
  <c r="W1229" i="1" s="1"/>
  <c r="W1230" i="1" a="1"/>
  <c r="W1230" i="1" s="1"/>
  <c r="W1231" i="1" a="1"/>
  <c r="W1231" i="1" s="1"/>
  <c r="W1232" i="1" a="1"/>
  <c r="W1232" i="1" s="1"/>
  <c r="W1233" i="1" a="1"/>
  <c r="W1233" i="1" s="1"/>
  <c r="W1234" i="1" a="1"/>
  <c r="W1234" i="1" s="1"/>
  <c r="W1235" i="1" a="1"/>
  <c r="W1235" i="1" s="1"/>
  <c r="W1236" i="1" a="1"/>
  <c r="W1236" i="1" s="1"/>
  <c r="W1237" i="1" a="1"/>
  <c r="W1237" i="1" s="1"/>
  <c r="W1238" i="1" a="1"/>
  <c r="W1238" i="1" s="1"/>
  <c r="W1239" i="1" a="1"/>
  <c r="W1239" i="1" s="1"/>
  <c r="W1240" i="1" a="1"/>
  <c r="W1240" i="1" s="1"/>
  <c r="W1241" i="1" a="1"/>
  <c r="W1241" i="1" s="1"/>
  <c r="W1242" i="1" a="1"/>
  <c r="W1242" i="1" s="1"/>
  <c r="W1243" i="1" a="1"/>
  <c r="W1243" i="1" s="1"/>
  <c r="W1244" i="1" a="1"/>
  <c r="W1244" i="1" s="1"/>
  <c r="W1245" i="1" a="1"/>
  <c r="W1245" i="1" s="1"/>
  <c r="W1246" i="1" a="1"/>
  <c r="W1246" i="1" s="1"/>
  <c r="W1247" i="1" a="1"/>
  <c r="W1247" i="1" s="1"/>
  <c r="W1248" i="1" a="1"/>
  <c r="W1248" i="1" s="1"/>
  <c r="W1249" i="1" a="1"/>
  <c r="W1249" i="1" s="1"/>
  <c r="W1250" i="1" a="1"/>
  <c r="W1250" i="1" s="1"/>
  <c r="W1251" i="1" a="1"/>
  <c r="W1251" i="1" s="1"/>
  <c r="W1252" i="1" a="1"/>
  <c r="W1252" i="1" s="1"/>
  <c r="W1253" i="1" a="1"/>
  <c r="W1253" i="1" s="1"/>
  <c r="W1254" i="1" a="1"/>
  <c r="W1254" i="1" s="1"/>
  <c r="W1255" i="1" a="1"/>
  <c r="W1255" i="1" s="1"/>
  <c r="W1256" i="1" a="1"/>
  <c r="W1256" i="1" s="1"/>
  <c r="W1257" i="1" a="1"/>
  <c r="W1257" i="1" s="1"/>
  <c r="W1258" i="1" a="1"/>
  <c r="W1258" i="1" s="1"/>
  <c r="W1259" i="1" a="1"/>
  <c r="W1259" i="1" s="1"/>
  <c r="W1260" i="1" a="1"/>
  <c r="W1260" i="1" s="1"/>
  <c r="W1261" i="1" a="1"/>
  <c r="W1261" i="1" s="1"/>
  <c r="W1262" i="1" a="1"/>
  <c r="W1262" i="1" s="1"/>
  <c r="W1263" i="1" a="1"/>
  <c r="W1263" i="1" s="1"/>
  <c r="W1264" i="1" a="1"/>
  <c r="W1264" i="1" s="1"/>
  <c r="W1265" i="1" a="1"/>
  <c r="W1265" i="1" s="1"/>
  <c r="W1266" i="1" a="1"/>
  <c r="W1266" i="1" s="1"/>
  <c r="W1267" i="1" a="1"/>
  <c r="W1267" i="1" s="1"/>
  <c r="W1268" i="1" a="1"/>
  <c r="W1268" i="1" s="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s="1"/>
  <c r="W1280" i="1" a="1"/>
  <c r="W1280" i="1" s="1"/>
  <c r="W1281" i="1" a="1"/>
  <c r="W1281" i="1" s="1"/>
  <c r="W1282" i="1" a="1"/>
  <c r="W1282" i="1" s="1"/>
  <c r="W1283" i="1" a="1"/>
  <c r="W1283" i="1" s="1"/>
  <c r="W1284" i="1" a="1"/>
  <c r="W1284" i="1" s="1"/>
  <c r="W1285" i="1" a="1"/>
  <c r="W1285" i="1" s="1"/>
  <c r="W1286" i="1" a="1"/>
  <c r="W1286" i="1" s="1"/>
  <c r="W1287" i="1" a="1"/>
  <c r="W1287" i="1" s="1"/>
  <c r="W1288" i="1" a="1"/>
  <c r="W1288" i="1" s="1"/>
  <c r="W1289" i="1" a="1"/>
  <c r="W1289" i="1" s="1"/>
  <c r="W1290" i="1" a="1"/>
  <c r="W1290" i="1" s="1"/>
  <c r="W1291" i="1" a="1"/>
  <c r="W1291" i="1" s="1"/>
  <c r="W1292" i="1" a="1"/>
  <c r="W1292" i="1" s="1"/>
  <c r="W1293" i="1" a="1"/>
  <c r="W1293" i="1" s="1"/>
  <c r="W1294" i="1" a="1"/>
  <c r="W1294" i="1" s="1"/>
  <c r="W1295" i="1" a="1"/>
  <c r="W1295" i="1" s="1"/>
  <c r="W1296" i="1" a="1"/>
  <c r="W1296" i="1" s="1"/>
  <c r="W1297" i="1" a="1"/>
  <c r="W1297" i="1" s="1"/>
  <c r="W1298" i="1" a="1"/>
  <c r="W1298" i="1" s="1"/>
  <c r="W1299" i="1" a="1"/>
  <c r="W1299" i="1" s="1"/>
  <c r="W1300" i="1" a="1"/>
  <c r="W1300" i="1" s="1"/>
  <c r="W1301" i="1" a="1"/>
  <c r="W1301" i="1" s="1"/>
  <c r="W1302" i="1" a="1"/>
  <c r="W1302" i="1" s="1"/>
  <c r="W1303" i="1" a="1"/>
  <c r="W1303" i="1" s="1"/>
  <c r="W1304" i="1" a="1"/>
  <c r="W1304" i="1" s="1"/>
  <c r="W1305" i="1" a="1"/>
  <c r="W1305" i="1" s="1"/>
  <c r="W1306" i="1" a="1"/>
  <c r="W1306" i="1" s="1"/>
  <c r="W1307" i="1" a="1"/>
  <c r="W1307" i="1" s="1"/>
  <c r="W1308" i="1" a="1"/>
  <c r="W1308" i="1" s="1"/>
  <c r="W1309" i="1" a="1"/>
  <c r="W1309" i="1" s="1"/>
  <c r="W1310" i="1" a="1"/>
  <c r="W1310" i="1" s="1"/>
  <c r="W1311" i="1" a="1"/>
  <c r="W1311" i="1" s="1"/>
  <c r="W1312" i="1" a="1"/>
  <c r="W1312" i="1" s="1"/>
  <c r="W1313" i="1" a="1"/>
  <c r="W1313" i="1" s="1"/>
  <c r="W1314" i="1" a="1"/>
  <c r="W1314" i="1" s="1"/>
  <c r="W1315" i="1" a="1"/>
  <c r="W1315" i="1" s="1"/>
  <c r="W1316" i="1" a="1"/>
  <c r="W1316" i="1" s="1"/>
  <c r="W1317" i="1" a="1"/>
  <c r="W1317" i="1" s="1"/>
  <c r="W1318" i="1" a="1"/>
  <c r="W1318" i="1" s="1"/>
  <c r="W1319" i="1" a="1"/>
  <c r="W1319" i="1" s="1"/>
  <c r="W1320" i="1" a="1"/>
  <c r="W1320" i="1" s="1"/>
  <c r="W1321" i="1" a="1"/>
  <c r="W1321" i="1" s="1"/>
  <c r="W1322" i="1" a="1"/>
  <c r="W1322" i="1" s="1"/>
  <c r="W1323" i="1" a="1"/>
  <c r="W1323" i="1" s="1"/>
  <c r="W1324" i="1" a="1"/>
  <c r="W1324" i="1" s="1"/>
  <c r="W1325" i="1" a="1"/>
  <c r="W1325" i="1" s="1"/>
  <c r="W1326" i="1" a="1"/>
  <c r="W1326" i="1" s="1"/>
  <c r="W1327" i="1" a="1"/>
  <c r="W1327" i="1" s="1"/>
  <c r="W1328" i="1" a="1"/>
  <c r="W1328" i="1" s="1"/>
  <c r="W1329" i="1" a="1"/>
  <c r="W1329" i="1" s="1"/>
  <c r="W1330" i="1" a="1"/>
  <c r="W1330" i="1" s="1"/>
  <c r="W1331" i="1" a="1"/>
  <c r="W1331" i="1" s="1"/>
  <c r="W1332" i="1" a="1"/>
  <c r="W1332" i="1" s="1"/>
  <c r="W1333" i="1" a="1"/>
  <c r="W1333" i="1" s="1"/>
  <c r="W1334" i="1" a="1"/>
  <c r="W1334" i="1" s="1"/>
  <c r="W1335" i="1" a="1"/>
  <c r="W1335" i="1" s="1"/>
  <c r="W1336" i="1" a="1"/>
  <c r="W1336" i="1" s="1"/>
  <c r="W1337" i="1" a="1"/>
  <c r="W1337" i="1" s="1"/>
  <c r="W1338" i="1" a="1"/>
  <c r="W1338" i="1" s="1"/>
  <c r="W1339" i="1" a="1"/>
  <c r="W1339" i="1" s="1"/>
  <c r="W1340" i="1" a="1"/>
  <c r="W1340" i="1" s="1"/>
  <c r="W1341" i="1" a="1"/>
  <c r="W1341" i="1" s="1"/>
  <c r="W1342" i="1" a="1"/>
  <c r="W1342" i="1" s="1"/>
  <c r="W1343" i="1" a="1"/>
  <c r="W1343" i="1" s="1"/>
  <c r="W1344" i="1" a="1"/>
  <c r="W1344" i="1" s="1"/>
  <c r="W1345" i="1" a="1"/>
  <c r="W1345" i="1" s="1"/>
  <c r="W1346" i="1" a="1"/>
  <c r="W1346" i="1" s="1"/>
  <c r="W1347" i="1" a="1"/>
  <c r="W1347" i="1" s="1"/>
  <c r="W1348" i="1" a="1"/>
  <c r="W1348" i="1" s="1"/>
  <c r="W1349" i="1" a="1"/>
  <c r="W1349" i="1" s="1"/>
  <c r="W1350" i="1" a="1"/>
  <c r="W1350" i="1" s="1"/>
  <c r="W1351" i="1" a="1"/>
  <c r="W1351" i="1" s="1"/>
  <c r="W1352" i="1" a="1"/>
  <c r="W1352" i="1" s="1"/>
  <c r="W1353" i="1" a="1"/>
  <c r="W1353" i="1" s="1"/>
  <c r="W1354" i="1" a="1"/>
  <c r="W1354" i="1" s="1"/>
  <c r="W1355" i="1" a="1"/>
  <c r="W1355" i="1" s="1"/>
  <c r="W1356" i="1" a="1"/>
  <c r="W1356" i="1" s="1"/>
  <c r="W1357" i="1" a="1"/>
  <c r="W1357" i="1" s="1"/>
  <c r="W1358" i="1" a="1"/>
  <c r="W1358" i="1" s="1"/>
  <c r="W1359" i="1" a="1"/>
  <c r="W1359" i="1" s="1"/>
  <c r="W1360" i="1" a="1"/>
  <c r="W1360" i="1" s="1"/>
  <c r="W1361" i="1" a="1"/>
  <c r="W1361" i="1" s="1"/>
  <c r="W1362" i="1" a="1"/>
  <c r="W1362" i="1" s="1"/>
  <c r="W1363" i="1" a="1"/>
  <c r="W1363" i="1" s="1"/>
  <c r="W1364" i="1" a="1"/>
  <c r="W1364" i="1" s="1"/>
  <c r="W1365" i="1" a="1"/>
  <c r="W1365" i="1" s="1"/>
  <c r="W1366" i="1" a="1"/>
  <c r="W1366" i="1" s="1"/>
  <c r="W1367" i="1" a="1"/>
  <c r="W1367" i="1" s="1"/>
  <c r="W1368" i="1" a="1"/>
  <c r="W1368" i="1" s="1"/>
  <c r="W1369" i="1" a="1"/>
  <c r="W1369" i="1" s="1"/>
  <c r="W1370" i="1" a="1"/>
  <c r="W1370" i="1" s="1"/>
  <c r="W1371" i="1" a="1"/>
  <c r="W1371" i="1" s="1"/>
  <c r="W1372" i="1" a="1"/>
  <c r="W1372" i="1" s="1"/>
  <c r="W1373" i="1" a="1"/>
  <c r="W1373" i="1" s="1"/>
  <c r="W1374" i="1" a="1"/>
  <c r="W1374" i="1" s="1"/>
  <c r="W1375" i="1" a="1"/>
  <c r="W1375" i="1" s="1"/>
  <c r="W1376" i="1" a="1"/>
  <c r="W1376" i="1" s="1"/>
  <c r="W1377" i="1" a="1"/>
  <c r="W1377" i="1" s="1"/>
  <c r="W1378" i="1" a="1"/>
  <c r="W1378" i="1" s="1"/>
  <c r="W1379" i="1" a="1"/>
  <c r="W1379" i="1" s="1"/>
  <c r="W1380" i="1" a="1"/>
  <c r="W1380" i="1" s="1"/>
  <c r="W1381" i="1" a="1"/>
  <c r="W1381" i="1" s="1"/>
  <c r="W1382" i="1" a="1"/>
  <c r="W1382" i="1" s="1"/>
  <c r="W1383" i="1" a="1"/>
  <c r="W1383" i="1" s="1"/>
  <c r="W1384" i="1" a="1"/>
  <c r="W1384" i="1" s="1"/>
  <c r="W1385" i="1" a="1"/>
  <c r="W1385" i="1" s="1"/>
  <c r="W1386" i="1" a="1"/>
  <c r="W1386" i="1" s="1"/>
  <c r="W1387" i="1" a="1"/>
  <c r="W1387" i="1" s="1"/>
  <c r="W1388" i="1" a="1"/>
  <c r="W1388" i="1" s="1"/>
  <c r="W1389" i="1" a="1"/>
  <c r="W1389" i="1" s="1"/>
  <c r="W1390" i="1" a="1"/>
  <c r="W1390" i="1" s="1"/>
  <c r="W1391" i="1" a="1"/>
  <c r="W1391" i="1" s="1"/>
  <c r="W1392" i="1" a="1"/>
  <c r="W1392" i="1" s="1"/>
  <c r="W1393" i="1" a="1"/>
  <c r="W1393" i="1" s="1"/>
  <c r="W1394" i="1" a="1"/>
  <c r="W1394" i="1" s="1"/>
  <c r="W1395" i="1" a="1"/>
  <c r="W1395" i="1" s="1"/>
  <c r="W1396" i="1" a="1"/>
  <c r="W1396" i="1" s="1"/>
  <c r="W1397" i="1" a="1"/>
  <c r="W1397" i="1" s="1"/>
  <c r="W1398" i="1" a="1"/>
  <c r="W1398" i="1" s="1"/>
  <c r="W1399" i="1" a="1"/>
  <c r="W1399" i="1" s="1"/>
  <c r="W1400" i="1" a="1"/>
  <c r="W1400" i="1" s="1"/>
  <c r="W1401" i="1" a="1"/>
  <c r="W1401" i="1" s="1"/>
  <c r="W1402" i="1" a="1"/>
  <c r="W1402" i="1" s="1"/>
  <c r="W1403" i="1" a="1"/>
  <c r="W1403" i="1" s="1"/>
  <c r="W1404" i="1" a="1"/>
  <c r="W1404" i="1" s="1"/>
  <c r="W1405" i="1" a="1"/>
  <c r="W1405" i="1" s="1"/>
  <c r="W1406" i="1" a="1"/>
  <c r="W1406" i="1" s="1"/>
  <c r="W1407" i="1" a="1"/>
  <c r="W1407" i="1" s="1"/>
  <c r="W1408" i="1" a="1"/>
  <c r="W1408" i="1" s="1"/>
  <c r="W1409" i="1" a="1"/>
  <c r="W1409" i="1" s="1"/>
  <c r="W1410" i="1" a="1"/>
  <c r="W1410" i="1" s="1"/>
  <c r="W1411" i="1" a="1"/>
  <c r="W1411" i="1" s="1"/>
  <c r="W1412" i="1" a="1"/>
  <c r="W1412" i="1" s="1"/>
  <c r="W1413" i="1" a="1"/>
  <c r="W1413" i="1" s="1"/>
  <c r="W1414" i="1" a="1"/>
  <c r="W1414" i="1" s="1"/>
  <c r="W1415" i="1" a="1"/>
  <c r="W1415" i="1" s="1"/>
  <c r="W1416" i="1" a="1"/>
  <c r="W1416" i="1" s="1"/>
  <c r="W1417" i="1" a="1"/>
  <c r="W1417" i="1" s="1"/>
  <c r="W1418" i="1" a="1"/>
  <c r="W1418" i="1" s="1"/>
  <c r="W1419" i="1" a="1"/>
  <c r="W1419" i="1" s="1"/>
  <c r="W1420" i="1" a="1"/>
  <c r="W1420" i="1" s="1"/>
  <c r="W1421" i="1" a="1"/>
  <c r="W1421" i="1" s="1"/>
  <c r="W1422" i="1" a="1"/>
  <c r="W1422" i="1" s="1"/>
  <c r="W1423" i="1" a="1"/>
  <c r="W1423" i="1" s="1"/>
  <c r="W1424" i="1" a="1"/>
  <c r="W1424" i="1" s="1"/>
  <c r="W1425" i="1" a="1"/>
  <c r="W1425" i="1" s="1"/>
  <c r="W1426" i="1" a="1"/>
  <c r="W1426" i="1" s="1"/>
  <c r="W1427" i="1" a="1"/>
  <c r="W1427" i="1" s="1"/>
  <c r="W1428" i="1" a="1"/>
  <c r="W1428" i="1" s="1"/>
  <c r="W1429" i="1" a="1"/>
  <c r="W1429" i="1" s="1"/>
  <c r="W1430" i="1" a="1"/>
  <c r="W1430" i="1" s="1"/>
  <c r="W1431" i="1" a="1"/>
  <c r="W1431" i="1" s="1"/>
  <c r="W1432" i="1" a="1"/>
  <c r="W1432" i="1" s="1"/>
  <c r="W1433" i="1" a="1"/>
  <c r="W1433" i="1" s="1"/>
  <c r="W1434" i="1" a="1"/>
  <c r="W1434" i="1" s="1"/>
  <c r="W1435" i="1" a="1"/>
  <c r="W1435" i="1" s="1"/>
  <c r="W1436" i="1" a="1"/>
  <c r="W1436" i="1" s="1"/>
  <c r="W1437" i="1" a="1"/>
  <c r="W1437" i="1" s="1"/>
  <c r="W1438" i="1" a="1"/>
  <c r="W1438" i="1" s="1"/>
  <c r="W1439" i="1" a="1"/>
  <c r="W1439" i="1" s="1"/>
  <c r="W1440" i="1" a="1"/>
  <c r="W1440" i="1" s="1"/>
  <c r="W1441" i="1" a="1"/>
  <c r="W1441" i="1" s="1"/>
  <c r="W1442" i="1" a="1"/>
  <c r="W1442" i="1" s="1"/>
  <c r="W1443" i="1" a="1"/>
  <c r="W1443" i="1" s="1"/>
  <c r="W1444" i="1" a="1"/>
  <c r="W1444" i="1" s="1"/>
  <c r="W1445" i="1" a="1"/>
  <c r="W1445" i="1" s="1"/>
  <c r="W1446" i="1" a="1"/>
  <c r="W1446" i="1" s="1"/>
  <c r="W1447" i="1" a="1"/>
  <c r="W1447" i="1" s="1"/>
  <c r="W1448" i="1" a="1"/>
  <c r="W1448" i="1" s="1"/>
  <c r="W1449" i="1" a="1"/>
  <c r="W1449" i="1" s="1"/>
  <c r="W1450" i="1" a="1"/>
  <c r="W1450" i="1" s="1"/>
  <c r="W1451" i="1" a="1"/>
  <c r="W1451" i="1" s="1"/>
  <c r="W1452" i="1" a="1"/>
  <c r="W1452" i="1" s="1"/>
  <c r="W1453" i="1" a="1"/>
  <c r="W1453" i="1" s="1"/>
  <c r="W1454" i="1" a="1"/>
  <c r="W1454" i="1" s="1"/>
  <c r="W1455" i="1" a="1"/>
  <c r="W1455" i="1" s="1"/>
  <c r="W1456" i="1" a="1"/>
  <c r="W1456" i="1" s="1"/>
  <c r="W1457" i="1" a="1"/>
  <c r="W1457" i="1" s="1"/>
  <c r="W1458" i="1" a="1"/>
  <c r="W1458" i="1" s="1"/>
  <c r="W1459" i="1" a="1"/>
  <c r="W1459" i="1" s="1"/>
  <c r="W1460" i="1" a="1"/>
  <c r="W1460" i="1" s="1"/>
  <c r="W1461" i="1" a="1"/>
  <c r="W1461" i="1" s="1"/>
  <c r="W1462" i="1" a="1"/>
  <c r="W1462" i="1" s="1"/>
  <c r="W1463" i="1" a="1"/>
  <c r="W1463" i="1" s="1"/>
  <c r="W1464" i="1" a="1"/>
  <c r="W1464" i="1" s="1"/>
  <c r="W1465" i="1" a="1"/>
  <c r="W1465" i="1" s="1"/>
  <c r="W1466" i="1" a="1"/>
  <c r="W1466" i="1" s="1"/>
  <c r="W1467" i="1" a="1"/>
  <c r="W1467" i="1" s="1"/>
  <c r="W1468" i="1" a="1"/>
  <c r="W1468" i="1" s="1"/>
  <c r="W1469" i="1" a="1"/>
  <c r="W1469" i="1" s="1"/>
  <c r="W1470" i="1" a="1"/>
  <c r="W1470" i="1" s="1"/>
  <c r="W1471" i="1" a="1"/>
  <c r="W1471" i="1" s="1"/>
  <c r="W2" i="1" a="1"/>
  <c r="W2" i="1" s="1"/>
  <c r="AE3" i="1" a="1"/>
  <c r="AE3" i="1" s="1"/>
  <c r="AE4" i="1" a="1"/>
  <c r="AE4" i="1" s="1"/>
  <c r="AE5" i="1" a="1"/>
  <c r="AE5" i="1" s="1"/>
  <c r="AE6" i="1" a="1"/>
  <c r="AE6" i="1" s="1"/>
  <c r="AE7" i="1" a="1"/>
  <c r="AE7" i="1" s="1"/>
  <c r="AE8" i="1" a="1"/>
  <c r="AE8" i="1" s="1"/>
  <c r="AE9" i="1" a="1"/>
  <c r="AE9" i="1" s="1"/>
  <c r="AE10" i="1" a="1"/>
  <c r="AE10" i="1" s="1"/>
  <c r="AE11" i="1" a="1"/>
  <c r="AE11" i="1" s="1"/>
  <c r="AE12" i="1" a="1"/>
  <c r="AE12" i="1" s="1"/>
  <c r="AE13" i="1" a="1"/>
  <c r="AE13" i="1" s="1"/>
  <c r="AE14" i="1" a="1"/>
  <c r="AE14" i="1" s="1"/>
  <c r="AE15" i="1" a="1"/>
  <c r="AE15" i="1" s="1"/>
  <c r="AE16" i="1" a="1"/>
  <c r="AE16" i="1" s="1"/>
  <c r="AE17" i="1" a="1"/>
  <c r="AE17" i="1" s="1"/>
  <c r="AE18" i="1" a="1"/>
  <c r="AE18" i="1" s="1"/>
  <c r="AE19" i="1" a="1"/>
  <c r="AE19" i="1" s="1"/>
  <c r="AE20" i="1" a="1"/>
  <c r="AE20" i="1" s="1"/>
  <c r="AE21" i="1" a="1"/>
  <c r="AE21" i="1" s="1"/>
  <c r="AE22" i="1" a="1"/>
  <c r="AE22" i="1" s="1"/>
  <c r="AE23" i="1" a="1"/>
  <c r="AE23" i="1" s="1"/>
  <c r="AE24" i="1" a="1"/>
  <c r="AE24" i="1" s="1"/>
  <c r="AE25" i="1" a="1"/>
  <c r="AE25" i="1" s="1"/>
  <c r="AE26" i="1" a="1"/>
  <c r="AE26" i="1" s="1"/>
  <c r="AE27" i="1" a="1"/>
  <c r="AE27" i="1" s="1"/>
  <c r="AE28" i="1" a="1"/>
  <c r="AE28" i="1" s="1"/>
  <c r="AE29" i="1" a="1"/>
  <c r="AE29" i="1" s="1"/>
  <c r="AE30" i="1" a="1"/>
  <c r="AE30" i="1" s="1"/>
  <c r="AE31" i="1" a="1"/>
  <c r="AE31" i="1" s="1"/>
  <c r="AE32" i="1" a="1"/>
  <c r="AE32" i="1" s="1"/>
  <c r="AE33" i="1" a="1"/>
  <c r="AE33" i="1" s="1"/>
  <c r="AE34" i="1" a="1"/>
  <c r="AE34" i="1" s="1"/>
  <c r="AE35" i="1" a="1"/>
  <c r="AE35" i="1" s="1"/>
  <c r="AE36" i="1" a="1"/>
  <c r="AE36" i="1" s="1"/>
  <c r="AE37" i="1" a="1"/>
  <c r="AE37" i="1" s="1"/>
  <c r="AE38" i="1" a="1"/>
  <c r="AE38" i="1" s="1"/>
  <c r="AE39" i="1" a="1"/>
  <c r="AE39" i="1" s="1"/>
  <c r="AE40" i="1" a="1"/>
  <c r="AE40" i="1" s="1"/>
  <c r="AE41" i="1" a="1"/>
  <c r="AE41" i="1" s="1"/>
  <c r="AE42" i="1" a="1"/>
  <c r="AE42" i="1" s="1"/>
  <c r="AE43" i="1" a="1"/>
  <c r="AE43" i="1" s="1"/>
  <c r="AE44" i="1" a="1"/>
  <c r="AE44" i="1" s="1"/>
  <c r="AE45" i="1" a="1"/>
  <c r="AE45" i="1" s="1"/>
  <c r="AE46" i="1" a="1"/>
  <c r="AE46" i="1" s="1"/>
  <c r="AE47" i="1" a="1"/>
  <c r="AE47" i="1" s="1"/>
  <c r="AE48" i="1" a="1"/>
  <c r="AE48" i="1" s="1"/>
  <c r="AE49" i="1" a="1"/>
  <c r="AE49" i="1" s="1"/>
  <c r="AE50" i="1" a="1"/>
  <c r="AE50" i="1" s="1"/>
  <c r="AE51" i="1" a="1"/>
  <c r="AE51" i="1" s="1"/>
  <c r="AE52" i="1" a="1"/>
  <c r="AE52" i="1" s="1"/>
  <c r="AE53" i="1" a="1"/>
  <c r="AE53" i="1" s="1"/>
  <c r="AE54" i="1" a="1"/>
  <c r="AE54" i="1" s="1"/>
  <c r="AE55" i="1" a="1"/>
  <c r="AE55" i="1" s="1"/>
  <c r="AE56" i="1" a="1"/>
  <c r="AE56" i="1" s="1"/>
  <c r="AE57" i="1" a="1"/>
  <c r="AE57" i="1" s="1"/>
  <c r="AE58" i="1" a="1"/>
  <c r="AE58" i="1" s="1"/>
  <c r="AE59" i="1" a="1"/>
  <c r="AE59" i="1" s="1"/>
  <c r="AE60" i="1" a="1"/>
  <c r="AE60" i="1" s="1"/>
  <c r="AE61" i="1" a="1"/>
  <c r="AE61" i="1" s="1"/>
  <c r="AE62" i="1" a="1"/>
  <c r="AE62" i="1" s="1"/>
  <c r="AE63" i="1" a="1"/>
  <c r="AE63" i="1" s="1"/>
  <c r="AE64" i="1" a="1"/>
  <c r="AE64" i="1" s="1"/>
  <c r="AE65" i="1" a="1"/>
  <c r="AE65" i="1" s="1"/>
  <c r="AE66" i="1" a="1"/>
  <c r="AE66" i="1" s="1"/>
  <c r="AE67" i="1" a="1"/>
  <c r="AE67" i="1" s="1"/>
  <c r="AE68" i="1" a="1"/>
  <c r="AE68" i="1" s="1"/>
  <c r="AE69" i="1" a="1"/>
  <c r="AE69" i="1" s="1"/>
  <c r="AE70" i="1" a="1"/>
  <c r="AE70" i="1" s="1"/>
  <c r="AE71" i="1" a="1"/>
  <c r="AE71" i="1" s="1"/>
  <c r="AE72" i="1" a="1"/>
  <c r="AE72" i="1" s="1"/>
  <c r="AE73" i="1" a="1"/>
  <c r="AE73" i="1" s="1"/>
  <c r="AE74" i="1" a="1"/>
  <c r="AE74" i="1" s="1"/>
  <c r="AE75" i="1" a="1"/>
  <c r="AE75" i="1" s="1"/>
  <c r="AE76" i="1" a="1"/>
  <c r="AE76" i="1" s="1"/>
  <c r="AE77" i="1" a="1"/>
  <c r="AE77" i="1" s="1"/>
  <c r="AE78" i="1" a="1"/>
  <c r="AE78" i="1" s="1"/>
  <c r="AE79" i="1" a="1"/>
  <c r="AE79" i="1" s="1"/>
  <c r="AE80" i="1" a="1"/>
  <c r="AE80" i="1" s="1"/>
  <c r="AE81" i="1" a="1"/>
  <c r="AE81" i="1" s="1"/>
  <c r="AE82" i="1" a="1"/>
  <c r="AE82" i="1" s="1"/>
  <c r="AE83" i="1" a="1"/>
  <c r="AE83" i="1" s="1"/>
  <c r="AE84" i="1" a="1"/>
  <c r="AE84" i="1" s="1"/>
  <c r="AE85" i="1" a="1"/>
  <c r="AE85" i="1" s="1"/>
  <c r="AE86" i="1" a="1"/>
  <c r="AE86" i="1" s="1"/>
  <c r="AE87" i="1" a="1"/>
  <c r="AE87" i="1" s="1"/>
  <c r="AE88" i="1" a="1"/>
  <c r="AE88" i="1" s="1"/>
  <c r="AE89" i="1" a="1"/>
  <c r="AE89" i="1" s="1"/>
  <c r="AE90" i="1" a="1"/>
  <c r="AE90" i="1" s="1"/>
  <c r="AE91" i="1" a="1"/>
  <c r="AE91" i="1" s="1"/>
  <c r="AE92" i="1" a="1"/>
  <c r="AE92" i="1" s="1"/>
  <c r="AE93" i="1" a="1"/>
  <c r="AE93" i="1" s="1"/>
  <c r="AE94" i="1" a="1"/>
  <c r="AE94" i="1" s="1"/>
  <c r="AE95" i="1" a="1"/>
  <c r="AE95" i="1" s="1"/>
  <c r="AE96" i="1" a="1"/>
  <c r="AE96" i="1" s="1"/>
  <c r="AE97" i="1" a="1"/>
  <c r="AE97" i="1" s="1"/>
  <c r="AE98" i="1" a="1"/>
  <c r="AE98" i="1" s="1"/>
  <c r="AE99" i="1" a="1"/>
  <c r="AE99" i="1" s="1"/>
  <c r="AE100" i="1" a="1"/>
  <c r="AE100" i="1" s="1"/>
  <c r="AE101" i="1" a="1"/>
  <c r="AE101" i="1" s="1"/>
  <c r="AE102" i="1" a="1"/>
  <c r="AE102" i="1" s="1"/>
  <c r="AE103" i="1" a="1"/>
  <c r="AE103" i="1" s="1"/>
  <c r="AE104" i="1" a="1"/>
  <c r="AE104" i="1" s="1"/>
  <c r="AE105" i="1" a="1"/>
  <c r="AE105" i="1" s="1"/>
  <c r="AE106" i="1" a="1"/>
  <c r="AE106" i="1" s="1"/>
  <c r="AE107" i="1" a="1"/>
  <c r="AE107" i="1" s="1"/>
  <c r="AE108" i="1" a="1"/>
  <c r="AE108" i="1" s="1"/>
  <c r="AE109" i="1" a="1"/>
  <c r="AE109" i="1" s="1"/>
  <c r="AE110" i="1" a="1"/>
  <c r="AE110" i="1" s="1"/>
  <c r="AE111" i="1" a="1"/>
  <c r="AE111" i="1" s="1"/>
  <c r="AE112" i="1" a="1"/>
  <c r="AE112" i="1" s="1"/>
  <c r="AE113" i="1" a="1"/>
  <c r="AE113" i="1" s="1"/>
  <c r="AE114" i="1" a="1"/>
  <c r="AE114" i="1" s="1"/>
  <c r="AE115" i="1" a="1"/>
  <c r="AE115" i="1" s="1"/>
  <c r="AE116" i="1" a="1"/>
  <c r="AE116" i="1" s="1"/>
  <c r="AE117" i="1" a="1"/>
  <c r="AE117" i="1" s="1"/>
  <c r="AE118" i="1" a="1"/>
  <c r="AE118" i="1" s="1"/>
  <c r="AE119" i="1" a="1"/>
  <c r="AE119" i="1" s="1"/>
  <c r="AE120" i="1" a="1"/>
  <c r="AE120" i="1" s="1"/>
  <c r="AE121" i="1" a="1"/>
  <c r="AE121" i="1" s="1"/>
  <c r="AE122" i="1" a="1"/>
  <c r="AE122" i="1" s="1"/>
  <c r="AE123" i="1" a="1"/>
  <c r="AE123" i="1" s="1"/>
  <c r="AE124" i="1" a="1"/>
  <c r="AE124" i="1" s="1"/>
  <c r="AE125" i="1" a="1"/>
  <c r="AE125" i="1" s="1"/>
  <c r="AE126" i="1" a="1"/>
  <c r="AE126" i="1" s="1"/>
  <c r="AE127" i="1" a="1"/>
  <c r="AE127" i="1" s="1"/>
  <c r="AE128" i="1" a="1"/>
  <c r="AE128" i="1" s="1"/>
  <c r="AE129" i="1" a="1"/>
  <c r="AE129" i="1" s="1"/>
  <c r="AE130" i="1" a="1"/>
  <c r="AE130" i="1" s="1"/>
  <c r="AE131" i="1" a="1"/>
  <c r="AE131" i="1" s="1"/>
  <c r="AE132" i="1" a="1"/>
  <c r="AE132" i="1" s="1"/>
  <c r="AE133" i="1" a="1"/>
  <c r="AE133" i="1" s="1"/>
  <c r="AE134" i="1" a="1"/>
  <c r="AE134" i="1" s="1"/>
  <c r="AE135" i="1" a="1"/>
  <c r="AE135" i="1" s="1"/>
  <c r="AE136" i="1" a="1"/>
  <c r="AE136" i="1" s="1"/>
  <c r="AE137" i="1" a="1"/>
  <c r="AE137" i="1" s="1"/>
  <c r="AE138" i="1" a="1"/>
  <c r="AE138" i="1" s="1"/>
  <c r="AE139" i="1" a="1"/>
  <c r="AE139" i="1" s="1"/>
  <c r="AE140" i="1" a="1"/>
  <c r="AE140" i="1" s="1"/>
  <c r="AE141" i="1" a="1"/>
  <c r="AE141" i="1" s="1"/>
  <c r="AE142" i="1" a="1"/>
  <c r="AE142" i="1" s="1"/>
  <c r="AE143" i="1" a="1"/>
  <c r="AE143" i="1" s="1"/>
  <c r="AE144" i="1" a="1"/>
  <c r="AE144" i="1" s="1"/>
  <c r="AE145" i="1" a="1"/>
  <c r="AE145" i="1" s="1"/>
  <c r="AE146" i="1" a="1"/>
  <c r="AE146" i="1" s="1"/>
  <c r="AE147" i="1" a="1"/>
  <c r="AE147" i="1" s="1"/>
  <c r="AE148" i="1" a="1"/>
  <c r="AE148" i="1" s="1"/>
  <c r="AE149" i="1" a="1"/>
  <c r="AE149" i="1" s="1"/>
  <c r="AE150" i="1" a="1"/>
  <c r="AE150" i="1" s="1"/>
  <c r="AE151" i="1" a="1"/>
  <c r="AE151" i="1" s="1"/>
  <c r="AE152" i="1" a="1"/>
  <c r="AE152" i="1" s="1"/>
  <c r="AE153" i="1" a="1"/>
  <c r="AE153" i="1" s="1"/>
  <c r="AE154" i="1" a="1"/>
  <c r="AE154" i="1" s="1"/>
  <c r="AE155" i="1" a="1"/>
  <c r="AE155" i="1" s="1"/>
  <c r="AE156" i="1" a="1"/>
  <c r="AE156" i="1" s="1"/>
  <c r="AE157" i="1" a="1"/>
  <c r="AE157" i="1" s="1"/>
  <c r="AE158" i="1" a="1"/>
  <c r="AE158" i="1" s="1"/>
  <c r="AE159" i="1" a="1"/>
  <c r="AE159" i="1" s="1"/>
  <c r="AE160" i="1" a="1"/>
  <c r="AE160" i="1" s="1"/>
  <c r="AE161" i="1" a="1"/>
  <c r="AE161" i="1" s="1"/>
  <c r="AE162" i="1" a="1"/>
  <c r="AE162" i="1" s="1"/>
  <c r="AE163" i="1" a="1"/>
  <c r="AE163" i="1" s="1"/>
  <c r="AE164" i="1" a="1"/>
  <c r="AE164" i="1" s="1"/>
  <c r="AE165" i="1" a="1"/>
  <c r="AE165" i="1" s="1"/>
  <c r="AE166" i="1" a="1"/>
  <c r="AE166" i="1" s="1"/>
  <c r="AE167" i="1" a="1"/>
  <c r="AE167" i="1" s="1"/>
  <c r="AE168" i="1" a="1"/>
  <c r="AE168" i="1" s="1"/>
  <c r="AE169" i="1" a="1"/>
  <c r="AE169" i="1" s="1"/>
  <c r="AE170" i="1" a="1"/>
  <c r="AE170" i="1" s="1"/>
  <c r="AE171" i="1" a="1"/>
  <c r="AE171" i="1" s="1"/>
  <c r="AE172" i="1" a="1"/>
  <c r="AE172" i="1" s="1"/>
  <c r="AE173" i="1" a="1"/>
  <c r="AE173" i="1" s="1"/>
  <c r="AE174" i="1" a="1"/>
  <c r="AE174" i="1" s="1"/>
  <c r="AE175" i="1" a="1"/>
  <c r="AE175" i="1" s="1"/>
  <c r="AE176" i="1" a="1"/>
  <c r="AE176" i="1" s="1"/>
  <c r="AE177" i="1" a="1"/>
  <c r="AE177" i="1" s="1"/>
  <c r="AE178" i="1" a="1"/>
  <c r="AE178" i="1" s="1"/>
  <c r="AE179" i="1" a="1"/>
  <c r="AE179" i="1" s="1"/>
  <c r="AE180" i="1" a="1"/>
  <c r="AE180" i="1" s="1"/>
  <c r="AE181" i="1" a="1"/>
  <c r="AE181" i="1" s="1"/>
  <c r="AE182" i="1" a="1"/>
  <c r="AE182" i="1" s="1"/>
  <c r="AE183" i="1" a="1"/>
  <c r="AE183" i="1" s="1"/>
  <c r="AE184" i="1" a="1"/>
  <c r="AE184" i="1" s="1"/>
  <c r="AE185" i="1" a="1"/>
  <c r="AE185" i="1" s="1"/>
  <c r="AE186" i="1" a="1"/>
  <c r="AE186" i="1" s="1"/>
  <c r="AE187" i="1" a="1"/>
  <c r="AE187" i="1" s="1"/>
  <c r="AE188" i="1" a="1"/>
  <c r="AE188" i="1" s="1"/>
  <c r="AE189" i="1" a="1"/>
  <c r="AE189" i="1" s="1"/>
  <c r="AE190" i="1" a="1"/>
  <c r="AE190" i="1" s="1"/>
  <c r="AE191" i="1" a="1"/>
  <c r="AE191" i="1" s="1"/>
  <c r="AE192" i="1" a="1"/>
  <c r="AE192" i="1" s="1"/>
  <c r="AE193" i="1" a="1"/>
  <c r="AE193" i="1" s="1"/>
  <c r="AE194" i="1" a="1"/>
  <c r="AE194" i="1" s="1"/>
  <c r="AE195" i="1" a="1"/>
  <c r="AE195" i="1" s="1"/>
  <c r="AE196" i="1" a="1"/>
  <c r="AE196" i="1" s="1"/>
  <c r="AE197" i="1" a="1"/>
  <c r="AE197" i="1" s="1"/>
  <c r="AE198" i="1" a="1"/>
  <c r="AE198" i="1" s="1"/>
  <c r="AE199" i="1" a="1"/>
  <c r="AE199" i="1" s="1"/>
  <c r="AE200" i="1" a="1"/>
  <c r="AE200" i="1" s="1"/>
  <c r="AE201" i="1" a="1"/>
  <c r="AE201" i="1" s="1"/>
  <c r="AE202" i="1" a="1"/>
  <c r="AE202" i="1" s="1"/>
  <c r="AE203" i="1" a="1"/>
  <c r="AE203" i="1" s="1"/>
  <c r="AE204" i="1" a="1"/>
  <c r="AE204" i="1" s="1"/>
  <c r="AE205" i="1" a="1"/>
  <c r="AE205" i="1" s="1"/>
  <c r="AE206" i="1" a="1"/>
  <c r="AE206" i="1" s="1"/>
  <c r="AE207" i="1" a="1"/>
  <c r="AE207" i="1" s="1"/>
  <c r="AE208" i="1" a="1"/>
  <c r="AE208" i="1" s="1"/>
  <c r="AE209" i="1" a="1"/>
  <c r="AE209" i="1" s="1"/>
  <c r="AE210" i="1" a="1"/>
  <c r="AE210" i="1" s="1"/>
  <c r="AE211" i="1" a="1"/>
  <c r="AE211" i="1" s="1"/>
  <c r="AE212" i="1" a="1"/>
  <c r="AE212" i="1" s="1"/>
  <c r="AE213" i="1" a="1"/>
  <c r="AE213" i="1" s="1"/>
  <c r="AE214" i="1" a="1"/>
  <c r="AE214" i="1" s="1"/>
  <c r="AE215" i="1" a="1"/>
  <c r="AE215" i="1" s="1"/>
  <c r="AE216" i="1" a="1"/>
  <c r="AE216" i="1" s="1"/>
  <c r="AE217" i="1" a="1"/>
  <c r="AE217" i="1" s="1"/>
  <c r="AE218" i="1" a="1"/>
  <c r="AE218" i="1" s="1"/>
  <c r="AE219" i="1" a="1"/>
  <c r="AE219" i="1" s="1"/>
  <c r="AE220" i="1" a="1"/>
  <c r="AE220" i="1" s="1"/>
  <c r="AE221" i="1" a="1"/>
  <c r="AE221" i="1" s="1"/>
  <c r="AE222" i="1" a="1"/>
  <c r="AE222" i="1" s="1"/>
  <c r="AE223" i="1" a="1"/>
  <c r="AE223" i="1" s="1"/>
  <c r="AE224" i="1" a="1"/>
  <c r="AE224" i="1" s="1"/>
  <c r="AE225" i="1" a="1"/>
  <c r="AE225" i="1" s="1"/>
  <c r="AE226" i="1" a="1"/>
  <c r="AE226" i="1" s="1"/>
  <c r="AE227" i="1" a="1"/>
  <c r="AE227" i="1" s="1"/>
  <c r="AE228" i="1" a="1"/>
  <c r="AE228" i="1" s="1"/>
  <c r="AE229" i="1" a="1"/>
  <c r="AE229" i="1" s="1"/>
  <c r="AE230" i="1" a="1"/>
  <c r="AE230" i="1" s="1"/>
  <c r="AE231" i="1" a="1"/>
  <c r="AE231" i="1" s="1"/>
  <c r="AE232" i="1" a="1"/>
  <c r="AE232" i="1" s="1"/>
  <c r="AE233" i="1" a="1"/>
  <c r="AE233" i="1" s="1"/>
  <c r="AE234" i="1" a="1"/>
  <c r="AE234" i="1" s="1"/>
  <c r="AE235" i="1" a="1"/>
  <c r="AE235" i="1" s="1"/>
  <c r="AE236" i="1" a="1"/>
  <c r="AE236" i="1" s="1"/>
  <c r="AE237" i="1" a="1"/>
  <c r="AE237" i="1" s="1"/>
  <c r="AE238" i="1" a="1"/>
  <c r="AE238" i="1" s="1"/>
  <c r="AE239" i="1" a="1"/>
  <c r="AE239" i="1" s="1"/>
  <c r="AE240" i="1" a="1"/>
  <c r="AE240" i="1" s="1"/>
  <c r="AE241" i="1" a="1"/>
  <c r="AE241" i="1" s="1"/>
  <c r="AE242" i="1" a="1"/>
  <c r="AE242" i="1" s="1"/>
  <c r="AE243" i="1" a="1"/>
  <c r="AE243" i="1" s="1"/>
  <c r="AE244" i="1" a="1"/>
  <c r="AE244" i="1" s="1"/>
  <c r="AE245" i="1" a="1"/>
  <c r="AE245" i="1" s="1"/>
  <c r="AE246" i="1" a="1"/>
  <c r="AE246" i="1" s="1"/>
  <c r="AE247" i="1" a="1"/>
  <c r="AE247" i="1" s="1"/>
  <c r="AE248" i="1" a="1"/>
  <c r="AE248" i="1" s="1"/>
  <c r="AE249" i="1" a="1"/>
  <c r="AE249" i="1" s="1"/>
  <c r="AE250" i="1" a="1"/>
  <c r="AE250" i="1" s="1"/>
  <c r="AE251" i="1" a="1"/>
  <c r="AE251" i="1" s="1"/>
  <c r="AE252" i="1" a="1"/>
  <c r="AE252" i="1" s="1"/>
  <c r="AE253" i="1" a="1"/>
  <c r="AE253" i="1" s="1"/>
  <c r="AE254" i="1" a="1"/>
  <c r="AE254" i="1" s="1"/>
  <c r="AE255" i="1" a="1"/>
  <c r="AE255" i="1" s="1"/>
  <c r="AE256" i="1" a="1"/>
  <c r="AE256" i="1" s="1"/>
  <c r="AE257" i="1" a="1"/>
  <c r="AE257" i="1" s="1"/>
  <c r="AE258" i="1" a="1"/>
  <c r="AE258" i="1" s="1"/>
  <c r="AE259" i="1" a="1"/>
  <c r="AE259" i="1" s="1"/>
  <c r="AE260" i="1" a="1"/>
  <c r="AE260" i="1" s="1"/>
  <c r="AE261" i="1" a="1"/>
  <c r="AE261" i="1" s="1"/>
  <c r="AE262" i="1" a="1"/>
  <c r="AE262" i="1" s="1"/>
  <c r="AE263" i="1" a="1"/>
  <c r="AE263" i="1" s="1"/>
  <c r="AE264" i="1" a="1"/>
  <c r="AE264" i="1" s="1"/>
  <c r="AE265" i="1" a="1"/>
  <c r="AE265" i="1" s="1"/>
  <c r="AE266" i="1" a="1"/>
  <c r="AE266" i="1" s="1"/>
  <c r="AE267" i="1" a="1"/>
  <c r="AE267" i="1" s="1"/>
  <c r="AE268" i="1" a="1"/>
  <c r="AE268" i="1" s="1"/>
  <c r="AE269" i="1" a="1"/>
  <c r="AE269" i="1" s="1"/>
  <c r="AE270" i="1" a="1"/>
  <c r="AE270" i="1" s="1"/>
  <c r="AE271" i="1" a="1"/>
  <c r="AE271" i="1" s="1"/>
  <c r="AE272" i="1" a="1"/>
  <c r="AE272" i="1" s="1"/>
  <c r="AE273" i="1" a="1"/>
  <c r="AE273" i="1" s="1"/>
  <c r="AE274" i="1" a="1"/>
  <c r="AE274" i="1" s="1"/>
  <c r="AE275" i="1" a="1"/>
  <c r="AE275" i="1" s="1"/>
  <c r="AE276" i="1" a="1"/>
  <c r="AE276" i="1" s="1"/>
  <c r="AE277" i="1" a="1"/>
  <c r="AE277" i="1" s="1"/>
  <c r="AE278" i="1" a="1"/>
  <c r="AE278" i="1" s="1"/>
  <c r="AE279" i="1" a="1"/>
  <c r="AE279" i="1" s="1"/>
  <c r="AE280" i="1" a="1"/>
  <c r="AE280" i="1" s="1"/>
  <c r="AE281" i="1" a="1"/>
  <c r="AE281" i="1" s="1"/>
  <c r="AE282" i="1" a="1"/>
  <c r="AE282" i="1" s="1"/>
  <c r="AE283" i="1" a="1"/>
  <c r="AE283" i="1" s="1"/>
  <c r="AE284" i="1" a="1"/>
  <c r="AE284" i="1" s="1"/>
  <c r="AE285" i="1" a="1"/>
  <c r="AE285" i="1" s="1"/>
  <c r="AE286" i="1" a="1"/>
  <c r="AE286" i="1" s="1"/>
  <c r="AE287" i="1" a="1"/>
  <c r="AE287" i="1" s="1"/>
  <c r="AE288" i="1" a="1"/>
  <c r="AE288" i="1" s="1"/>
  <c r="AE289" i="1" a="1"/>
  <c r="AE289" i="1" s="1"/>
  <c r="AE290" i="1" a="1"/>
  <c r="AE290" i="1" s="1"/>
  <c r="AE291" i="1" a="1"/>
  <c r="AE291" i="1" s="1"/>
  <c r="AE292" i="1" a="1"/>
  <c r="AE292" i="1" s="1"/>
  <c r="AE293" i="1" a="1"/>
  <c r="AE293" i="1" s="1"/>
  <c r="AE294" i="1" a="1"/>
  <c r="AE294" i="1" s="1"/>
  <c r="AE295" i="1" a="1"/>
  <c r="AE295" i="1" s="1"/>
  <c r="AE296" i="1" a="1"/>
  <c r="AE296" i="1" s="1"/>
  <c r="AE297" i="1" a="1"/>
  <c r="AE297" i="1" s="1"/>
  <c r="AE298" i="1" a="1"/>
  <c r="AE298" i="1" s="1"/>
  <c r="AE299" i="1" a="1"/>
  <c r="AE299" i="1" s="1"/>
  <c r="AE300" i="1" a="1"/>
  <c r="AE300" i="1" s="1"/>
  <c r="AE301" i="1" a="1"/>
  <c r="AE301" i="1" s="1"/>
  <c r="AE302" i="1" a="1"/>
  <c r="AE302" i="1" s="1"/>
  <c r="AE303" i="1" a="1"/>
  <c r="AE303" i="1" s="1"/>
  <c r="AE304" i="1" a="1"/>
  <c r="AE304" i="1" s="1"/>
  <c r="AE305" i="1" a="1"/>
  <c r="AE305" i="1" s="1"/>
  <c r="AE306" i="1" a="1"/>
  <c r="AE306" i="1" s="1"/>
  <c r="AE307" i="1" a="1"/>
  <c r="AE307" i="1" s="1"/>
  <c r="AE308" i="1" a="1"/>
  <c r="AE308" i="1" s="1"/>
  <c r="AE309" i="1" a="1"/>
  <c r="AE309" i="1" s="1"/>
  <c r="AE310" i="1" a="1"/>
  <c r="AE310" i="1" s="1"/>
  <c r="AE311" i="1" a="1"/>
  <c r="AE311" i="1" s="1"/>
  <c r="AE312" i="1" a="1"/>
  <c r="AE312" i="1" s="1"/>
  <c r="AE313" i="1" a="1"/>
  <c r="AE313" i="1" s="1"/>
  <c r="AE314" i="1" a="1"/>
  <c r="AE314" i="1" s="1"/>
  <c r="AE315" i="1" a="1"/>
  <c r="AE315" i="1" s="1"/>
  <c r="AE316" i="1" a="1"/>
  <c r="AE316" i="1" s="1"/>
  <c r="AE317" i="1" a="1"/>
  <c r="AE317" i="1" s="1"/>
  <c r="AE318" i="1" a="1"/>
  <c r="AE318" i="1" s="1"/>
  <c r="AE319" i="1" a="1"/>
  <c r="AE319" i="1" s="1"/>
  <c r="AE320" i="1" a="1"/>
  <c r="AE320" i="1" s="1"/>
  <c r="AE321" i="1" a="1"/>
  <c r="AE321" i="1" s="1"/>
  <c r="AE322" i="1" a="1"/>
  <c r="AE322" i="1" s="1"/>
  <c r="AE323" i="1" a="1"/>
  <c r="AE323" i="1" s="1"/>
  <c r="AE324" i="1" a="1"/>
  <c r="AE324" i="1" s="1"/>
  <c r="AE325" i="1" a="1"/>
  <c r="AE325" i="1" s="1"/>
  <c r="AE326" i="1" a="1"/>
  <c r="AE326" i="1" s="1"/>
  <c r="AE327" i="1" a="1"/>
  <c r="AE327" i="1" s="1"/>
  <c r="AE328" i="1" a="1"/>
  <c r="AE328" i="1" s="1"/>
  <c r="AE329" i="1" a="1"/>
  <c r="AE329" i="1" s="1"/>
  <c r="AE330" i="1" a="1"/>
  <c r="AE330" i="1" s="1"/>
  <c r="AE331" i="1" a="1"/>
  <c r="AE331" i="1" s="1"/>
  <c r="AE332" i="1" a="1"/>
  <c r="AE332" i="1" s="1"/>
  <c r="AE333" i="1" a="1"/>
  <c r="AE333" i="1" s="1"/>
  <c r="AE334" i="1" a="1"/>
  <c r="AE334" i="1" s="1"/>
  <c r="AE335" i="1" a="1"/>
  <c r="AE335" i="1" s="1"/>
  <c r="AE336" i="1" a="1"/>
  <c r="AE336" i="1" s="1"/>
  <c r="AE337" i="1" a="1"/>
  <c r="AE337" i="1" s="1"/>
  <c r="AE338" i="1" a="1"/>
  <c r="AE338" i="1" s="1"/>
  <c r="AE339" i="1" a="1"/>
  <c r="AE339" i="1" s="1"/>
  <c r="AE340" i="1" a="1"/>
  <c r="AE340" i="1" s="1"/>
  <c r="AE341" i="1" a="1"/>
  <c r="AE341" i="1" s="1"/>
  <c r="AE342" i="1" a="1"/>
  <c r="AE342" i="1" s="1"/>
  <c r="AE343" i="1" a="1"/>
  <c r="AE343" i="1" s="1"/>
  <c r="AE344" i="1" a="1"/>
  <c r="AE344" i="1" s="1"/>
  <c r="AE345" i="1" a="1"/>
  <c r="AE345" i="1" s="1"/>
  <c r="AE346" i="1" a="1"/>
  <c r="AE346" i="1" s="1"/>
  <c r="AE347" i="1" a="1"/>
  <c r="AE347" i="1" s="1"/>
  <c r="AE348" i="1" a="1"/>
  <c r="AE348" i="1" s="1"/>
  <c r="AE349" i="1" a="1"/>
  <c r="AE349" i="1" s="1"/>
  <c r="AE350" i="1" a="1"/>
  <c r="AE350" i="1" s="1"/>
  <c r="AE351" i="1" a="1"/>
  <c r="AE351" i="1" s="1"/>
  <c r="AE352" i="1" a="1"/>
  <c r="AE352" i="1" s="1"/>
  <c r="AE353" i="1" a="1"/>
  <c r="AE353" i="1" s="1"/>
  <c r="AE354" i="1" a="1"/>
  <c r="AE354" i="1" s="1"/>
  <c r="AE355" i="1" a="1"/>
  <c r="AE355" i="1" s="1"/>
  <c r="AE356" i="1" a="1"/>
  <c r="AE356" i="1" s="1"/>
  <c r="AE357" i="1" a="1"/>
  <c r="AE357" i="1" s="1"/>
  <c r="AE358" i="1" a="1"/>
  <c r="AE358" i="1" s="1"/>
  <c r="AE359" i="1" a="1"/>
  <c r="AE359" i="1" s="1"/>
  <c r="AE360" i="1" a="1"/>
  <c r="AE360" i="1" s="1"/>
  <c r="AE361" i="1" a="1"/>
  <c r="AE361" i="1" s="1"/>
  <c r="AE362" i="1" a="1"/>
  <c r="AE362" i="1" s="1"/>
  <c r="AE363" i="1" a="1"/>
  <c r="AE363" i="1" s="1"/>
  <c r="AE364" i="1" a="1"/>
  <c r="AE364" i="1" s="1"/>
  <c r="AE365" i="1" a="1"/>
  <c r="AE365" i="1" s="1"/>
  <c r="AE366" i="1" a="1"/>
  <c r="AE366" i="1" s="1"/>
  <c r="AE367" i="1" a="1"/>
  <c r="AE367" i="1" s="1"/>
  <c r="AE368" i="1" a="1"/>
  <c r="AE368" i="1" s="1"/>
  <c r="AE369" i="1" a="1"/>
  <c r="AE369" i="1" s="1"/>
  <c r="AE370" i="1" a="1"/>
  <c r="AE370" i="1" s="1"/>
  <c r="AE371" i="1" a="1"/>
  <c r="AE371" i="1" s="1"/>
  <c r="AE372" i="1" a="1"/>
  <c r="AE372" i="1" s="1"/>
  <c r="AE373" i="1" a="1"/>
  <c r="AE373" i="1" s="1"/>
  <c r="AE374" i="1" a="1"/>
  <c r="AE374" i="1" s="1"/>
  <c r="AE375" i="1" a="1"/>
  <c r="AE375" i="1" s="1"/>
  <c r="AE376" i="1" a="1"/>
  <c r="AE376" i="1" s="1"/>
  <c r="AE377" i="1" a="1"/>
  <c r="AE377" i="1" s="1"/>
  <c r="AE378" i="1" a="1"/>
  <c r="AE378" i="1" s="1"/>
  <c r="AE379" i="1" a="1"/>
  <c r="AE379" i="1" s="1"/>
  <c r="AE380" i="1" a="1"/>
  <c r="AE380" i="1" s="1"/>
  <c r="AE381" i="1" a="1"/>
  <c r="AE381" i="1" s="1"/>
  <c r="AE382" i="1" a="1"/>
  <c r="AE382" i="1" s="1"/>
  <c r="AE383" i="1" a="1"/>
  <c r="AE383" i="1" s="1"/>
  <c r="AE384" i="1" a="1"/>
  <c r="AE384" i="1" s="1"/>
  <c r="AE385" i="1" a="1"/>
  <c r="AE385" i="1" s="1"/>
  <c r="AE386" i="1" a="1"/>
  <c r="AE386" i="1" s="1"/>
  <c r="AE387" i="1" a="1"/>
  <c r="AE387" i="1" s="1"/>
  <c r="AE388" i="1" a="1"/>
  <c r="AE388" i="1" s="1"/>
  <c r="AE389" i="1" a="1"/>
  <c r="AE389" i="1" s="1"/>
  <c r="AE390" i="1" a="1"/>
  <c r="AE390" i="1" s="1"/>
  <c r="AE391" i="1" a="1"/>
  <c r="AE391" i="1" s="1"/>
  <c r="AE392" i="1" a="1"/>
  <c r="AE392" i="1" s="1"/>
  <c r="AE393" i="1" a="1"/>
  <c r="AE393" i="1" s="1"/>
  <c r="AE394" i="1" a="1"/>
  <c r="AE394" i="1" s="1"/>
  <c r="AE395" i="1" a="1"/>
  <c r="AE395" i="1" s="1"/>
  <c r="AE396" i="1" a="1"/>
  <c r="AE396" i="1" s="1"/>
  <c r="AE397" i="1" a="1"/>
  <c r="AE397" i="1" s="1"/>
  <c r="AE398" i="1" a="1"/>
  <c r="AE398" i="1" s="1"/>
  <c r="AE399" i="1" a="1"/>
  <c r="AE399" i="1" s="1"/>
  <c r="AE400" i="1" a="1"/>
  <c r="AE400" i="1" s="1"/>
  <c r="AE401" i="1" a="1"/>
  <c r="AE401" i="1" s="1"/>
  <c r="AE402" i="1" a="1"/>
  <c r="AE402" i="1" s="1"/>
  <c r="AE403" i="1" a="1"/>
  <c r="AE403" i="1" s="1"/>
  <c r="AE404" i="1" a="1"/>
  <c r="AE404" i="1" s="1"/>
  <c r="AE405" i="1" a="1"/>
  <c r="AE405" i="1" s="1"/>
  <c r="AE406" i="1" a="1"/>
  <c r="AE406" i="1" s="1"/>
  <c r="AE407" i="1" a="1"/>
  <c r="AE407" i="1" s="1"/>
  <c r="AE408" i="1" a="1"/>
  <c r="AE408" i="1" s="1"/>
  <c r="AE409" i="1" a="1"/>
  <c r="AE409" i="1" s="1"/>
  <c r="AE410" i="1" a="1"/>
  <c r="AE410" i="1" s="1"/>
  <c r="AE411" i="1" a="1"/>
  <c r="AE411" i="1" s="1"/>
  <c r="AE412" i="1" a="1"/>
  <c r="AE412" i="1" s="1"/>
  <c r="AE413" i="1" a="1"/>
  <c r="AE413" i="1" s="1"/>
  <c r="AE414" i="1" a="1"/>
  <c r="AE414" i="1" s="1"/>
  <c r="AE415" i="1" a="1"/>
  <c r="AE415" i="1" s="1"/>
  <c r="AE416" i="1" a="1"/>
  <c r="AE416" i="1" s="1"/>
  <c r="AE417" i="1" a="1"/>
  <c r="AE417" i="1" s="1"/>
  <c r="AE418" i="1" a="1"/>
  <c r="AE418" i="1" s="1"/>
  <c r="AE419" i="1" a="1"/>
  <c r="AE419" i="1" s="1"/>
  <c r="AE420" i="1" a="1"/>
  <c r="AE420" i="1" s="1"/>
  <c r="AE421" i="1" a="1"/>
  <c r="AE421" i="1" s="1"/>
  <c r="AE422" i="1" a="1"/>
  <c r="AE422" i="1" s="1"/>
  <c r="AE423" i="1" a="1"/>
  <c r="AE423" i="1" s="1"/>
  <c r="AE424" i="1" a="1"/>
  <c r="AE424" i="1" s="1"/>
  <c r="AE425" i="1" a="1"/>
  <c r="AE425" i="1" s="1"/>
  <c r="AE426" i="1" a="1"/>
  <c r="AE426" i="1" s="1"/>
  <c r="AE427" i="1" a="1"/>
  <c r="AE427" i="1" s="1"/>
  <c r="AE428" i="1" a="1"/>
  <c r="AE428" i="1" s="1"/>
  <c r="AE429" i="1" a="1"/>
  <c r="AE429" i="1" s="1"/>
  <c r="AE430" i="1" a="1"/>
  <c r="AE430" i="1" s="1"/>
  <c r="AE431" i="1" a="1"/>
  <c r="AE431" i="1" s="1"/>
  <c r="AE432" i="1" a="1"/>
  <c r="AE432" i="1" s="1"/>
  <c r="AE433" i="1" a="1"/>
  <c r="AE433" i="1" s="1"/>
  <c r="AE434" i="1" a="1"/>
  <c r="AE434" i="1" s="1"/>
  <c r="AE435" i="1" a="1"/>
  <c r="AE435" i="1" s="1"/>
  <c r="AE436" i="1" a="1"/>
  <c r="AE436" i="1" s="1"/>
  <c r="AE437" i="1" a="1"/>
  <c r="AE437" i="1" s="1"/>
  <c r="AE438" i="1" a="1"/>
  <c r="AE438" i="1" s="1"/>
  <c r="AE439" i="1" a="1"/>
  <c r="AE439" i="1" s="1"/>
  <c r="AE440" i="1" a="1"/>
  <c r="AE440" i="1" s="1"/>
  <c r="AE441" i="1" a="1"/>
  <c r="AE441" i="1" s="1"/>
  <c r="AE442" i="1" a="1"/>
  <c r="AE442" i="1" s="1"/>
  <c r="AE443" i="1" a="1"/>
  <c r="AE443" i="1" s="1"/>
  <c r="AE444" i="1" a="1"/>
  <c r="AE444" i="1" s="1"/>
  <c r="AE445" i="1" a="1"/>
  <c r="AE445" i="1" s="1"/>
  <c r="AE446" i="1" a="1"/>
  <c r="AE446" i="1" s="1"/>
  <c r="AE447" i="1" a="1"/>
  <c r="AE447" i="1" s="1"/>
  <c r="AE448" i="1" a="1"/>
  <c r="AE448" i="1" s="1"/>
  <c r="AE449" i="1" a="1"/>
  <c r="AE449" i="1" s="1"/>
  <c r="AE450" i="1" a="1"/>
  <c r="AE450" i="1" s="1"/>
  <c r="AE451" i="1" a="1"/>
  <c r="AE451" i="1" s="1"/>
  <c r="AE452" i="1" a="1"/>
  <c r="AE452" i="1" s="1"/>
  <c r="AE453" i="1" a="1"/>
  <c r="AE453" i="1" s="1"/>
  <c r="AE454" i="1" a="1"/>
  <c r="AE454" i="1" s="1"/>
  <c r="AE455" i="1" a="1"/>
  <c r="AE455" i="1" s="1"/>
  <c r="AE456" i="1" a="1"/>
  <c r="AE456" i="1" s="1"/>
  <c r="AE457" i="1" a="1"/>
  <c r="AE457" i="1" s="1"/>
  <c r="AE458" i="1" a="1"/>
  <c r="AE458" i="1" s="1"/>
  <c r="AE459" i="1" a="1"/>
  <c r="AE459" i="1" s="1"/>
  <c r="AE460" i="1" a="1"/>
  <c r="AE460" i="1" s="1"/>
  <c r="AE461" i="1" a="1"/>
  <c r="AE461" i="1" s="1"/>
  <c r="AE462" i="1" a="1"/>
  <c r="AE462" i="1" s="1"/>
  <c r="AE463" i="1" a="1"/>
  <c r="AE463" i="1" s="1"/>
  <c r="AE464" i="1" a="1"/>
  <c r="AE464" i="1" s="1"/>
  <c r="AE465" i="1" a="1"/>
  <c r="AE465" i="1" s="1"/>
  <c r="AE466" i="1" a="1"/>
  <c r="AE466" i="1" s="1"/>
  <c r="AE467" i="1" a="1"/>
  <c r="AE467" i="1" s="1"/>
  <c r="AE468" i="1" a="1"/>
  <c r="AE468" i="1" s="1"/>
  <c r="AE469" i="1" a="1"/>
  <c r="AE469" i="1" s="1"/>
  <c r="AE470" i="1" a="1"/>
  <c r="AE470" i="1" s="1"/>
  <c r="AE471" i="1" a="1"/>
  <c r="AE471" i="1" s="1"/>
  <c r="AE472" i="1" a="1"/>
  <c r="AE472" i="1" s="1"/>
  <c r="AE473" i="1" a="1"/>
  <c r="AE473" i="1" s="1"/>
  <c r="AE474" i="1" a="1"/>
  <c r="AE474" i="1" s="1"/>
  <c r="AE475" i="1" a="1"/>
  <c r="AE475" i="1" s="1"/>
  <c r="AE476" i="1" a="1"/>
  <c r="AE476" i="1" s="1"/>
  <c r="AE477" i="1" a="1"/>
  <c r="AE477" i="1" s="1"/>
  <c r="AE478" i="1" a="1"/>
  <c r="AE478" i="1" s="1"/>
  <c r="AE479" i="1" a="1"/>
  <c r="AE479" i="1" s="1"/>
  <c r="AE480" i="1" a="1"/>
  <c r="AE480" i="1" s="1"/>
  <c r="AE481" i="1" a="1"/>
  <c r="AE481" i="1" s="1"/>
  <c r="AE482" i="1" a="1"/>
  <c r="AE482" i="1" s="1"/>
  <c r="AE483" i="1" a="1"/>
  <c r="AE483" i="1" s="1"/>
  <c r="AE484" i="1" a="1"/>
  <c r="AE484" i="1" s="1"/>
  <c r="AE485" i="1" a="1"/>
  <c r="AE485" i="1" s="1"/>
  <c r="AE486" i="1" a="1"/>
  <c r="AE486" i="1" s="1"/>
  <c r="AE487" i="1" a="1"/>
  <c r="AE487" i="1" s="1"/>
  <c r="AE488" i="1" a="1"/>
  <c r="AE488" i="1" s="1"/>
  <c r="AE489" i="1" a="1"/>
  <c r="AE489" i="1" s="1"/>
  <c r="AE490" i="1" a="1"/>
  <c r="AE490" i="1" s="1"/>
  <c r="AE491" i="1" a="1"/>
  <c r="AE491" i="1" s="1"/>
  <c r="AE492" i="1" a="1"/>
  <c r="AE492" i="1" s="1"/>
  <c r="AE493" i="1" a="1"/>
  <c r="AE493" i="1" s="1"/>
  <c r="AE494" i="1" a="1"/>
  <c r="AE494" i="1" s="1"/>
  <c r="AE495" i="1" a="1"/>
  <c r="AE495" i="1" s="1"/>
  <c r="AE496" i="1" a="1"/>
  <c r="AE496" i="1" s="1"/>
  <c r="AE497" i="1" a="1"/>
  <c r="AE497" i="1" s="1"/>
  <c r="AE498" i="1" a="1"/>
  <c r="AE498" i="1" s="1"/>
  <c r="AE499" i="1" a="1"/>
  <c r="AE499" i="1" s="1"/>
  <c r="AE500" i="1" a="1"/>
  <c r="AE500" i="1" s="1"/>
  <c r="AE501" i="1" a="1"/>
  <c r="AE501" i="1" s="1"/>
  <c r="AE502" i="1" a="1"/>
  <c r="AE502" i="1" s="1"/>
  <c r="AE503" i="1" a="1"/>
  <c r="AE503" i="1" s="1"/>
  <c r="AE504" i="1" a="1"/>
  <c r="AE504" i="1" s="1"/>
  <c r="AE505" i="1" a="1"/>
  <c r="AE505" i="1" s="1"/>
  <c r="AE506" i="1" a="1"/>
  <c r="AE506" i="1" s="1"/>
  <c r="AE507" i="1" a="1"/>
  <c r="AE507" i="1" s="1"/>
  <c r="AE508" i="1" a="1"/>
  <c r="AE508" i="1" s="1"/>
  <c r="AE509" i="1" a="1"/>
  <c r="AE509" i="1" s="1"/>
  <c r="AE510" i="1" a="1"/>
  <c r="AE510" i="1" s="1"/>
  <c r="AE511" i="1" a="1"/>
  <c r="AE511" i="1" s="1"/>
  <c r="AE512" i="1" a="1"/>
  <c r="AE512" i="1" s="1"/>
  <c r="AE513" i="1" a="1"/>
  <c r="AE513" i="1" s="1"/>
  <c r="AE514" i="1" a="1"/>
  <c r="AE514" i="1" s="1"/>
  <c r="AE515" i="1" a="1"/>
  <c r="AE515" i="1" s="1"/>
  <c r="AE516" i="1" a="1"/>
  <c r="AE516" i="1" s="1"/>
  <c r="AE517" i="1" a="1"/>
  <c r="AE517" i="1" s="1"/>
  <c r="AE518" i="1" a="1"/>
  <c r="AE518" i="1" s="1"/>
  <c r="AE519" i="1" a="1"/>
  <c r="AE519" i="1" s="1"/>
  <c r="AE520" i="1" a="1"/>
  <c r="AE520" i="1" s="1"/>
  <c r="AE521" i="1" a="1"/>
  <c r="AE521" i="1" s="1"/>
  <c r="AE522" i="1" a="1"/>
  <c r="AE522" i="1" s="1"/>
  <c r="AE523" i="1" a="1"/>
  <c r="AE523" i="1" s="1"/>
  <c r="AE524" i="1" a="1"/>
  <c r="AE524" i="1" s="1"/>
  <c r="AE525" i="1" a="1"/>
  <c r="AE525" i="1" s="1"/>
  <c r="AE526" i="1" a="1"/>
  <c r="AE526" i="1" s="1"/>
  <c r="AE527" i="1" a="1"/>
  <c r="AE527" i="1" s="1"/>
  <c r="AE528" i="1" a="1"/>
  <c r="AE528" i="1" s="1"/>
  <c r="AE529" i="1" a="1"/>
  <c r="AE529" i="1" s="1"/>
  <c r="AE530" i="1" a="1"/>
  <c r="AE530" i="1" s="1"/>
  <c r="AE531" i="1" a="1"/>
  <c r="AE531" i="1" s="1"/>
  <c r="AE532" i="1" a="1"/>
  <c r="AE532" i="1" s="1"/>
  <c r="AE533" i="1" a="1"/>
  <c r="AE533" i="1" s="1"/>
  <c r="AE534" i="1" a="1"/>
  <c r="AE534" i="1" s="1"/>
  <c r="AE535" i="1" a="1"/>
  <c r="AE535" i="1" s="1"/>
  <c r="AE536" i="1" a="1"/>
  <c r="AE536" i="1" s="1"/>
  <c r="AE537" i="1" a="1"/>
  <c r="AE537" i="1" s="1"/>
  <c r="AE538" i="1" a="1"/>
  <c r="AE538" i="1" s="1"/>
  <c r="AE539" i="1" a="1"/>
  <c r="AE539" i="1" s="1"/>
  <c r="AE540" i="1" a="1"/>
  <c r="AE540" i="1" s="1"/>
  <c r="AE541" i="1" a="1"/>
  <c r="AE541" i="1" s="1"/>
  <c r="AE542" i="1" a="1"/>
  <c r="AE542" i="1" s="1"/>
  <c r="AE543" i="1" a="1"/>
  <c r="AE543" i="1" s="1"/>
  <c r="AE544" i="1" a="1"/>
  <c r="AE544" i="1" s="1"/>
  <c r="AE545" i="1" a="1"/>
  <c r="AE545" i="1" s="1"/>
  <c r="AE546" i="1" a="1"/>
  <c r="AE546" i="1" s="1"/>
  <c r="AE547" i="1" a="1"/>
  <c r="AE547" i="1" s="1"/>
  <c r="AE548" i="1" a="1"/>
  <c r="AE548" i="1" s="1"/>
  <c r="AE549" i="1" a="1"/>
  <c r="AE549" i="1" s="1"/>
  <c r="AE550" i="1" a="1"/>
  <c r="AE550" i="1" s="1"/>
  <c r="AE551" i="1" a="1"/>
  <c r="AE551" i="1" s="1"/>
  <c r="AE552" i="1" a="1"/>
  <c r="AE552" i="1" s="1"/>
  <c r="AE553" i="1" a="1"/>
  <c r="AE553" i="1" s="1"/>
  <c r="AE554" i="1" a="1"/>
  <c r="AE554" i="1" s="1"/>
  <c r="AE555" i="1" a="1"/>
  <c r="AE555" i="1" s="1"/>
  <c r="AE556" i="1" a="1"/>
  <c r="AE556" i="1" s="1"/>
  <c r="AE557" i="1" a="1"/>
  <c r="AE557" i="1" s="1"/>
  <c r="AE558" i="1" a="1"/>
  <c r="AE558" i="1" s="1"/>
  <c r="AE559" i="1" a="1"/>
  <c r="AE559" i="1" s="1"/>
  <c r="AE560" i="1" a="1"/>
  <c r="AE560" i="1" s="1"/>
  <c r="AE561" i="1" a="1"/>
  <c r="AE561" i="1" s="1"/>
  <c r="AE562" i="1" a="1"/>
  <c r="AE562" i="1" s="1"/>
  <c r="AE563" i="1" a="1"/>
  <c r="AE563" i="1" s="1"/>
  <c r="AE564" i="1" a="1"/>
  <c r="AE564" i="1" s="1"/>
  <c r="AE565" i="1" a="1"/>
  <c r="AE565" i="1" s="1"/>
  <c r="AE566" i="1" a="1"/>
  <c r="AE566" i="1" s="1"/>
  <c r="AE567" i="1" a="1"/>
  <c r="AE567" i="1" s="1"/>
  <c r="AE568" i="1" a="1"/>
  <c r="AE568" i="1" s="1"/>
  <c r="AE569" i="1" a="1"/>
  <c r="AE569" i="1" s="1"/>
  <c r="AE570" i="1" a="1"/>
  <c r="AE570" i="1" s="1"/>
  <c r="AE571" i="1" a="1"/>
  <c r="AE571" i="1" s="1"/>
  <c r="AE572" i="1" a="1"/>
  <c r="AE572" i="1" s="1"/>
  <c r="AE573" i="1" a="1"/>
  <c r="AE573" i="1" s="1"/>
  <c r="AE574" i="1" a="1"/>
  <c r="AE574" i="1" s="1"/>
  <c r="AE575" i="1" a="1"/>
  <c r="AE575" i="1" s="1"/>
  <c r="AE576" i="1" a="1"/>
  <c r="AE576" i="1" s="1"/>
  <c r="AE577" i="1" a="1"/>
  <c r="AE577" i="1" s="1"/>
  <c r="AE578" i="1" a="1"/>
  <c r="AE578" i="1" s="1"/>
  <c r="AE579" i="1" a="1"/>
  <c r="AE579" i="1" s="1"/>
  <c r="AE580" i="1" a="1"/>
  <c r="AE580" i="1" s="1"/>
  <c r="AE581" i="1" a="1"/>
  <c r="AE581" i="1" s="1"/>
  <c r="AE582" i="1" a="1"/>
  <c r="AE582" i="1" s="1"/>
  <c r="AE583" i="1" a="1"/>
  <c r="AE583" i="1" s="1"/>
  <c r="AE584" i="1" a="1"/>
  <c r="AE584" i="1" s="1"/>
  <c r="AE585" i="1" a="1"/>
  <c r="AE585" i="1" s="1"/>
  <c r="AE586" i="1" a="1"/>
  <c r="AE586" i="1" s="1"/>
  <c r="AE587" i="1" a="1"/>
  <c r="AE587" i="1" s="1"/>
  <c r="AE588" i="1" a="1"/>
  <c r="AE588" i="1" s="1"/>
  <c r="AE589" i="1" a="1"/>
  <c r="AE589" i="1" s="1"/>
  <c r="AE590" i="1" a="1"/>
  <c r="AE590" i="1" s="1"/>
  <c r="AE591" i="1" a="1"/>
  <c r="AE591" i="1" s="1"/>
  <c r="AE592" i="1" a="1"/>
  <c r="AE592" i="1" s="1"/>
  <c r="AE593" i="1" a="1"/>
  <c r="AE593" i="1" s="1"/>
  <c r="AE594" i="1" a="1"/>
  <c r="AE594" i="1" s="1"/>
  <c r="AE595" i="1" a="1"/>
  <c r="AE595" i="1" s="1"/>
  <c r="AE596" i="1" a="1"/>
  <c r="AE596" i="1" s="1"/>
  <c r="AE597" i="1" a="1"/>
  <c r="AE597" i="1" s="1"/>
  <c r="AE598" i="1" a="1"/>
  <c r="AE598" i="1" s="1"/>
  <c r="AE599" i="1" a="1"/>
  <c r="AE599" i="1" s="1"/>
  <c r="AE600" i="1" a="1"/>
  <c r="AE600" i="1" s="1"/>
  <c r="AE601" i="1" a="1"/>
  <c r="AE601" i="1" s="1"/>
  <c r="AE602" i="1" a="1"/>
  <c r="AE602" i="1" s="1"/>
  <c r="AE603" i="1" a="1"/>
  <c r="AE603" i="1" s="1"/>
  <c r="AE604" i="1" a="1"/>
  <c r="AE604" i="1" s="1"/>
  <c r="AE605" i="1" a="1"/>
  <c r="AE605" i="1" s="1"/>
  <c r="AE606" i="1" a="1"/>
  <c r="AE606" i="1" s="1"/>
  <c r="AE607" i="1" a="1"/>
  <c r="AE607" i="1" s="1"/>
  <c r="AE608" i="1" a="1"/>
  <c r="AE608" i="1" s="1"/>
  <c r="AE609" i="1" a="1"/>
  <c r="AE609" i="1" s="1"/>
  <c r="AE610" i="1" a="1"/>
  <c r="AE610" i="1" s="1"/>
  <c r="AE611" i="1" a="1"/>
  <c r="AE611" i="1" s="1"/>
  <c r="AE612" i="1" a="1"/>
  <c r="AE612" i="1" s="1"/>
  <c r="AE613" i="1" a="1"/>
  <c r="AE613" i="1" s="1"/>
  <c r="AE614" i="1" a="1"/>
  <c r="AE614" i="1" s="1"/>
  <c r="AE615" i="1" a="1"/>
  <c r="AE615" i="1" s="1"/>
  <c r="AE616" i="1" a="1"/>
  <c r="AE616" i="1" s="1"/>
  <c r="AE617" i="1" a="1"/>
  <c r="AE617" i="1" s="1"/>
  <c r="AE618" i="1" a="1"/>
  <c r="AE618" i="1" s="1"/>
  <c r="AE619" i="1" a="1"/>
  <c r="AE619" i="1" s="1"/>
  <c r="AE620" i="1" a="1"/>
  <c r="AE620" i="1" s="1"/>
  <c r="AE621" i="1" a="1"/>
  <c r="AE621" i="1" s="1"/>
  <c r="AE622" i="1" a="1"/>
  <c r="AE622" i="1" s="1"/>
  <c r="AE623" i="1" a="1"/>
  <c r="AE623" i="1" s="1"/>
  <c r="AE624" i="1" a="1"/>
  <c r="AE624" i="1" s="1"/>
  <c r="AE625" i="1" a="1"/>
  <c r="AE625" i="1" s="1"/>
  <c r="AE626" i="1" a="1"/>
  <c r="AE626" i="1" s="1"/>
  <c r="AE627" i="1" a="1"/>
  <c r="AE627" i="1" s="1"/>
  <c r="AE628" i="1" a="1"/>
  <c r="AE628" i="1" s="1"/>
  <c r="AE629" i="1" a="1"/>
  <c r="AE629" i="1" s="1"/>
  <c r="AE630" i="1" a="1"/>
  <c r="AE630" i="1" s="1"/>
  <c r="AE631" i="1" a="1"/>
  <c r="AE631" i="1" s="1"/>
  <c r="AE632" i="1" a="1"/>
  <c r="AE632" i="1" s="1"/>
  <c r="AE633" i="1" a="1"/>
  <c r="AE633" i="1" s="1"/>
  <c r="AE634" i="1" a="1"/>
  <c r="AE634" i="1" s="1"/>
  <c r="AE635" i="1" a="1"/>
  <c r="AE635" i="1" s="1"/>
  <c r="AE636" i="1" a="1"/>
  <c r="AE636" i="1" s="1"/>
  <c r="AE637" i="1" a="1"/>
  <c r="AE637" i="1" s="1"/>
  <c r="AE638" i="1" a="1"/>
  <c r="AE638" i="1" s="1"/>
  <c r="AE639" i="1" a="1"/>
  <c r="AE639" i="1" s="1"/>
  <c r="AE640" i="1" a="1"/>
  <c r="AE640" i="1" s="1"/>
  <c r="AE641" i="1" a="1"/>
  <c r="AE641" i="1" s="1"/>
  <c r="AE642" i="1" a="1"/>
  <c r="AE642" i="1" s="1"/>
  <c r="AE643" i="1" a="1"/>
  <c r="AE643" i="1" s="1"/>
  <c r="AE644" i="1" a="1"/>
  <c r="AE644" i="1" s="1"/>
  <c r="AE645" i="1" a="1"/>
  <c r="AE645" i="1" s="1"/>
  <c r="AE646" i="1" a="1"/>
  <c r="AE646" i="1" s="1"/>
  <c r="AE647" i="1" a="1"/>
  <c r="AE647" i="1" s="1"/>
  <c r="AE648" i="1" a="1"/>
  <c r="AE648" i="1" s="1"/>
  <c r="AE649" i="1" a="1"/>
  <c r="AE649" i="1" s="1"/>
  <c r="AE650" i="1" a="1"/>
  <c r="AE650" i="1" s="1"/>
  <c r="AE651" i="1" a="1"/>
  <c r="AE651" i="1" s="1"/>
  <c r="AE652" i="1" a="1"/>
  <c r="AE652" i="1" s="1"/>
  <c r="AE653" i="1" a="1"/>
  <c r="AE653" i="1" s="1"/>
  <c r="AE654" i="1" a="1"/>
  <c r="AE654" i="1" s="1"/>
  <c r="AE655" i="1" a="1"/>
  <c r="AE655" i="1" s="1"/>
  <c r="AE656" i="1" a="1"/>
  <c r="AE656" i="1" s="1"/>
  <c r="AE657" i="1" a="1"/>
  <c r="AE657" i="1" s="1"/>
  <c r="AE658" i="1" a="1"/>
  <c r="AE658" i="1" s="1"/>
  <c r="AE659" i="1" a="1"/>
  <c r="AE659" i="1" s="1"/>
  <c r="AE660" i="1" a="1"/>
  <c r="AE660" i="1" s="1"/>
  <c r="AE661" i="1" a="1"/>
  <c r="AE661" i="1" s="1"/>
  <c r="AE662" i="1" a="1"/>
  <c r="AE662" i="1" s="1"/>
  <c r="AE663" i="1" a="1"/>
  <c r="AE663" i="1" s="1"/>
  <c r="AE664" i="1" a="1"/>
  <c r="AE664" i="1" s="1"/>
  <c r="AE665" i="1" a="1"/>
  <c r="AE665" i="1" s="1"/>
  <c r="AE666" i="1" a="1"/>
  <c r="AE666" i="1" s="1"/>
  <c r="AE667" i="1" a="1"/>
  <c r="AE667" i="1" s="1"/>
  <c r="AE668" i="1" a="1"/>
  <c r="AE668" i="1" s="1"/>
  <c r="AE669" i="1" a="1"/>
  <c r="AE669" i="1" s="1"/>
  <c r="AE670" i="1" a="1"/>
  <c r="AE670" i="1" s="1"/>
  <c r="AE671" i="1" a="1"/>
  <c r="AE671" i="1" s="1"/>
  <c r="AE672" i="1" a="1"/>
  <c r="AE672" i="1" s="1"/>
  <c r="AE673" i="1" a="1"/>
  <c r="AE673" i="1" s="1"/>
  <c r="AE674" i="1" a="1"/>
  <c r="AE674" i="1" s="1"/>
  <c r="AE675" i="1" a="1"/>
  <c r="AE675" i="1" s="1"/>
  <c r="AE676" i="1" a="1"/>
  <c r="AE676" i="1" s="1"/>
  <c r="AE677" i="1" a="1"/>
  <c r="AE677" i="1" s="1"/>
  <c r="AE678" i="1" a="1"/>
  <c r="AE678" i="1" s="1"/>
  <c r="AE679" i="1" a="1"/>
  <c r="AE679" i="1" s="1"/>
  <c r="AE680" i="1" a="1"/>
  <c r="AE680" i="1" s="1"/>
  <c r="AE681" i="1" a="1"/>
  <c r="AE681" i="1" s="1"/>
  <c r="AE682" i="1" a="1"/>
  <c r="AE682" i="1" s="1"/>
  <c r="AE683" i="1" a="1"/>
  <c r="AE683" i="1" s="1"/>
  <c r="AE684" i="1" a="1"/>
  <c r="AE684" i="1" s="1"/>
  <c r="AE685" i="1" a="1"/>
  <c r="AE685" i="1" s="1"/>
  <c r="AE686" i="1" a="1"/>
  <c r="AE686" i="1" s="1"/>
  <c r="AE687" i="1" a="1"/>
  <c r="AE687" i="1" s="1"/>
  <c r="AE688" i="1" a="1"/>
  <c r="AE688" i="1" s="1"/>
  <c r="AE689" i="1" a="1"/>
  <c r="AE689" i="1" s="1"/>
  <c r="AE690" i="1" a="1"/>
  <c r="AE690" i="1" s="1"/>
  <c r="AE691" i="1" a="1"/>
  <c r="AE691" i="1" s="1"/>
  <c r="AE692" i="1" a="1"/>
  <c r="AE692" i="1" s="1"/>
  <c r="AE693" i="1" a="1"/>
  <c r="AE693" i="1" s="1"/>
  <c r="AE694" i="1" a="1"/>
  <c r="AE694" i="1" s="1"/>
  <c r="AE695" i="1" a="1"/>
  <c r="AE695" i="1" s="1"/>
  <c r="AE696" i="1" a="1"/>
  <c r="AE696" i="1" s="1"/>
  <c r="AE697" i="1" a="1"/>
  <c r="AE697" i="1" s="1"/>
  <c r="AE698" i="1" a="1"/>
  <c r="AE698" i="1" s="1"/>
  <c r="AE699" i="1" a="1"/>
  <c r="AE699" i="1" s="1"/>
  <c r="AE700" i="1" a="1"/>
  <c r="AE700" i="1" s="1"/>
  <c r="AE701" i="1" a="1"/>
  <c r="AE701" i="1" s="1"/>
  <c r="AE702" i="1" a="1"/>
  <c r="AE702" i="1" s="1"/>
  <c r="AE703" i="1" a="1"/>
  <c r="AE703" i="1" s="1"/>
  <c r="AE704" i="1" a="1"/>
  <c r="AE704" i="1" s="1"/>
  <c r="AE705" i="1" a="1"/>
  <c r="AE705" i="1" s="1"/>
  <c r="AE706" i="1" a="1"/>
  <c r="AE706" i="1" s="1"/>
  <c r="AE707" i="1" a="1"/>
  <c r="AE707" i="1" s="1"/>
  <c r="AE708" i="1" a="1"/>
  <c r="AE708" i="1" s="1"/>
  <c r="AE709" i="1" a="1"/>
  <c r="AE709" i="1" s="1"/>
  <c r="AE710" i="1" a="1"/>
  <c r="AE710" i="1" s="1"/>
  <c r="AE711" i="1" a="1"/>
  <c r="AE711" i="1" s="1"/>
  <c r="AE712" i="1" a="1"/>
  <c r="AE712" i="1" s="1"/>
  <c r="AE713" i="1" a="1"/>
  <c r="AE713" i="1" s="1"/>
  <c r="AE714" i="1" a="1"/>
  <c r="AE714" i="1" s="1"/>
  <c r="AE715" i="1" a="1"/>
  <c r="AE715" i="1" s="1"/>
  <c r="AE716" i="1" a="1"/>
  <c r="AE716" i="1" s="1"/>
  <c r="AE717" i="1" a="1"/>
  <c r="AE717" i="1" s="1"/>
  <c r="AE718" i="1" a="1"/>
  <c r="AE718" i="1" s="1"/>
  <c r="AE719" i="1" a="1"/>
  <c r="AE719" i="1" s="1"/>
  <c r="AE720" i="1" a="1"/>
  <c r="AE720" i="1" s="1"/>
  <c r="AE721" i="1" a="1"/>
  <c r="AE721" i="1" s="1"/>
  <c r="AE722" i="1" a="1"/>
  <c r="AE722" i="1" s="1"/>
  <c r="AE723" i="1" a="1"/>
  <c r="AE723" i="1" s="1"/>
  <c r="AE724" i="1" a="1"/>
  <c r="AE724" i="1" s="1"/>
  <c r="AE725" i="1" a="1"/>
  <c r="AE725" i="1" s="1"/>
  <c r="AE726" i="1" a="1"/>
  <c r="AE726" i="1" s="1"/>
  <c r="AE727" i="1" a="1"/>
  <c r="AE727" i="1" s="1"/>
  <c r="AE728" i="1" a="1"/>
  <c r="AE728" i="1" s="1"/>
  <c r="AE729" i="1" a="1"/>
  <c r="AE729" i="1" s="1"/>
  <c r="AE730" i="1" a="1"/>
  <c r="AE730" i="1" s="1"/>
  <c r="AE731" i="1" a="1"/>
  <c r="AE731" i="1" s="1"/>
  <c r="AE732" i="1" a="1"/>
  <c r="AE732" i="1" s="1"/>
  <c r="AE733" i="1" a="1"/>
  <c r="AE733" i="1" s="1"/>
  <c r="AE734" i="1" a="1"/>
  <c r="AE734" i="1" s="1"/>
  <c r="AE735" i="1" a="1"/>
  <c r="AE735" i="1" s="1"/>
  <c r="AE736" i="1" a="1"/>
  <c r="AE736" i="1" s="1"/>
  <c r="AE737" i="1" a="1"/>
  <c r="AE737" i="1" s="1"/>
  <c r="AE738" i="1" a="1"/>
  <c r="AE738" i="1" s="1"/>
  <c r="AE739" i="1" a="1"/>
  <c r="AE739" i="1" s="1"/>
  <c r="AE740" i="1" a="1"/>
  <c r="AE740" i="1" s="1"/>
  <c r="AE741" i="1" a="1"/>
  <c r="AE741" i="1" s="1"/>
  <c r="AE742" i="1" a="1"/>
  <c r="AE742" i="1" s="1"/>
  <c r="AE743" i="1" a="1"/>
  <c r="AE743" i="1" s="1"/>
  <c r="AE744" i="1" a="1"/>
  <c r="AE744" i="1" s="1"/>
  <c r="AE745" i="1" a="1"/>
  <c r="AE745" i="1" s="1"/>
  <c r="AE746" i="1" a="1"/>
  <c r="AE746" i="1" s="1"/>
  <c r="AE747" i="1" a="1"/>
  <c r="AE747" i="1" s="1"/>
  <c r="AE748" i="1" a="1"/>
  <c r="AE748" i="1" s="1"/>
  <c r="AE749" i="1" a="1"/>
  <c r="AE749" i="1" s="1"/>
  <c r="AE750" i="1" a="1"/>
  <c r="AE750" i="1" s="1"/>
  <c r="AE751" i="1" a="1"/>
  <c r="AE751" i="1" s="1"/>
  <c r="AE752" i="1" a="1"/>
  <c r="AE752" i="1" s="1"/>
  <c r="AE753" i="1" a="1"/>
  <c r="AE753" i="1" s="1"/>
  <c r="AE754" i="1" a="1"/>
  <c r="AE754" i="1" s="1"/>
  <c r="AE755" i="1" a="1"/>
  <c r="AE755" i="1" s="1"/>
  <c r="AE756" i="1" a="1"/>
  <c r="AE756" i="1" s="1"/>
  <c r="AE757" i="1" a="1"/>
  <c r="AE757" i="1" s="1"/>
  <c r="AE758" i="1" a="1"/>
  <c r="AE758" i="1" s="1"/>
  <c r="AE759" i="1" a="1"/>
  <c r="AE759" i="1" s="1"/>
  <c r="AE760" i="1" a="1"/>
  <c r="AE760" i="1" s="1"/>
  <c r="AE761" i="1" a="1"/>
  <c r="AE761" i="1" s="1"/>
  <c r="AE762" i="1" a="1"/>
  <c r="AE762" i="1" s="1"/>
  <c r="AE763" i="1" a="1"/>
  <c r="AE763" i="1" s="1"/>
  <c r="AE764" i="1" a="1"/>
  <c r="AE764" i="1" s="1"/>
  <c r="AE765" i="1" a="1"/>
  <c r="AE765" i="1" s="1"/>
  <c r="AE766" i="1" a="1"/>
  <c r="AE766" i="1" s="1"/>
  <c r="AE767" i="1" a="1"/>
  <c r="AE767" i="1" s="1"/>
  <c r="AE768" i="1" a="1"/>
  <c r="AE768" i="1" s="1"/>
  <c r="AE769" i="1" a="1"/>
  <c r="AE769" i="1" s="1"/>
  <c r="AE770" i="1" a="1"/>
  <c r="AE770" i="1" s="1"/>
  <c r="AE771" i="1" a="1"/>
  <c r="AE771" i="1" s="1"/>
  <c r="AE772" i="1" a="1"/>
  <c r="AE772" i="1" s="1"/>
  <c r="AE773" i="1" a="1"/>
  <c r="AE773" i="1" s="1"/>
  <c r="AE774" i="1" a="1"/>
  <c r="AE774" i="1" s="1"/>
  <c r="AE775" i="1" a="1"/>
  <c r="AE775" i="1" s="1"/>
  <c r="AE776" i="1" a="1"/>
  <c r="AE776" i="1" s="1"/>
  <c r="AE777" i="1" a="1"/>
  <c r="AE777" i="1" s="1"/>
  <c r="AE778" i="1" a="1"/>
  <c r="AE778" i="1" s="1"/>
  <c r="AE779" i="1" a="1"/>
  <c r="AE779" i="1" s="1"/>
  <c r="AE780" i="1" a="1"/>
  <c r="AE780" i="1" s="1"/>
  <c r="AE781" i="1" a="1"/>
  <c r="AE781" i="1" s="1"/>
  <c r="AE782" i="1" a="1"/>
  <c r="AE782" i="1" s="1"/>
  <c r="AE783" i="1" a="1"/>
  <c r="AE783" i="1" s="1"/>
  <c r="AE784" i="1" a="1"/>
  <c r="AE784" i="1" s="1"/>
  <c r="AE785" i="1" a="1"/>
  <c r="AE785" i="1" s="1"/>
  <c r="AE786" i="1" a="1"/>
  <c r="AE786" i="1" s="1"/>
  <c r="AE787" i="1" a="1"/>
  <c r="AE787" i="1" s="1"/>
  <c r="AE788" i="1" a="1"/>
  <c r="AE788" i="1" s="1"/>
  <c r="AE789" i="1" a="1"/>
  <c r="AE789" i="1" s="1"/>
  <c r="AE790" i="1" a="1"/>
  <c r="AE790" i="1" s="1"/>
  <c r="AE791" i="1" a="1"/>
  <c r="AE791" i="1" s="1"/>
  <c r="AE792" i="1" a="1"/>
  <c r="AE792" i="1" s="1"/>
  <c r="AE793" i="1" a="1"/>
  <c r="AE793" i="1" s="1"/>
  <c r="AE794" i="1" a="1"/>
  <c r="AE794" i="1" s="1"/>
  <c r="AE795" i="1" a="1"/>
  <c r="AE795" i="1" s="1"/>
  <c r="AE796" i="1" a="1"/>
  <c r="AE796" i="1" s="1"/>
  <c r="AE797" i="1" a="1"/>
  <c r="AE797" i="1" s="1"/>
  <c r="AE798" i="1" a="1"/>
  <c r="AE798" i="1" s="1"/>
  <c r="AE799" i="1" a="1"/>
  <c r="AE799" i="1" s="1"/>
  <c r="AE800" i="1" a="1"/>
  <c r="AE800" i="1" s="1"/>
  <c r="AE801" i="1" a="1"/>
  <c r="AE801" i="1" s="1"/>
  <c r="AE802" i="1" a="1"/>
  <c r="AE802" i="1" s="1"/>
  <c r="AE803" i="1" a="1"/>
  <c r="AE803" i="1" s="1"/>
  <c r="AE804" i="1" a="1"/>
  <c r="AE804" i="1" s="1"/>
  <c r="AE805" i="1" a="1"/>
  <c r="AE805" i="1" s="1"/>
  <c r="AE806" i="1" a="1"/>
  <c r="AE806" i="1" s="1"/>
  <c r="AE807" i="1" a="1"/>
  <c r="AE807" i="1" s="1"/>
  <c r="AE808" i="1" a="1"/>
  <c r="AE808" i="1" s="1"/>
  <c r="AE809" i="1" a="1"/>
  <c r="AE809" i="1" s="1"/>
  <c r="AE810" i="1" a="1"/>
  <c r="AE810" i="1" s="1"/>
  <c r="AE811" i="1" a="1"/>
  <c r="AE811" i="1" s="1"/>
  <c r="AE812" i="1" a="1"/>
  <c r="AE812" i="1" s="1"/>
  <c r="AE813" i="1" a="1"/>
  <c r="AE813" i="1" s="1"/>
  <c r="AE814" i="1" a="1"/>
  <c r="AE814" i="1" s="1"/>
  <c r="AE815" i="1" a="1"/>
  <c r="AE815" i="1" s="1"/>
  <c r="AE816" i="1" a="1"/>
  <c r="AE816" i="1" s="1"/>
  <c r="AE817" i="1" a="1"/>
  <c r="AE817" i="1" s="1"/>
  <c r="AE818" i="1" a="1"/>
  <c r="AE818" i="1" s="1"/>
  <c r="AE819" i="1" a="1"/>
  <c r="AE819" i="1" s="1"/>
  <c r="AE820" i="1" a="1"/>
  <c r="AE820" i="1" s="1"/>
  <c r="AE821" i="1" a="1"/>
  <c r="AE821" i="1" s="1"/>
  <c r="AE822" i="1" a="1"/>
  <c r="AE822" i="1" s="1"/>
  <c r="AE823" i="1" a="1"/>
  <c r="AE823" i="1" s="1"/>
  <c r="AE824" i="1" a="1"/>
  <c r="AE824" i="1" s="1"/>
  <c r="AE825" i="1" a="1"/>
  <c r="AE825" i="1" s="1"/>
  <c r="AE826" i="1" a="1"/>
  <c r="AE826" i="1" s="1"/>
  <c r="AE827" i="1" a="1"/>
  <c r="AE827" i="1" s="1"/>
  <c r="AE828" i="1" a="1"/>
  <c r="AE828" i="1" s="1"/>
  <c r="AE829" i="1" a="1"/>
  <c r="AE829" i="1" s="1"/>
  <c r="AE830" i="1" a="1"/>
  <c r="AE830" i="1" s="1"/>
  <c r="AE831" i="1" a="1"/>
  <c r="AE831" i="1" s="1"/>
  <c r="AE832" i="1" a="1"/>
  <c r="AE832" i="1" s="1"/>
  <c r="AE833" i="1" a="1"/>
  <c r="AE833" i="1" s="1"/>
  <c r="AE834" i="1" a="1"/>
  <c r="AE834" i="1" s="1"/>
  <c r="AE835" i="1" a="1"/>
  <c r="AE835" i="1" s="1"/>
  <c r="AE836" i="1" a="1"/>
  <c r="AE836" i="1" s="1"/>
  <c r="AE837" i="1" a="1"/>
  <c r="AE837" i="1" s="1"/>
  <c r="AE838" i="1" a="1"/>
  <c r="AE838" i="1" s="1"/>
  <c r="AE839" i="1" a="1"/>
  <c r="AE839" i="1" s="1"/>
  <c r="AE840" i="1" a="1"/>
  <c r="AE840" i="1" s="1"/>
  <c r="AE841" i="1" a="1"/>
  <c r="AE841" i="1" s="1"/>
  <c r="AE842" i="1" a="1"/>
  <c r="AE842" i="1" s="1"/>
  <c r="AE843" i="1" a="1"/>
  <c r="AE843" i="1" s="1"/>
  <c r="AE844" i="1" a="1"/>
  <c r="AE844" i="1" s="1"/>
  <c r="AE845" i="1" a="1"/>
  <c r="AE845" i="1" s="1"/>
  <c r="AE846" i="1" a="1"/>
  <c r="AE846" i="1" s="1"/>
  <c r="AE847" i="1" a="1"/>
  <c r="AE847" i="1" s="1"/>
  <c r="AE848" i="1" a="1"/>
  <c r="AE848" i="1" s="1"/>
  <c r="AE849" i="1" a="1"/>
  <c r="AE849" i="1" s="1"/>
  <c r="AE850" i="1" a="1"/>
  <c r="AE850" i="1" s="1"/>
  <c r="AE851" i="1" a="1"/>
  <c r="AE851" i="1" s="1"/>
  <c r="AE852" i="1" a="1"/>
  <c r="AE852" i="1" s="1"/>
  <c r="AE853" i="1" a="1"/>
  <c r="AE853" i="1" s="1"/>
  <c r="AE854" i="1" a="1"/>
  <c r="AE854" i="1" s="1"/>
  <c r="AE855" i="1" a="1"/>
  <c r="AE855" i="1" s="1"/>
  <c r="AE856" i="1" a="1"/>
  <c r="AE856" i="1" s="1"/>
  <c r="AE857" i="1" a="1"/>
  <c r="AE857" i="1" s="1"/>
  <c r="AE858" i="1" a="1"/>
  <c r="AE858" i="1" s="1"/>
  <c r="AE859" i="1" a="1"/>
  <c r="AE859" i="1" s="1"/>
  <c r="AE860" i="1" a="1"/>
  <c r="AE860" i="1" s="1"/>
  <c r="AE861" i="1" a="1"/>
  <c r="AE861" i="1" s="1"/>
  <c r="AE862" i="1" a="1"/>
  <c r="AE862" i="1" s="1"/>
  <c r="AE863" i="1" a="1"/>
  <c r="AE863" i="1" s="1"/>
  <c r="AE864" i="1" a="1"/>
  <c r="AE864" i="1" s="1"/>
  <c r="AE865" i="1" a="1"/>
  <c r="AE865" i="1" s="1"/>
  <c r="AE866" i="1" a="1"/>
  <c r="AE866" i="1" s="1"/>
  <c r="AE867" i="1" a="1"/>
  <c r="AE867" i="1" s="1"/>
  <c r="AE868" i="1" a="1"/>
  <c r="AE868" i="1" s="1"/>
  <c r="AE869" i="1" a="1"/>
  <c r="AE869" i="1" s="1"/>
  <c r="AE870" i="1" a="1"/>
  <c r="AE870" i="1" s="1"/>
  <c r="AE871" i="1" a="1"/>
  <c r="AE871" i="1" s="1"/>
  <c r="AE872" i="1" a="1"/>
  <c r="AE872" i="1" s="1"/>
  <c r="AE873" i="1" a="1"/>
  <c r="AE873" i="1" s="1"/>
  <c r="AE874" i="1" a="1"/>
  <c r="AE874" i="1" s="1"/>
  <c r="AE875" i="1" a="1"/>
  <c r="AE875" i="1" s="1"/>
  <c r="AE876" i="1" a="1"/>
  <c r="AE876" i="1" s="1"/>
  <c r="AE877" i="1" a="1"/>
  <c r="AE877" i="1" s="1"/>
  <c r="AE878" i="1" a="1"/>
  <c r="AE878" i="1" s="1"/>
  <c r="AE879" i="1" a="1"/>
  <c r="AE879" i="1" s="1"/>
  <c r="AE880" i="1" a="1"/>
  <c r="AE880" i="1" s="1"/>
  <c r="AE881" i="1" a="1"/>
  <c r="AE881" i="1" s="1"/>
  <c r="AE882" i="1" a="1"/>
  <c r="AE882" i="1" s="1"/>
  <c r="AE883" i="1" a="1"/>
  <c r="AE883" i="1" s="1"/>
  <c r="AE884" i="1" a="1"/>
  <c r="AE884" i="1" s="1"/>
  <c r="AE885" i="1" a="1"/>
  <c r="AE885" i="1" s="1"/>
  <c r="AE886" i="1" a="1"/>
  <c r="AE886" i="1" s="1"/>
  <c r="AE887" i="1" a="1"/>
  <c r="AE887" i="1" s="1"/>
  <c r="AE888" i="1" a="1"/>
  <c r="AE888" i="1" s="1"/>
  <c r="AE889" i="1" a="1"/>
  <c r="AE889" i="1" s="1"/>
  <c r="AE890" i="1" a="1"/>
  <c r="AE890" i="1" s="1"/>
  <c r="AE891" i="1" a="1"/>
  <c r="AE891" i="1" s="1"/>
  <c r="AE892" i="1" a="1"/>
  <c r="AE892" i="1" s="1"/>
  <c r="AE893" i="1" a="1"/>
  <c r="AE893" i="1" s="1"/>
  <c r="AE894" i="1" a="1"/>
  <c r="AE894" i="1" s="1"/>
  <c r="AE895" i="1" a="1"/>
  <c r="AE895" i="1" s="1"/>
  <c r="AE896" i="1" a="1"/>
  <c r="AE896" i="1" s="1"/>
  <c r="AE897" i="1" a="1"/>
  <c r="AE897" i="1" s="1"/>
  <c r="AE898" i="1" a="1"/>
  <c r="AE898" i="1" s="1"/>
  <c r="AE899" i="1" a="1"/>
  <c r="AE899" i="1" s="1"/>
  <c r="AE900" i="1" a="1"/>
  <c r="AE900" i="1" s="1"/>
  <c r="AE901" i="1" a="1"/>
  <c r="AE901" i="1" s="1"/>
  <c r="AE902" i="1" a="1"/>
  <c r="AE902" i="1" s="1"/>
  <c r="AE903" i="1" a="1"/>
  <c r="AE903" i="1" s="1"/>
  <c r="AE904" i="1" a="1"/>
  <c r="AE904" i="1" s="1"/>
  <c r="AE905" i="1" a="1"/>
  <c r="AE905" i="1" s="1"/>
  <c r="AE906" i="1" a="1"/>
  <c r="AE906" i="1" s="1"/>
  <c r="AE907" i="1" a="1"/>
  <c r="AE907" i="1" s="1"/>
  <c r="AE908" i="1" a="1"/>
  <c r="AE908" i="1" s="1"/>
  <c r="AE909" i="1" a="1"/>
  <c r="AE909" i="1" s="1"/>
  <c r="AE910" i="1" a="1"/>
  <c r="AE910" i="1" s="1"/>
  <c r="AE911" i="1" a="1"/>
  <c r="AE911" i="1" s="1"/>
  <c r="AE912" i="1" a="1"/>
  <c r="AE912" i="1" s="1"/>
  <c r="AE913" i="1" a="1"/>
  <c r="AE913" i="1" s="1"/>
  <c r="AE914" i="1" a="1"/>
  <c r="AE914" i="1" s="1"/>
  <c r="AE915" i="1" a="1"/>
  <c r="AE915" i="1" s="1"/>
  <c r="AE916" i="1" a="1"/>
  <c r="AE916" i="1" s="1"/>
  <c r="AE917" i="1" a="1"/>
  <c r="AE917" i="1" s="1"/>
  <c r="AE918" i="1" a="1"/>
  <c r="AE918" i="1" s="1"/>
  <c r="AE919" i="1" a="1"/>
  <c r="AE919" i="1" s="1"/>
  <c r="AE920" i="1" a="1"/>
  <c r="AE920" i="1" s="1"/>
  <c r="AE921" i="1" a="1"/>
  <c r="AE921" i="1" s="1"/>
  <c r="AE922" i="1" a="1"/>
  <c r="AE922" i="1" s="1"/>
  <c r="AE923" i="1" a="1"/>
  <c r="AE923" i="1" s="1"/>
  <c r="AE924" i="1" a="1"/>
  <c r="AE924" i="1" s="1"/>
  <c r="AE925" i="1" a="1"/>
  <c r="AE925" i="1" s="1"/>
  <c r="AE926" i="1" a="1"/>
  <c r="AE926" i="1" s="1"/>
  <c r="AE927" i="1" a="1"/>
  <c r="AE927" i="1" s="1"/>
  <c r="AE928" i="1" a="1"/>
  <c r="AE928" i="1" s="1"/>
  <c r="AE929" i="1" a="1"/>
  <c r="AE929" i="1" s="1"/>
  <c r="AE930" i="1" a="1"/>
  <c r="AE930" i="1" s="1"/>
  <c r="AE931" i="1" a="1"/>
  <c r="AE931" i="1" s="1"/>
  <c r="AE932" i="1" a="1"/>
  <c r="AE932" i="1" s="1"/>
  <c r="AE933" i="1" a="1"/>
  <c r="AE933" i="1" s="1"/>
  <c r="AE934" i="1" a="1"/>
  <c r="AE934" i="1" s="1"/>
  <c r="AE935" i="1" a="1"/>
  <c r="AE935" i="1" s="1"/>
  <c r="AE936" i="1" a="1"/>
  <c r="AE936" i="1" s="1"/>
  <c r="AE937" i="1" a="1"/>
  <c r="AE937" i="1" s="1"/>
  <c r="AE938" i="1" a="1"/>
  <c r="AE938" i="1" s="1"/>
  <c r="AE939" i="1" a="1"/>
  <c r="AE939" i="1" s="1"/>
  <c r="AE940" i="1" a="1"/>
  <c r="AE940" i="1" s="1"/>
  <c r="AE941" i="1" a="1"/>
  <c r="AE941" i="1" s="1"/>
  <c r="AE942" i="1" a="1"/>
  <c r="AE942" i="1" s="1"/>
  <c r="AE943" i="1" a="1"/>
  <c r="AE943" i="1" s="1"/>
  <c r="AE944" i="1" a="1"/>
  <c r="AE944" i="1" s="1"/>
  <c r="AE945" i="1" a="1"/>
  <c r="AE945" i="1" s="1"/>
  <c r="AE946" i="1" a="1"/>
  <c r="AE946" i="1" s="1"/>
  <c r="AE947" i="1" a="1"/>
  <c r="AE947" i="1" s="1"/>
  <c r="AE948" i="1" a="1"/>
  <c r="AE948" i="1" s="1"/>
  <c r="AE949" i="1" a="1"/>
  <c r="AE949" i="1" s="1"/>
  <c r="AE950" i="1" a="1"/>
  <c r="AE950" i="1" s="1"/>
  <c r="AE951" i="1" a="1"/>
  <c r="AE951" i="1" s="1"/>
  <c r="AE952" i="1" a="1"/>
  <c r="AE952" i="1" s="1"/>
  <c r="AE953" i="1" a="1"/>
  <c r="AE953" i="1" s="1"/>
  <c r="AE954" i="1" a="1"/>
  <c r="AE954" i="1" s="1"/>
  <c r="AE955" i="1" a="1"/>
  <c r="AE955" i="1" s="1"/>
  <c r="AE956" i="1" a="1"/>
  <c r="AE956" i="1" s="1"/>
  <c r="AE957" i="1" a="1"/>
  <c r="AE957" i="1" s="1"/>
  <c r="AE958" i="1" a="1"/>
  <c r="AE958" i="1" s="1"/>
  <c r="AE959" i="1" a="1"/>
  <c r="AE959" i="1" s="1"/>
  <c r="AE960" i="1" a="1"/>
  <c r="AE960" i="1" s="1"/>
  <c r="AE961" i="1" a="1"/>
  <c r="AE961" i="1" s="1"/>
  <c r="AE962" i="1" a="1"/>
  <c r="AE962" i="1" s="1"/>
  <c r="AE963" i="1" a="1"/>
  <c r="AE963" i="1" s="1"/>
  <c r="AE964" i="1" a="1"/>
  <c r="AE964" i="1" s="1"/>
  <c r="AE965" i="1" a="1"/>
  <c r="AE965" i="1" s="1"/>
  <c r="AE966" i="1" a="1"/>
  <c r="AE966" i="1" s="1"/>
  <c r="AE967" i="1" a="1"/>
  <c r="AE967" i="1" s="1"/>
  <c r="AE968" i="1" a="1"/>
  <c r="AE968" i="1" s="1"/>
  <c r="AE969" i="1" a="1"/>
  <c r="AE969" i="1" s="1"/>
  <c r="AE970" i="1" a="1"/>
  <c r="AE970" i="1" s="1"/>
  <c r="AE971" i="1" a="1"/>
  <c r="AE971" i="1" s="1"/>
  <c r="AE972" i="1" a="1"/>
  <c r="AE972" i="1" s="1"/>
  <c r="AE973" i="1" a="1"/>
  <c r="AE973" i="1" s="1"/>
  <c r="AE974" i="1" a="1"/>
  <c r="AE974" i="1" s="1"/>
  <c r="AE975" i="1" a="1"/>
  <c r="AE975" i="1" s="1"/>
  <c r="AE976" i="1" a="1"/>
  <c r="AE976" i="1" s="1"/>
  <c r="AE977" i="1" a="1"/>
  <c r="AE977" i="1" s="1"/>
  <c r="AE978" i="1" a="1"/>
  <c r="AE978" i="1" s="1"/>
  <c r="AE979" i="1" a="1"/>
  <c r="AE979" i="1" s="1"/>
  <c r="AE980" i="1" a="1"/>
  <c r="AE980" i="1" s="1"/>
  <c r="AE981" i="1" a="1"/>
  <c r="AE981" i="1" s="1"/>
  <c r="AE982" i="1" a="1"/>
  <c r="AE982" i="1" s="1"/>
  <c r="AE983" i="1" a="1"/>
  <c r="AE983" i="1" s="1"/>
  <c r="AE984" i="1" a="1"/>
  <c r="AE984" i="1" s="1"/>
  <c r="AE985" i="1" a="1"/>
  <c r="AE985" i="1" s="1"/>
  <c r="AE986" i="1" a="1"/>
  <c r="AE986" i="1" s="1"/>
  <c r="AE987" i="1" a="1"/>
  <c r="AE987" i="1" s="1"/>
  <c r="AE988" i="1" a="1"/>
  <c r="AE988" i="1" s="1"/>
  <c r="AE989" i="1" a="1"/>
  <c r="AE989" i="1" s="1"/>
  <c r="AE990" i="1" a="1"/>
  <c r="AE990" i="1" s="1"/>
  <c r="AE991" i="1" a="1"/>
  <c r="AE991" i="1" s="1"/>
  <c r="AE992" i="1" a="1"/>
  <c r="AE992" i="1" s="1"/>
  <c r="AE993" i="1" a="1"/>
  <c r="AE993" i="1" s="1"/>
  <c r="AE994" i="1" a="1"/>
  <c r="AE994" i="1" s="1"/>
  <c r="AE995" i="1" a="1"/>
  <c r="AE995" i="1" s="1"/>
  <c r="AE996" i="1" a="1"/>
  <c r="AE996" i="1" s="1"/>
  <c r="AE997" i="1" a="1"/>
  <c r="AE997" i="1" s="1"/>
  <c r="AE998" i="1" a="1"/>
  <c r="AE998" i="1" s="1"/>
  <c r="AE999" i="1" a="1"/>
  <c r="AE999" i="1" s="1"/>
  <c r="AE1000" i="1" a="1"/>
  <c r="AE1000" i="1" s="1"/>
  <c r="AE1001" i="1" a="1"/>
  <c r="AE1001" i="1" s="1"/>
  <c r="AE1002" i="1" a="1"/>
  <c r="AE1002" i="1" s="1"/>
  <c r="AE1003" i="1" a="1"/>
  <c r="AE1003" i="1" s="1"/>
  <c r="AE1004" i="1" a="1"/>
  <c r="AE1004" i="1" s="1"/>
  <c r="AE1005" i="1" a="1"/>
  <c r="AE1005" i="1" s="1"/>
  <c r="AE1006" i="1" a="1"/>
  <c r="AE1006" i="1" s="1"/>
  <c r="AE1007" i="1" a="1"/>
  <c r="AE1007" i="1" s="1"/>
  <c r="AE1008" i="1" a="1"/>
  <c r="AE1008" i="1" s="1"/>
  <c r="AE1009" i="1" a="1"/>
  <c r="AE1009" i="1" s="1"/>
  <c r="AE1010" i="1" a="1"/>
  <c r="AE1010" i="1" s="1"/>
  <c r="AE1011" i="1" a="1"/>
  <c r="AE1011" i="1" s="1"/>
  <c r="AE1012" i="1" a="1"/>
  <c r="AE1012" i="1" s="1"/>
  <c r="AE1013" i="1" a="1"/>
  <c r="AE1013" i="1" s="1"/>
  <c r="AE1014" i="1" a="1"/>
  <c r="AE1014" i="1" s="1"/>
  <c r="AE1015" i="1" a="1"/>
  <c r="AE1015" i="1" s="1"/>
  <c r="AE1016" i="1" a="1"/>
  <c r="AE1016" i="1" s="1"/>
  <c r="AE1017" i="1" a="1"/>
  <c r="AE1017" i="1" s="1"/>
  <c r="AE1018" i="1" a="1"/>
  <c r="AE1018" i="1" s="1"/>
  <c r="AE1019" i="1" a="1"/>
  <c r="AE1019" i="1" s="1"/>
  <c r="AE1020" i="1" a="1"/>
  <c r="AE1020" i="1" s="1"/>
  <c r="AE1021" i="1" a="1"/>
  <c r="AE1021" i="1" s="1"/>
  <c r="AE1022" i="1" a="1"/>
  <c r="AE1022" i="1" s="1"/>
  <c r="AE1023" i="1" a="1"/>
  <c r="AE1023" i="1" s="1"/>
  <c r="AE1024" i="1" a="1"/>
  <c r="AE1024" i="1" s="1"/>
  <c r="AE1025" i="1" a="1"/>
  <c r="AE1025" i="1" s="1"/>
  <c r="AE1026" i="1" a="1"/>
  <c r="AE1026" i="1" s="1"/>
  <c r="AE1027" i="1" a="1"/>
  <c r="AE1027" i="1" s="1"/>
  <c r="AE1028" i="1" a="1"/>
  <c r="AE1028" i="1" s="1"/>
  <c r="AE1029" i="1" a="1"/>
  <c r="AE1029" i="1" s="1"/>
  <c r="AE1030" i="1" a="1"/>
  <c r="AE1030" i="1" s="1"/>
  <c r="AE1031" i="1" a="1"/>
  <c r="AE1031" i="1" s="1"/>
  <c r="AE1032" i="1" a="1"/>
  <c r="AE1032" i="1" s="1"/>
  <c r="AE1033" i="1" a="1"/>
  <c r="AE1033" i="1" s="1"/>
  <c r="AE1034" i="1" a="1"/>
  <c r="AE1034" i="1" s="1"/>
  <c r="AE1035" i="1" a="1"/>
  <c r="AE1035" i="1" s="1"/>
  <c r="AE1036" i="1" a="1"/>
  <c r="AE1036" i="1" s="1"/>
  <c r="AE1037" i="1" a="1"/>
  <c r="AE1037" i="1" s="1"/>
  <c r="AE1038" i="1" a="1"/>
  <c r="AE1038" i="1" s="1"/>
  <c r="AE1039" i="1" a="1"/>
  <c r="AE1039" i="1" s="1"/>
  <c r="AE1040" i="1" a="1"/>
  <c r="AE1040" i="1" s="1"/>
  <c r="AE1041" i="1" a="1"/>
  <c r="AE1041" i="1" s="1"/>
  <c r="AE1042" i="1" a="1"/>
  <c r="AE1042" i="1" s="1"/>
  <c r="AE1043" i="1" a="1"/>
  <c r="AE1043" i="1" s="1"/>
  <c r="AE1044" i="1" a="1"/>
  <c r="AE1044" i="1" s="1"/>
  <c r="AE1045" i="1" a="1"/>
  <c r="AE1045" i="1" s="1"/>
  <c r="AE1046" i="1" a="1"/>
  <c r="AE1046" i="1" s="1"/>
  <c r="AE1047" i="1" a="1"/>
  <c r="AE1047" i="1" s="1"/>
  <c r="AE1048" i="1" a="1"/>
  <c r="AE1048" i="1" s="1"/>
  <c r="AE1049" i="1" a="1"/>
  <c r="AE1049" i="1" s="1"/>
  <c r="AE1050" i="1" a="1"/>
  <c r="AE1050" i="1" s="1"/>
  <c r="AE1051" i="1" a="1"/>
  <c r="AE1051" i="1" s="1"/>
  <c r="AE1052" i="1" a="1"/>
  <c r="AE1052" i="1" s="1"/>
  <c r="AE1053" i="1" a="1"/>
  <c r="AE1053" i="1" s="1"/>
  <c r="AE1054" i="1" a="1"/>
  <c r="AE1054" i="1" s="1"/>
  <c r="AE1055" i="1" a="1"/>
  <c r="AE1055" i="1" s="1"/>
  <c r="AE1056" i="1" a="1"/>
  <c r="AE1056" i="1" s="1"/>
  <c r="AE1057" i="1" a="1"/>
  <c r="AE1057" i="1" s="1"/>
  <c r="AE1058" i="1" a="1"/>
  <c r="AE1058" i="1" s="1"/>
  <c r="AE1059" i="1" a="1"/>
  <c r="AE1059" i="1" s="1"/>
  <c r="AE1060" i="1" a="1"/>
  <c r="AE1060" i="1" s="1"/>
  <c r="AE1061" i="1" a="1"/>
  <c r="AE1061" i="1" s="1"/>
  <c r="AE1062" i="1" a="1"/>
  <c r="AE1062" i="1" s="1"/>
  <c r="AE1063" i="1" a="1"/>
  <c r="AE1063" i="1" s="1"/>
  <c r="AE1064" i="1" a="1"/>
  <c r="AE1064" i="1" s="1"/>
  <c r="AE1065" i="1" a="1"/>
  <c r="AE1065" i="1" s="1"/>
  <c r="AE1066" i="1" a="1"/>
  <c r="AE1066" i="1" s="1"/>
  <c r="AE1067" i="1" a="1"/>
  <c r="AE1067" i="1" s="1"/>
  <c r="AE1068" i="1" a="1"/>
  <c r="AE1068" i="1" s="1"/>
  <c r="AE1069" i="1" a="1"/>
  <c r="AE1069" i="1" s="1"/>
  <c r="AE1070" i="1" a="1"/>
  <c r="AE1070" i="1" s="1"/>
  <c r="AE1071" i="1" a="1"/>
  <c r="AE1071" i="1" s="1"/>
  <c r="AE1072" i="1" a="1"/>
  <c r="AE1072" i="1" s="1"/>
  <c r="AE1073" i="1" a="1"/>
  <c r="AE1073" i="1" s="1"/>
  <c r="AE1074" i="1" a="1"/>
  <c r="AE1074" i="1" s="1"/>
  <c r="AE1075" i="1" a="1"/>
  <c r="AE1075" i="1" s="1"/>
  <c r="AE1076" i="1" a="1"/>
  <c r="AE1076" i="1" s="1"/>
  <c r="AE1077" i="1" a="1"/>
  <c r="AE1077" i="1" s="1"/>
  <c r="AE1078" i="1" a="1"/>
  <c r="AE1078" i="1" s="1"/>
  <c r="AE1079" i="1" a="1"/>
  <c r="AE1079" i="1" s="1"/>
  <c r="AE1080" i="1" a="1"/>
  <c r="AE1080" i="1" s="1"/>
  <c r="AE1081" i="1" a="1"/>
  <c r="AE1081" i="1" s="1"/>
  <c r="AE1082" i="1" a="1"/>
  <c r="AE1082" i="1" s="1"/>
  <c r="AE1083" i="1" a="1"/>
  <c r="AE1083" i="1" s="1"/>
  <c r="AE1084" i="1" a="1"/>
  <c r="AE1084" i="1" s="1"/>
  <c r="AE1085" i="1" a="1"/>
  <c r="AE1085" i="1" s="1"/>
  <c r="AE1086" i="1" a="1"/>
  <c r="AE1086" i="1" s="1"/>
  <c r="AE1087" i="1" a="1"/>
  <c r="AE1087" i="1" s="1"/>
  <c r="AE1088" i="1" a="1"/>
  <c r="AE1088" i="1" s="1"/>
  <c r="AE1089" i="1" a="1"/>
  <c r="AE1089" i="1" s="1"/>
  <c r="AE1090" i="1" a="1"/>
  <c r="AE1090" i="1" s="1"/>
  <c r="AE1091" i="1" a="1"/>
  <c r="AE1091" i="1" s="1"/>
  <c r="AE1092" i="1" a="1"/>
  <c r="AE1092" i="1" s="1"/>
  <c r="AE1093" i="1" a="1"/>
  <c r="AE1093" i="1" s="1"/>
  <c r="AE1094" i="1" a="1"/>
  <c r="AE1094" i="1" s="1"/>
  <c r="AE1095" i="1" a="1"/>
  <c r="AE1095" i="1" s="1"/>
  <c r="AE1096" i="1" a="1"/>
  <c r="AE1096" i="1" s="1"/>
  <c r="AE1097" i="1" a="1"/>
  <c r="AE1097" i="1" s="1"/>
  <c r="AE1098" i="1" a="1"/>
  <c r="AE1098" i="1" s="1"/>
  <c r="AE1099" i="1" a="1"/>
  <c r="AE1099" i="1" s="1"/>
  <c r="AE1100" i="1" a="1"/>
  <c r="AE1100" i="1" s="1"/>
  <c r="AE1101" i="1" a="1"/>
  <c r="AE1101" i="1" s="1"/>
  <c r="AE1102" i="1" a="1"/>
  <c r="AE1102" i="1" s="1"/>
  <c r="AE1103" i="1" a="1"/>
  <c r="AE1103" i="1" s="1"/>
  <c r="AE1104" i="1" a="1"/>
  <c r="AE1104" i="1" s="1"/>
  <c r="AE1105" i="1" a="1"/>
  <c r="AE1105" i="1" s="1"/>
  <c r="AE1106" i="1" a="1"/>
  <c r="AE1106" i="1" s="1"/>
  <c r="AE1107" i="1" a="1"/>
  <c r="AE1107" i="1" s="1"/>
  <c r="AE1108" i="1" a="1"/>
  <c r="AE1108" i="1" s="1"/>
  <c r="AE1109" i="1" a="1"/>
  <c r="AE1109" i="1" s="1"/>
  <c r="AE1110" i="1" a="1"/>
  <c r="AE1110" i="1" s="1"/>
  <c r="AE1111" i="1" a="1"/>
  <c r="AE1111" i="1" s="1"/>
  <c r="AE1112" i="1" a="1"/>
  <c r="AE1112" i="1" s="1"/>
  <c r="AE1113" i="1" a="1"/>
  <c r="AE1113" i="1" s="1"/>
  <c r="AE1114" i="1" a="1"/>
  <c r="AE1114" i="1" s="1"/>
  <c r="AE1115" i="1" a="1"/>
  <c r="AE1115" i="1" s="1"/>
  <c r="AE1116" i="1" a="1"/>
  <c r="AE1116" i="1" s="1"/>
  <c r="AE1117" i="1" a="1"/>
  <c r="AE1117" i="1" s="1"/>
  <c r="AE1118" i="1" a="1"/>
  <c r="AE1118" i="1" s="1"/>
  <c r="AE1119" i="1" a="1"/>
  <c r="AE1119" i="1" s="1"/>
  <c r="AE1120" i="1" a="1"/>
  <c r="AE1120" i="1" s="1"/>
  <c r="AE1121" i="1" a="1"/>
  <c r="AE1121" i="1" s="1"/>
  <c r="AE1122" i="1" a="1"/>
  <c r="AE1122" i="1" s="1"/>
  <c r="AE1123" i="1" a="1"/>
  <c r="AE1123" i="1" s="1"/>
  <c r="AE1124" i="1" a="1"/>
  <c r="AE1124" i="1" s="1"/>
  <c r="AE1125" i="1" a="1"/>
  <c r="AE1125" i="1" s="1"/>
  <c r="AE1126" i="1" a="1"/>
  <c r="AE1126" i="1" s="1"/>
  <c r="AE1127" i="1" a="1"/>
  <c r="AE1127" i="1" s="1"/>
  <c r="AE1128" i="1" a="1"/>
  <c r="AE1128" i="1" s="1"/>
  <c r="AE1129" i="1" a="1"/>
  <c r="AE1129" i="1" s="1"/>
  <c r="AE1130" i="1" a="1"/>
  <c r="AE1130" i="1" s="1"/>
  <c r="AE1131" i="1" a="1"/>
  <c r="AE1131" i="1" s="1"/>
  <c r="AE1132" i="1" a="1"/>
  <c r="AE1132" i="1" s="1"/>
  <c r="AE1133" i="1" a="1"/>
  <c r="AE1133" i="1" s="1"/>
  <c r="AE1134" i="1" a="1"/>
  <c r="AE1134" i="1" s="1"/>
  <c r="AE1135" i="1" a="1"/>
  <c r="AE1135" i="1" s="1"/>
  <c r="AE1136" i="1" a="1"/>
  <c r="AE1136" i="1" s="1"/>
  <c r="AE1137" i="1" a="1"/>
  <c r="AE1137" i="1" s="1"/>
  <c r="AE1138" i="1" a="1"/>
  <c r="AE1138" i="1" s="1"/>
  <c r="AE1139" i="1" a="1"/>
  <c r="AE1139" i="1" s="1"/>
  <c r="AE1140" i="1" a="1"/>
  <c r="AE1140" i="1" s="1"/>
  <c r="AE1141" i="1" a="1"/>
  <c r="AE1141" i="1" s="1"/>
  <c r="AE1142" i="1" a="1"/>
  <c r="AE1142" i="1" s="1"/>
  <c r="AE1143" i="1" a="1"/>
  <c r="AE1143" i="1" s="1"/>
  <c r="AE1144" i="1" a="1"/>
  <c r="AE1144" i="1" s="1"/>
  <c r="AE1145" i="1" a="1"/>
  <c r="AE1145" i="1" s="1"/>
  <c r="AE1146" i="1" a="1"/>
  <c r="AE1146" i="1" s="1"/>
  <c r="AE1147" i="1" a="1"/>
  <c r="AE1147" i="1" s="1"/>
  <c r="AE1148" i="1" a="1"/>
  <c r="AE1148" i="1" s="1"/>
  <c r="AE1149" i="1" a="1"/>
  <c r="AE1149" i="1" s="1"/>
  <c r="AE1150" i="1" a="1"/>
  <c r="AE1150" i="1" s="1"/>
  <c r="AE1151" i="1" a="1"/>
  <c r="AE1151" i="1" s="1"/>
  <c r="AE1152" i="1" a="1"/>
  <c r="AE1152" i="1" s="1"/>
  <c r="AE1153" i="1" a="1"/>
  <c r="AE1153" i="1" s="1"/>
  <c r="AE1154" i="1" a="1"/>
  <c r="AE1154" i="1" s="1"/>
  <c r="AE1155" i="1" a="1"/>
  <c r="AE1155" i="1" s="1"/>
  <c r="AE1156" i="1" a="1"/>
  <c r="AE1156" i="1" s="1"/>
  <c r="AE1157" i="1" a="1"/>
  <c r="AE1157" i="1" s="1"/>
  <c r="AE1158" i="1" a="1"/>
  <c r="AE1158" i="1" s="1"/>
  <c r="AE1159" i="1" a="1"/>
  <c r="AE1159" i="1" s="1"/>
  <c r="AE1160" i="1" a="1"/>
  <c r="AE1160" i="1" s="1"/>
  <c r="AE1161" i="1" a="1"/>
  <c r="AE1161" i="1" s="1"/>
  <c r="AE1162" i="1" a="1"/>
  <c r="AE1162" i="1" s="1"/>
  <c r="AE1163" i="1" a="1"/>
  <c r="AE1163" i="1" s="1"/>
  <c r="AE1164" i="1" a="1"/>
  <c r="AE1164" i="1" s="1"/>
  <c r="AE1165" i="1" a="1"/>
  <c r="AE1165" i="1" s="1"/>
  <c r="AE1166" i="1" a="1"/>
  <c r="AE1166" i="1" s="1"/>
  <c r="AE1167" i="1" a="1"/>
  <c r="AE1167" i="1" s="1"/>
  <c r="AE1168" i="1" a="1"/>
  <c r="AE1168" i="1" s="1"/>
  <c r="AE1169" i="1" a="1"/>
  <c r="AE1169" i="1" s="1"/>
  <c r="AE1170" i="1" a="1"/>
  <c r="AE1170" i="1" s="1"/>
  <c r="AE1171" i="1" a="1"/>
  <c r="AE1171" i="1" s="1"/>
  <c r="AE1172" i="1" a="1"/>
  <c r="AE1172" i="1" s="1"/>
  <c r="AE1173" i="1" a="1"/>
  <c r="AE1173" i="1" s="1"/>
  <c r="AE1174" i="1" a="1"/>
  <c r="AE1174" i="1" s="1"/>
  <c r="AE1175" i="1" a="1"/>
  <c r="AE1175" i="1" s="1"/>
  <c r="AE1176" i="1" a="1"/>
  <c r="AE1176" i="1" s="1"/>
  <c r="AE1177" i="1" a="1"/>
  <c r="AE1177" i="1" s="1"/>
  <c r="AE1178" i="1" a="1"/>
  <c r="AE1178" i="1" s="1"/>
  <c r="AE1179" i="1" a="1"/>
  <c r="AE1179" i="1" s="1"/>
  <c r="AE1180" i="1" a="1"/>
  <c r="AE1180" i="1" s="1"/>
  <c r="AE1181" i="1" a="1"/>
  <c r="AE1181" i="1" s="1"/>
  <c r="AE1182" i="1" a="1"/>
  <c r="AE1182" i="1" s="1"/>
  <c r="AE1183" i="1" a="1"/>
  <c r="AE1183" i="1" s="1"/>
  <c r="AE1184" i="1" a="1"/>
  <c r="AE1184" i="1" s="1"/>
  <c r="AE1185" i="1" a="1"/>
  <c r="AE1185" i="1" s="1"/>
  <c r="AE1186" i="1" a="1"/>
  <c r="AE1186" i="1" s="1"/>
  <c r="AE1187" i="1" a="1"/>
  <c r="AE1187" i="1" s="1"/>
  <c r="AE1188" i="1" a="1"/>
  <c r="AE1188" i="1" s="1"/>
  <c r="AE1189" i="1" a="1"/>
  <c r="AE1189" i="1" s="1"/>
  <c r="AE1190" i="1" a="1"/>
  <c r="AE1190" i="1" s="1"/>
  <c r="AE1191" i="1" a="1"/>
  <c r="AE1191" i="1" s="1"/>
  <c r="AE1192" i="1" a="1"/>
  <c r="AE1192" i="1" s="1"/>
  <c r="AE1193" i="1" a="1"/>
  <c r="AE1193" i="1" s="1"/>
  <c r="AE1194" i="1" a="1"/>
  <c r="AE1194" i="1" s="1"/>
  <c r="AE1195" i="1" a="1"/>
  <c r="AE1195" i="1" s="1"/>
  <c r="AE1196" i="1" a="1"/>
  <c r="AE1196" i="1" s="1"/>
  <c r="AE1197" i="1" a="1"/>
  <c r="AE1197" i="1" s="1"/>
  <c r="AE1198" i="1" a="1"/>
  <c r="AE1198" i="1" s="1"/>
  <c r="AE1199" i="1" a="1"/>
  <c r="AE1199" i="1" s="1"/>
  <c r="AE1200" i="1" a="1"/>
  <c r="AE1200" i="1" s="1"/>
  <c r="AE1201" i="1" a="1"/>
  <c r="AE1201" i="1" s="1"/>
  <c r="AE1202" i="1" a="1"/>
  <c r="AE1202" i="1" s="1"/>
  <c r="AE1203" i="1" a="1"/>
  <c r="AE1203" i="1" s="1"/>
  <c r="AE1204" i="1" a="1"/>
  <c r="AE1204" i="1" s="1"/>
  <c r="AE1205" i="1" a="1"/>
  <c r="AE1205" i="1" s="1"/>
  <c r="AE1206" i="1" a="1"/>
  <c r="AE1206" i="1" s="1"/>
  <c r="AE1207" i="1" a="1"/>
  <c r="AE1207" i="1" s="1"/>
  <c r="AE1208" i="1" a="1"/>
  <c r="AE1208" i="1" s="1"/>
  <c r="AE1209" i="1" a="1"/>
  <c r="AE1209" i="1" s="1"/>
  <c r="AE1210" i="1" a="1"/>
  <c r="AE1210" i="1" s="1"/>
  <c r="AE1211" i="1" a="1"/>
  <c r="AE1211" i="1" s="1"/>
  <c r="AE1212" i="1" a="1"/>
  <c r="AE1212" i="1" s="1"/>
  <c r="AE1213" i="1" a="1"/>
  <c r="AE1213" i="1" s="1"/>
  <c r="AE1214" i="1" a="1"/>
  <c r="AE1214" i="1" s="1"/>
  <c r="AE1215" i="1" a="1"/>
  <c r="AE1215" i="1" s="1"/>
  <c r="AE1216" i="1" a="1"/>
  <c r="AE1216" i="1" s="1"/>
  <c r="AE1217" i="1" a="1"/>
  <c r="AE1217" i="1" s="1"/>
  <c r="AE1218" i="1" a="1"/>
  <c r="AE1218" i="1" s="1"/>
  <c r="AE1219" i="1" a="1"/>
  <c r="AE1219" i="1" s="1"/>
  <c r="AE1220" i="1" a="1"/>
  <c r="AE1220" i="1" s="1"/>
  <c r="AE1221" i="1" a="1"/>
  <c r="AE1221" i="1" s="1"/>
  <c r="AE1222" i="1" a="1"/>
  <c r="AE1222" i="1" s="1"/>
  <c r="AE1223" i="1" a="1"/>
  <c r="AE1223" i="1" s="1"/>
  <c r="AE1224" i="1" a="1"/>
  <c r="AE1224" i="1" s="1"/>
  <c r="AE1225" i="1" a="1"/>
  <c r="AE1225" i="1" s="1"/>
  <c r="AE1226" i="1" a="1"/>
  <c r="AE1226" i="1" s="1"/>
  <c r="AE1227" i="1" a="1"/>
  <c r="AE1227" i="1" s="1"/>
  <c r="AE1228" i="1" a="1"/>
  <c r="AE1228" i="1" s="1"/>
  <c r="AE1229" i="1" a="1"/>
  <c r="AE1229" i="1" s="1"/>
  <c r="AE1230" i="1" a="1"/>
  <c r="AE1230" i="1" s="1"/>
  <c r="AE1231" i="1" a="1"/>
  <c r="AE1231" i="1" s="1"/>
  <c r="AE1232" i="1" a="1"/>
  <c r="AE1232" i="1" s="1"/>
  <c r="AE1233" i="1" a="1"/>
  <c r="AE1233" i="1" s="1"/>
  <c r="AE1234" i="1" a="1"/>
  <c r="AE1234" i="1" s="1"/>
  <c r="AE1235" i="1" a="1"/>
  <c r="AE1235" i="1" s="1"/>
  <c r="AE1236" i="1" a="1"/>
  <c r="AE1236" i="1" s="1"/>
  <c r="AE1237" i="1" a="1"/>
  <c r="AE1237" i="1" s="1"/>
  <c r="AE1238" i="1" a="1"/>
  <c r="AE1238" i="1" s="1"/>
  <c r="AE1239" i="1" a="1"/>
  <c r="AE1239" i="1" s="1"/>
  <c r="AE1240" i="1" a="1"/>
  <c r="AE1240" i="1" s="1"/>
  <c r="AE1241" i="1" a="1"/>
  <c r="AE1241" i="1" s="1"/>
  <c r="AE1242" i="1" a="1"/>
  <c r="AE1242" i="1" s="1"/>
  <c r="AE1243" i="1" a="1"/>
  <c r="AE1243" i="1" s="1"/>
  <c r="AE1244" i="1" a="1"/>
  <c r="AE1244" i="1" s="1"/>
  <c r="AE1245" i="1" a="1"/>
  <c r="AE1245" i="1" s="1"/>
  <c r="AE1246" i="1" a="1"/>
  <c r="AE1246" i="1" s="1"/>
  <c r="AE1247" i="1" a="1"/>
  <c r="AE1247" i="1" s="1"/>
  <c r="AE1248" i="1" a="1"/>
  <c r="AE1248" i="1" s="1"/>
  <c r="AE1249" i="1" a="1"/>
  <c r="AE1249" i="1" s="1"/>
  <c r="AE1250" i="1" a="1"/>
  <c r="AE1250" i="1" s="1"/>
  <c r="AE1251" i="1" a="1"/>
  <c r="AE1251" i="1" s="1"/>
  <c r="AE1252" i="1" a="1"/>
  <c r="AE1252" i="1" s="1"/>
  <c r="AE1253" i="1" a="1"/>
  <c r="AE1253" i="1" s="1"/>
  <c r="AE1254" i="1" a="1"/>
  <c r="AE1254" i="1" s="1"/>
  <c r="AE1255" i="1" a="1"/>
  <c r="AE1255" i="1" s="1"/>
  <c r="AE1256" i="1" a="1"/>
  <c r="AE1256" i="1" s="1"/>
  <c r="AE1257" i="1" a="1"/>
  <c r="AE1257" i="1" s="1"/>
  <c r="AE1258" i="1" a="1"/>
  <c r="AE1258" i="1" s="1"/>
  <c r="AE1259" i="1" a="1"/>
  <c r="AE1259" i="1" s="1"/>
  <c r="AE1260" i="1" a="1"/>
  <c r="AE1260" i="1" s="1"/>
  <c r="AE1261" i="1" a="1"/>
  <c r="AE1261" i="1" s="1"/>
  <c r="AE1262" i="1" a="1"/>
  <c r="AE1262" i="1" s="1"/>
  <c r="AE1263" i="1" a="1"/>
  <c r="AE1263" i="1" s="1"/>
  <c r="AE1264" i="1" a="1"/>
  <c r="AE1264" i="1" s="1"/>
  <c r="AE1265" i="1" a="1"/>
  <c r="AE1265" i="1" s="1"/>
  <c r="AE1266" i="1" a="1"/>
  <c r="AE1266" i="1" s="1"/>
  <c r="AE1267" i="1" a="1"/>
  <c r="AE1267" i="1" s="1"/>
  <c r="AE1268" i="1" a="1"/>
  <c r="AE1268" i="1" s="1"/>
  <c r="AE1269" i="1" a="1"/>
  <c r="AE1269" i="1" s="1"/>
  <c r="AE1270" i="1" a="1"/>
  <c r="AE1270" i="1" s="1"/>
  <c r="AE1271" i="1" a="1"/>
  <c r="AE1271" i="1" s="1"/>
  <c r="AE1272" i="1" a="1"/>
  <c r="AE1272" i="1" s="1"/>
  <c r="AE1273" i="1" a="1"/>
  <c r="AE1273" i="1" s="1"/>
  <c r="AE1274" i="1" a="1"/>
  <c r="AE1274" i="1" s="1"/>
  <c r="AE1275" i="1" a="1"/>
  <c r="AE1275" i="1" s="1"/>
  <c r="AE1276" i="1" a="1"/>
  <c r="AE1276" i="1" s="1"/>
  <c r="AE1277" i="1" a="1"/>
  <c r="AE1277" i="1" s="1"/>
  <c r="AE1278" i="1" a="1"/>
  <c r="AE1278" i="1" s="1"/>
  <c r="AE1279" i="1" a="1"/>
  <c r="AE1279" i="1" s="1"/>
  <c r="AE1280" i="1" a="1"/>
  <c r="AE1280" i="1" s="1"/>
  <c r="AE1281" i="1" a="1"/>
  <c r="AE1281" i="1" s="1"/>
  <c r="AE1282" i="1" a="1"/>
  <c r="AE1282" i="1" s="1"/>
  <c r="AE1283" i="1" a="1"/>
  <c r="AE1283" i="1" s="1"/>
  <c r="AE1284" i="1" a="1"/>
  <c r="AE1284" i="1" s="1"/>
  <c r="AE1285" i="1" a="1"/>
  <c r="AE1285" i="1" s="1"/>
  <c r="AE1286" i="1" a="1"/>
  <c r="AE1286" i="1" s="1"/>
  <c r="AE1287" i="1" a="1"/>
  <c r="AE1287" i="1" s="1"/>
  <c r="AE1288" i="1" a="1"/>
  <c r="AE1288" i="1" s="1"/>
  <c r="AE1289" i="1" a="1"/>
  <c r="AE1289" i="1" s="1"/>
  <c r="AE1290" i="1" a="1"/>
  <c r="AE1290" i="1" s="1"/>
  <c r="AE1291" i="1" a="1"/>
  <c r="AE1291" i="1" s="1"/>
  <c r="AE1292" i="1" a="1"/>
  <c r="AE1292" i="1" s="1"/>
  <c r="AE1293" i="1" a="1"/>
  <c r="AE1293" i="1" s="1"/>
  <c r="AE1294" i="1" a="1"/>
  <c r="AE1294" i="1" s="1"/>
  <c r="AE1295" i="1" a="1"/>
  <c r="AE1295" i="1" s="1"/>
  <c r="AE1296" i="1" a="1"/>
  <c r="AE1296" i="1" s="1"/>
  <c r="AE1297" i="1" a="1"/>
  <c r="AE1297" i="1" s="1"/>
  <c r="AE1298" i="1" a="1"/>
  <c r="AE1298" i="1" s="1"/>
  <c r="AE1299" i="1" a="1"/>
  <c r="AE1299" i="1" s="1"/>
  <c r="AE1300" i="1" a="1"/>
  <c r="AE1300" i="1" s="1"/>
  <c r="AE1301" i="1" a="1"/>
  <c r="AE1301" i="1" s="1"/>
  <c r="AE1302" i="1" a="1"/>
  <c r="AE1302" i="1" s="1"/>
  <c r="AE1303" i="1" a="1"/>
  <c r="AE1303" i="1" s="1"/>
  <c r="AE1304" i="1" a="1"/>
  <c r="AE1304" i="1" s="1"/>
  <c r="AE1305" i="1" a="1"/>
  <c r="AE1305" i="1" s="1"/>
  <c r="AE1306" i="1" a="1"/>
  <c r="AE1306" i="1" s="1"/>
  <c r="AE1307" i="1" a="1"/>
  <c r="AE1307" i="1" s="1"/>
  <c r="AE1308" i="1" a="1"/>
  <c r="AE1308" i="1" s="1"/>
  <c r="AE1309" i="1" a="1"/>
  <c r="AE1309" i="1" s="1"/>
  <c r="AE1310" i="1" a="1"/>
  <c r="AE1310" i="1" s="1"/>
  <c r="AE1311" i="1" a="1"/>
  <c r="AE1311" i="1" s="1"/>
  <c r="AE1312" i="1" a="1"/>
  <c r="AE1312" i="1" s="1"/>
  <c r="AE1313" i="1" a="1"/>
  <c r="AE1313" i="1" s="1"/>
  <c r="AE1314" i="1" a="1"/>
  <c r="AE1314" i="1" s="1"/>
  <c r="AE1315" i="1" a="1"/>
  <c r="AE1315" i="1" s="1"/>
  <c r="AE1316" i="1" a="1"/>
  <c r="AE1316" i="1" s="1"/>
  <c r="AE1317" i="1" a="1"/>
  <c r="AE1317" i="1" s="1"/>
  <c r="AE1318" i="1" a="1"/>
  <c r="AE1318" i="1" s="1"/>
  <c r="AE1319" i="1" a="1"/>
  <c r="AE1319" i="1" s="1"/>
  <c r="AE1320" i="1" a="1"/>
  <c r="AE1320" i="1" s="1"/>
  <c r="AE1321" i="1" a="1"/>
  <c r="AE1321" i="1" s="1"/>
  <c r="AE1322" i="1" a="1"/>
  <c r="AE1322" i="1" s="1"/>
  <c r="AE1323" i="1" a="1"/>
  <c r="AE1323" i="1" s="1"/>
  <c r="AE1324" i="1" a="1"/>
  <c r="AE1324" i="1" s="1"/>
  <c r="AE1325" i="1" a="1"/>
  <c r="AE1325" i="1" s="1"/>
  <c r="AE1326" i="1" a="1"/>
  <c r="AE1326" i="1" s="1"/>
  <c r="AE1327" i="1" a="1"/>
  <c r="AE1327" i="1" s="1"/>
  <c r="AE1328" i="1" a="1"/>
  <c r="AE1328" i="1" s="1"/>
  <c r="AE1329" i="1" a="1"/>
  <c r="AE1329" i="1" s="1"/>
  <c r="AE1330" i="1" a="1"/>
  <c r="AE1330" i="1" s="1"/>
  <c r="AE1331" i="1" a="1"/>
  <c r="AE1331" i="1" s="1"/>
  <c r="AE1332" i="1" a="1"/>
  <c r="AE1332" i="1" s="1"/>
  <c r="AE1333" i="1" a="1"/>
  <c r="AE1333" i="1" s="1"/>
  <c r="AE1334" i="1" a="1"/>
  <c r="AE1334" i="1" s="1"/>
  <c r="AE1335" i="1" a="1"/>
  <c r="AE1335" i="1" s="1"/>
  <c r="AE1336" i="1" a="1"/>
  <c r="AE1336" i="1" s="1"/>
  <c r="AE1337" i="1" a="1"/>
  <c r="AE1337" i="1" s="1"/>
  <c r="AE1338" i="1" a="1"/>
  <c r="AE1338" i="1" s="1"/>
  <c r="AE1339" i="1" a="1"/>
  <c r="AE1339" i="1" s="1"/>
  <c r="AE1340" i="1" a="1"/>
  <c r="AE1340" i="1" s="1"/>
  <c r="AE1341" i="1" a="1"/>
  <c r="AE1341" i="1" s="1"/>
  <c r="AE1342" i="1" a="1"/>
  <c r="AE1342" i="1" s="1"/>
  <c r="AE1343" i="1" a="1"/>
  <c r="AE1343" i="1" s="1"/>
  <c r="AE1344" i="1" a="1"/>
  <c r="AE1344" i="1" s="1"/>
  <c r="AE1345" i="1" a="1"/>
  <c r="AE1345" i="1" s="1"/>
  <c r="AE1346" i="1" a="1"/>
  <c r="AE1346" i="1" s="1"/>
  <c r="AE1347" i="1" a="1"/>
  <c r="AE1347" i="1" s="1"/>
  <c r="AE1348" i="1" a="1"/>
  <c r="AE1348" i="1" s="1"/>
  <c r="AE1349" i="1" a="1"/>
  <c r="AE1349" i="1" s="1"/>
  <c r="AE1350" i="1" a="1"/>
  <c r="AE1350" i="1" s="1"/>
  <c r="AE1351" i="1" a="1"/>
  <c r="AE1351" i="1" s="1"/>
  <c r="AE1352" i="1" a="1"/>
  <c r="AE1352" i="1" s="1"/>
  <c r="AE1353" i="1" a="1"/>
  <c r="AE1353" i="1" s="1"/>
  <c r="AE1354" i="1" a="1"/>
  <c r="AE1354" i="1" s="1"/>
  <c r="AE1355" i="1" a="1"/>
  <c r="AE1355" i="1" s="1"/>
  <c r="AE1356" i="1" a="1"/>
  <c r="AE1356" i="1" s="1"/>
  <c r="AE1357" i="1" a="1"/>
  <c r="AE1357" i="1" s="1"/>
  <c r="AE1358" i="1" a="1"/>
  <c r="AE1358" i="1" s="1"/>
  <c r="AE1359" i="1" a="1"/>
  <c r="AE1359" i="1" s="1"/>
  <c r="AE1360" i="1" a="1"/>
  <c r="AE1360" i="1" s="1"/>
  <c r="AE1361" i="1" a="1"/>
  <c r="AE1361" i="1" s="1"/>
  <c r="AE1362" i="1" a="1"/>
  <c r="AE1362" i="1" s="1"/>
  <c r="AE1363" i="1" a="1"/>
  <c r="AE1363" i="1" s="1"/>
  <c r="AE1364" i="1" a="1"/>
  <c r="AE1364" i="1" s="1"/>
  <c r="AE1365" i="1" a="1"/>
  <c r="AE1365" i="1" s="1"/>
  <c r="AE1366" i="1" a="1"/>
  <c r="AE1366" i="1" s="1"/>
  <c r="AE1367" i="1" a="1"/>
  <c r="AE1367" i="1" s="1"/>
  <c r="AE1368" i="1" a="1"/>
  <c r="AE1368" i="1" s="1"/>
  <c r="AE1369" i="1" a="1"/>
  <c r="AE1369" i="1" s="1"/>
  <c r="AE1370" i="1" a="1"/>
  <c r="AE1370" i="1" s="1"/>
  <c r="AE1371" i="1" a="1"/>
  <c r="AE1371" i="1" s="1"/>
  <c r="AE1372" i="1" a="1"/>
  <c r="AE1372" i="1" s="1"/>
  <c r="AE1373" i="1" a="1"/>
  <c r="AE1373" i="1" s="1"/>
  <c r="AE1374" i="1" a="1"/>
  <c r="AE1374" i="1" s="1"/>
  <c r="AE1375" i="1" a="1"/>
  <c r="AE1375" i="1" s="1"/>
  <c r="AE1376" i="1" a="1"/>
  <c r="AE1376" i="1" s="1"/>
  <c r="AE1377" i="1" a="1"/>
  <c r="AE1377" i="1" s="1"/>
  <c r="AE1378" i="1" a="1"/>
  <c r="AE1378" i="1" s="1"/>
  <c r="AE1379" i="1" a="1"/>
  <c r="AE1379" i="1" s="1"/>
  <c r="AE1380" i="1" a="1"/>
  <c r="AE1380" i="1" s="1"/>
  <c r="AE1381" i="1" a="1"/>
  <c r="AE1381" i="1" s="1"/>
  <c r="AE1382" i="1" a="1"/>
  <c r="AE1382" i="1" s="1"/>
  <c r="AE1383" i="1" a="1"/>
  <c r="AE1383" i="1" s="1"/>
  <c r="AE1384" i="1" a="1"/>
  <c r="AE1384" i="1" s="1"/>
  <c r="AE1385" i="1" a="1"/>
  <c r="AE1385" i="1" s="1"/>
  <c r="AE1386" i="1" a="1"/>
  <c r="AE1386" i="1" s="1"/>
  <c r="AE1387" i="1" a="1"/>
  <c r="AE1387" i="1" s="1"/>
  <c r="AE1388" i="1" a="1"/>
  <c r="AE1388" i="1" s="1"/>
  <c r="AE1389" i="1" a="1"/>
  <c r="AE1389" i="1" s="1"/>
  <c r="AE1390" i="1" a="1"/>
  <c r="AE1390" i="1" s="1"/>
  <c r="AE1391" i="1" a="1"/>
  <c r="AE1391" i="1" s="1"/>
  <c r="AE1392" i="1" a="1"/>
  <c r="AE1392" i="1" s="1"/>
  <c r="AE1393" i="1" a="1"/>
  <c r="AE1393" i="1" s="1"/>
  <c r="AE1394" i="1" a="1"/>
  <c r="AE1394" i="1" s="1"/>
  <c r="AE1395" i="1" a="1"/>
  <c r="AE1395" i="1" s="1"/>
  <c r="AE1396" i="1" a="1"/>
  <c r="AE1396" i="1" s="1"/>
  <c r="AE1397" i="1" a="1"/>
  <c r="AE1397" i="1" s="1"/>
  <c r="AE1398" i="1" a="1"/>
  <c r="AE1398" i="1" s="1"/>
  <c r="AE1399" i="1" a="1"/>
  <c r="AE1399" i="1" s="1"/>
  <c r="AE1400" i="1" a="1"/>
  <c r="AE1400" i="1" s="1"/>
  <c r="AE1401" i="1" a="1"/>
  <c r="AE1401" i="1" s="1"/>
  <c r="AE1402" i="1" a="1"/>
  <c r="AE1402" i="1" s="1"/>
  <c r="AE1403" i="1" a="1"/>
  <c r="AE1403" i="1" s="1"/>
  <c r="AE1404" i="1" a="1"/>
  <c r="AE1404" i="1" s="1"/>
  <c r="AE1405" i="1" a="1"/>
  <c r="AE1405" i="1" s="1"/>
  <c r="AE1406" i="1" a="1"/>
  <c r="AE1406" i="1" s="1"/>
  <c r="AE1407" i="1" a="1"/>
  <c r="AE1407" i="1" s="1"/>
  <c r="AE1408" i="1" a="1"/>
  <c r="AE1408" i="1" s="1"/>
  <c r="AE1409" i="1" a="1"/>
  <c r="AE1409" i="1" s="1"/>
  <c r="AE1410" i="1" a="1"/>
  <c r="AE1410" i="1" s="1"/>
  <c r="AE1411" i="1" a="1"/>
  <c r="AE1411" i="1" s="1"/>
  <c r="AE1412" i="1" a="1"/>
  <c r="AE1412" i="1" s="1"/>
  <c r="AE1413" i="1" a="1"/>
  <c r="AE1413" i="1" s="1"/>
  <c r="AE1414" i="1" a="1"/>
  <c r="AE1414" i="1" s="1"/>
  <c r="AE1415" i="1" a="1"/>
  <c r="AE1415" i="1" s="1"/>
  <c r="AE1416" i="1" a="1"/>
  <c r="AE1416" i="1" s="1"/>
  <c r="AE1417" i="1" a="1"/>
  <c r="AE1417" i="1" s="1"/>
  <c r="AE1418" i="1" a="1"/>
  <c r="AE1418" i="1" s="1"/>
  <c r="AE1419" i="1" a="1"/>
  <c r="AE1419" i="1" s="1"/>
  <c r="AE1420" i="1" a="1"/>
  <c r="AE1420" i="1" s="1"/>
  <c r="AE1421" i="1" a="1"/>
  <c r="AE1421" i="1" s="1"/>
  <c r="AE1422" i="1" a="1"/>
  <c r="AE1422" i="1" s="1"/>
  <c r="AE1423" i="1" a="1"/>
  <c r="AE1423" i="1" s="1"/>
  <c r="AE1424" i="1" a="1"/>
  <c r="AE1424" i="1" s="1"/>
  <c r="AE1425" i="1" a="1"/>
  <c r="AE1425" i="1" s="1"/>
  <c r="AE1426" i="1" a="1"/>
  <c r="AE1426" i="1" s="1"/>
  <c r="AE1427" i="1" a="1"/>
  <c r="AE1427" i="1" s="1"/>
  <c r="AE1428" i="1" a="1"/>
  <c r="AE1428" i="1" s="1"/>
  <c r="AE1429" i="1" a="1"/>
  <c r="AE1429" i="1" s="1"/>
  <c r="AE1430" i="1" a="1"/>
  <c r="AE1430" i="1" s="1"/>
  <c r="AE1431" i="1" a="1"/>
  <c r="AE1431" i="1" s="1"/>
  <c r="AE1432" i="1" a="1"/>
  <c r="AE1432" i="1" s="1"/>
  <c r="AE1433" i="1" a="1"/>
  <c r="AE1433" i="1" s="1"/>
  <c r="AE1434" i="1" a="1"/>
  <c r="AE1434" i="1" s="1"/>
  <c r="AE1435" i="1" a="1"/>
  <c r="AE1435" i="1" s="1"/>
  <c r="AE1436" i="1" a="1"/>
  <c r="AE1436" i="1" s="1"/>
  <c r="AE1437" i="1" a="1"/>
  <c r="AE1437" i="1" s="1"/>
  <c r="AE1438" i="1" a="1"/>
  <c r="AE1438" i="1" s="1"/>
  <c r="AE1439" i="1" a="1"/>
  <c r="AE1439" i="1" s="1"/>
  <c r="AE1440" i="1" a="1"/>
  <c r="AE1440" i="1" s="1"/>
  <c r="AE1441" i="1" a="1"/>
  <c r="AE1441" i="1" s="1"/>
  <c r="AE1442" i="1" a="1"/>
  <c r="AE1442" i="1" s="1"/>
  <c r="AE1443" i="1" a="1"/>
  <c r="AE1443" i="1" s="1"/>
  <c r="AE1444" i="1" a="1"/>
  <c r="AE1444" i="1" s="1"/>
  <c r="AE1445" i="1" a="1"/>
  <c r="AE1445" i="1" s="1"/>
  <c r="AE1446" i="1" a="1"/>
  <c r="AE1446" i="1" s="1"/>
  <c r="AE1447" i="1" a="1"/>
  <c r="AE1447" i="1" s="1"/>
  <c r="AE1448" i="1" a="1"/>
  <c r="AE1448" i="1" s="1"/>
  <c r="AE1449" i="1" a="1"/>
  <c r="AE1449" i="1" s="1"/>
  <c r="AE1450" i="1" a="1"/>
  <c r="AE1450" i="1" s="1"/>
  <c r="AE1451" i="1" a="1"/>
  <c r="AE1451" i="1" s="1"/>
  <c r="AE1452" i="1" a="1"/>
  <c r="AE1452" i="1" s="1"/>
  <c r="AE1453" i="1" a="1"/>
  <c r="AE1453" i="1" s="1"/>
  <c r="AE1454" i="1" a="1"/>
  <c r="AE1454" i="1" s="1"/>
  <c r="AE1455" i="1" a="1"/>
  <c r="AE1455" i="1" s="1"/>
  <c r="AE1456" i="1" a="1"/>
  <c r="AE1456" i="1" s="1"/>
  <c r="AE1457" i="1" a="1"/>
  <c r="AE1457" i="1" s="1"/>
  <c r="AE1458" i="1" a="1"/>
  <c r="AE1458" i="1" s="1"/>
  <c r="AE1459" i="1" a="1"/>
  <c r="AE1459" i="1" s="1"/>
  <c r="AE1460" i="1" a="1"/>
  <c r="AE1460" i="1" s="1"/>
  <c r="AE1461" i="1" a="1"/>
  <c r="AE1461" i="1" s="1"/>
  <c r="AE1462" i="1" a="1"/>
  <c r="AE1462" i="1" s="1"/>
  <c r="AE1463" i="1" a="1"/>
  <c r="AE1463" i="1" s="1"/>
  <c r="AE1464" i="1" a="1"/>
  <c r="AE1464" i="1" s="1"/>
  <c r="AE1465" i="1" a="1"/>
  <c r="AE1465" i="1" s="1"/>
  <c r="AE1466" i="1" a="1"/>
  <c r="AE1466" i="1" s="1"/>
  <c r="AE1467" i="1" a="1"/>
  <c r="AE1467" i="1" s="1"/>
  <c r="AE1468" i="1" a="1"/>
  <c r="AE1468" i="1" s="1"/>
  <c r="AE1469" i="1" a="1"/>
  <c r="AE1469" i="1" s="1"/>
  <c r="AE1470" i="1" a="1"/>
  <c r="AE1470" i="1" s="1"/>
  <c r="AE1471" i="1" a="1"/>
  <c r="AE1471" i="1" s="1"/>
  <c r="AE2" i="1" a="1"/>
  <c r="AE2" i="1" s="1"/>
  <c r="AG3" i="1" a="1"/>
  <c r="AG3" i="1" s="1"/>
  <c r="AG4" i="1" a="1"/>
  <c r="AG4" i="1" s="1"/>
  <c r="AG5" i="1" a="1"/>
  <c r="AG5" i="1" s="1"/>
  <c r="AG6" i="1" a="1"/>
  <c r="AG6" i="1" s="1"/>
  <c r="AG7" i="1" a="1"/>
  <c r="AG7" i="1" s="1"/>
  <c r="AG8" i="1" a="1"/>
  <c r="AG8" i="1" s="1"/>
  <c r="AG9" i="1" a="1"/>
  <c r="AG9" i="1" s="1"/>
  <c r="AG10" i="1" a="1"/>
  <c r="AG10" i="1" s="1"/>
  <c r="AG11" i="1" a="1"/>
  <c r="AG11" i="1" s="1"/>
  <c r="AG12" i="1" a="1"/>
  <c r="AG12" i="1" s="1"/>
  <c r="AG13" i="1" a="1"/>
  <c r="AG13" i="1" s="1"/>
  <c r="AG14" i="1" a="1"/>
  <c r="AG14" i="1" s="1"/>
  <c r="AG15" i="1" a="1"/>
  <c r="AG15" i="1" s="1"/>
  <c r="AG16" i="1" a="1"/>
  <c r="AG16" i="1" s="1"/>
  <c r="AG17" i="1" a="1"/>
  <c r="AG17" i="1" s="1"/>
  <c r="AG18" i="1" a="1"/>
  <c r="AG18" i="1" s="1"/>
  <c r="AG19" i="1" a="1"/>
  <c r="AG19" i="1" s="1"/>
  <c r="AG20" i="1" a="1"/>
  <c r="AG20" i="1" s="1"/>
  <c r="AG21" i="1" a="1"/>
  <c r="AG21" i="1" s="1"/>
  <c r="AG22" i="1" a="1"/>
  <c r="AG22" i="1" s="1"/>
  <c r="AG23" i="1" a="1"/>
  <c r="AG23" i="1" s="1"/>
  <c r="AG24" i="1" a="1"/>
  <c r="AG24" i="1" s="1"/>
  <c r="AG25" i="1" a="1"/>
  <c r="AG25" i="1" s="1"/>
  <c r="AG26" i="1" a="1"/>
  <c r="AG26" i="1" s="1"/>
  <c r="AG27" i="1" a="1"/>
  <c r="AG27" i="1" s="1"/>
  <c r="AG28" i="1" a="1"/>
  <c r="AG28" i="1" s="1"/>
  <c r="AG29" i="1" a="1"/>
  <c r="AG29" i="1" s="1"/>
  <c r="AG30" i="1" a="1"/>
  <c r="AG30" i="1" s="1"/>
  <c r="AG31" i="1" a="1"/>
  <c r="AG31" i="1" s="1"/>
  <c r="AG32" i="1" a="1"/>
  <c r="AG32" i="1" s="1"/>
  <c r="AG33" i="1" a="1"/>
  <c r="AG33" i="1" s="1"/>
  <c r="AG34" i="1" a="1"/>
  <c r="AG34" i="1" s="1"/>
  <c r="AG35" i="1" a="1"/>
  <c r="AG35" i="1" s="1"/>
  <c r="AG36" i="1" a="1"/>
  <c r="AG36" i="1" s="1"/>
  <c r="AG37" i="1" a="1"/>
  <c r="AG37" i="1" s="1"/>
  <c r="AG38" i="1" a="1"/>
  <c r="AG38" i="1" s="1"/>
  <c r="AG39" i="1" a="1"/>
  <c r="AG39" i="1" s="1"/>
  <c r="AG40" i="1" a="1"/>
  <c r="AG40" i="1" s="1"/>
  <c r="AG41" i="1" a="1"/>
  <c r="AG41" i="1" s="1"/>
  <c r="AG42" i="1" a="1"/>
  <c r="AG42" i="1" s="1"/>
  <c r="AG43" i="1" a="1"/>
  <c r="AG43" i="1" s="1"/>
  <c r="AG44" i="1" a="1"/>
  <c r="AG44" i="1" s="1"/>
  <c r="AG45" i="1" a="1"/>
  <c r="AG45" i="1" s="1"/>
  <c r="AG46" i="1" a="1"/>
  <c r="AG46" i="1" s="1"/>
  <c r="AG47" i="1" a="1"/>
  <c r="AG47" i="1" s="1"/>
  <c r="AG48" i="1" a="1"/>
  <c r="AG48" i="1" s="1"/>
  <c r="AG49" i="1" a="1"/>
  <c r="AG49" i="1" s="1"/>
  <c r="AG50" i="1" a="1"/>
  <c r="AG50" i="1" s="1"/>
  <c r="AG51" i="1" a="1"/>
  <c r="AG51" i="1" s="1"/>
  <c r="AG52" i="1" a="1"/>
  <c r="AG52" i="1" s="1"/>
  <c r="AG53" i="1" a="1"/>
  <c r="AG53" i="1" s="1"/>
  <c r="AG54" i="1" a="1"/>
  <c r="AG54" i="1" s="1"/>
  <c r="AG55" i="1" a="1"/>
  <c r="AG55" i="1" s="1"/>
  <c r="AG56" i="1" a="1"/>
  <c r="AG56" i="1" s="1"/>
  <c r="AG57" i="1" a="1"/>
  <c r="AG57" i="1" s="1"/>
  <c r="AG58" i="1" a="1"/>
  <c r="AG58" i="1" s="1"/>
  <c r="AG59" i="1" a="1"/>
  <c r="AG59" i="1" s="1"/>
  <c r="AG60" i="1" a="1"/>
  <c r="AG60" i="1" s="1"/>
  <c r="AG61" i="1" a="1"/>
  <c r="AG61" i="1" s="1"/>
  <c r="AG62" i="1" a="1"/>
  <c r="AG62" i="1" s="1"/>
  <c r="AG63" i="1" a="1"/>
  <c r="AG63" i="1" s="1"/>
  <c r="AG64" i="1" a="1"/>
  <c r="AG64" i="1" s="1"/>
  <c r="AG65" i="1" a="1"/>
  <c r="AG65" i="1" s="1"/>
  <c r="AG66" i="1" a="1"/>
  <c r="AG66" i="1" s="1"/>
  <c r="AG67" i="1" a="1"/>
  <c r="AG67" i="1" s="1"/>
  <c r="AG68" i="1" a="1"/>
  <c r="AG68" i="1" s="1"/>
  <c r="AG69" i="1" a="1"/>
  <c r="AG69" i="1" s="1"/>
  <c r="AG70" i="1" a="1"/>
  <c r="AG70" i="1" s="1"/>
  <c r="AG71" i="1" a="1"/>
  <c r="AG71" i="1" s="1"/>
  <c r="AG72" i="1" a="1"/>
  <c r="AG72" i="1" s="1"/>
  <c r="AG73" i="1" a="1"/>
  <c r="AG73" i="1" s="1"/>
  <c r="AG74" i="1" a="1"/>
  <c r="AG74" i="1" s="1"/>
  <c r="AG75" i="1" a="1"/>
  <c r="AG75" i="1" s="1"/>
  <c r="AG76" i="1" a="1"/>
  <c r="AG76" i="1" s="1"/>
  <c r="AG77" i="1" a="1"/>
  <c r="AG77" i="1" s="1"/>
  <c r="AG78" i="1" a="1"/>
  <c r="AG78" i="1" s="1"/>
  <c r="AG79" i="1" a="1"/>
  <c r="AG79" i="1" s="1"/>
  <c r="AG80" i="1" a="1"/>
  <c r="AG80" i="1" s="1"/>
  <c r="AG81" i="1" a="1"/>
  <c r="AG81" i="1" s="1"/>
  <c r="AG82" i="1" a="1"/>
  <c r="AG82" i="1" s="1"/>
  <c r="AG83" i="1" a="1"/>
  <c r="AG83" i="1" s="1"/>
  <c r="AG84" i="1" a="1"/>
  <c r="AG84" i="1" s="1"/>
  <c r="AG85" i="1" a="1"/>
  <c r="AG85" i="1" s="1"/>
  <c r="AG86" i="1" a="1"/>
  <c r="AG86" i="1" s="1"/>
  <c r="AG87" i="1" a="1"/>
  <c r="AG87" i="1" s="1"/>
  <c r="AG88" i="1" a="1"/>
  <c r="AG88" i="1" s="1"/>
  <c r="AG89" i="1" a="1"/>
  <c r="AG89" i="1" s="1"/>
  <c r="AG90" i="1" a="1"/>
  <c r="AG90" i="1" s="1"/>
  <c r="AG91" i="1" a="1"/>
  <c r="AG91" i="1" s="1"/>
  <c r="AG92" i="1" a="1"/>
  <c r="AG92" i="1" s="1"/>
  <c r="AG93" i="1" a="1"/>
  <c r="AG93" i="1" s="1"/>
  <c r="AG94" i="1" a="1"/>
  <c r="AG94" i="1" s="1"/>
  <c r="AG95" i="1" a="1"/>
  <c r="AG95" i="1" s="1"/>
  <c r="AG96" i="1" a="1"/>
  <c r="AG96" i="1" s="1"/>
  <c r="AG97" i="1" a="1"/>
  <c r="AG97" i="1" s="1"/>
  <c r="AG98" i="1" a="1"/>
  <c r="AG98" i="1" s="1"/>
  <c r="AG99" i="1" a="1"/>
  <c r="AG99" i="1" s="1"/>
  <c r="AG100" i="1" a="1"/>
  <c r="AG100" i="1" s="1"/>
  <c r="AG101" i="1" a="1"/>
  <c r="AG101" i="1" s="1"/>
  <c r="AG102" i="1" a="1"/>
  <c r="AG102" i="1" s="1"/>
  <c r="AG103" i="1" a="1"/>
  <c r="AG103" i="1" s="1"/>
  <c r="AG104" i="1" a="1"/>
  <c r="AG104" i="1" s="1"/>
  <c r="AG105" i="1" a="1"/>
  <c r="AG105" i="1" s="1"/>
  <c r="AG106" i="1" a="1"/>
  <c r="AG106" i="1" s="1"/>
  <c r="AG107" i="1" a="1"/>
  <c r="AG107" i="1" s="1"/>
  <c r="AG108" i="1" a="1"/>
  <c r="AG108" i="1" s="1"/>
  <c r="AG109" i="1" a="1"/>
  <c r="AG109" i="1" s="1"/>
  <c r="AG110" i="1" a="1"/>
  <c r="AG110" i="1" s="1"/>
  <c r="AG111" i="1" a="1"/>
  <c r="AG111" i="1" s="1"/>
  <c r="AG112" i="1" a="1"/>
  <c r="AG112" i="1" s="1"/>
  <c r="AG113" i="1" a="1"/>
  <c r="AG113" i="1" s="1"/>
  <c r="AG114" i="1" a="1"/>
  <c r="AG114" i="1" s="1"/>
  <c r="AG115" i="1" a="1"/>
  <c r="AG115" i="1" s="1"/>
  <c r="AG116" i="1" a="1"/>
  <c r="AG116" i="1" s="1"/>
  <c r="AG117" i="1" a="1"/>
  <c r="AG117" i="1" s="1"/>
  <c r="AG118" i="1" a="1"/>
  <c r="AG118" i="1" s="1"/>
  <c r="AG119" i="1" a="1"/>
  <c r="AG119" i="1" s="1"/>
  <c r="AG120" i="1" a="1"/>
  <c r="AG120" i="1" s="1"/>
  <c r="AG121" i="1" a="1"/>
  <c r="AG121" i="1" s="1"/>
  <c r="AG122" i="1" a="1"/>
  <c r="AG122" i="1" s="1"/>
  <c r="AG123" i="1" a="1"/>
  <c r="AG123" i="1" s="1"/>
  <c r="AG124" i="1" a="1"/>
  <c r="AG124" i="1" s="1"/>
  <c r="AG125" i="1" a="1"/>
  <c r="AG125" i="1" s="1"/>
  <c r="AG126" i="1" a="1"/>
  <c r="AG126" i="1" s="1"/>
  <c r="AG127" i="1" a="1"/>
  <c r="AG127" i="1" s="1"/>
  <c r="AG128" i="1" a="1"/>
  <c r="AG128" i="1" s="1"/>
  <c r="AG129" i="1" a="1"/>
  <c r="AG129" i="1" s="1"/>
  <c r="AG130" i="1" a="1"/>
  <c r="AG130" i="1" s="1"/>
  <c r="AG131" i="1" a="1"/>
  <c r="AG131" i="1" s="1"/>
  <c r="AG132" i="1" a="1"/>
  <c r="AG132" i="1" s="1"/>
  <c r="AG133" i="1" a="1"/>
  <c r="AG133" i="1" s="1"/>
  <c r="AG134" i="1" a="1"/>
  <c r="AG134" i="1" s="1"/>
  <c r="AG135" i="1" a="1"/>
  <c r="AG135" i="1" s="1"/>
  <c r="AG136" i="1" a="1"/>
  <c r="AG136" i="1" s="1"/>
  <c r="AG137" i="1" a="1"/>
  <c r="AG137" i="1" s="1"/>
  <c r="AG138" i="1" a="1"/>
  <c r="AG138" i="1" s="1"/>
  <c r="AG139" i="1" a="1"/>
  <c r="AG139" i="1" s="1"/>
  <c r="AG140" i="1" a="1"/>
  <c r="AG140" i="1" s="1"/>
  <c r="AG141" i="1" a="1"/>
  <c r="AG141" i="1" s="1"/>
  <c r="AG142" i="1" a="1"/>
  <c r="AG142" i="1" s="1"/>
  <c r="AG143" i="1" a="1"/>
  <c r="AG143" i="1" s="1"/>
  <c r="AG144" i="1" a="1"/>
  <c r="AG144" i="1" s="1"/>
  <c r="AG145" i="1" a="1"/>
  <c r="AG145" i="1" s="1"/>
  <c r="AG146" i="1" a="1"/>
  <c r="AG146" i="1" s="1"/>
  <c r="AG147" i="1" a="1"/>
  <c r="AG147" i="1" s="1"/>
  <c r="AG148" i="1" a="1"/>
  <c r="AG148" i="1" s="1"/>
  <c r="AG149" i="1" a="1"/>
  <c r="AG149" i="1" s="1"/>
  <c r="AG150" i="1" a="1"/>
  <c r="AG150" i="1" s="1"/>
  <c r="AG151" i="1" a="1"/>
  <c r="AG151" i="1" s="1"/>
  <c r="AG152" i="1" a="1"/>
  <c r="AG152" i="1" s="1"/>
  <c r="AG153" i="1" a="1"/>
  <c r="AG153" i="1" s="1"/>
  <c r="AG154" i="1" a="1"/>
  <c r="AG154" i="1" s="1"/>
  <c r="AG155" i="1" a="1"/>
  <c r="AG155" i="1" s="1"/>
  <c r="AG156" i="1" a="1"/>
  <c r="AG156" i="1" s="1"/>
  <c r="AG157" i="1" a="1"/>
  <c r="AG157" i="1" s="1"/>
  <c r="AG158" i="1" a="1"/>
  <c r="AG158" i="1" s="1"/>
  <c r="AG159" i="1" a="1"/>
  <c r="AG159" i="1" s="1"/>
  <c r="AG160" i="1" a="1"/>
  <c r="AG160" i="1" s="1"/>
  <c r="AG161" i="1" a="1"/>
  <c r="AG161" i="1" s="1"/>
  <c r="AG162" i="1" a="1"/>
  <c r="AG162" i="1" s="1"/>
  <c r="AG163" i="1" a="1"/>
  <c r="AG163" i="1" s="1"/>
  <c r="AG164" i="1" a="1"/>
  <c r="AG164" i="1" s="1"/>
  <c r="AG165" i="1" a="1"/>
  <c r="AG165" i="1" s="1"/>
  <c r="AG166" i="1" a="1"/>
  <c r="AG166" i="1" s="1"/>
  <c r="AG167" i="1" a="1"/>
  <c r="AG167" i="1" s="1"/>
  <c r="AG168" i="1" a="1"/>
  <c r="AG168" i="1" s="1"/>
  <c r="AG169" i="1" a="1"/>
  <c r="AG169" i="1" s="1"/>
  <c r="AG170" i="1" a="1"/>
  <c r="AG170" i="1" s="1"/>
  <c r="AG171" i="1" a="1"/>
  <c r="AG171" i="1" s="1"/>
  <c r="AG172" i="1" a="1"/>
  <c r="AG172" i="1" s="1"/>
  <c r="AG173" i="1" a="1"/>
  <c r="AG173" i="1" s="1"/>
  <c r="AG174" i="1" a="1"/>
  <c r="AG174" i="1" s="1"/>
  <c r="AG175" i="1" a="1"/>
  <c r="AG175" i="1" s="1"/>
  <c r="AG176" i="1" a="1"/>
  <c r="AG176" i="1" s="1"/>
  <c r="AG177" i="1" a="1"/>
  <c r="AG177" i="1" s="1"/>
  <c r="AG178" i="1" a="1"/>
  <c r="AG178" i="1" s="1"/>
  <c r="AG179" i="1" a="1"/>
  <c r="AG179" i="1" s="1"/>
  <c r="AG180" i="1" a="1"/>
  <c r="AG180" i="1" s="1"/>
  <c r="AG181" i="1" a="1"/>
  <c r="AG181" i="1" s="1"/>
  <c r="AG182" i="1" a="1"/>
  <c r="AG182" i="1" s="1"/>
  <c r="AG183" i="1" a="1"/>
  <c r="AG183" i="1" s="1"/>
  <c r="AG184" i="1" a="1"/>
  <c r="AG184" i="1" s="1"/>
  <c r="AG185" i="1" a="1"/>
  <c r="AG185" i="1" s="1"/>
  <c r="AG186" i="1" a="1"/>
  <c r="AG186" i="1" s="1"/>
  <c r="AG187" i="1" a="1"/>
  <c r="AG187" i="1" s="1"/>
  <c r="AG188" i="1" a="1"/>
  <c r="AG188" i="1" s="1"/>
  <c r="AG189" i="1" a="1"/>
  <c r="AG189" i="1" s="1"/>
  <c r="AG190" i="1" a="1"/>
  <c r="AG190" i="1" s="1"/>
  <c r="AG191" i="1" a="1"/>
  <c r="AG191" i="1" s="1"/>
  <c r="AG192" i="1" a="1"/>
  <c r="AG192" i="1" s="1"/>
  <c r="AG193" i="1" a="1"/>
  <c r="AG193" i="1" s="1"/>
  <c r="AG194" i="1" a="1"/>
  <c r="AG194" i="1" s="1"/>
  <c r="AG195" i="1" a="1"/>
  <c r="AG195" i="1" s="1"/>
  <c r="AG196" i="1" a="1"/>
  <c r="AG196" i="1" s="1"/>
  <c r="AG197" i="1" a="1"/>
  <c r="AG197" i="1" s="1"/>
  <c r="AG198" i="1" a="1"/>
  <c r="AG198" i="1" s="1"/>
  <c r="AG199" i="1" a="1"/>
  <c r="AG199" i="1" s="1"/>
  <c r="AG200" i="1" a="1"/>
  <c r="AG200" i="1" s="1"/>
  <c r="AG201" i="1" a="1"/>
  <c r="AG201" i="1" s="1"/>
  <c r="AG202" i="1" a="1"/>
  <c r="AG202" i="1" s="1"/>
  <c r="AG203" i="1" a="1"/>
  <c r="AG203" i="1" s="1"/>
  <c r="AG204" i="1" a="1"/>
  <c r="AG204" i="1" s="1"/>
  <c r="AG205" i="1" a="1"/>
  <c r="AG205" i="1" s="1"/>
  <c r="AG206" i="1" a="1"/>
  <c r="AG206" i="1" s="1"/>
  <c r="AG207" i="1" a="1"/>
  <c r="AG207" i="1" s="1"/>
  <c r="AG208" i="1" a="1"/>
  <c r="AG208" i="1" s="1"/>
  <c r="AG209" i="1" a="1"/>
  <c r="AG209" i="1" s="1"/>
  <c r="AG210" i="1" a="1"/>
  <c r="AG210" i="1" s="1"/>
  <c r="AG211" i="1" a="1"/>
  <c r="AG211" i="1" s="1"/>
  <c r="AG212" i="1" a="1"/>
  <c r="AG212" i="1" s="1"/>
  <c r="AG213" i="1" a="1"/>
  <c r="AG213" i="1" s="1"/>
  <c r="AG214" i="1" a="1"/>
  <c r="AG214" i="1" s="1"/>
  <c r="AG215" i="1" a="1"/>
  <c r="AG215" i="1" s="1"/>
  <c r="AG216" i="1" a="1"/>
  <c r="AG216" i="1" s="1"/>
  <c r="AG217" i="1" a="1"/>
  <c r="AG217" i="1" s="1"/>
  <c r="AG218" i="1" a="1"/>
  <c r="AG218" i="1" s="1"/>
  <c r="AG219" i="1" a="1"/>
  <c r="AG219" i="1" s="1"/>
  <c r="AG220" i="1" a="1"/>
  <c r="AG220" i="1" s="1"/>
  <c r="AG221" i="1" a="1"/>
  <c r="AG221" i="1" s="1"/>
  <c r="AG222" i="1" a="1"/>
  <c r="AG222" i="1" s="1"/>
  <c r="AG223" i="1" a="1"/>
  <c r="AG223" i="1" s="1"/>
  <c r="AG224" i="1" a="1"/>
  <c r="AG224" i="1" s="1"/>
  <c r="AG225" i="1" a="1"/>
  <c r="AG225" i="1" s="1"/>
  <c r="AG226" i="1" a="1"/>
  <c r="AG226" i="1" s="1"/>
  <c r="AG227" i="1" a="1"/>
  <c r="AG227" i="1" s="1"/>
  <c r="AG228" i="1" a="1"/>
  <c r="AG228" i="1" s="1"/>
  <c r="AG229" i="1" a="1"/>
  <c r="AG229" i="1" s="1"/>
  <c r="AG230" i="1" a="1"/>
  <c r="AG230" i="1" s="1"/>
  <c r="AG231" i="1" a="1"/>
  <c r="AG231" i="1" s="1"/>
  <c r="AG232" i="1" a="1"/>
  <c r="AG232" i="1" s="1"/>
  <c r="AG233" i="1" a="1"/>
  <c r="AG233" i="1" s="1"/>
  <c r="AG234" i="1" a="1"/>
  <c r="AG234" i="1" s="1"/>
  <c r="AG235" i="1" a="1"/>
  <c r="AG235" i="1" s="1"/>
  <c r="AG236" i="1" a="1"/>
  <c r="AG236" i="1" s="1"/>
  <c r="AG237" i="1" a="1"/>
  <c r="AG237" i="1" s="1"/>
  <c r="AG238" i="1" a="1"/>
  <c r="AG238" i="1" s="1"/>
  <c r="AG239" i="1" a="1"/>
  <c r="AG239" i="1" s="1"/>
  <c r="AG240" i="1" a="1"/>
  <c r="AG240" i="1" s="1"/>
  <c r="AG241" i="1" a="1"/>
  <c r="AG241" i="1" s="1"/>
  <c r="AG242" i="1" a="1"/>
  <c r="AG242" i="1" s="1"/>
  <c r="AG243" i="1" a="1"/>
  <c r="AG243" i="1" s="1"/>
  <c r="AG244" i="1" a="1"/>
  <c r="AG244" i="1" s="1"/>
  <c r="AG245" i="1" a="1"/>
  <c r="AG245" i="1" s="1"/>
  <c r="AG246" i="1" a="1"/>
  <c r="AG246" i="1" s="1"/>
  <c r="AG247" i="1" a="1"/>
  <c r="AG247" i="1" s="1"/>
  <c r="AG248" i="1" a="1"/>
  <c r="AG248" i="1" s="1"/>
  <c r="AG249" i="1" a="1"/>
  <c r="AG249" i="1" s="1"/>
  <c r="AG250" i="1" a="1"/>
  <c r="AG250" i="1" s="1"/>
  <c r="AG251" i="1" a="1"/>
  <c r="AG251" i="1" s="1"/>
  <c r="AG252" i="1" a="1"/>
  <c r="AG252" i="1" s="1"/>
  <c r="AG253" i="1" a="1"/>
  <c r="AG253" i="1" s="1"/>
  <c r="AG254" i="1" a="1"/>
  <c r="AG254" i="1" s="1"/>
  <c r="AG255" i="1" a="1"/>
  <c r="AG255" i="1" s="1"/>
  <c r="AG256" i="1" a="1"/>
  <c r="AG256" i="1" s="1"/>
  <c r="AG257" i="1" a="1"/>
  <c r="AG257" i="1" s="1"/>
  <c r="AG258" i="1" a="1"/>
  <c r="AG258" i="1" s="1"/>
  <c r="AG259" i="1" a="1"/>
  <c r="AG259" i="1" s="1"/>
  <c r="AG260" i="1" a="1"/>
  <c r="AG260" i="1" s="1"/>
  <c r="AG261" i="1" a="1"/>
  <c r="AG261" i="1" s="1"/>
  <c r="AG262" i="1" a="1"/>
  <c r="AG262" i="1" s="1"/>
  <c r="AG263" i="1" a="1"/>
  <c r="AG263" i="1" s="1"/>
  <c r="AG264" i="1" a="1"/>
  <c r="AG264" i="1" s="1"/>
  <c r="AG265" i="1" a="1"/>
  <c r="AG265" i="1" s="1"/>
  <c r="AG266" i="1" a="1"/>
  <c r="AG266" i="1" s="1"/>
  <c r="AG267" i="1" a="1"/>
  <c r="AG267" i="1" s="1"/>
  <c r="AG268" i="1" a="1"/>
  <c r="AG268" i="1" s="1"/>
  <c r="AG269" i="1" a="1"/>
  <c r="AG269" i="1" s="1"/>
  <c r="AG270" i="1" a="1"/>
  <c r="AG270" i="1" s="1"/>
  <c r="AG271" i="1" a="1"/>
  <c r="AG271" i="1" s="1"/>
  <c r="AG272" i="1" a="1"/>
  <c r="AG272" i="1" s="1"/>
  <c r="AG273" i="1" a="1"/>
  <c r="AG273" i="1" s="1"/>
  <c r="AG274" i="1" a="1"/>
  <c r="AG274" i="1" s="1"/>
  <c r="AG275" i="1" a="1"/>
  <c r="AG275" i="1" s="1"/>
  <c r="AG276" i="1" a="1"/>
  <c r="AG276" i="1" s="1"/>
  <c r="AG277" i="1" a="1"/>
  <c r="AG277" i="1" s="1"/>
  <c r="AG278" i="1" a="1"/>
  <c r="AG278" i="1" s="1"/>
  <c r="AG279" i="1" a="1"/>
  <c r="AG279" i="1" s="1"/>
  <c r="AG280" i="1" a="1"/>
  <c r="AG280" i="1" s="1"/>
  <c r="AG281" i="1" a="1"/>
  <c r="AG281" i="1" s="1"/>
  <c r="AG282" i="1" a="1"/>
  <c r="AG282" i="1" s="1"/>
  <c r="AG283" i="1" a="1"/>
  <c r="AG283" i="1" s="1"/>
  <c r="AG284" i="1" a="1"/>
  <c r="AG284" i="1" s="1"/>
  <c r="AG285" i="1" a="1"/>
  <c r="AG285" i="1" s="1"/>
  <c r="AG286" i="1" a="1"/>
  <c r="AG286" i="1" s="1"/>
  <c r="AG287" i="1" a="1"/>
  <c r="AG287" i="1" s="1"/>
  <c r="AG288" i="1" a="1"/>
  <c r="AG288" i="1" s="1"/>
  <c r="AG289" i="1" a="1"/>
  <c r="AG289" i="1" s="1"/>
  <c r="AG290" i="1" a="1"/>
  <c r="AG290" i="1" s="1"/>
  <c r="AG291" i="1" a="1"/>
  <c r="AG291" i="1" s="1"/>
  <c r="AG292" i="1" a="1"/>
  <c r="AG292" i="1" s="1"/>
  <c r="AG293" i="1" a="1"/>
  <c r="AG293" i="1" s="1"/>
  <c r="AG294" i="1" a="1"/>
  <c r="AG294" i="1" s="1"/>
  <c r="AG295" i="1" a="1"/>
  <c r="AG295" i="1" s="1"/>
  <c r="AG296" i="1" a="1"/>
  <c r="AG296" i="1" s="1"/>
  <c r="AG297" i="1" a="1"/>
  <c r="AG297" i="1" s="1"/>
  <c r="AG298" i="1" a="1"/>
  <c r="AG298" i="1" s="1"/>
  <c r="AG299" i="1" a="1"/>
  <c r="AG299" i="1" s="1"/>
  <c r="AG300" i="1" a="1"/>
  <c r="AG300" i="1" s="1"/>
  <c r="AG301" i="1" a="1"/>
  <c r="AG301" i="1" s="1"/>
  <c r="AG302" i="1" a="1"/>
  <c r="AG302" i="1" s="1"/>
  <c r="AG303" i="1" a="1"/>
  <c r="AG303" i="1" s="1"/>
  <c r="AG304" i="1" a="1"/>
  <c r="AG304" i="1" s="1"/>
  <c r="AG305" i="1" a="1"/>
  <c r="AG305" i="1" s="1"/>
  <c r="AG306" i="1" a="1"/>
  <c r="AG306" i="1" s="1"/>
  <c r="AG307" i="1" a="1"/>
  <c r="AG307" i="1" s="1"/>
  <c r="AG308" i="1" a="1"/>
  <c r="AG308" i="1" s="1"/>
  <c r="AG309" i="1" a="1"/>
  <c r="AG309" i="1" s="1"/>
  <c r="AG310" i="1" a="1"/>
  <c r="AG310" i="1" s="1"/>
  <c r="AG311" i="1" a="1"/>
  <c r="AG311" i="1" s="1"/>
  <c r="AG312" i="1" a="1"/>
  <c r="AG312" i="1" s="1"/>
  <c r="AG313" i="1" a="1"/>
  <c r="AG313" i="1" s="1"/>
  <c r="AG314" i="1" a="1"/>
  <c r="AG314" i="1" s="1"/>
  <c r="AG315" i="1" a="1"/>
  <c r="AG315" i="1" s="1"/>
  <c r="AG316" i="1" a="1"/>
  <c r="AG316" i="1" s="1"/>
  <c r="AG317" i="1" a="1"/>
  <c r="AG317" i="1" s="1"/>
  <c r="AG318" i="1" a="1"/>
  <c r="AG318" i="1" s="1"/>
  <c r="AG319" i="1" a="1"/>
  <c r="AG319" i="1" s="1"/>
  <c r="AG320" i="1" a="1"/>
  <c r="AG320" i="1" s="1"/>
  <c r="AG321" i="1" a="1"/>
  <c r="AG321" i="1" s="1"/>
  <c r="AG322" i="1" a="1"/>
  <c r="AG322" i="1" s="1"/>
  <c r="AG323" i="1" a="1"/>
  <c r="AG323" i="1" s="1"/>
  <c r="AG324" i="1" a="1"/>
  <c r="AG324" i="1" s="1"/>
  <c r="AG325" i="1" a="1"/>
  <c r="AG325" i="1" s="1"/>
  <c r="AG326" i="1" a="1"/>
  <c r="AG326" i="1" s="1"/>
  <c r="AG327" i="1" a="1"/>
  <c r="AG327" i="1" s="1"/>
  <c r="AG328" i="1" a="1"/>
  <c r="AG328" i="1" s="1"/>
  <c r="AG329" i="1" a="1"/>
  <c r="AG329" i="1" s="1"/>
  <c r="AG330" i="1" a="1"/>
  <c r="AG330" i="1" s="1"/>
  <c r="AG331" i="1" a="1"/>
  <c r="AG331" i="1" s="1"/>
  <c r="AG332" i="1" a="1"/>
  <c r="AG332" i="1" s="1"/>
  <c r="AG333" i="1" a="1"/>
  <c r="AG333" i="1" s="1"/>
  <c r="AG334" i="1" a="1"/>
  <c r="AG334" i="1" s="1"/>
  <c r="AG335" i="1" a="1"/>
  <c r="AG335" i="1" s="1"/>
  <c r="AG336" i="1" a="1"/>
  <c r="AG336" i="1" s="1"/>
  <c r="AG337" i="1" a="1"/>
  <c r="AG337" i="1" s="1"/>
  <c r="AG338" i="1" a="1"/>
  <c r="AG338" i="1" s="1"/>
  <c r="AG339" i="1" a="1"/>
  <c r="AG339" i="1" s="1"/>
  <c r="AG340" i="1" a="1"/>
  <c r="AG340" i="1" s="1"/>
  <c r="AG341" i="1" a="1"/>
  <c r="AG341" i="1" s="1"/>
  <c r="AG342" i="1" a="1"/>
  <c r="AG342" i="1" s="1"/>
  <c r="AG343" i="1" a="1"/>
  <c r="AG343" i="1" s="1"/>
  <c r="AG344" i="1" a="1"/>
  <c r="AG344" i="1" s="1"/>
  <c r="AG345" i="1" a="1"/>
  <c r="AG345" i="1" s="1"/>
  <c r="AG346" i="1" a="1"/>
  <c r="AG346" i="1" s="1"/>
  <c r="AG347" i="1" a="1"/>
  <c r="AG347" i="1" s="1"/>
  <c r="AG348" i="1" a="1"/>
  <c r="AG348" i="1" s="1"/>
  <c r="AG349" i="1" a="1"/>
  <c r="AG349" i="1" s="1"/>
  <c r="AG350" i="1" a="1"/>
  <c r="AG350" i="1" s="1"/>
  <c r="AG351" i="1" a="1"/>
  <c r="AG351" i="1" s="1"/>
  <c r="AG352" i="1" a="1"/>
  <c r="AG352" i="1" s="1"/>
  <c r="AG353" i="1" a="1"/>
  <c r="AG353" i="1" s="1"/>
  <c r="AG354" i="1" a="1"/>
  <c r="AG354" i="1" s="1"/>
  <c r="AG355" i="1" a="1"/>
  <c r="AG355" i="1" s="1"/>
  <c r="AG356" i="1" a="1"/>
  <c r="AG356" i="1" s="1"/>
  <c r="AG357" i="1" a="1"/>
  <c r="AG357" i="1" s="1"/>
  <c r="AG358" i="1" a="1"/>
  <c r="AG358" i="1" s="1"/>
  <c r="AG359" i="1" a="1"/>
  <c r="AG359" i="1" s="1"/>
  <c r="AG360" i="1" a="1"/>
  <c r="AG360" i="1" s="1"/>
  <c r="AG361" i="1" a="1"/>
  <c r="AG361" i="1" s="1"/>
  <c r="AG362" i="1" a="1"/>
  <c r="AG362" i="1" s="1"/>
  <c r="AG363" i="1" a="1"/>
  <c r="AG363" i="1" s="1"/>
  <c r="AG364" i="1" a="1"/>
  <c r="AG364" i="1" s="1"/>
  <c r="AG365" i="1" a="1"/>
  <c r="AG365" i="1" s="1"/>
  <c r="AG366" i="1" a="1"/>
  <c r="AG366" i="1" s="1"/>
  <c r="AG367" i="1" a="1"/>
  <c r="AG367" i="1" s="1"/>
  <c r="AG368" i="1" a="1"/>
  <c r="AG368" i="1" s="1"/>
  <c r="AG369" i="1" a="1"/>
  <c r="AG369" i="1" s="1"/>
  <c r="AG370" i="1" a="1"/>
  <c r="AG370" i="1" s="1"/>
  <c r="AG371" i="1" a="1"/>
  <c r="AG371" i="1" s="1"/>
  <c r="AG372" i="1" a="1"/>
  <c r="AG372" i="1" s="1"/>
  <c r="AG373" i="1" a="1"/>
  <c r="AG373" i="1" s="1"/>
  <c r="AG374" i="1" a="1"/>
  <c r="AG374" i="1" s="1"/>
  <c r="AG375" i="1" a="1"/>
  <c r="AG375" i="1" s="1"/>
  <c r="AG376" i="1" a="1"/>
  <c r="AG376" i="1" s="1"/>
  <c r="AG377" i="1" a="1"/>
  <c r="AG377" i="1" s="1"/>
  <c r="AG378" i="1" a="1"/>
  <c r="AG378" i="1" s="1"/>
  <c r="AG379" i="1" a="1"/>
  <c r="AG379" i="1" s="1"/>
  <c r="AG380" i="1" a="1"/>
  <c r="AG380" i="1" s="1"/>
  <c r="AG381" i="1" a="1"/>
  <c r="AG381" i="1" s="1"/>
  <c r="AG382" i="1" a="1"/>
  <c r="AG382" i="1" s="1"/>
  <c r="AG383" i="1" a="1"/>
  <c r="AG383" i="1" s="1"/>
  <c r="AG384" i="1" a="1"/>
  <c r="AG384" i="1" s="1"/>
  <c r="AG385" i="1" a="1"/>
  <c r="AG385" i="1" s="1"/>
  <c r="AG386" i="1" a="1"/>
  <c r="AG386" i="1" s="1"/>
  <c r="AG387" i="1" a="1"/>
  <c r="AG387" i="1" s="1"/>
  <c r="AG388" i="1" a="1"/>
  <c r="AG388" i="1" s="1"/>
  <c r="AG389" i="1" a="1"/>
  <c r="AG389" i="1" s="1"/>
  <c r="AG390" i="1" a="1"/>
  <c r="AG390" i="1" s="1"/>
  <c r="AG391" i="1" a="1"/>
  <c r="AG391" i="1" s="1"/>
  <c r="AG392" i="1" a="1"/>
  <c r="AG392" i="1" s="1"/>
  <c r="AG393" i="1" a="1"/>
  <c r="AG393" i="1" s="1"/>
  <c r="AG394" i="1" a="1"/>
  <c r="AG394" i="1" s="1"/>
  <c r="AG395" i="1" a="1"/>
  <c r="AG395" i="1" s="1"/>
  <c r="AG396" i="1" a="1"/>
  <c r="AG396" i="1" s="1"/>
  <c r="AG397" i="1" a="1"/>
  <c r="AG397" i="1" s="1"/>
  <c r="AG398" i="1" a="1"/>
  <c r="AG398" i="1" s="1"/>
  <c r="AG399" i="1" a="1"/>
  <c r="AG399" i="1" s="1"/>
  <c r="AG400" i="1" a="1"/>
  <c r="AG400" i="1" s="1"/>
  <c r="AG401" i="1" a="1"/>
  <c r="AG401" i="1" s="1"/>
  <c r="AG402" i="1" a="1"/>
  <c r="AG402" i="1" s="1"/>
  <c r="AG403" i="1" a="1"/>
  <c r="AG403" i="1" s="1"/>
  <c r="AG404" i="1" a="1"/>
  <c r="AG404" i="1" s="1"/>
  <c r="AG405" i="1" a="1"/>
  <c r="AG405" i="1" s="1"/>
  <c r="AG406" i="1" a="1"/>
  <c r="AG406" i="1" s="1"/>
  <c r="AG407" i="1" a="1"/>
  <c r="AG407" i="1" s="1"/>
  <c r="AG408" i="1" a="1"/>
  <c r="AG408" i="1" s="1"/>
  <c r="AG409" i="1" a="1"/>
  <c r="AG409" i="1" s="1"/>
  <c r="AG410" i="1" a="1"/>
  <c r="AG410" i="1" s="1"/>
  <c r="AG411" i="1" a="1"/>
  <c r="AG411" i="1" s="1"/>
  <c r="AG412" i="1" a="1"/>
  <c r="AG412" i="1" s="1"/>
  <c r="AG413" i="1" a="1"/>
  <c r="AG413" i="1" s="1"/>
  <c r="AG414" i="1" a="1"/>
  <c r="AG414" i="1" s="1"/>
  <c r="AG415" i="1" a="1"/>
  <c r="AG415" i="1" s="1"/>
  <c r="AG416" i="1" a="1"/>
  <c r="AG416" i="1" s="1"/>
  <c r="AG417" i="1" a="1"/>
  <c r="AG417" i="1" s="1"/>
  <c r="AG418" i="1" a="1"/>
  <c r="AG418" i="1" s="1"/>
  <c r="AG419" i="1" a="1"/>
  <c r="AG419" i="1" s="1"/>
  <c r="AG420" i="1" a="1"/>
  <c r="AG420" i="1" s="1"/>
  <c r="AG421" i="1" a="1"/>
  <c r="AG421" i="1" s="1"/>
  <c r="AG422" i="1" a="1"/>
  <c r="AG422" i="1" s="1"/>
  <c r="AG423" i="1" a="1"/>
  <c r="AG423" i="1" s="1"/>
  <c r="AG424" i="1" a="1"/>
  <c r="AG424" i="1" s="1"/>
  <c r="AG425" i="1" a="1"/>
  <c r="AG425" i="1" s="1"/>
  <c r="AG426" i="1" a="1"/>
  <c r="AG426" i="1" s="1"/>
  <c r="AG427" i="1" a="1"/>
  <c r="AG427" i="1" s="1"/>
  <c r="AG428" i="1" a="1"/>
  <c r="AG428" i="1" s="1"/>
  <c r="AG429" i="1" a="1"/>
  <c r="AG429" i="1" s="1"/>
  <c r="AG430" i="1" a="1"/>
  <c r="AG430" i="1" s="1"/>
  <c r="AG431" i="1" a="1"/>
  <c r="AG431" i="1" s="1"/>
  <c r="AG432" i="1" a="1"/>
  <c r="AG432" i="1" s="1"/>
  <c r="AG433" i="1" a="1"/>
  <c r="AG433" i="1" s="1"/>
  <c r="AG434" i="1" a="1"/>
  <c r="AG434" i="1" s="1"/>
  <c r="AG435" i="1" a="1"/>
  <c r="AG435" i="1" s="1"/>
  <c r="AG436" i="1" a="1"/>
  <c r="AG436" i="1" s="1"/>
  <c r="AG437" i="1" a="1"/>
  <c r="AG437" i="1" s="1"/>
  <c r="AG438" i="1" a="1"/>
  <c r="AG438" i="1" s="1"/>
  <c r="AG439" i="1" a="1"/>
  <c r="AG439" i="1" s="1"/>
  <c r="AG440" i="1" a="1"/>
  <c r="AG440" i="1" s="1"/>
  <c r="AG441" i="1" a="1"/>
  <c r="AG441" i="1" s="1"/>
  <c r="AG442" i="1" a="1"/>
  <c r="AG442" i="1" s="1"/>
  <c r="AG443" i="1" a="1"/>
  <c r="AG443" i="1" s="1"/>
  <c r="AG444" i="1" a="1"/>
  <c r="AG444" i="1" s="1"/>
  <c r="AG445" i="1" a="1"/>
  <c r="AG445" i="1" s="1"/>
  <c r="AG446" i="1" a="1"/>
  <c r="AG446" i="1" s="1"/>
  <c r="AG447" i="1" a="1"/>
  <c r="AG447" i="1" s="1"/>
  <c r="AG448" i="1" a="1"/>
  <c r="AG448" i="1" s="1"/>
  <c r="AG449" i="1" a="1"/>
  <c r="AG449" i="1" s="1"/>
  <c r="AG450" i="1" a="1"/>
  <c r="AG450" i="1" s="1"/>
  <c r="AG451" i="1" a="1"/>
  <c r="AG451" i="1" s="1"/>
  <c r="AG452" i="1" a="1"/>
  <c r="AG452" i="1" s="1"/>
  <c r="AG453" i="1" a="1"/>
  <c r="AG453" i="1" s="1"/>
  <c r="AG454" i="1" a="1"/>
  <c r="AG454" i="1" s="1"/>
  <c r="AG455" i="1" a="1"/>
  <c r="AG455" i="1" s="1"/>
  <c r="AG456" i="1" a="1"/>
  <c r="AG456" i="1" s="1"/>
  <c r="AG457" i="1" a="1"/>
  <c r="AG457" i="1" s="1"/>
  <c r="AG458" i="1" a="1"/>
  <c r="AG458" i="1" s="1"/>
  <c r="AG459" i="1" a="1"/>
  <c r="AG459" i="1" s="1"/>
  <c r="AG460" i="1" a="1"/>
  <c r="AG460" i="1" s="1"/>
  <c r="AG461" i="1" a="1"/>
  <c r="AG461" i="1" s="1"/>
  <c r="AG462" i="1" a="1"/>
  <c r="AG462" i="1" s="1"/>
  <c r="AG463" i="1" a="1"/>
  <c r="AG463" i="1" s="1"/>
  <c r="AG464" i="1" a="1"/>
  <c r="AG464" i="1" s="1"/>
  <c r="AG465" i="1" a="1"/>
  <c r="AG465" i="1" s="1"/>
  <c r="AG466" i="1" a="1"/>
  <c r="AG466" i="1" s="1"/>
  <c r="AG467" i="1" a="1"/>
  <c r="AG467" i="1" s="1"/>
  <c r="AG468" i="1" a="1"/>
  <c r="AG468" i="1" s="1"/>
  <c r="AG469" i="1" a="1"/>
  <c r="AG469" i="1" s="1"/>
  <c r="AG470" i="1" a="1"/>
  <c r="AG470" i="1" s="1"/>
  <c r="AG471" i="1" a="1"/>
  <c r="AG471" i="1" s="1"/>
  <c r="AG472" i="1" a="1"/>
  <c r="AG472" i="1" s="1"/>
  <c r="AG473" i="1" a="1"/>
  <c r="AG473" i="1" s="1"/>
  <c r="AG474" i="1" a="1"/>
  <c r="AG474" i="1" s="1"/>
  <c r="AG475" i="1" a="1"/>
  <c r="AG475" i="1" s="1"/>
  <c r="AG476" i="1" a="1"/>
  <c r="AG476" i="1" s="1"/>
  <c r="AG477" i="1" a="1"/>
  <c r="AG477" i="1" s="1"/>
  <c r="AG478" i="1" a="1"/>
  <c r="AG478" i="1" s="1"/>
  <c r="AG479" i="1" a="1"/>
  <c r="AG479" i="1" s="1"/>
  <c r="AG480" i="1" a="1"/>
  <c r="AG480" i="1" s="1"/>
  <c r="AG481" i="1" a="1"/>
  <c r="AG481" i="1" s="1"/>
  <c r="AG482" i="1" a="1"/>
  <c r="AG482" i="1" s="1"/>
  <c r="AG483" i="1" a="1"/>
  <c r="AG483" i="1" s="1"/>
  <c r="AG484" i="1" a="1"/>
  <c r="AG484" i="1" s="1"/>
  <c r="AG485" i="1" a="1"/>
  <c r="AG485" i="1" s="1"/>
  <c r="AG486" i="1" a="1"/>
  <c r="AG486" i="1" s="1"/>
  <c r="AG487" i="1" a="1"/>
  <c r="AG487" i="1" s="1"/>
  <c r="AG488" i="1" a="1"/>
  <c r="AG488" i="1" s="1"/>
  <c r="AG489" i="1" a="1"/>
  <c r="AG489" i="1" s="1"/>
  <c r="AG490" i="1" a="1"/>
  <c r="AG490" i="1" s="1"/>
  <c r="AG491" i="1" a="1"/>
  <c r="AG491" i="1" s="1"/>
  <c r="AG492" i="1" a="1"/>
  <c r="AG492" i="1" s="1"/>
  <c r="AG493" i="1" a="1"/>
  <c r="AG493" i="1" s="1"/>
  <c r="AG494" i="1" a="1"/>
  <c r="AG494" i="1" s="1"/>
  <c r="AG495" i="1" a="1"/>
  <c r="AG495" i="1" s="1"/>
  <c r="AG496" i="1" a="1"/>
  <c r="AG496" i="1" s="1"/>
  <c r="AG497" i="1" a="1"/>
  <c r="AG497" i="1" s="1"/>
  <c r="AG498" i="1" a="1"/>
  <c r="AG498" i="1" s="1"/>
  <c r="AG499" i="1" a="1"/>
  <c r="AG499" i="1" s="1"/>
  <c r="AG500" i="1" a="1"/>
  <c r="AG500" i="1" s="1"/>
  <c r="AG501" i="1" a="1"/>
  <c r="AG501" i="1" s="1"/>
  <c r="AG502" i="1" a="1"/>
  <c r="AG502" i="1" s="1"/>
  <c r="AG503" i="1" a="1"/>
  <c r="AG503" i="1" s="1"/>
  <c r="AG504" i="1" a="1"/>
  <c r="AG504" i="1" s="1"/>
  <c r="AG505" i="1" a="1"/>
  <c r="AG505" i="1" s="1"/>
  <c r="AG506" i="1" a="1"/>
  <c r="AG506" i="1" s="1"/>
  <c r="AG507" i="1" a="1"/>
  <c r="AG507" i="1" s="1"/>
  <c r="AG508" i="1" a="1"/>
  <c r="AG508" i="1" s="1"/>
  <c r="AG509" i="1" a="1"/>
  <c r="AG509" i="1" s="1"/>
  <c r="AG510" i="1" a="1"/>
  <c r="AG510" i="1" s="1"/>
  <c r="AG511" i="1" a="1"/>
  <c r="AG511" i="1" s="1"/>
  <c r="AG512" i="1" a="1"/>
  <c r="AG512" i="1" s="1"/>
  <c r="AG513" i="1" a="1"/>
  <c r="AG513" i="1" s="1"/>
  <c r="AG514" i="1" a="1"/>
  <c r="AG514" i="1" s="1"/>
  <c r="AG515" i="1" a="1"/>
  <c r="AG515" i="1" s="1"/>
  <c r="AG516" i="1" a="1"/>
  <c r="AG516" i="1" s="1"/>
  <c r="AG517" i="1" a="1"/>
  <c r="AG517" i="1" s="1"/>
  <c r="AG518" i="1" a="1"/>
  <c r="AG518" i="1" s="1"/>
  <c r="AG519" i="1" a="1"/>
  <c r="AG519" i="1" s="1"/>
  <c r="AG520" i="1" a="1"/>
  <c r="AG520" i="1" s="1"/>
  <c r="AG521" i="1" a="1"/>
  <c r="AG521" i="1" s="1"/>
  <c r="AG522" i="1" a="1"/>
  <c r="AG522" i="1" s="1"/>
  <c r="AG523" i="1" a="1"/>
  <c r="AG523" i="1" s="1"/>
  <c r="AG524" i="1" a="1"/>
  <c r="AG524" i="1" s="1"/>
  <c r="AG525" i="1" a="1"/>
  <c r="AG525" i="1" s="1"/>
  <c r="AG526" i="1" a="1"/>
  <c r="AG526" i="1" s="1"/>
  <c r="AG527" i="1" a="1"/>
  <c r="AG527" i="1" s="1"/>
  <c r="AG528" i="1" a="1"/>
  <c r="AG528" i="1" s="1"/>
  <c r="AG529" i="1" a="1"/>
  <c r="AG529" i="1" s="1"/>
  <c r="AG530" i="1" a="1"/>
  <c r="AG530" i="1" s="1"/>
  <c r="AG531" i="1" a="1"/>
  <c r="AG531" i="1" s="1"/>
  <c r="AG532" i="1" a="1"/>
  <c r="AG532" i="1" s="1"/>
  <c r="AG533" i="1" a="1"/>
  <c r="AG533" i="1" s="1"/>
  <c r="AG534" i="1" a="1"/>
  <c r="AG534" i="1" s="1"/>
  <c r="AG535" i="1" a="1"/>
  <c r="AG535" i="1" s="1"/>
  <c r="AG536" i="1" a="1"/>
  <c r="AG536" i="1" s="1"/>
  <c r="AG537" i="1" a="1"/>
  <c r="AG537" i="1" s="1"/>
  <c r="AG538" i="1" a="1"/>
  <c r="AG538" i="1" s="1"/>
  <c r="AG539" i="1" a="1"/>
  <c r="AG539" i="1" s="1"/>
  <c r="AG540" i="1" a="1"/>
  <c r="AG540" i="1" s="1"/>
  <c r="AG541" i="1" a="1"/>
  <c r="AG541" i="1" s="1"/>
  <c r="AG542" i="1" a="1"/>
  <c r="AG542" i="1" s="1"/>
  <c r="AG543" i="1" a="1"/>
  <c r="AG543" i="1" s="1"/>
  <c r="AG544" i="1" a="1"/>
  <c r="AG544" i="1" s="1"/>
  <c r="AG545" i="1" a="1"/>
  <c r="AG545" i="1" s="1"/>
  <c r="AG546" i="1" a="1"/>
  <c r="AG546" i="1" s="1"/>
  <c r="AG547" i="1" a="1"/>
  <c r="AG547" i="1" s="1"/>
  <c r="AG548" i="1" a="1"/>
  <c r="AG548" i="1" s="1"/>
  <c r="AG549" i="1" a="1"/>
  <c r="AG549" i="1" s="1"/>
  <c r="AG550" i="1" a="1"/>
  <c r="AG550" i="1" s="1"/>
  <c r="AG551" i="1" a="1"/>
  <c r="AG551" i="1" s="1"/>
  <c r="AG552" i="1" a="1"/>
  <c r="AG552" i="1" s="1"/>
  <c r="AG553" i="1" a="1"/>
  <c r="AG553" i="1" s="1"/>
  <c r="AG554" i="1" a="1"/>
  <c r="AG554" i="1" s="1"/>
  <c r="AG555" i="1" a="1"/>
  <c r="AG555" i="1" s="1"/>
  <c r="AG556" i="1" a="1"/>
  <c r="AG556" i="1" s="1"/>
  <c r="AG557" i="1" a="1"/>
  <c r="AG557" i="1" s="1"/>
  <c r="AG558" i="1" a="1"/>
  <c r="AG558" i="1" s="1"/>
  <c r="AG559" i="1" a="1"/>
  <c r="AG559" i="1" s="1"/>
  <c r="AG560" i="1" a="1"/>
  <c r="AG560" i="1" s="1"/>
  <c r="AG561" i="1" a="1"/>
  <c r="AG561" i="1" s="1"/>
  <c r="AG562" i="1" a="1"/>
  <c r="AG562" i="1" s="1"/>
  <c r="AG563" i="1" a="1"/>
  <c r="AG563" i="1" s="1"/>
  <c r="AG564" i="1" a="1"/>
  <c r="AG564" i="1" s="1"/>
  <c r="AG565" i="1" a="1"/>
  <c r="AG565" i="1" s="1"/>
  <c r="AG566" i="1" a="1"/>
  <c r="AG566" i="1" s="1"/>
  <c r="AG567" i="1" a="1"/>
  <c r="AG567" i="1" s="1"/>
  <c r="AG568" i="1" a="1"/>
  <c r="AG568" i="1" s="1"/>
  <c r="AG569" i="1" a="1"/>
  <c r="AG569" i="1" s="1"/>
  <c r="AG570" i="1" a="1"/>
  <c r="AG570" i="1" s="1"/>
  <c r="AG571" i="1" a="1"/>
  <c r="AG571" i="1" s="1"/>
  <c r="AG572" i="1" a="1"/>
  <c r="AG572" i="1" s="1"/>
  <c r="AG573" i="1" a="1"/>
  <c r="AG573" i="1" s="1"/>
  <c r="AG574" i="1" a="1"/>
  <c r="AG574" i="1" s="1"/>
  <c r="AG575" i="1" a="1"/>
  <c r="AG575" i="1" s="1"/>
  <c r="AG576" i="1" a="1"/>
  <c r="AG576" i="1" s="1"/>
  <c r="AG577" i="1" a="1"/>
  <c r="AG577" i="1" s="1"/>
  <c r="AG578" i="1" a="1"/>
  <c r="AG578" i="1" s="1"/>
  <c r="AG579" i="1" a="1"/>
  <c r="AG579" i="1" s="1"/>
  <c r="AG580" i="1" a="1"/>
  <c r="AG580" i="1" s="1"/>
  <c r="AG581" i="1" a="1"/>
  <c r="AG581" i="1" s="1"/>
  <c r="AG582" i="1" a="1"/>
  <c r="AG582" i="1" s="1"/>
  <c r="AG583" i="1" a="1"/>
  <c r="AG583" i="1" s="1"/>
  <c r="AG584" i="1" a="1"/>
  <c r="AG584" i="1" s="1"/>
  <c r="AG585" i="1" a="1"/>
  <c r="AG585" i="1" s="1"/>
  <c r="AG586" i="1" a="1"/>
  <c r="AG586" i="1" s="1"/>
  <c r="AG587" i="1" a="1"/>
  <c r="AG587" i="1" s="1"/>
  <c r="AG588" i="1" a="1"/>
  <c r="AG588" i="1" s="1"/>
  <c r="AG589" i="1" a="1"/>
  <c r="AG589" i="1" s="1"/>
  <c r="AG590" i="1" a="1"/>
  <c r="AG590" i="1" s="1"/>
  <c r="AG591" i="1" a="1"/>
  <c r="AG591" i="1" s="1"/>
  <c r="AG592" i="1" a="1"/>
  <c r="AG592" i="1" s="1"/>
  <c r="AG593" i="1" a="1"/>
  <c r="AG593" i="1" s="1"/>
  <c r="AG594" i="1" a="1"/>
  <c r="AG594" i="1" s="1"/>
  <c r="AG595" i="1" a="1"/>
  <c r="AG595" i="1" s="1"/>
  <c r="AG596" i="1" a="1"/>
  <c r="AG596" i="1" s="1"/>
  <c r="AG597" i="1" a="1"/>
  <c r="AG597" i="1" s="1"/>
  <c r="AG598" i="1" a="1"/>
  <c r="AG598" i="1" s="1"/>
  <c r="AG599" i="1" a="1"/>
  <c r="AG599" i="1" s="1"/>
  <c r="AG600" i="1" a="1"/>
  <c r="AG600" i="1" s="1"/>
  <c r="AG601" i="1" a="1"/>
  <c r="AG601" i="1" s="1"/>
  <c r="AG602" i="1" a="1"/>
  <c r="AG602" i="1" s="1"/>
  <c r="AG603" i="1" a="1"/>
  <c r="AG603" i="1" s="1"/>
  <c r="AG604" i="1" a="1"/>
  <c r="AG604" i="1" s="1"/>
  <c r="AG605" i="1" a="1"/>
  <c r="AG605" i="1" s="1"/>
  <c r="AG606" i="1" a="1"/>
  <c r="AG606" i="1" s="1"/>
  <c r="AG607" i="1" a="1"/>
  <c r="AG607" i="1" s="1"/>
  <c r="AG608" i="1" a="1"/>
  <c r="AG608" i="1" s="1"/>
  <c r="AG609" i="1" a="1"/>
  <c r="AG609" i="1" s="1"/>
  <c r="AG610" i="1" a="1"/>
  <c r="AG610" i="1" s="1"/>
  <c r="AG611" i="1" a="1"/>
  <c r="AG611" i="1" s="1"/>
  <c r="AG612" i="1" a="1"/>
  <c r="AG612" i="1" s="1"/>
  <c r="AG613" i="1" a="1"/>
  <c r="AG613" i="1" s="1"/>
  <c r="AG614" i="1" a="1"/>
  <c r="AG614" i="1" s="1"/>
  <c r="AG615" i="1" a="1"/>
  <c r="AG615" i="1" s="1"/>
  <c r="AG616" i="1" a="1"/>
  <c r="AG616" i="1" s="1"/>
  <c r="AG617" i="1" a="1"/>
  <c r="AG617" i="1" s="1"/>
  <c r="AG618" i="1" a="1"/>
  <c r="AG618" i="1" s="1"/>
  <c r="AG619" i="1" a="1"/>
  <c r="AG619" i="1" s="1"/>
  <c r="AG620" i="1" a="1"/>
  <c r="AG620" i="1" s="1"/>
  <c r="AG621" i="1" a="1"/>
  <c r="AG621" i="1" s="1"/>
  <c r="AG622" i="1" a="1"/>
  <c r="AG622" i="1" s="1"/>
  <c r="AG623" i="1" a="1"/>
  <c r="AG623" i="1" s="1"/>
  <c r="AG624" i="1" a="1"/>
  <c r="AG624" i="1" s="1"/>
  <c r="AG625" i="1" a="1"/>
  <c r="AG625" i="1" s="1"/>
  <c r="AG626" i="1" a="1"/>
  <c r="AG626" i="1" s="1"/>
  <c r="AG627" i="1" a="1"/>
  <c r="AG627" i="1" s="1"/>
  <c r="AG628" i="1" a="1"/>
  <c r="AG628" i="1" s="1"/>
  <c r="AG629" i="1" a="1"/>
  <c r="AG629" i="1" s="1"/>
  <c r="AG630" i="1" a="1"/>
  <c r="AG630" i="1" s="1"/>
  <c r="AG631" i="1" a="1"/>
  <c r="AG631" i="1" s="1"/>
  <c r="AG632" i="1" a="1"/>
  <c r="AG632" i="1" s="1"/>
  <c r="AG633" i="1" a="1"/>
  <c r="AG633" i="1" s="1"/>
  <c r="AG634" i="1" a="1"/>
  <c r="AG634" i="1" s="1"/>
  <c r="AG635" i="1" a="1"/>
  <c r="AG635" i="1" s="1"/>
  <c r="AG636" i="1" a="1"/>
  <c r="AG636" i="1" s="1"/>
  <c r="AG637" i="1" a="1"/>
  <c r="AG637" i="1" s="1"/>
  <c r="AG638" i="1" a="1"/>
  <c r="AG638" i="1" s="1"/>
  <c r="AG639" i="1" a="1"/>
  <c r="AG639" i="1" s="1"/>
  <c r="AG640" i="1" a="1"/>
  <c r="AG640" i="1" s="1"/>
  <c r="AG641" i="1" a="1"/>
  <c r="AG641" i="1" s="1"/>
  <c r="AG642" i="1" a="1"/>
  <c r="AG642" i="1" s="1"/>
  <c r="AG643" i="1" a="1"/>
  <c r="AG643" i="1" s="1"/>
  <c r="AG644" i="1" a="1"/>
  <c r="AG644" i="1" s="1"/>
  <c r="AG645" i="1" a="1"/>
  <c r="AG645" i="1" s="1"/>
  <c r="AG646" i="1" a="1"/>
  <c r="AG646" i="1" s="1"/>
  <c r="AG647" i="1" a="1"/>
  <c r="AG647" i="1" s="1"/>
  <c r="AG648" i="1" a="1"/>
  <c r="AG648" i="1" s="1"/>
  <c r="AG649" i="1" a="1"/>
  <c r="AG649" i="1" s="1"/>
  <c r="AG650" i="1" a="1"/>
  <c r="AG650" i="1" s="1"/>
  <c r="AG651" i="1" a="1"/>
  <c r="AG651" i="1" s="1"/>
  <c r="AG652" i="1" a="1"/>
  <c r="AG652" i="1" s="1"/>
  <c r="AG653" i="1" a="1"/>
  <c r="AG653" i="1" s="1"/>
  <c r="AG654" i="1" a="1"/>
  <c r="AG654" i="1" s="1"/>
  <c r="AG655" i="1" a="1"/>
  <c r="AG655" i="1" s="1"/>
  <c r="AG656" i="1" a="1"/>
  <c r="AG656" i="1" s="1"/>
  <c r="AG657" i="1" a="1"/>
  <c r="AG657" i="1" s="1"/>
  <c r="AG658" i="1" a="1"/>
  <c r="AG658" i="1" s="1"/>
  <c r="AG659" i="1" a="1"/>
  <c r="AG659" i="1" s="1"/>
  <c r="AG660" i="1" a="1"/>
  <c r="AG660" i="1" s="1"/>
  <c r="AG661" i="1" a="1"/>
  <c r="AG661" i="1" s="1"/>
  <c r="AG662" i="1" a="1"/>
  <c r="AG662" i="1" s="1"/>
  <c r="AG663" i="1" a="1"/>
  <c r="AG663" i="1" s="1"/>
  <c r="AG664" i="1" a="1"/>
  <c r="AG664" i="1" s="1"/>
  <c r="AG665" i="1" a="1"/>
  <c r="AG665" i="1" s="1"/>
  <c r="AG666" i="1" a="1"/>
  <c r="AG666" i="1" s="1"/>
  <c r="AG667" i="1" a="1"/>
  <c r="AG667" i="1" s="1"/>
  <c r="AG668" i="1" a="1"/>
  <c r="AG668" i="1" s="1"/>
  <c r="AG669" i="1" a="1"/>
  <c r="AG669" i="1" s="1"/>
  <c r="AG670" i="1" a="1"/>
  <c r="AG670" i="1" s="1"/>
  <c r="AG671" i="1" a="1"/>
  <c r="AG671" i="1" s="1"/>
  <c r="AG672" i="1" a="1"/>
  <c r="AG672" i="1" s="1"/>
  <c r="AG673" i="1" a="1"/>
  <c r="AG673" i="1" s="1"/>
  <c r="AG674" i="1" a="1"/>
  <c r="AG674" i="1" s="1"/>
  <c r="AG675" i="1" a="1"/>
  <c r="AG675" i="1" s="1"/>
  <c r="AG676" i="1" a="1"/>
  <c r="AG676" i="1" s="1"/>
  <c r="AG677" i="1" a="1"/>
  <c r="AG677" i="1" s="1"/>
  <c r="AG678" i="1" a="1"/>
  <c r="AG678" i="1" s="1"/>
  <c r="AG679" i="1" a="1"/>
  <c r="AG679" i="1" s="1"/>
  <c r="AG680" i="1" a="1"/>
  <c r="AG680" i="1" s="1"/>
  <c r="AG681" i="1" a="1"/>
  <c r="AG681" i="1" s="1"/>
  <c r="AG682" i="1" a="1"/>
  <c r="AG682" i="1" s="1"/>
  <c r="AG683" i="1" a="1"/>
  <c r="AG683" i="1" s="1"/>
  <c r="AG684" i="1" a="1"/>
  <c r="AG684" i="1" s="1"/>
  <c r="AG685" i="1" a="1"/>
  <c r="AG685" i="1" s="1"/>
  <c r="AG686" i="1" a="1"/>
  <c r="AG686" i="1" s="1"/>
  <c r="AG687" i="1" a="1"/>
  <c r="AG687" i="1" s="1"/>
  <c r="AG688" i="1" a="1"/>
  <c r="AG688" i="1" s="1"/>
  <c r="AG689" i="1" a="1"/>
  <c r="AG689" i="1" s="1"/>
  <c r="AG690" i="1" a="1"/>
  <c r="AG690" i="1" s="1"/>
  <c r="AG691" i="1" a="1"/>
  <c r="AG691" i="1" s="1"/>
  <c r="AG692" i="1" a="1"/>
  <c r="AG692" i="1" s="1"/>
  <c r="AG693" i="1" a="1"/>
  <c r="AG693" i="1" s="1"/>
  <c r="AG694" i="1" a="1"/>
  <c r="AG694" i="1" s="1"/>
  <c r="AG695" i="1" a="1"/>
  <c r="AG695" i="1" s="1"/>
  <c r="AG696" i="1" a="1"/>
  <c r="AG696" i="1" s="1"/>
  <c r="AG697" i="1" a="1"/>
  <c r="AG697" i="1" s="1"/>
  <c r="AG698" i="1" a="1"/>
  <c r="AG698" i="1" s="1"/>
  <c r="AG699" i="1" a="1"/>
  <c r="AG699" i="1" s="1"/>
  <c r="AG700" i="1" a="1"/>
  <c r="AG700" i="1" s="1"/>
  <c r="AG701" i="1" a="1"/>
  <c r="AG701" i="1" s="1"/>
  <c r="AG702" i="1" a="1"/>
  <c r="AG702" i="1" s="1"/>
  <c r="AG703" i="1" a="1"/>
  <c r="AG703" i="1" s="1"/>
  <c r="AG704" i="1" a="1"/>
  <c r="AG704" i="1" s="1"/>
  <c r="AG705" i="1" a="1"/>
  <c r="AG705" i="1" s="1"/>
  <c r="AG706" i="1" a="1"/>
  <c r="AG706" i="1" s="1"/>
  <c r="AG707" i="1" a="1"/>
  <c r="AG707" i="1" s="1"/>
  <c r="AG708" i="1" a="1"/>
  <c r="AG708" i="1" s="1"/>
  <c r="AG709" i="1" a="1"/>
  <c r="AG709" i="1" s="1"/>
  <c r="AG710" i="1" a="1"/>
  <c r="AG710" i="1" s="1"/>
  <c r="AG711" i="1" a="1"/>
  <c r="AG711" i="1" s="1"/>
  <c r="AG712" i="1" a="1"/>
  <c r="AG712" i="1" s="1"/>
  <c r="AG713" i="1" a="1"/>
  <c r="AG713" i="1" s="1"/>
  <c r="AG714" i="1" a="1"/>
  <c r="AG714" i="1" s="1"/>
  <c r="AG715" i="1" a="1"/>
  <c r="AG715" i="1" s="1"/>
  <c r="AG716" i="1" a="1"/>
  <c r="AG716" i="1" s="1"/>
  <c r="AG717" i="1" a="1"/>
  <c r="AG717" i="1" s="1"/>
  <c r="AG718" i="1" a="1"/>
  <c r="AG718" i="1" s="1"/>
  <c r="AG719" i="1" a="1"/>
  <c r="AG719" i="1" s="1"/>
  <c r="AG720" i="1" a="1"/>
  <c r="AG720" i="1" s="1"/>
  <c r="AG721" i="1" a="1"/>
  <c r="AG721" i="1" s="1"/>
  <c r="AG722" i="1" a="1"/>
  <c r="AG722" i="1" s="1"/>
  <c r="AG723" i="1" a="1"/>
  <c r="AG723" i="1" s="1"/>
  <c r="AG724" i="1" a="1"/>
  <c r="AG724" i="1" s="1"/>
  <c r="AG725" i="1" a="1"/>
  <c r="AG725" i="1" s="1"/>
  <c r="AG726" i="1" a="1"/>
  <c r="AG726" i="1" s="1"/>
  <c r="AG727" i="1" a="1"/>
  <c r="AG727" i="1" s="1"/>
  <c r="AG728" i="1" a="1"/>
  <c r="AG728" i="1" s="1"/>
  <c r="AG729" i="1" a="1"/>
  <c r="AG729" i="1" s="1"/>
  <c r="AG730" i="1" a="1"/>
  <c r="AG730" i="1" s="1"/>
  <c r="AG731" i="1" a="1"/>
  <c r="AG731" i="1" s="1"/>
  <c r="AG732" i="1" a="1"/>
  <c r="AG732" i="1" s="1"/>
  <c r="AG733" i="1" a="1"/>
  <c r="AG733" i="1" s="1"/>
  <c r="AG734" i="1" a="1"/>
  <c r="AG734" i="1" s="1"/>
  <c r="AG735" i="1" a="1"/>
  <c r="AG735" i="1" s="1"/>
  <c r="AG736" i="1" a="1"/>
  <c r="AG736" i="1" s="1"/>
  <c r="AG737" i="1" a="1"/>
  <c r="AG737" i="1" s="1"/>
  <c r="AG738" i="1" a="1"/>
  <c r="AG738" i="1" s="1"/>
  <c r="AG739" i="1" a="1"/>
  <c r="AG739" i="1" s="1"/>
  <c r="AG740" i="1" a="1"/>
  <c r="AG740" i="1" s="1"/>
  <c r="AG741" i="1" a="1"/>
  <c r="AG741" i="1" s="1"/>
  <c r="AG742" i="1" a="1"/>
  <c r="AG742" i="1" s="1"/>
  <c r="AG743" i="1" a="1"/>
  <c r="AG743" i="1" s="1"/>
  <c r="AG744" i="1" a="1"/>
  <c r="AG744" i="1" s="1"/>
  <c r="AG745" i="1" a="1"/>
  <c r="AG745" i="1" s="1"/>
  <c r="AG746" i="1" a="1"/>
  <c r="AG746" i="1" s="1"/>
  <c r="AG747" i="1" a="1"/>
  <c r="AG747" i="1" s="1"/>
  <c r="AG748" i="1" a="1"/>
  <c r="AG748" i="1" s="1"/>
  <c r="AG749" i="1" a="1"/>
  <c r="AG749" i="1" s="1"/>
  <c r="AG750" i="1" a="1"/>
  <c r="AG750" i="1" s="1"/>
  <c r="AG751" i="1" a="1"/>
  <c r="AG751" i="1" s="1"/>
  <c r="AG752" i="1" a="1"/>
  <c r="AG752" i="1" s="1"/>
  <c r="AG753" i="1" a="1"/>
  <c r="AG753" i="1" s="1"/>
  <c r="AG754" i="1" a="1"/>
  <c r="AG754" i="1" s="1"/>
  <c r="AG755" i="1" a="1"/>
  <c r="AG755" i="1" s="1"/>
  <c r="AG756" i="1" a="1"/>
  <c r="AG756" i="1" s="1"/>
  <c r="AG757" i="1" a="1"/>
  <c r="AG757" i="1" s="1"/>
  <c r="AG758" i="1" a="1"/>
  <c r="AG758" i="1" s="1"/>
  <c r="AG759" i="1" a="1"/>
  <c r="AG759" i="1" s="1"/>
  <c r="AG760" i="1" a="1"/>
  <c r="AG760" i="1" s="1"/>
  <c r="AG761" i="1" a="1"/>
  <c r="AG761" i="1" s="1"/>
  <c r="AG762" i="1" a="1"/>
  <c r="AG762" i="1" s="1"/>
  <c r="AG763" i="1" a="1"/>
  <c r="AG763" i="1" s="1"/>
  <c r="AG764" i="1" a="1"/>
  <c r="AG764" i="1" s="1"/>
  <c r="AG765" i="1" a="1"/>
  <c r="AG765" i="1" s="1"/>
  <c r="AG766" i="1" a="1"/>
  <c r="AG766" i="1" s="1"/>
  <c r="AG767" i="1" a="1"/>
  <c r="AG767" i="1" s="1"/>
  <c r="AG768" i="1" a="1"/>
  <c r="AG768" i="1" s="1"/>
  <c r="AG769" i="1" a="1"/>
  <c r="AG769" i="1" s="1"/>
  <c r="AG770" i="1" a="1"/>
  <c r="AG770" i="1" s="1"/>
  <c r="AG771" i="1" a="1"/>
  <c r="AG771" i="1" s="1"/>
  <c r="AG772" i="1" a="1"/>
  <c r="AG772" i="1" s="1"/>
  <c r="AG773" i="1" a="1"/>
  <c r="AG773" i="1" s="1"/>
  <c r="AG774" i="1" a="1"/>
  <c r="AG774" i="1" s="1"/>
  <c r="AG775" i="1" a="1"/>
  <c r="AG775" i="1" s="1"/>
  <c r="AG776" i="1" a="1"/>
  <c r="AG776" i="1" s="1"/>
  <c r="AG777" i="1" a="1"/>
  <c r="AG777" i="1" s="1"/>
  <c r="AG778" i="1" a="1"/>
  <c r="AG778" i="1" s="1"/>
  <c r="AG779" i="1" a="1"/>
  <c r="AG779" i="1" s="1"/>
  <c r="AG780" i="1" a="1"/>
  <c r="AG780" i="1" s="1"/>
  <c r="AG781" i="1" a="1"/>
  <c r="AG781" i="1" s="1"/>
  <c r="AG782" i="1" a="1"/>
  <c r="AG782" i="1" s="1"/>
  <c r="AG783" i="1" a="1"/>
  <c r="AG783" i="1" s="1"/>
  <c r="AG784" i="1" a="1"/>
  <c r="AG784" i="1" s="1"/>
  <c r="AG785" i="1" a="1"/>
  <c r="AG785" i="1" s="1"/>
  <c r="AG786" i="1" a="1"/>
  <c r="AG786" i="1" s="1"/>
  <c r="AG787" i="1" a="1"/>
  <c r="AG787" i="1" s="1"/>
  <c r="AG788" i="1" a="1"/>
  <c r="AG788" i="1" s="1"/>
  <c r="AG789" i="1" a="1"/>
  <c r="AG789" i="1" s="1"/>
  <c r="AG790" i="1" a="1"/>
  <c r="AG790" i="1" s="1"/>
  <c r="AG791" i="1" a="1"/>
  <c r="AG791" i="1" s="1"/>
  <c r="AG792" i="1" a="1"/>
  <c r="AG792" i="1" s="1"/>
  <c r="AG793" i="1" a="1"/>
  <c r="AG793" i="1" s="1"/>
  <c r="AG794" i="1" a="1"/>
  <c r="AG794" i="1" s="1"/>
  <c r="AG795" i="1" a="1"/>
  <c r="AG795" i="1" s="1"/>
  <c r="AG796" i="1" a="1"/>
  <c r="AG796" i="1" s="1"/>
  <c r="AG797" i="1" a="1"/>
  <c r="AG797" i="1" s="1"/>
  <c r="AG798" i="1" a="1"/>
  <c r="AG798" i="1" s="1"/>
  <c r="AG799" i="1" a="1"/>
  <c r="AG799" i="1" s="1"/>
  <c r="AG800" i="1" a="1"/>
  <c r="AG800" i="1" s="1"/>
  <c r="AG801" i="1" a="1"/>
  <c r="AG801" i="1" s="1"/>
  <c r="AG802" i="1" a="1"/>
  <c r="AG802" i="1" s="1"/>
  <c r="AG803" i="1" a="1"/>
  <c r="AG803" i="1" s="1"/>
  <c r="AG804" i="1" a="1"/>
  <c r="AG804" i="1" s="1"/>
  <c r="AG805" i="1" a="1"/>
  <c r="AG805" i="1" s="1"/>
  <c r="AG806" i="1" a="1"/>
  <c r="AG806" i="1" s="1"/>
  <c r="AG807" i="1" a="1"/>
  <c r="AG807" i="1" s="1"/>
  <c r="AG808" i="1" a="1"/>
  <c r="AG808" i="1" s="1"/>
  <c r="AG809" i="1" a="1"/>
  <c r="AG809" i="1" s="1"/>
  <c r="AG810" i="1" a="1"/>
  <c r="AG810" i="1" s="1"/>
  <c r="AG811" i="1" a="1"/>
  <c r="AG811" i="1" s="1"/>
  <c r="AG812" i="1" a="1"/>
  <c r="AG812" i="1" s="1"/>
  <c r="AG813" i="1" a="1"/>
  <c r="AG813" i="1" s="1"/>
  <c r="AG814" i="1" a="1"/>
  <c r="AG814" i="1" s="1"/>
  <c r="AG815" i="1" a="1"/>
  <c r="AG815" i="1" s="1"/>
  <c r="AG816" i="1" a="1"/>
  <c r="AG816" i="1" s="1"/>
  <c r="AG817" i="1" a="1"/>
  <c r="AG817" i="1" s="1"/>
  <c r="AG818" i="1" a="1"/>
  <c r="AG818" i="1" s="1"/>
  <c r="AG819" i="1" a="1"/>
  <c r="AG819" i="1" s="1"/>
  <c r="AG820" i="1" a="1"/>
  <c r="AG820" i="1" s="1"/>
  <c r="AG821" i="1" a="1"/>
  <c r="AG821" i="1" s="1"/>
  <c r="AG822" i="1" a="1"/>
  <c r="AG822" i="1" s="1"/>
  <c r="AG823" i="1" a="1"/>
  <c r="AG823" i="1" s="1"/>
  <c r="AG824" i="1" a="1"/>
  <c r="AG824" i="1" s="1"/>
  <c r="AG825" i="1" a="1"/>
  <c r="AG825" i="1" s="1"/>
  <c r="AG826" i="1" a="1"/>
  <c r="AG826" i="1" s="1"/>
  <c r="AG827" i="1" a="1"/>
  <c r="AG827" i="1" s="1"/>
  <c r="AG828" i="1" a="1"/>
  <c r="AG828" i="1" s="1"/>
  <c r="AG829" i="1" a="1"/>
  <c r="AG829" i="1" s="1"/>
  <c r="AG830" i="1" a="1"/>
  <c r="AG830" i="1" s="1"/>
  <c r="AG831" i="1" a="1"/>
  <c r="AG831" i="1" s="1"/>
  <c r="AG832" i="1" a="1"/>
  <c r="AG832" i="1" s="1"/>
  <c r="AG833" i="1" a="1"/>
  <c r="AG833" i="1" s="1"/>
  <c r="AG834" i="1" a="1"/>
  <c r="AG834" i="1" s="1"/>
  <c r="AG835" i="1" a="1"/>
  <c r="AG835" i="1" s="1"/>
  <c r="AG836" i="1" a="1"/>
  <c r="AG836" i="1" s="1"/>
  <c r="AG837" i="1" a="1"/>
  <c r="AG837" i="1" s="1"/>
  <c r="AG838" i="1" a="1"/>
  <c r="AG838" i="1" s="1"/>
  <c r="AG839" i="1" a="1"/>
  <c r="AG839" i="1" s="1"/>
  <c r="AG840" i="1" a="1"/>
  <c r="AG840" i="1" s="1"/>
  <c r="AG841" i="1" a="1"/>
  <c r="AG841" i="1" s="1"/>
  <c r="AG842" i="1" a="1"/>
  <c r="AG842" i="1" s="1"/>
  <c r="AG843" i="1" a="1"/>
  <c r="AG843" i="1" s="1"/>
  <c r="AG844" i="1" a="1"/>
  <c r="AG844" i="1" s="1"/>
  <c r="AG845" i="1" a="1"/>
  <c r="AG845" i="1" s="1"/>
  <c r="AG846" i="1" a="1"/>
  <c r="AG846" i="1" s="1"/>
  <c r="AG847" i="1" a="1"/>
  <c r="AG847" i="1" s="1"/>
  <c r="AG848" i="1" a="1"/>
  <c r="AG848" i="1" s="1"/>
  <c r="AG849" i="1" a="1"/>
  <c r="AG849" i="1" s="1"/>
  <c r="AG850" i="1" a="1"/>
  <c r="AG850" i="1" s="1"/>
  <c r="AG851" i="1" a="1"/>
  <c r="AG851" i="1" s="1"/>
  <c r="AG852" i="1" a="1"/>
  <c r="AG852" i="1" s="1"/>
  <c r="AG853" i="1" a="1"/>
  <c r="AG853" i="1" s="1"/>
  <c r="AG854" i="1" a="1"/>
  <c r="AG854" i="1" s="1"/>
  <c r="AG855" i="1" a="1"/>
  <c r="AG855" i="1" s="1"/>
  <c r="AG856" i="1" a="1"/>
  <c r="AG856" i="1" s="1"/>
  <c r="AG857" i="1" a="1"/>
  <c r="AG857" i="1" s="1"/>
  <c r="AG858" i="1" a="1"/>
  <c r="AG858" i="1" s="1"/>
  <c r="AG859" i="1" a="1"/>
  <c r="AG859" i="1" s="1"/>
  <c r="AG860" i="1" a="1"/>
  <c r="AG860" i="1" s="1"/>
  <c r="AG861" i="1" a="1"/>
  <c r="AG861" i="1" s="1"/>
  <c r="AG862" i="1" a="1"/>
  <c r="AG862" i="1" s="1"/>
  <c r="AG863" i="1" a="1"/>
  <c r="AG863" i="1" s="1"/>
  <c r="AG864" i="1" a="1"/>
  <c r="AG864" i="1" s="1"/>
  <c r="AG865" i="1" a="1"/>
  <c r="AG865" i="1" s="1"/>
  <c r="AG866" i="1" a="1"/>
  <c r="AG866" i="1" s="1"/>
  <c r="AG867" i="1" a="1"/>
  <c r="AG867" i="1" s="1"/>
  <c r="AG868" i="1" a="1"/>
  <c r="AG868" i="1" s="1"/>
  <c r="AG869" i="1" a="1"/>
  <c r="AG869" i="1" s="1"/>
  <c r="AG870" i="1" a="1"/>
  <c r="AG870" i="1" s="1"/>
  <c r="AG871" i="1" a="1"/>
  <c r="AG871" i="1" s="1"/>
  <c r="AG872" i="1" a="1"/>
  <c r="AG872" i="1" s="1"/>
  <c r="AG873" i="1" a="1"/>
  <c r="AG873" i="1" s="1"/>
  <c r="AG874" i="1" a="1"/>
  <c r="AG874" i="1" s="1"/>
  <c r="AG875" i="1" a="1"/>
  <c r="AG875" i="1" s="1"/>
  <c r="AG876" i="1" a="1"/>
  <c r="AG876" i="1" s="1"/>
  <c r="AG877" i="1" a="1"/>
  <c r="AG877" i="1" s="1"/>
  <c r="AG878" i="1" a="1"/>
  <c r="AG878" i="1" s="1"/>
  <c r="AG879" i="1" a="1"/>
  <c r="AG879" i="1" s="1"/>
  <c r="AG880" i="1" a="1"/>
  <c r="AG880" i="1" s="1"/>
  <c r="AG881" i="1" a="1"/>
  <c r="AG881" i="1" s="1"/>
  <c r="AG882" i="1" a="1"/>
  <c r="AG882" i="1" s="1"/>
  <c r="AG883" i="1" a="1"/>
  <c r="AG883" i="1" s="1"/>
  <c r="AG884" i="1" a="1"/>
  <c r="AG884" i="1" s="1"/>
  <c r="AG885" i="1" a="1"/>
  <c r="AG885" i="1" s="1"/>
  <c r="AG886" i="1" a="1"/>
  <c r="AG886" i="1" s="1"/>
  <c r="AG887" i="1" a="1"/>
  <c r="AG887" i="1" s="1"/>
  <c r="AG888" i="1" a="1"/>
  <c r="AG888" i="1" s="1"/>
  <c r="AG889" i="1" a="1"/>
  <c r="AG889" i="1" s="1"/>
  <c r="AG890" i="1" a="1"/>
  <c r="AG890" i="1" s="1"/>
  <c r="AG891" i="1" a="1"/>
  <c r="AG891" i="1" s="1"/>
  <c r="AG892" i="1" a="1"/>
  <c r="AG892" i="1" s="1"/>
  <c r="AG893" i="1" a="1"/>
  <c r="AG893" i="1" s="1"/>
  <c r="AG894" i="1" a="1"/>
  <c r="AG894" i="1" s="1"/>
  <c r="AG895" i="1" a="1"/>
  <c r="AG895" i="1" s="1"/>
  <c r="AG896" i="1" a="1"/>
  <c r="AG896" i="1" s="1"/>
  <c r="AG897" i="1" a="1"/>
  <c r="AG897" i="1" s="1"/>
  <c r="AG898" i="1" a="1"/>
  <c r="AG898" i="1" s="1"/>
  <c r="AG899" i="1" a="1"/>
  <c r="AG899" i="1" s="1"/>
  <c r="AG900" i="1" a="1"/>
  <c r="AG900" i="1" s="1"/>
  <c r="AG901" i="1" a="1"/>
  <c r="AG901" i="1" s="1"/>
  <c r="AG902" i="1" a="1"/>
  <c r="AG902" i="1" s="1"/>
  <c r="AG903" i="1" a="1"/>
  <c r="AG903" i="1" s="1"/>
  <c r="AG904" i="1" a="1"/>
  <c r="AG904" i="1" s="1"/>
  <c r="AG905" i="1" a="1"/>
  <c r="AG905" i="1" s="1"/>
  <c r="AG906" i="1" a="1"/>
  <c r="AG906" i="1" s="1"/>
  <c r="AG907" i="1" a="1"/>
  <c r="AG907" i="1" s="1"/>
  <c r="AG908" i="1" a="1"/>
  <c r="AG908" i="1" s="1"/>
  <c r="AG909" i="1" a="1"/>
  <c r="AG909" i="1" s="1"/>
  <c r="AG910" i="1" a="1"/>
  <c r="AG910" i="1" s="1"/>
  <c r="AG911" i="1" a="1"/>
  <c r="AG911" i="1" s="1"/>
  <c r="AG912" i="1" a="1"/>
  <c r="AG912" i="1" s="1"/>
  <c r="AG913" i="1" a="1"/>
  <c r="AG913" i="1" s="1"/>
  <c r="AG914" i="1" a="1"/>
  <c r="AG914" i="1" s="1"/>
  <c r="AG915" i="1" a="1"/>
  <c r="AG915" i="1" s="1"/>
  <c r="AG916" i="1" a="1"/>
  <c r="AG916" i="1" s="1"/>
  <c r="AG917" i="1" a="1"/>
  <c r="AG917" i="1" s="1"/>
  <c r="AG918" i="1" a="1"/>
  <c r="AG918" i="1" s="1"/>
  <c r="AG919" i="1" a="1"/>
  <c r="AG919" i="1" s="1"/>
  <c r="AG920" i="1" a="1"/>
  <c r="AG920" i="1" s="1"/>
  <c r="AG921" i="1" a="1"/>
  <c r="AG921" i="1" s="1"/>
  <c r="AG922" i="1" a="1"/>
  <c r="AG922" i="1" s="1"/>
  <c r="AG923" i="1" a="1"/>
  <c r="AG923" i="1" s="1"/>
  <c r="AG924" i="1" a="1"/>
  <c r="AG924" i="1" s="1"/>
  <c r="AG925" i="1" a="1"/>
  <c r="AG925" i="1" s="1"/>
  <c r="AG926" i="1" a="1"/>
  <c r="AG926" i="1" s="1"/>
  <c r="AG927" i="1" a="1"/>
  <c r="AG927" i="1" s="1"/>
  <c r="AG928" i="1" a="1"/>
  <c r="AG928" i="1" s="1"/>
  <c r="AG929" i="1" a="1"/>
  <c r="AG929" i="1" s="1"/>
  <c r="AG930" i="1" a="1"/>
  <c r="AG930" i="1" s="1"/>
  <c r="AG931" i="1" a="1"/>
  <c r="AG931" i="1" s="1"/>
  <c r="AG932" i="1" a="1"/>
  <c r="AG932" i="1" s="1"/>
  <c r="AG933" i="1" a="1"/>
  <c r="AG933" i="1" s="1"/>
  <c r="AG934" i="1" a="1"/>
  <c r="AG934" i="1" s="1"/>
  <c r="AG935" i="1" a="1"/>
  <c r="AG935" i="1" s="1"/>
  <c r="AG936" i="1" a="1"/>
  <c r="AG936" i="1" s="1"/>
  <c r="AG937" i="1" a="1"/>
  <c r="AG937" i="1" s="1"/>
  <c r="AG938" i="1" a="1"/>
  <c r="AG938" i="1" s="1"/>
  <c r="AG939" i="1" a="1"/>
  <c r="AG939" i="1" s="1"/>
  <c r="AG940" i="1" a="1"/>
  <c r="AG940" i="1" s="1"/>
  <c r="AG941" i="1" a="1"/>
  <c r="AG941" i="1" s="1"/>
  <c r="AG942" i="1" a="1"/>
  <c r="AG942" i="1" s="1"/>
  <c r="AG943" i="1" a="1"/>
  <c r="AG943" i="1" s="1"/>
  <c r="AG944" i="1" a="1"/>
  <c r="AG944" i="1" s="1"/>
  <c r="AG945" i="1" a="1"/>
  <c r="AG945" i="1" s="1"/>
  <c r="AG946" i="1" a="1"/>
  <c r="AG946" i="1" s="1"/>
  <c r="AG947" i="1" a="1"/>
  <c r="AG947" i="1" s="1"/>
  <c r="AG948" i="1" a="1"/>
  <c r="AG948" i="1" s="1"/>
  <c r="AG949" i="1" a="1"/>
  <c r="AG949" i="1" s="1"/>
  <c r="AG950" i="1" a="1"/>
  <c r="AG950" i="1" s="1"/>
  <c r="AG951" i="1" a="1"/>
  <c r="AG951" i="1" s="1"/>
  <c r="AG952" i="1" a="1"/>
  <c r="AG952" i="1" s="1"/>
  <c r="AG953" i="1" a="1"/>
  <c r="AG953" i="1" s="1"/>
  <c r="AG954" i="1" a="1"/>
  <c r="AG954" i="1" s="1"/>
  <c r="AG955" i="1" a="1"/>
  <c r="AG955" i="1" s="1"/>
  <c r="AG956" i="1" a="1"/>
  <c r="AG956" i="1" s="1"/>
  <c r="AG957" i="1" a="1"/>
  <c r="AG957" i="1" s="1"/>
  <c r="AG958" i="1" a="1"/>
  <c r="AG958" i="1" s="1"/>
  <c r="AG959" i="1" a="1"/>
  <c r="AG959" i="1" s="1"/>
  <c r="AG960" i="1" a="1"/>
  <c r="AG960" i="1" s="1"/>
  <c r="AG961" i="1" a="1"/>
  <c r="AG961" i="1" s="1"/>
  <c r="AG962" i="1" a="1"/>
  <c r="AG962" i="1" s="1"/>
  <c r="AG963" i="1" a="1"/>
  <c r="AG963" i="1" s="1"/>
  <c r="AG964" i="1" a="1"/>
  <c r="AG964" i="1" s="1"/>
  <c r="AG965" i="1" a="1"/>
  <c r="AG965" i="1" s="1"/>
  <c r="AG966" i="1" a="1"/>
  <c r="AG966" i="1" s="1"/>
  <c r="AG967" i="1" a="1"/>
  <c r="AG967" i="1" s="1"/>
  <c r="AG968" i="1" a="1"/>
  <c r="AG968" i="1" s="1"/>
  <c r="AG969" i="1" a="1"/>
  <c r="AG969" i="1" s="1"/>
  <c r="AG970" i="1" a="1"/>
  <c r="AG970" i="1" s="1"/>
  <c r="AG971" i="1" a="1"/>
  <c r="AG971" i="1" s="1"/>
  <c r="AG972" i="1" a="1"/>
  <c r="AG972" i="1" s="1"/>
  <c r="AG973" i="1" a="1"/>
  <c r="AG973" i="1" s="1"/>
  <c r="AG974" i="1" a="1"/>
  <c r="AG974" i="1" s="1"/>
  <c r="AG975" i="1" a="1"/>
  <c r="AG975" i="1" s="1"/>
  <c r="AG976" i="1" a="1"/>
  <c r="AG976" i="1" s="1"/>
  <c r="AG977" i="1" a="1"/>
  <c r="AG977" i="1" s="1"/>
  <c r="AG978" i="1" a="1"/>
  <c r="AG978" i="1" s="1"/>
  <c r="AG979" i="1" a="1"/>
  <c r="AG979" i="1" s="1"/>
  <c r="AG980" i="1" a="1"/>
  <c r="AG980" i="1" s="1"/>
  <c r="AG981" i="1" a="1"/>
  <c r="AG981" i="1" s="1"/>
  <c r="AG982" i="1" a="1"/>
  <c r="AG982" i="1" s="1"/>
  <c r="AG983" i="1" a="1"/>
  <c r="AG983" i="1" s="1"/>
  <c r="AG984" i="1" a="1"/>
  <c r="AG984" i="1" s="1"/>
  <c r="AG985" i="1" a="1"/>
  <c r="AG985" i="1" s="1"/>
  <c r="AG986" i="1" a="1"/>
  <c r="AG986" i="1" s="1"/>
  <c r="AG987" i="1" a="1"/>
  <c r="AG987" i="1" s="1"/>
  <c r="AG988" i="1" a="1"/>
  <c r="AG988" i="1" s="1"/>
  <c r="AG989" i="1" a="1"/>
  <c r="AG989" i="1" s="1"/>
  <c r="AG990" i="1" a="1"/>
  <c r="AG990" i="1" s="1"/>
  <c r="AG991" i="1" a="1"/>
  <c r="AG991" i="1" s="1"/>
  <c r="AG992" i="1" a="1"/>
  <c r="AG992" i="1" s="1"/>
  <c r="AG993" i="1" a="1"/>
  <c r="AG993" i="1" s="1"/>
  <c r="AG994" i="1" a="1"/>
  <c r="AG994" i="1" s="1"/>
  <c r="AG995" i="1" a="1"/>
  <c r="AG995" i="1" s="1"/>
  <c r="AG996" i="1" a="1"/>
  <c r="AG996" i="1" s="1"/>
  <c r="AG997" i="1" a="1"/>
  <c r="AG997" i="1" s="1"/>
  <c r="AG998" i="1" a="1"/>
  <c r="AG998" i="1" s="1"/>
  <c r="AG999" i="1" a="1"/>
  <c r="AG999" i="1" s="1"/>
  <c r="AG1000" i="1" a="1"/>
  <c r="AG1000" i="1" s="1"/>
  <c r="AG1001" i="1" a="1"/>
  <c r="AG1001" i="1" s="1"/>
  <c r="AG1002" i="1" a="1"/>
  <c r="AG1002" i="1" s="1"/>
  <c r="AG1003" i="1" a="1"/>
  <c r="AG1003" i="1" s="1"/>
  <c r="AG1004" i="1" a="1"/>
  <c r="AG1004" i="1" s="1"/>
  <c r="AG1005" i="1" a="1"/>
  <c r="AG1005" i="1" s="1"/>
  <c r="AG1006" i="1" a="1"/>
  <c r="AG1006" i="1" s="1"/>
  <c r="AG1007" i="1" a="1"/>
  <c r="AG1007" i="1" s="1"/>
  <c r="AG1008" i="1" a="1"/>
  <c r="AG1008" i="1" s="1"/>
  <c r="AG1009" i="1" a="1"/>
  <c r="AG1009" i="1" s="1"/>
  <c r="AG1010" i="1" a="1"/>
  <c r="AG1010" i="1" s="1"/>
  <c r="AG1011" i="1" a="1"/>
  <c r="AG1011" i="1" s="1"/>
  <c r="AG1012" i="1" a="1"/>
  <c r="AG1012" i="1" s="1"/>
  <c r="AG1013" i="1" a="1"/>
  <c r="AG1013" i="1" s="1"/>
  <c r="AG1014" i="1" a="1"/>
  <c r="AG1014" i="1" s="1"/>
  <c r="AG1015" i="1" a="1"/>
  <c r="AG1015" i="1" s="1"/>
  <c r="AG1016" i="1" a="1"/>
  <c r="AG1016" i="1" s="1"/>
  <c r="AG1017" i="1" a="1"/>
  <c r="AG1017" i="1" s="1"/>
  <c r="AG1018" i="1" a="1"/>
  <c r="AG1018" i="1" s="1"/>
  <c r="AG1019" i="1" a="1"/>
  <c r="AG1019" i="1" s="1"/>
  <c r="AG1020" i="1" a="1"/>
  <c r="AG1020" i="1" s="1"/>
  <c r="AG1021" i="1" a="1"/>
  <c r="AG1021" i="1" s="1"/>
  <c r="AG1022" i="1" a="1"/>
  <c r="AG1022" i="1" s="1"/>
  <c r="AG1023" i="1" a="1"/>
  <c r="AG1023" i="1" s="1"/>
  <c r="AG1024" i="1" a="1"/>
  <c r="AG1024" i="1" s="1"/>
  <c r="AG1025" i="1" a="1"/>
  <c r="AG1025" i="1" s="1"/>
  <c r="AG1026" i="1" a="1"/>
  <c r="AG1026" i="1" s="1"/>
  <c r="AG1027" i="1" a="1"/>
  <c r="AG1027" i="1" s="1"/>
  <c r="AG1028" i="1" a="1"/>
  <c r="AG1028" i="1" s="1"/>
  <c r="AG1029" i="1" a="1"/>
  <c r="AG1029" i="1" s="1"/>
  <c r="AG1030" i="1" a="1"/>
  <c r="AG1030" i="1" s="1"/>
  <c r="AG1031" i="1" a="1"/>
  <c r="AG1031" i="1" s="1"/>
  <c r="AG1032" i="1" a="1"/>
  <c r="AG1032" i="1" s="1"/>
  <c r="AG1033" i="1" a="1"/>
  <c r="AG1033" i="1" s="1"/>
  <c r="AG1034" i="1" a="1"/>
  <c r="AG1034" i="1" s="1"/>
  <c r="AG1035" i="1" a="1"/>
  <c r="AG1035" i="1" s="1"/>
  <c r="AG1036" i="1" a="1"/>
  <c r="AG1036" i="1" s="1"/>
  <c r="AG1037" i="1" a="1"/>
  <c r="AG1037" i="1" s="1"/>
  <c r="AG1038" i="1" a="1"/>
  <c r="AG1038" i="1" s="1"/>
  <c r="AG1039" i="1" a="1"/>
  <c r="AG1039" i="1" s="1"/>
  <c r="AG1040" i="1" a="1"/>
  <c r="AG1040" i="1" s="1"/>
  <c r="AG1041" i="1" a="1"/>
  <c r="AG1041" i="1" s="1"/>
  <c r="AG1042" i="1" a="1"/>
  <c r="AG1042" i="1" s="1"/>
  <c r="AG1043" i="1" a="1"/>
  <c r="AG1043" i="1" s="1"/>
  <c r="AG1044" i="1" a="1"/>
  <c r="AG1044" i="1" s="1"/>
  <c r="AG1045" i="1" a="1"/>
  <c r="AG1045" i="1" s="1"/>
  <c r="AG1046" i="1" a="1"/>
  <c r="AG1046" i="1" s="1"/>
  <c r="AG1047" i="1" a="1"/>
  <c r="AG1047" i="1" s="1"/>
  <c r="AG1048" i="1" a="1"/>
  <c r="AG1048" i="1" s="1"/>
  <c r="AG1049" i="1" a="1"/>
  <c r="AG1049" i="1" s="1"/>
  <c r="AG1050" i="1" a="1"/>
  <c r="AG1050" i="1" s="1"/>
  <c r="AG1051" i="1" a="1"/>
  <c r="AG1051" i="1" s="1"/>
  <c r="AG1052" i="1" a="1"/>
  <c r="AG1052" i="1" s="1"/>
  <c r="AG1053" i="1" a="1"/>
  <c r="AG1053" i="1" s="1"/>
  <c r="AG1054" i="1" a="1"/>
  <c r="AG1054" i="1" s="1"/>
  <c r="AG1055" i="1" a="1"/>
  <c r="AG1055" i="1" s="1"/>
  <c r="AG1056" i="1" a="1"/>
  <c r="AG1056" i="1" s="1"/>
  <c r="AG1057" i="1" a="1"/>
  <c r="AG1057" i="1" s="1"/>
  <c r="AG1058" i="1" a="1"/>
  <c r="AG1058" i="1" s="1"/>
  <c r="AG1059" i="1" a="1"/>
  <c r="AG1059" i="1" s="1"/>
  <c r="AG1060" i="1" a="1"/>
  <c r="AG1060" i="1" s="1"/>
  <c r="AG1061" i="1" a="1"/>
  <c r="AG1061" i="1" s="1"/>
  <c r="AG1062" i="1" a="1"/>
  <c r="AG1062" i="1" s="1"/>
  <c r="AG1063" i="1" a="1"/>
  <c r="AG1063" i="1" s="1"/>
  <c r="AG1064" i="1" a="1"/>
  <c r="AG1064" i="1" s="1"/>
  <c r="AG1065" i="1" a="1"/>
  <c r="AG1065" i="1" s="1"/>
  <c r="AG1066" i="1" a="1"/>
  <c r="AG1066" i="1" s="1"/>
  <c r="AG1067" i="1" a="1"/>
  <c r="AG1067" i="1" s="1"/>
  <c r="AG1068" i="1" a="1"/>
  <c r="AG1068" i="1" s="1"/>
  <c r="AG1069" i="1" a="1"/>
  <c r="AG1069" i="1" s="1"/>
  <c r="AG1070" i="1" a="1"/>
  <c r="AG1070" i="1" s="1"/>
  <c r="AG1071" i="1" a="1"/>
  <c r="AG1071" i="1" s="1"/>
  <c r="AG1072" i="1" a="1"/>
  <c r="AG1072" i="1" s="1"/>
  <c r="AG1073" i="1" a="1"/>
  <c r="AG1073" i="1" s="1"/>
  <c r="AG1074" i="1" a="1"/>
  <c r="AG1074" i="1" s="1"/>
  <c r="AG1075" i="1" a="1"/>
  <c r="AG1075" i="1" s="1"/>
  <c r="AG1076" i="1" a="1"/>
  <c r="AG1076" i="1" s="1"/>
  <c r="AG1077" i="1" a="1"/>
  <c r="AG1077" i="1" s="1"/>
  <c r="AG1078" i="1" a="1"/>
  <c r="AG1078" i="1" s="1"/>
  <c r="AG1079" i="1" a="1"/>
  <c r="AG1079" i="1" s="1"/>
  <c r="AG1080" i="1" a="1"/>
  <c r="AG1080" i="1" s="1"/>
  <c r="AG1081" i="1" a="1"/>
  <c r="AG1081" i="1" s="1"/>
  <c r="AG1082" i="1" a="1"/>
  <c r="AG1082" i="1" s="1"/>
  <c r="AG1083" i="1" a="1"/>
  <c r="AG1083" i="1" s="1"/>
  <c r="AG1084" i="1" a="1"/>
  <c r="AG1084" i="1" s="1"/>
  <c r="AG1085" i="1" a="1"/>
  <c r="AG1085" i="1" s="1"/>
  <c r="AG1086" i="1" a="1"/>
  <c r="AG1086" i="1" s="1"/>
  <c r="AG1087" i="1" a="1"/>
  <c r="AG1087" i="1" s="1"/>
  <c r="AG1088" i="1" a="1"/>
  <c r="AG1088" i="1" s="1"/>
  <c r="AG1089" i="1" a="1"/>
  <c r="AG1089" i="1" s="1"/>
  <c r="AG1090" i="1" a="1"/>
  <c r="AG1090" i="1" s="1"/>
  <c r="AG1091" i="1" a="1"/>
  <c r="AG1091" i="1" s="1"/>
  <c r="AG1092" i="1" a="1"/>
  <c r="AG1092" i="1" s="1"/>
  <c r="AG1093" i="1" a="1"/>
  <c r="AG1093" i="1" s="1"/>
  <c r="AG1094" i="1" a="1"/>
  <c r="AG1094" i="1" s="1"/>
  <c r="AG1095" i="1" a="1"/>
  <c r="AG1095" i="1" s="1"/>
  <c r="AG1096" i="1" a="1"/>
  <c r="AG1096" i="1" s="1"/>
  <c r="AG1097" i="1" a="1"/>
  <c r="AG1097" i="1" s="1"/>
  <c r="AG1098" i="1" a="1"/>
  <c r="AG1098" i="1" s="1"/>
  <c r="AG1099" i="1" a="1"/>
  <c r="AG1099" i="1" s="1"/>
  <c r="AG1100" i="1" a="1"/>
  <c r="AG1100" i="1" s="1"/>
  <c r="AG1101" i="1" a="1"/>
  <c r="AG1101" i="1" s="1"/>
  <c r="AG1102" i="1" a="1"/>
  <c r="AG1102" i="1" s="1"/>
  <c r="AG1103" i="1" a="1"/>
  <c r="AG1103" i="1" s="1"/>
  <c r="AG1104" i="1" a="1"/>
  <c r="AG1104" i="1" s="1"/>
  <c r="AG1105" i="1" a="1"/>
  <c r="AG1105" i="1" s="1"/>
  <c r="AG1106" i="1" a="1"/>
  <c r="AG1106" i="1" s="1"/>
  <c r="AG1107" i="1" a="1"/>
  <c r="AG1107" i="1" s="1"/>
  <c r="AG1108" i="1" a="1"/>
  <c r="AG1108" i="1" s="1"/>
  <c r="AG1109" i="1" a="1"/>
  <c r="AG1109" i="1" s="1"/>
  <c r="AG1110" i="1" a="1"/>
  <c r="AG1110" i="1" s="1"/>
  <c r="AG1111" i="1" a="1"/>
  <c r="AG1111" i="1" s="1"/>
  <c r="AG1112" i="1" a="1"/>
  <c r="AG1112" i="1" s="1"/>
  <c r="AG1113" i="1" a="1"/>
  <c r="AG1113" i="1" s="1"/>
  <c r="AG1114" i="1" a="1"/>
  <c r="AG1114" i="1" s="1"/>
  <c r="AG1115" i="1" a="1"/>
  <c r="AG1115" i="1" s="1"/>
  <c r="AG1116" i="1" a="1"/>
  <c r="AG1116" i="1" s="1"/>
  <c r="AG1117" i="1" a="1"/>
  <c r="AG1117" i="1" s="1"/>
  <c r="AG1118" i="1" a="1"/>
  <c r="AG1118" i="1" s="1"/>
  <c r="AG1119" i="1" a="1"/>
  <c r="AG1119" i="1" s="1"/>
  <c r="AG1120" i="1" a="1"/>
  <c r="AG1120" i="1" s="1"/>
  <c r="AG1121" i="1" a="1"/>
  <c r="AG1121" i="1" s="1"/>
  <c r="AG1122" i="1" a="1"/>
  <c r="AG1122" i="1" s="1"/>
  <c r="AG1123" i="1" a="1"/>
  <c r="AG1123" i="1" s="1"/>
  <c r="AG1124" i="1" a="1"/>
  <c r="AG1124" i="1" s="1"/>
  <c r="AG1125" i="1" a="1"/>
  <c r="AG1125" i="1" s="1"/>
  <c r="AG1126" i="1" a="1"/>
  <c r="AG1126" i="1" s="1"/>
  <c r="AG1127" i="1" a="1"/>
  <c r="AG1127" i="1" s="1"/>
  <c r="AG1128" i="1" a="1"/>
  <c r="AG1128" i="1" s="1"/>
  <c r="AG1129" i="1" a="1"/>
  <c r="AG1129" i="1" s="1"/>
  <c r="AG1130" i="1" a="1"/>
  <c r="AG1130" i="1" s="1"/>
  <c r="AG1131" i="1" a="1"/>
  <c r="AG1131" i="1" s="1"/>
  <c r="AG1132" i="1" a="1"/>
  <c r="AG1132" i="1" s="1"/>
  <c r="AG1133" i="1" a="1"/>
  <c r="AG1133" i="1" s="1"/>
  <c r="AG1134" i="1" a="1"/>
  <c r="AG1134" i="1" s="1"/>
  <c r="AG1135" i="1" a="1"/>
  <c r="AG1135" i="1" s="1"/>
  <c r="AG1136" i="1" a="1"/>
  <c r="AG1136" i="1" s="1"/>
  <c r="AG1137" i="1" a="1"/>
  <c r="AG1137" i="1" s="1"/>
  <c r="AG1138" i="1" a="1"/>
  <c r="AG1138" i="1" s="1"/>
  <c r="AG1139" i="1" a="1"/>
  <c r="AG1139" i="1" s="1"/>
  <c r="AG1140" i="1" a="1"/>
  <c r="AG1140" i="1" s="1"/>
  <c r="AG1141" i="1" a="1"/>
  <c r="AG1141" i="1" s="1"/>
  <c r="AG1142" i="1" a="1"/>
  <c r="AG1142" i="1" s="1"/>
  <c r="AG1143" i="1" a="1"/>
  <c r="AG1143" i="1" s="1"/>
  <c r="AG1144" i="1" a="1"/>
  <c r="AG1144" i="1" s="1"/>
  <c r="AG1145" i="1" a="1"/>
  <c r="AG1145" i="1" s="1"/>
  <c r="AG1146" i="1" a="1"/>
  <c r="AG1146" i="1" s="1"/>
  <c r="AG1147" i="1" a="1"/>
  <c r="AG1147" i="1" s="1"/>
  <c r="AG1148" i="1" a="1"/>
  <c r="AG1148" i="1" s="1"/>
  <c r="AG1149" i="1" a="1"/>
  <c r="AG1149" i="1" s="1"/>
  <c r="AG1150" i="1" a="1"/>
  <c r="AG1150" i="1" s="1"/>
  <c r="AG1151" i="1" a="1"/>
  <c r="AG1151" i="1" s="1"/>
  <c r="AG1152" i="1" a="1"/>
  <c r="AG1152" i="1" s="1"/>
  <c r="AG1153" i="1" a="1"/>
  <c r="AG1153" i="1" s="1"/>
  <c r="AG1154" i="1" a="1"/>
  <c r="AG1154" i="1" s="1"/>
  <c r="AG1155" i="1" a="1"/>
  <c r="AG1155" i="1" s="1"/>
  <c r="AG1156" i="1" a="1"/>
  <c r="AG1156" i="1" s="1"/>
  <c r="AG1157" i="1" a="1"/>
  <c r="AG1157" i="1" s="1"/>
  <c r="AG1158" i="1" a="1"/>
  <c r="AG1158" i="1" s="1"/>
  <c r="AG1159" i="1" a="1"/>
  <c r="AG1159" i="1" s="1"/>
  <c r="AG1160" i="1" a="1"/>
  <c r="AG1160" i="1" s="1"/>
  <c r="AG1161" i="1" a="1"/>
  <c r="AG1161" i="1" s="1"/>
  <c r="AG1162" i="1" a="1"/>
  <c r="AG1162" i="1" s="1"/>
  <c r="AG1163" i="1" a="1"/>
  <c r="AG1163" i="1" s="1"/>
  <c r="AG1164" i="1" a="1"/>
  <c r="AG1164" i="1" s="1"/>
  <c r="AG1165" i="1" a="1"/>
  <c r="AG1165" i="1" s="1"/>
  <c r="AG1166" i="1" a="1"/>
  <c r="AG1166" i="1" s="1"/>
  <c r="AG1167" i="1" a="1"/>
  <c r="AG1167" i="1" s="1"/>
  <c r="AG1168" i="1" a="1"/>
  <c r="AG1168" i="1" s="1"/>
  <c r="AG1169" i="1" a="1"/>
  <c r="AG1169" i="1" s="1"/>
  <c r="AG1170" i="1" a="1"/>
  <c r="AG1170" i="1" s="1"/>
  <c r="AG1171" i="1" a="1"/>
  <c r="AG1171" i="1" s="1"/>
  <c r="AG1172" i="1" a="1"/>
  <c r="AG1172" i="1" s="1"/>
  <c r="AG1173" i="1" a="1"/>
  <c r="AG1173" i="1" s="1"/>
  <c r="AG1174" i="1" a="1"/>
  <c r="AG1174" i="1" s="1"/>
  <c r="AG1175" i="1" a="1"/>
  <c r="AG1175" i="1" s="1"/>
  <c r="AG1176" i="1" a="1"/>
  <c r="AG1176" i="1" s="1"/>
  <c r="AG1177" i="1" a="1"/>
  <c r="AG1177" i="1" s="1"/>
  <c r="AG1178" i="1" a="1"/>
  <c r="AG1178" i="1" s="1"/>
  <c r="AG1179" i="1" a="1"/>
  <c r="AG1179" i="1" s="1"/>
  <c r="AG1180" i="1" a="1"/>
  <c r="AG1180" i="1" s="1"/>
  <c r="AG1181" i="1" a="1"/>
  <c r="AG1181" i="1" s="1"/>
  <c r="AG1182" i="1" a="1"/>
  <c r="AG1182" i="1" s="1"/>
  <c r="AG1183" i="1" a="1"/>
  <c r="AG1183" i="1" s="1"/>
  <c r="AG1184" i="1" a="1"/>
  <c r="AG1184" i="1" s="1"/>
  <c r="AG1185" i="1" a="1"/>
  <c r="AG1185" i="1" s="1"/>
  <c r="AG1186" i="1" a="1"/>
  <c r="AG1186" i="1" s="1"/>
  <c r="AG1187" i="1" a="1"/>
  <c r="AG1187" i="1" s="1"/>
  <c r="AG1188" i="1" a="1"/>
  <c r="AG1188" i="1" s="1"/>
  <c r="AG1189" i="1" a="1"/>
  <c r="AG1189" i="1" s="1"/>
  <c r="AG1190" i="1" a="1"/>
  <c r="AG1190" i="1" s="1"/>
  <c r="AG1191" i="1" a="1"/>
  <c r="AG1191" i="1" s="1"/>
  <c r="AG1192" i="1" a="1"/>
  <c r="AG1192" i="1" s="1"/>
  <c r="AG1193" i="1" a="1"/>
  <c r="AG1193" i="1" s="1"/>
  <c r="AG1194" i="1" a="1"/>
  <c r="AG1194" i="1" s="1"/>
  <c r="AG1195" i="1" a="1"/>
  <c r="AG1195" i="1" s="1"/>
  <c r="AG1196" i="1" a="1"/>
  <c r="AG1196" i="1" s="1"/>
  <c r="AG1197" i="1" a="1"/>
  <c r="AG1197" i="1" s="1"/>
  <c r="AG1198" i="1" a="1"/>
  <c r="AG1198" i="1" s="1"/>
  <c r="AG1199" i="1" a="1"/>
  <c r="AG1199" i="1" s="1"/>
  <c r="AG1200" i="1" a="1"/>
  <c r="AG1200" i="1" s="1"/>
  <c r="AG1201" i="1" a="1"/>
  <c r="AG1201" i="1" s="1"/>
  <c r="AG1202" i="1" a="1"/>
  <c r="AG1202" i="1" s="1"/>
  <c r="AG1203" i="1" a="1"/>
  <c r="AG1203" i="1" s="1"/>
  <c r="AG1204" i="1" a="1"/>
  <c r="AG1204" i="1" s="1"/>
  <c r="AG1205" i="1" a="1"/>
  <c r="AG1205" i="1" s="1"/>
  <c r="AG1206" i="1" a="1"/>
  <c r="AG1206" i="1" s="1"/>
  <c r="AG1207" i="1" a="1"/>
  <c r="AG1207" i="1" s="1"/>
  <c r="AG1208" i="1" a="1"/>
  <c r="AG1208" i="1" s="1"/>
  <c r="AG1209" i="1" a="1"/>
  <c r="AG1209" i="1" s="1"/>
  <c r="AG1210" i="1" a="1"/>
  <c r="AG1210" i="1" s="1"/>
  <c r="AG1211" i="1" a="1"/>
  <c r="AG1211" i="1" s="1"/>
  <c r="AG1212" i="1" a="1"/>
  <c r="AG1212" i="1" s="1"/>
  <c r="AG1213" i="1" a="1"/>
  <c r="AG1213" i="1" s="1"/>
  <c r="AG1214" i="1" a="1"/>
  <c r="AG1214" i="1" s="1"/>
  <c r="AG1215" i="1" a="1"/>
  <c r="AG1215" i="1" s="1"/>
  <c r="AG1216" i="1" a="1"/>
  <c r="AG1216" i="1" s="1"/>
  <c r="AG1217" i="1" a="1"/>
  <c r="AG1217" i="1" s="1"/>
  <c r="AG1218" i="1" a="1"/>
  <c r="AG1218" i="1" s="1"/>
  <c r="AG1219" i="1" a="1"/>
  <c r="AG1219" i="1" s="1"/>
  <c r="AG1220" i="1" a="1"/>
  <c r="AG1220" i="1" s="1"/>
  <c r="AG1221" i="1" a="1"/>
  <c r="AG1221" i="1" s="1"/>
  <c r="AG1222" i="1" a="1"/>
  <c r="AG1222" i="1" s="1"/>
  <c r="AG1223" i="1" a="1"/>
  <c r="AG1223" i="1" s="1"/>
  <c r="AG1224" i="1" a="1"/>
  <c r="AG1224" i="1" s="1"/>
  <c r="AG1225" i="1" a="1"/>
  <c r="AG1225" i="1" s="1"/>
  <c r="AG1226" i="1" a="1"/>
  <c r="AG1226" i="1" s="1"/>
  <c r="AG1227" i="1" a="1"/>
  <c r="AG1227" i="1" s="1"/>
  <c r="AG1228" i="1" a="1"/>
  <c r="AG1228" i="1" s="1"/>
  <c r="AG1229" i="1" a="1"/>
  <c r="AG1229" i="1" s="1"/>
  <c r="AG1230" i="1" a="1"/>
  <c r="AG1230" i="1" s="1"/>
  <c r="AG1231" i="1" a="1"/>
  <c r="AG1231" i="1" s="1"/>
  <c r="AG1232" i="1" a="1"/>
  <c r="AG1232" i="1" s="1"/>
  <c r="AG1233" i="1" a="1"/>
  <c r="AG1233" i="1" s="1"/>
  <c r="AG1234" i="1" a="1"/>
  <c r="AG1234" i="1" s="1"/>
  <c r="AG1235" i="1" a="1"/>
  <c r="AG1235" i="1" s="1"/>
  <c r="AG1236" i="1" a="1"/>
  <c r="AG1236" i="1" s="1"/>
  <c r="AG1237" i="1" a="1"/>
  <c r="AG1237" i="1" s="1"/>
  <c r="AG1238" i="1" a="1"/>
  <c r="AG1238" i="1" s="1"/>
  <c r="AG1239" i="1" a="1"/>
  <c r="AG1239" i="1" s="1"/>
  <c r="AG1240" i="1" a="1"/>
  <c r="AG1240" i="1" s="1"/>
  <c r="AG1241" i="1" a="1"/>
  <c r="AG1241" i="1" s="1"/>
  <c r="AG1242" i="1" a="1"/>
  <c r="AG1242" i="1" s="1"/>
  <c r="AG1243" i="1" a="1"/>
  <c r="AG1243" i="1" s="1"/>
  <c r="AG1244" i="1" a="1"/>
  <c r="AG1244" i="1" s="1"/>
  <c r="AG1245" i="1" a="1"/>
  <c r="AG1245" i="1" s="1"/>
  <c r="AG1246" i="1" a="1"/>
  <c r="AG1246" i="1" s="1"/>
  <c r="AG1247" i="1" a="1"/>
  <c r="AG1247" i="1" s="1"/>
  <c r="AG1248" i="1" a="1"/>
  <c r="AG1248" i="1" s="1"/>
  <c r="AG1249" i="1" a="1"/>
  <c r="AG1249" i="1" s="1"/>
  <c r="AG1250" i="1" a="1"/>
  <c r="AG1250" i="1" s="1"/>
  <c r="AG1251" i="1" a="1"/>
  <c r="AG1251" i="1" s="1"/>
  <c r="AG1252" i="1" a="1"/>
  <c r="AG1252" i="1" s="1"/>
  <c r="AG1253" i="1" a="1"/>
  <c r="AG1253" i="1" s="1"/>
  <c r="AG1254" i="1" a="1"/>
  <c r="AG1254" i="1" s="1"/>
  <c r="AG1255" i="1" a="1"/>
  <c r="AG1255" i="1" s="1"/>
  <c r="AG1256" i="1" a="1"/>
  <c r="AG1256" i="1" s="1"/>
  <c r="AG1257" i="1" a="1"/>
  <c r="AG1257" i="1" s="1"/>
  <c r="AG1258" i="1" a="1"/>
  <c r="AG1258" i="1" s="1"/>
  <c r="AG1259" i="1" a="1"/>
  <c r="AG1259" i="1" s="1"/>
  <c r="AG1260" i="1" a="1"/>
  <c r="AG1260" i="1" s="1"/>
  <c r="AG1261" i="1" a="1"/>
  <c r="AG1261" i="1" s="1"/>
  <c r="AG1262" i="1" a="1"/>
  <c r="AG1262" i="1" s="1"/>
  <c r="AG1263" i="1" a="1"/>
  <c r="AG1263" i="1" s="1"/>
  <c r="AG1264" i="1" a="1"/>
  <c r="AG1264" i="1" s="1"/>
  <c r="AG1265" i="1" a="1"/>
  <c r="AG1265" i="1" s="1"/>
  <c r="AG1266" i="1" a="1"/>
  <c r="AG1266" i="1" s="1"/>
  <c r="AG1267" i="1" a="1"/>
  <c r="AG1267" i="1" s="1"/>
  <c r="AG1268" i="1" a="1"/>
  <c r="AG1268" i="1" s="1"/>
  <c r="AG1269" i="1" a="1"/>
  <c r="AG1269" i="1" s="1"/>
  <c r="AG1270" i="1" a="1"/>
  <c r="AG1270" i="1" s="1"/>
  <c r="AG1271" i="1" a="1"/>
  <c r="AG1271" i="1" s="1"/>
  <c r="AG1272" i="1" a="1"/>
  <c r="AG1272" i="1" s="1"/>
  <c r="AG1273" i="1" a="1"/>
  <c r="AG1273" i="1" s="1"/>
  <c r="AG1274" i="1" a="1"/>
  <c r="AG1274" i="1" s="1"/>
  <c r="AG1275" i="1" a="1"/>
  <c r="AG1275" i="1" s="1"/>
  <c r="AG1276" i="1" a="1"/>
  <c r="AG1276" i="1" s="1"/>
  <c r="AG1277" i="1" a="1"/>
  <c r="AG1277" i="1" s="1"/>
  <c r="AG1278" i="1" a="1"/>
  <c r="AG1278" i="1" s="1"/>
  <c r="AG1279" i="1" a="1"/>
  <c r="AG1279" i="1" s="1"/>
  <c r="AG1280" i="1" a="1"/>
  <c r="AG1280" i="1" s="1"/>
  <c r="AG1281" i="1" a="1"/>
  <c r="AG1281" i="1" s="1"/>
  <c r="AG1282" i="1" a="1"/>
  <c r="AG1282" i="1" s="1"/>
  <c r="AG1283" i="1" a="1"/>
  <c r="AG1283" i="1" s="1"/>
  <c r="AG1284" i="1" a="1"/>
  <c r="AG1284" i="1" s="1"/>
  <c r="AG1285" i="1" a="1"/>
  <c r="AG1285" i="1" s="1"/>
  <c r="AG1286" i="1" a="1"/>
  <c r="AG1286" i="1" s="1"/>
  <c r="AG1287" i="1" a="1"/>
  <c r="AG1287" i="1" s="1"/>
  <c r="AG1288" i="1" a="1"/>
  <c r="AG1288" i="1" s="1"/>
  <c r="AG1289" i="1" a="1"/>
  <c r="AG1289" i="1" s="1"/>
  <c r="AG1290" i="1" a="1"/>
  <c r="AG1290" i="1" s="1"/>
  <c r="AG1291" i="1" a="1"/>
  <c r="AG1291" i="1" s="1"/>
  <c r="AG1292" i="1" a="1"/>
  <c r="AG1292" i="1" s="1"/>
  <c r="AG1293" i="1" a="1"/>
  <c r="AG1293" i="1" s="1"/>
  <c r="AG1294" i="1" a="1"/>
  <c r="AG1294" i="1" s="1"/>
  <c r="AG1295" i="1" a="1"/>
  <c r="AG1295" i="1" s="1"/>
  <c r="AG1296" i="1" a="1"/>
  <c r="AG1296" i="1" s="1"/>
  <c r="AG1297" i="1" a="1"/>
  <c r="AG1297" i="1" s="1"/>
  <c r="AG1298" i="1" a="1"/>
  <c r="AG1298" i="1" s="1"/>
  <c r="AG1299" i="1" a="1"/>
  <c r="AG1299" i="1" s="1"/>
  <c r="AG1300" i="1" a="1"/>
  <c r="AG1300" i="1" s="1"/>
  <c r="AG1301" i="1" a="1"/>
  <c r="AG1301" i="1" s="1"/>
  <c r="AG1302" i="1" a="1"/>
  <c r="AG1302" i="1" s="1"/>
  <c r="AG1303" i="1" a="1"/>
  <c r="AG1303" i="1" s="1"/>
  <c r="AG1304" i="1" a="1"/>
  <c r="AG1304" i="1" s="1"/>
  <c r="AG1305" i="1" a="1"/>
  <c r="AG1305" i="1" s="1"/>
  <c r="AG1306" i="1" a="1"/>
  <c r="AG1306" i="1" s="1"/>
  <c r="AG1307" i="1" a="1"/>
  <c r="AG1307" i="1" s="1"/>
  <c r="AG1308" i="1" a="1"/>
  <c r="AG1308" i="1" s="1"/>
  <c r="AG1309" i="1" a="1"/>
  <c r="AG1309" i="1" s="1"/>
  <c r="AG1310" i="1" a="1"/>
  <c r="AG1310" i="1" s="1"/>
  <c r="AG1311" i="1" a="1"/>
  <c r="AG1311" i="1" s="1"/>
  <c r="AG1312" i="1" a="1"/>
  <c r="AG1312" i="1" s="1"/>
  <c r="AG1313" i="1" a="1"/>
  <c r="AG1313" i="1" s="1"/>
  <c r="AG1314" i="1" a="1"/>
  <c r="AG1314" i="1" s="1"/>
  <c r="AG1315" i="1" a="1"/>
  <c r="AG1315" i="1" s="1"/>
  <c r="AG1316" i="1" a="1"/>
  <c r="AG1316" i="1" s="1"/>
  <c r="AG1317" i="1" a="1"/>
  <c r="AG1317" i="1" s="1"/>
  <c r="AG1318" i="1" a="1"/>
  <c r="AG1318" i="1" s="1"/>
  <c r="AG1319" i="1" a="1"/>
  <c r="AG1319" i="1" s="1"/>
  <c r="AG1320" i="1" a="1"/>
  <c r="AG1320" i="1" s="1"/>
  <c r="AG1321" i="1" a="1"/>
  <c r="AG1321" i="1" s="1"/>
  <c r="AG1322" i="1" a="1"/>
  <c r="AG1322" i="1" s="1"/>
  <c r="AG1323" i="1" a="1"/>
  <c r="AG1323" i="1" s="1"/>
  <c r="AG1324" i="1" a="1"/>
  <c r="AG1324" i="1" s="1"/>
  <c r="AG1325" i="1" a="1"/>
  <c r="AG1325" i="1" s="1"/>
  <c r="AG1326" i="1" a="1"/>
  <c r="AG1326" i="1" s="1"/>
  <c r="AG1327" i="1" a="1"/>
  <c r="AG1327" i="1" s="1"/>
  <c r="AG1328" i="1" a="1"/>
  <c r="AG1328" i="1" s="1"/>
  <c r="AG1329" i="1" a="1"/>
  <c r="AG1329" i="1" s="1"/>
  <c r="AG1330" i="1" a="1"/>
  <c r="AG1330" i="1" s="1"/>
  <c r="AG1331" i="1" a="1"/>
  <c r="AG1331" i="1" s="1"/>
  <c r="AG1332" i="1" a="1"/>
  <c r="AG1332" i="1" s="1"/>
  <c r="AG1333" i="1" a="1"/>
  <c r="AG1333" i="1" s="1"/>
  <c r="AG1334" i="1" a="1"/>
  <c r="AG1334" i="1" s="1"/>
  <c r="AG1335" i="1" a="1"/>
  <c r="AG1335" i="1" s="1"/>
  <c r="AG1336" i="1" a="1"/>
  <c r="AG1336" i="1" s="1"/>
  <c r="AG1337" i="1" a="1"/>
  <c r="AG1337" i="1" s="1"/>
  <c r="AG1338" i="1" a="1"/>
  <c r="AG1338" i="1" s="1"/>
  <c r="AG1339" i="1" a="1"/>
  <c r="AG1339" i="1" s="1"/>
  <c r="AG1340" i="1" a="1"/>
  <c r="AG1340" i="1" s="1"/>
  <c r="AG1341" i="1" a="1"/>
  <c r="AG1341" i="1" s="1"/>
  <c r="AG1342" i="1" a="1"/>
  <c r="AG1342" i="1" s="1"/>
  <c r="AG1343" i="1" a="1"/>
  <c r="AG1343" i="1" s="1"/>
  <c r="AG1344" i="1" a="1"/>
  <c r="AG1344" i="1" s="1"/>
  <c r="AG1345" i="1" a="1"/>
  <c r="AG1345" i="1" s="1"/>
  <c r="AG1346" i="1" a="1"/>
  <c r="AG1346" i="1" s="1"/>
  <c r="AG1347" i="1" a="1"/>
  <c r="AG1347" i="1" s="1"/>
  <c r="AG1348" i="1" a="1"/>
  <c r="AG1348" i="1" s="1"/>
  <c r="AG1349" i="1" a="1"/>
  <c r="AG1349" i="1" s="1"/>
  <c r="AG1350" i="1" a="1"/>
  <c r="AG1350" i="1" s="1"/>
  <c r="AG1351" i="1" a="1"/>
  <c r="AG1351" i="1" s="1"/>
  <c r="AG1352" i="1" a="1"/>
  <c r="AG1352" i="1" s="1"/>
  <c r="AG1353" i="1" a="1"/>
  <c r="AG1353" i="1" s="1"/>
  <c r="AG1354" i="1" a="1"/>
  <c r="AG1354" i="1" s="1"/>
  <c r="AG1355" i="1" a="1"/>
  <c r="AG1355" i="1" s="1"/>
  <c r="AG1356" i="1" a="1"/>
  <c r="AG1356" i="1" s="1"/>
  <c r="AG1357" i="1" a="1"/>
  <c r="AG1357" i="1" s="1"/>
  <c r="AG1358" i="1" a="1"/>
  <c r="AG1358" i="1" s="1"/>
  <c r="AG1359" i="1" a="1"/>
  <c r="AG1359" i="1" s="1"/>
  <c r="AG1360" i="1" a="1"/>
  <c r="AG1360" i="1" s="1"/>
  <c r="AG1361" i="1" a="1"/>
  <c r="AG1361" i="1" s="1"/>
  <c r="AG1362" i="1" a="1"/>
  <c r="AG1362" i="1" s="1"/>
  <c r="AG1363" i="1" a="1"/>
  <c r="AG1363" i="1" s="1"/>
  <c r="AG1364" i="1" a="1"/>
  <c r="AG1364" i="1" s="1"/>
  <c r="AG1365" i="1" a="1"/>
  <c r="AG1365" i="1" s="1"/>
  <c r="AG1366" i="1" a="1"/>
  <c r="AG1366" i="1" s="1"/>
  <c r="AG1367" i="1" a="1"/>
  <c r="AG1367" i="1" s="1"/>
  <c r="AG1368" i="1" a="1"/>
  <c r="AG1368" i="1" s="1"/>
  <c r="AG1369" i="1" a="1"/>
  <c r="AG1369" i="1" s="1"/>
  <c r="AG1370" i="1" a="1"/>
  <c r="AG1370" i="1" s="1"/>
  <c r="AG1371" i="1" a="1"/>
  <c r="AG1371" i="1" s="1"/>
  <c r="AG1372" i="1" a="1"/>
  <c r="AG1372" i="1" s="1"/>
  <c r="AG1373" i="1" a="1"/>
  <c r="AG1373" i="1" s="1"/>
  <c r="AG1374" i="1" a="1"/>
  <c r="AG1374" i="1" s="1"/>
  <c r="AG1375" i="1" a="1"/>
  <c r="AG1375" i="1" s="1"/>
  <c r="AG1376" i="1" a="1"/>
  <c r="AG1376" i="1" s="1"/>
  <c r="AG1377" i="1" a="1"/>
  <c r="AG1377" i="1" s="1"/>
  <c r="AG1378" i="1" a="1"/>
  <c r="AG1378" i="1" s="1"/>
  <c r="AG1379" i="1" a="1"/>
  <c r="AG1379" i="1" s="1"/>
  <c r="AG1380" i="1" a="1"/>
  <c r="AG1380" i="1" s="1"/>
  <c r="AG1381" i="1" a="1"/>
  <c r="AG1381" i="1" s="1"/>
  <c r="AG1382" i="1" a="1"/>
  <c r="AG1382" i="1" s="1"/>
  <c r="AG1383" i="1" a="1"/>
  <c r="AG1383" i="1" s="1"/>
  <c r="AG1384" i="1" a="1"/>
  <c r="AG1384" i="1" s="1"/>
  <c r="AG1385" i="1" a="1"/>
  <c r="AG1385" i="1" s="1"/>
  <c r="AG1386" i="1" a="1"/>
  <c r="AG1386" i="1" s="1"/>
  <c r="AG1387" i="1" a="1"/>
  <c r="AG1387" i="1" s="1"/>
  <c r="AG1388" i="1" a="1"/>
  <c r="AG1388" i="1" s="1"/>
  <c r="AG1389" i="1" a="1"/>
  <c r="AG1389" i="1" s="1"/>
  <c r="AG1390" i="1" a="1"/>
  <c r="AG1390" i="1" s="1"/>
  <c r="AG1391" i="1" a="1"/>
  <c r="AG1391" i="1" s="1"/>
  <c r="AG1392" i="1" a="1"/>
  <c r="AG1392" i="1" s="1"/>
  <c r="AG1393" i="1" a="1"/>
  <c r="AG1393" i="1" s="1"/>
  <c r="AG1394" i="1" a="1"/>
  <c r="AG1394" i="1" s="1"/>
  <c r="AG1395" i="1" a="1"/>
  <c r="AG1395" i="1" s="1"/>
  <c r="AG1396" i="1" a="1"/>
  <c r="AG1396" i="1" s="1"/>
  <c r="AG1397" i="1" a="1"/>
  <c r="AG1397" i="1" s="1"/>
  <c r="AG1398" i="1" a="1"/>
  <c r="AG1398" i="1" s="1"/>
  <c r="AG1399" i="1" a="1"/>
  <c r="AG1399" i="1" s="1"/>
  <c r="AG1400" i="1" a="1"/>
  <c r="AG1400" i="1" s="1"/>
  <c r="AG1401" i="1" a="1"/>
  <c r="AG1401" i="1" s="1"/>
  <c r="AG1402" i="1" a="1"/>
  <c r="AG1402" i="1" s="1"/>
  <c r="AG1403" i="1" a="1"/>
  <c r="AG1403" i="1" s="1"/>
  <c r="AG1404" i="1" a="1"/>
  <c r="AG1404" i="1" s="1"/>
  <c r="AG1405" i="1" a="1"/>
  <c r="AG1405" i="1" s="1"/>
  <c r="AG1406" i="1" a="1"/>
  <c r="AG1406" i="1" s="1"/>
  <c r="AG1407" i="1" a="1"/>
  <c r="AG1407" i="1" s="1"/>
  <c r="AG1408" i="1" a="1"/>
  <c r="AG1408" i="1" s="1"/>
  <c r="AG1409" i="1" a="1"/>
  <c r="AG1409" i="1" s="1"/>
  <c r="AG1410" i="1" a="1"/>
  <c r="AG1410" i="1" s="1"/>
  <c r="AG1411" i="1" a="1"/>
  <c r="AG1411" i="1" s="1"/>
  <c r="AG1412" i="1" a="1"/>
  <c r="AG1412" i="1" s="1"/>
  <c r="AG1413" i="1" a="1"/>
  <c r="AG1413" i="1" s="1"/>
  <c r="AG1414" i="1" a="1"/>
  <c r="AG1414" i="1" s="1"/>
  <c r="AG1415" i="1" a="1"/>
  <c r="AG1415" i="1" s="1"/>
  <c r="AG1416" i="1" a="1"/>
  <c r="AG1416" i="1" s="1"/>
  <c r="AG1417" i="1" a="1"/>
  <c r="AG1417" i="1" s="1"/>
  <c r="AG1418" i="1" a="1"/>
  <c r="AG1418" i="1" s="1"/>
  <c r="AG1419" i="1" a="1"/>
  <c r="AG1419" i="1" s="1"/>
  <c r="AG1420" i="1" a="1"/>
  <c r="AG1420" i="1" s="1"/>
  <c r="AG1421" i="1" a="1"/>
  <c r="AG1421" i="1" s="1"/>
  <c r="AG1422" i="1" a="1"/>
  <c r="AG1422" i="1" s="1"/>
  <c r="AG1423" i="1" a="1"/>
  <c r="AG1423" i="1" s="1"/>
  <c r="AG1424" i="1" a="1"/>
  <c r="AG1424" i="1" s="1"/>
  <c r="AG1425" i="1" a="1"/>
  <c r="AG1425" i="1" s="1"/>
  <c r="AG1426" i="1" a="1"/>
  <c r="AG1426" i="1" s="1"/>
  <c r="AG1427" i="1" a="1"/>
  <c r="AG1427" i="1" s="1"/>
  <c r="AG1428" i="1" a="1"/>
  <c r="AG1428" i="1" s="1"/>
  <c r="AG1429" i="1" a="1"/>
  <c r="AG1429" i="1" s="1"/>
  <c r="AG1430" i="1" a="1"/>
  <c r="AG1430" i="1" s="1"/>
  <c r="AG1431" i="1" a="1"/>
  <c r="AG1431" i="1" s="1"/>
  <c r="AG1432" i="1" a="1"/>
  <c r="AG1432" i="1" s="1"/>
  <c r="AG1433" i="1" a="1"/>
  <c r="AG1433" i="1" s="1"/>
  <c r="AG1434" i="1" a="1"/>
  <c r="AG1434" i="1" s="1"/>
  <c r="AG1435" i="1" a="1"/>
  <c r="AG1435" i="1" s="1"/>
  <c r="AG1436" i="1" a="1"/>
  <c r="AG1436" i="1" s="1"/>
  <c r="AG1437" i="1" a="1"/>
  <c r="AG1437" i="1" s="1"/>
  <c r="AG1438" i="1" a="1"/>
  <c r="AG1438" i="1" s="1"/>
  <c r="AG1439" i="1" a="1"/>
  <c r="AG1439" i="1" s="1"/>
  <c r="AG1440" i="1" a="1"/>
  <c r="AG1440" i="1" s="1"/>
  <c r="AG1441" i="1" a="1"/>
  <c r="AG1441" i="1" s="1"/>
  <c r="AG1442" i="1" a="1"/>
  <c r="AG1442" i="1" s="1"/>
  <c r="AG1443" i="1" a="1"/>
  <c r="AG1443" i="1" s="1"/>
  <c r="AG1444" i="1" a="1"/>
  <c r="AG1444" i="1" s="1"/>
  <c r="AG1445" i="1" a="1"/>
  <c r="AG1445" i="1" s="1"/>
  <c r="AG1446" i="1" a="1"/>
  <c r="AG1446" i="1" s="1"/>
  <c r="AG1447" i="1" a="1"/>
  <c r="AG1447" i="1" s="1"/>
  <c r="AG1448" i="1" a="1"/>
  <c r="AG1448" i="1" s="1"/>
  <c r="AG1449" i="1" a="1"/>
  <c r="AG1449" i="1" s="1"/>
  <c r="AG1450" i="1" a="1"/>
  <c r="AG1450" i="1" s="1"/>
  <c r="AG1451" i="1" a="1"/>
  <c r="AG1451" i="1" s="1"/>
  <c r="AG1452" i="1" a="1"/>
  <c r="AG1452" i="1" s="1"/>
  <c r="AG1453" i="1" a="1"/>
  <c r="AG1453" i="1" s="1"/>
  <c r="AG1454" i="1" a="1"/>
  <c r="AG1454" i="1" s="1"/>
  <c r="AG1455" i="1" a="1"/>
  <c r="AG1455" i="1" s="1"/>
  <c r="AG1456" i="1" a="1"/>
  <c r="AG1456" i="1" s="1"/>
  <c r="AG1457" i="1" a="1"/>
  <c r="AG1457" i="1" s="1"/>
  <c r="AG1458" i="1" a="1"/>
  <c r="AG1458" i="1" s="1"/>
  <c r="AG1459" i="1" a="1"/>
  <c r="AG1459" i="1" s="1"/>
  <c r="AG1460" i="1" a="1"/>
  <c r="AG1460" i="1" s="1"/>
  <c r="AG1461" i="1" a="1"/>
  <c r="AG1461" i="1" s="1"/>
  <c r="AG1462" i="1" a="1"/>
  <c r="AG1462" i="1" s="1"/>
  <c r="AG1463" i="1" a="1"/>
  <c r="AG1463" i="1" s="1"/>
  <c r="AG1464" i="1" a="1"/>
  <c r="AG1464" i="1" s="1"/>
  <c r="AG1465" i="1" a="1"/>
  <c r="AG1465" i="1" s="1"/>
  <c r="AG1466" i="1" a="1"/>
  <c r="AG1466" i="1" s="1"/>
  <c r="AG1467" i="1" a="1"/>
  <c r="AG1467" i="1" s="1"/>
  <c r="AG1468" i="1" a="1"/>
  <c r="AG1468" i="1" s="1"/>
  <c r="AG1469" i="1" a="1"/>
  <c r="AG1469" i="1" s="1"/>
  <c r="AG1470" i="1" a="1"/>
  <c r="AG1470" i="1" s="1"/>
  <c r="AG1471" i="1" a="1"/>
  <c r="AG1471" i="1" s="1"/>
  <c r="AG2" i="1" a="1"/>
  <c r="AG2" i="1" s="1"/>
  <c r="AL3" i="1" a="1"/>
  <c r="AL3" i="1" s="1"/>
  <c r="AL4" i="1" a="1"/>
  <c r="AL4" i="1" s="1"/>
  <c r="AL5" i="1" a="1"/>
  <c r="AL5" i="1" s="1"/>
  <c r="AL6" i="1" a="1"/>
  <c r="AL6" i="1" s="1"/>
  <c r="AL7" i="1" a="1"/>
  <c r="AL7" i="1" s="1"/>
  <c r="AL8" i="1" a="1"/>
  <c r="AL8" i="1" s="1"/>
  <c r="AL9" i="1" a="1"/>
  <c r="AL9" i="1" s="1"/>
  <c r="AL10" i="1" a="1"/>
  <c r="AL10" i="1" s="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s="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s="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s="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s="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s="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s="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s="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s="1"/>
  <c r="AL298" i="1" a="1"/>
  <c r="AL298" i="1" s="1"/>
  <c r="AL299" i="1" a="1"/>
  <c r="AL299" i="1" s="1"/>
  <c r="AL300" i="1" a="1"/>
  <c r="AL300" i="1" s="1"/>
  <c r="AL301" i="1" a="1"/>
  <c r="AL301" i="1" s="1"/>
  <c r="AL302" i="1" a="1"/>
  <c r="AL302" i="1" s="1"/>
  <c r="AL303" i="1" a="1"/>
  <c r="AL303" i="1" s="1"/>
  <c r="AL304" i="1" a="1"/>
  <c r="AL304" i="1" s="1"/>
  <c r="AL305" i="1" a="1"/>
  <c r="AL305" i="1" s="1"/>
  <c r="AL306" i="1" a="1"/>
  <c r="AL306" i="1" s="1"/>
  <c r="AL307" i="1" a="1"/>
  <c r="AL307" i="1" s="1"/>
  <c r="AL308" i="1" a="1"/>
  <c r="AL308" i="1" s="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s="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s="1"/>
  <c r="AL453" i="1" a="1"/>
  <c r="AL453" i="1" s="1"/>
  <c r="AL454" i="1" a="1"/>
  <c r="AL454" i="1" s="1"/>
  <c r="AL455" i="1" a="1"/>
  <c r="AL455" i="1" s="1"/>
  <c r="AL456" i="1" a="1"/>
  <c r="AL456" i="1" s="1"/>
  <c r="AL457" i="1" a="1"/>
  <c r="AL457" i="1" s="1"/>
  <c r="AL458" i="1" a="1"/>
  <c r="AL458" i="1" s="1"/>
  <c r="AL459" i="1" a="1"/>
  <c r="AL459" i="1" s="1"/>
  <c r="AL460" i="1" a="1"/>
  <c r="AL460" i="1" s="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s="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s="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s="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s="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s="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s="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s="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s="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s="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s="1"/>
  <c r="AL904" i="1" a="1"/>
  <c r="AL904" i="1" s="1"/>
  <c r="AL905" i="1" a="1"/>
  <c r="AL905" i="1" s="1"/>
  <c r="AL906" i="1" a="1"/>
  <c r="AL906" i="1" s="1"/>
  <c r="AL907" i="1" a="1"/>
  <c r="AL907" i="1" s="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s="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s="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s="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s="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s="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s="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s="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s="1"/>
  <c r="AL1171" i="1" a="1"/>
  <c r="AL1171" i="1" s="1"/>
  <c r="AL1172" i="1" a="1"/>
  <c r="AL1172" i="1" s="1"/>
  <c r="AL1173" i="1" a="1"/>
  <c r="AL1173" i="1" s="1"/>
  <c r="AL1174" i="1" a="1"/>
  <c r="AL1174" i="1" s="1"/>
  <c r="AL1175" i="1" a="1"/>
  <c r="AL1175" i="1" s="1"/>
  <c r="AL1176" i="1" a="1"/>
  <c r="AL1176" i="1" s="1"/>
  <c r="AL1177" i="1" a="1"/>
  <c r="AL1177" i="1" s="1"/>
  <c r="AL1178" i="1" a="1"/>
  <c r="AL1178" i="1" s="1"/>
  <c r="AL1179" i="1" a="1"/>
  <c r="AL1179" i="1" s="1"/>
  <c r="AL1180" i="1" a="1"/>
  <c r="AL1180" i="1" s="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s="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s="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s="1"/>
  <c r="AL1223" i="1" a="1"/>
  <c r="AL1223" i="1" s="1"/>
  <c r="AL1224" i="1" a="1"/>
  <c r="AL1224" i="1" s="1"/>
  <c r="AL1225" i="1" a="1"/>
  <c r="AL1225" i="1" s="1"/>
  <c r="AL1226" i="1" a="1"/>
  <c r="AL1226" i="1" s="1"/>
  <c r="AL1227" i="1" a="1"/>
  <c r="AL1227" i="1" s="1"/>
  <c r="AL1228" i="1" a="1"/>
  <c r="AL1228" i="1" s="1"/>
  <c r="AL1229" i="1" a="1"/>
  <c r="AL1229" i="1" s="1"/>
  <c r="AL1230" i="1" a="1"/>
  <c r="AL1230" i="1" s="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s="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s="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s="1"/>
  <c r="AL1287" i="1" a="1"/>
  <c r="AL1287" i="1" s="1"/>
  <c r="AL1288" i="1" a="1"/>
  <c r="AL1288" i="1" s="1"/>
  <c r="AL1289" i="1" a="1"/>
  <c r="AL1289" i="1" s="1"/>
  <c r="AL1290" i="1" a="1"/>
  <c r="AL1290" i="1" s="1"/>
  <c r="AL1291" i="1" a="1"/>
  <c r="AL1291" i="1" s="1"/>
  <c r="AL1292" i="1" a="1"/>
  <c r="AL1292" i="1" s="1"/>
  <c r="AL1293" i="1" a="1"/>
  <c r="AL1293" i="1" s="1"/>
  <c r="AL1294" i="1" a="1"/>
  <c r="AL1294" i="1" s="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s="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s="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s="1"/>
  <c r="AL1351" i="1" a="1"/>
  <c r="AL1351" i="1" s="1"/>
  <c r="AL1352" i="1" a="1"/>
  <c r="AL1352" i="1" s="1"/>
  <c r="AL1353" i="1" a="1"/>
  <c r="AL1353" i="1" s="1"/>
  <c r="AL1354" i="1" a="1"/>
  <c r="AL1354" i="1" s="1"/>
  <c r="AL1355" i="1" a="1"/>
  <c r="AL1355" i="1" s="1"/>
  <c r="AL1356" i="1" a="1"/>
  <c r="AL1356" i="1" s="1"/>
  <c r="AL1357" i="1" a="1"/>
  <c r="AL1357" i="1" s="1"/>
  <c r="AL1358" i="1" a="1"/>
  <c r="AL1358" i="1" s="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s="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s="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s="1"/>
  <c r="AL1415" i="1" a="1"/>
  <c r="AL1415" i="1" s="1"/>
  <c r="AL1416" i="1" a="1"/>
  <c r="AL1416" i="1" s="1"/>
  <c r="AL1417" i="1" a="1"/>
  <c r="AL1417" i="1" s="1"/>
  <c r="AL1418" i="1" a="1"/>
  <c r="AL1418" i="1" s="1"/>
  <c r="AL1419" i="1" a="1"/>
  <c r="AL1419" i="1" s="1"/>
  <c r="AL1420" i="1" a="1"/>
  <c r="AL1420" i="1" s="1"/>
  <c r="AL1421" i="1" a="1"/>
  <c r="AL1421" i="1" s="1"/>
  <c r="AL1422" i="1" a="1"/>
  <c r="AL1422" i="1" s="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s="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s="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L2" i="1" a="1"/>
  <c r="AL2" i="1" s="1"/>
  <c r="J3" i="1" a="1"/>
  <c r="J3" i="1" s="1"/>
  <c r="J4" i="1" a="1"/>
  <c r="J4" i="1" s="1"/>
  <c r="J5" i="1" a="1"/>
  <c r="J5" i="1" s="1"/>
  <c r="J6" i="1" a="1"/>
  <c r="J6" i="1" s="1"/>
  <c r="J7" i="1" a="1"/>
  <c r="J7"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561" i="1" a="1"/>
  <c r="J561" i="1" s="1"/>
  <c r="J562" i="1" a="1"/>
  <c r="J562" i="1" s="1"/>
  <c r="J563" i="1" a="1"/>
  <c r="J563" i="1" s="1"/>
  <c r="J564" i="1" a="1"/>
  <c r="J564"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s="1"/>
  <c r="J765" i="1" a="1"/>
  <c r="J765" i="1" s="1"/>
  <c r="J766" i="1" a="1"/>
  <c r="J766"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818" i="1" a="1"/>
  <c r="J818" i="1" s="1"/>
  <c r="J819" i="1" a="1"/>
  <c r="J819" i="1" s="1"/>
  <c r="J820" i="1" a="1"/>
  <c r="J820" i="1" s="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s="1"/>
  <c r="J865" i="1" a="1"/>
  <c r="J865" i="1" s="1"/>
  <c r="J866" i="1" a="1"/>
  <c r="J866" i="1" s="1"/>
  <c r="J867" i="1" a="1"/>
  <c r="J867" i="1" s="1"/>
  <c r="J868" i="1" a="1"/>
  <c r="J868" i="1" s="1"/>
  <c r="J869" i="1" a="1"/>
  <c r="J869" i="1" s="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881" i="1" a="1"/>
  <c r="J881" i="1" s="1"/>
  <c r="J882" i="1" a="1"/>
  <c r="J882" i="1" s="1"/>
  <c r="J883" i="1" a="1"/>
  <c r="J883"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s="1"/>
  <c r="J914" i="1" a="1"/>
  <c r="J914" i="1" s="1"/>
  <c r="J915" i="1" a="1"/>
  <c r="J915" i="1" s="1"/>
  <c r="J916" i="1" a="1"/>
  <c r="J916" i="1" s="1"/>
  <c r="J917" i="1" a="1"/>
  <c r="J917" i="1" s="1"/>
  <c r="J918" i="1" a="1"/>
  <c r="J918" i="1" s="1"/>
  <c r="J919" i="1" a="1"/>
  <c r="J919" i="1" s="1"/>
  <c r="J920" i="1" a="1"/>
  <c r="J920" i="1" s="1"/>
  <c r="J921" i="1" a="1"/>
  <c r="J921" i="1" s="1"/>
  <c r="J922" i="1" a="1"/>
  <c r="J922" i="1" s="1"/>
  <c r="J923" i="1" a="1"/>
  <c r="J923" i="1" s="1"/>
  <c r="J924" i="1" a="1"/>
  <c r="J924" i="1" s="1"/>
  <c r="J925" i="1" a="1"/>
  <c r="J925" i="1" s="1"/>
  <c r="J926" i="1" a="1"/>
  <c r="J926" i="1" s="1"/>
  <c r="J927" i="1" a="1"/>
  <c r="J927" i="1" s="1"/>
  <c r="J928" i="1" a="1"/>
  <c r="J928" i="1" s="1"/>
  <c r="J929" i="1" a="1"/>
  <c r="J929" i="1" s="1"/>
  <c r="J930" i="1" a="1"/>
  <c r="J930" i="1" s="1"/>
  <c r="J931" i="1" a="1"/>
  <c r="J931" i="1" s="1"/>
  <c r="J932" i="1" a="1"/>
  <c r="J932" i="1" s="1"/>
  <c r="J933" i="1" a="1"/>
  <c r="J933" i="1" s="1"/>
  <c r="J934" i="1" a="1"/>
  <c r="J934" i="1" s="1"/>
  <c r="J935" i="1" a="1"/>
  <c r="J935" i="1" s="1"/>
  <c r="J936" i="1" a="1"/>
  <c r="J936" i="1" s="1"/>
  <c r="J937" i="1" a="1"/>
  <c r="J937" i="1" s="1"/>
  <c r="J938" i="1" a="1"/>
  <c r="J938" i="1" s="1"/>
  <c r="J939" i="1" a="1"/>
  <c r="J939" i="1" s="1"/>
  <c r="J940" i="1" a="1"/>
  <c r="J940" i="1" s="1"/>
  <c r="J941" i="1" a="1"/>
  <c r="J941" i="1" s="1"/>
  <c r="J942" i="1" a="1"/>
  <c r="J942" i="1" s="1"/>
  <c r="J943" i="1" a="1"/>
  <c r="J943" i="1" s="1"/>
  <c r="J944" i="1" a="1"/>
  <c r="J944" i="1" s="1"/>
  <c r="J945" i="1" a="1"/>
  <c r="J945" i="1" s="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s="1"/>
  <c r="J961" i="1" a="1"/>
  <c r="J961" i="1" s="1"/>
  <c r="J962" i="1" a="1"/>
  <c r="J962" i="1" s="1"/>
  <c r="J963" i="1" a="1"/>
  <c r="J963" i="1" s="1"/>
  <c r="J964" i="1" a="1"/>
  <c r="J964" i="1" s="1"/>
  <c r="J965" i="1" a="1"/>
  <c r="J965" i="1" s="1"/>
  <c r="J966" i="1" a="1"/>
  <c r="J966" i="1" s="1"/>
  <c r="J967" i="1" a="1"/>
  <c r="J967" i="1" s="1"/>
  <c r="J968" i="1" a="1"/>
  <c r="J968"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s="1"/>
  <c r="J998" i="1" a="1"/>
  <c r="J998" i="1" s="1"/>
  <c r="J999" i="1" a="1"/>
  <c r="J999" i="1" s="1"/>
  <c r="J1000" i="1" a="1"/>
  <c r="J1000" i="1" s="1"/>
  <c r="J1001" i="1" a="1"/>
  <c r="J1001" i="1" s="1"/>
  <c r="J1002" i="1" a="1"/>
  <c r="J1002" i="1" s="1"/>
  <c r="J1003" i="1" a="1"/>
  <c r="J1003" i="1" s="1"/>
  <c r="J1004" i="1" a="1"/>
  <c r="J1004" i="1" s="1"/>
  <c r="J1005" i="1" a="1"/>
  <c r="J1005" i="1" s="1"/>
  <c r="J1006" i="1" a="1"/>
  <c r="J1006" i="1" s="1"/>
  <c r="J1007" i="1" a="1"/>
  <c r="J1007" i="1" s="1"/>
  <c r="J1008" i="1" a="1"/>
  <c r="J1008" i="1" s="1"/>
  <c r="J1009" i="1" a="1"/>
  <c r="J1009" i="1" s="1"/>
  <c r="J1010" i="1" a="1"/>
  <c r="J1010" i="1" s="1"/>
  <c r="J1011" i="1" a="1"/>
  <c r="J1011" i="1" s="1"/>
  <c r="J1012" i="1" a="1"/>
  <c r="J1012" i="1" s="1"/>
  <c r="J1013" i="1" a="1"/>
  <c r="J1013" i="1" s="1"/>
  <c r="J1014" i="1" a="1"/>
  <c r="J1014" i="1" s="1"/>
  <c r="J1015" i="1" a="1"/>
  <c r="J1015" i="1" s="1"/>
  <c r="J1016" i="1" a="1"/>
  <c r="J1016" i="1" s="1"/>
  <c r="J1017" i="1" a="1"/>
  <c r="J1017" i="1" s="1"/>
  <c r="J1018" i="1" a="1"/>
  <c r="J1018" i="1" s="1"/>
  <c r="J1019" i="1" a="1"/>
  <c r="J1019" i="1" s="1"/>
  <c r="J1020" i="1" a="1"/>
  <c r="J1020" i="1" s="1"/>
  <c r="J1021" i="1" a="1"/>
  <c r="J1021" i="1" s="1"/>
  <c r="J1022" i="1" a="1"/>
  <c r="J1022" i="1" s="1"/>
  <c r="J1023" i="1" a="1"/>
  <c r="J1023" i="1" s="1"/>
  <c r="J1024" i="1" a="1"/>
  <c r="J1024" i="1" s="1"/>
  <c r="J1025" i="1" a="1"/>
  <c r="J1025" i="1" s="1"/>
  <c r="J1026" i="1" a="1"/>
  <c r="J1026" i="1" s="1"/>
  <c r="J1027" i="1" a="1"/>
  <c r="J1027" i="1" s="1"/>
  <c r="J1028" i="1" a="1"/>
  <c r="J1028" i="1" s="1"/>
  <c r="J1029" i="1" a="1"/>
  <c r="J1029" i="1" s="1"/>
  <c r="J1030" i="1" a="1"/>
  <c r="J1030" i="1" s="1"/>
  <c r="J1031" i="1" a="1"/>
  <c r="J1031" i="1" s="1"/>
  <c r="J1032" i="1" a="1"/>
  <c r="J1032" i="1" s="1"/>
  <c r="J1033" i="1" a="1"/>
  <c r="J1033" i="1" s="1"/>
  <c r="J1034" i="1" a="1"/>
  <c r="J1034" i="1" s="1"/>
  <c r="J1035" i="1" a="1"/>
  <c r="J1035" i="1" s="1"/>
  <c r="J1036" i="1" a="1"/>
  <c r="J1036" i="1" s="1"/>
  <c r="J1037" i="1" a="1"/>
  <c r="J1037" i="1" s="1"/>
  <c r="J1038" i="1" a="1"/>
  <c r="J1038" i="1" s="1"/>
  <c r="J1039" i="1" a="1"/>
  <c r="J1039" i="1" s="1"/>
  <c r="J1040" i="1" a="1"/>
  <c r="J1040" i="1" s="1"/>
  <c r="J1041" i="1" a="1"/>
  <c r="J1041" i="1" s="1"/>
  <c r="J1042" i="1" a="1"/>
  <c r="J1042" i="1" s="1"/>
  <c r="J1043" i="1" a="1"/>
  <c r="J1043" i="1" s="1"/>
  <c r="J1044" i="1" a="1"/>
  <c r="J1044" i="1" s="1"/>
  <c r="J1045" i="1" a="1"/>
  <c r="J1045" i="1" s="1"/>
  <c r="J1046" i="1" a="1"/>
  <c r="J1046" i="1" s="1"/>
  <c r="J1047" i="1" a="1"/>
  <c r="J1047" i="1" s="1"/>
  <c r="J1048" i="1" a="1"/>
  <c r="J1048" i="1" s="1"/>
  <c r="J1049" i="1" a="1"/>
  <c r="J1049" i="1" s="1"/>
  <c r="J1050" i="1" a="1"/>
  <c r="J1050" i="1" s="1"/>
  <c r="J1051" i="1" a="1"/>
  <c r="J1051" i="1" s="1"/>
  <c r="J1052" i="1" a="1"/>
  <c r="J1052" i="1" s="1"/>
  <c r="J1053" i="1" a="1"/>
  <c r="J1053" i="1" s="1"/>
  <c r="J1054" i="1" a="1"/>
  <c r="J1054" i="1" s="1"/>
  <c r="J1055" i="1" a="1"/>
  <c r="J1055" i="1" s="1"/>
  <c r="J1056" i="1" a="1"/>
  <c r="J1056" i="1" s="1"/>
  <c r="J1057" i="1" a="1"/>
  <c r="J1057" i="1" s="1"/>
  <c r="J1058" i="1" a="1"/>
  <c r="J1058" i="1" s="1"/>
  <c r="J1059" i="1" a="1"/>
  <c r="J1059" i="1" s="1"/>
  <c r="J1060" i="1" a="1"/>
  <c r="J1060" i="1" s="1"/>
  <c r="J1061" i="1" a="1"/>
  <c r="J1061" i="1" s="1"/>
  <c r="J1062" i="1" a="1"/>
  <c r="J1062" i="1" s="1"/>
  <c r="J1063" i="1" a="1"/>
  <c r="J1063" i="1" s="1"/>
  <c r="J1064" i="1" a="1"/>
  <c r="J1064" i="1" s="1"/>
  <c r="J1065" i="1" a="1"/>
  <c r="J1065" i="1" s="1"/>
  <c r="J1066" i="1" a="1"/>
  <c r="J1066" i="1" s="1"/>
  <c r="J1067" i="1" a="1"/>
  <c r="J1067" i="1" s="1"/>
  <c r="J1068" i="1" a="1"/>
  <c r="J1068" i="1" s="1"/>
  <c r="J1069" i="1" a="1"/>
  <c r="J1069" i="1" s="1"/>
  <c r="J1070" i="1" a="1"/>
  <c r="J1070" i="1" s="1"/>
  <c r="J1071" i="1" a="1"/>
  <c r="J1071" i="1" s="1"/>
  <c r="J1072" i="1" a="1"/>
  <c r="J1072" i="1" s="1"/>
  <c r="J1073" i="1" a="1"/>
  <c r="J1073" i="1" s="1"/>
  <c r="J1074" i="1" a="1"/>
  <c r="J1074" i="1" s="1"/>
  <c r="J1075" i="1" a="1"/>
  <c r="J1075" i="1" s="1"/>
  <c r="J1076" i="1" a="1"/>
  <c r="J1076" i="1" s="1"/>
  <c r="J1077" i="1" a="1"/>
  <c r="J1077" i="1" s="1"/>
  <c r="J1078" i="1" a="1"/>
  <c r="J1078" i="1" s="1"/>
  <c r="J1079" i="1" a="1"/>
  <c r="J1079" i="1" s="1"/>
  <c r="J1080" i="1" a="1"/>
  <c r="J1080" i="1" s="1"/>
  <c r="J1081" i="1" a="1"/>
  <c r="J1081" i="1" s="1"/>
  <c r="J1082" i="1" a="1"/>
  <c r="J1082" i="1" s="1"/>
  <c r="J1083" i="1" a="1"/>
  <c r="J1083" i="1" s="1"/>
  <c r="J1084" i="1" a="1"/>
  <c r="J1084" i="1" s="1"/>
  <c r="J1085" i="1" a="1"/>
  <c r="J1085" i="1" s="1"/>
  <c r="J1086" i="1" a="1"/>
  <c r="J1086" i="1" s="1"/>
  <c r="J1087" i="1" a="1"/>
  <c r="J1087" i="1" s="1"/>
  <c r="J1088" i="1" a="1"/>
  <c r="J1088" i="1" s="1"/>
  <c r="J1089" i="1" a="1"/>
  <c r="J1089" i="1" s="1"/>
  <c r="J1090" i="1" a="1"/>
  <c r="J1090" i="1" s="1"/>
  <c r="J1091" i="1" a="1"/>
  <c r="J1091" i="1" s="1"/>
  <c r="J1092" i="1" a="1"/>
  <c r="J1092" i="1" s="1"/>
  <c r="J1093" i="1" a="1"/>
  <c r="J1093" i="1" s="1"/>
  <c r="J1094" i="1" a="1"/>
  <c r="J1094" i="1" s="1"/>
  <c r="J1095" i="1" a="1"/>
  <c r="J1095" i="1" s="1"/>
  <c r="J1096" i="1" a="1"/>
  <c r="J1096" i="1" s="1"/>
  <c r="J1097" i="1" a="1"/>
  <c r="J1097" i="1" s="1"/>
  <c r="J1098" i="1" a="1"/>
  <c r="J1098" i="1" s="1"/>
  <c r="J1099" i="1" a="1"/>
  <c r="J1099" i="1" s="1"/>
  <c r="J1100" i="1" a="1"/>
  <c r="J1100" i="1" s="1"/>
  <c r="J1101" i="1" a="1"/>
  <c r="J1101" i="1" s="1"/>
  <c r="J1102" i="1" a="1"/>
  <c r="J1102" i="1" s="1"/>
  <c r="J1103" i="1" a="1"/>
  <c r="J1103" i="1" s="1"/>
  <c r="J1104" i="1" a="1"/>
  <c r="J1104" i="1" s="1"/>
  <c r="J1105" i="1" a="1"/>
  <c r="J1105" i="1" s="1"/>
  <c r="J1106" i="1" a="1"/>
  <c r="J1106" i="1" s="1"/>
  <c r="J1107" i="1" a="1"/>
  <c r="J1107" i="1" s="1"/>
  <c r="J1108" i="1" a="1"/>
  <c r="J1108" i="1" s="1"/>
  <c r="J1109" i="1" a="1"/>
  <c r="J1109" i="1" s="1"/>
  <c r="J1110" i="1" a="1"/>
  <c r="J1110" i="1" s="1"/>
  <c r="J1111" i="1" a="1"/>
  <c r="J1111" i="1" s="1"/>
  <c r="J1112" i="1" a="1"/>
  <c r="J1112" i="1" s="1"/>
  <c r="J1113" i="1" a="1"/>
  <c r="J1113" i="1" s="1"/>
  <c r="J1114" i="1" a="1"/>
  <c r="J1114" i="1" s="1"/>
  <c r="J1115" i="1" a="1"/>
  <c r="J1115" i="1" s="1"/>
  <c r="J1116" i="1" a="1"/>
  <c r="J1116" i="1" s="1"/>
  <c r="J1117" i="1" a="1"/>
  <c r="J1117" i="1" s="1"/>
  <c r="J1118" i="1" a="1"/>
  <c r="J1118" i="1" s="1"/>
  <c r="J1119" i="1" a="1"/>
  <c r="J1119" i="1" s="1"/>
  <c r="J1120" i="1" a="1"/>
  <c r="J1120" i="1" s="1"/>
  <c r="J1121" i="1" a="1"/>
  <c r="J1121" i="1" s="1"/>
  <c r="J1122" i="1" a="1"/>
  <c r="J1122" i="1" s="1"/>
  <c r="J1123" i="1" a="1"/>
  <c r="J1123" i="1" s="1"/>
  <c r="J1124" i="1" a="1"/>
  <c r="J1124" i="1" s="1"/>
  <c r="J1125" i="1" a="1"/>
  <c r="J1125" i="1" s="1"/>
  <c r="J1126" i="1" a="1"/>
  <c r="J1126" i="1" s="1"/>
  <c r="J1127" i="1" a="1"/>
  <c r="J1127" i="1" s="1"/>
  <c r="J1128" i="1" a="1"/>
  <c r="J1128" i="1" s="1"/>
  <c r="J1129" i="1" a="1"/>
  <c r="J1129" i="1" s="1"/>
  <c r="J1130" i="1" a="1"/>
  <c r="J1130" i="1" s="1"/>
  <c r="J1131" i="1" a="1"/>
  <c r="J1131" i="1" s="1"/>
  <c r="J1132" i="1" a="1"/>
  <c r="J1132" i="1" s="1"/>
  <c r="J1133" i="1" a="1"/>
  <c r="J1133" i="1" s="1"/>
  <c r="J1134" i="1" a="1"/>
  <c r="J1134" i="1" s="1"/>
  <c r="J1135" i="1" a="1"/>
  <c r="J1135" i="1" s="1"/>
  <c r="J1136" i="1" a="1"/>
  <c r="J1136" i="1" s="1"/>
  <c r="J1137" i="1" a="1"/>
  <c r="J1137" i="1" s="1"/>
  <c r="J1138" i="1" a="1"/>
  <c r="J1138" i="1" s="1"/>
  <c r="J1139" i="1" a="1"/>
  <c r="J1139" i="1" s="1"/>
  <c r="J1140" i="1" a="1"/>
  <c r="J1140" i="1" s="1"/>
  <c r="J1141" i="1" a="1"/>
  <c r="J1141" i="1" s="1"/>
  <c r="J1142" i="1" a="1"/>
  <c r="J1142" i="1" s="1"/>
  <c r="J1143" i="1" a="1"/>
  <c r="J1143" i="1" s="1"/>
  <c r="J1144" i="1" a="1"/>
  <c r="J1144" i="1" s="1"/>
  <c r="J1145" i="1" a="1"/>
  <c r="J1145" i="1" s="1"/>
  <c r="J1146" i="1" a="1"/>
  <c r="J1146" i="1" s="1"/>
  <c r="J1147" i="1" a="1"/>
  <c r="J1147" i="1" s="1"/>
  <c r="J1148" i="1" a="1"/>
  <c r="J1148" i="1" s="1"/>
  <c r="J1149" i="1" a="1"/>
  <c r="J1149" i="1" s="1"/>
  <c r="J1150" i="1" a="1"/>
  <c r="J1150" i="1" s="1"/>
  <c r="J1151" i="1" a="1"/>
  <c r="J1151" i="1" s="1"/>
  <c r="J1152" i="1" a="1"/>
  <c r="J1152" i="1" s="1"/>
  <c r="J1153" i="1" a="1"/>
  <c r="J1153" i="1" s="1"/>
  <c r="J1154" i="1" a="1"/>
  <c r="J1154" i="1" s="1"/>
  <c r="J1155" i="1" a="1"/>
  <c r="J1155" i="1" s="1"/>
  <c r="J1156" i="1" a="1"/>
  <c r="J1156" i="1" s="1"/>
  <c r="J1157" i="1" a="1"/>
  <c r="J1157" i="1" s="1"/>
  <c r="J1158" i="1" a="1"/>
  <c r="J1158" i="1" s="1"/>
  <c r="J1159" i="1" a="1"/>
  <c r="J1159" i="1" s="1"/>
  <c r="J1160" i="1" a="1"/>
  <c r="J1160" i="1" s="1"/>
  <c r="J1161" i="1" a="1"/>
  <c r="J1161" i="1" s="1"/>
  <c r="J1162" i="1" a="1"/>
  <c r="J1162" i="1" s="1"/>
  <c r="J1163" i="1" a="1"/>
  <c r="J1163" i="1" s="1"/>
  <c r="J1164" i="1" a="1"/>
  <c r="J1164" i="1" s="1"/>
  <c r="J1165" i="1" a="1"/>
  <c r="J1165" i="1" s="1"/>
  <c r="J1166" i="1" a="1"/>
  <c r="J1166" i="1" s="1"/>
  <c r="J1167" i="1" a="1"/>
  <c r="J1167" i="1" s="1"/>
  <c r="J1168" i="1" a="1"/>
  <c r="J1168" i="1" s="1"/>
  <c r="J1169" i="1" a="1"/>
  <c r="J1169" i="1" s="1"/>
  <c r="J1170" i="1" a="1"/>
  <c r="J1170" i="1" s="1"/>
  <c r="J1171" i="1" a="1"/>
  <c r="J1171" i="1" s="1"/>
  <c r="J1172" i="1" a="1"/>
  <c r="J1172" i="1" s="1"/>
  <c r="J1173" i="1" a="1"/>
  <c r="J1173" i="1" s="1"/>
  <c r="J1174" i="1" a="1"/>
  <c r="J1174" i="1" s="1"/>
  <c r="J1175" i="1" a="1"/>
  <c r="J1175" i="1" s="1"/>
  <c r="J1176" i="1" a="1"/>
  <c r="J1176" i="1" s="1"/>
  <c r="J1177" i="1" a="1"/>
  <c r="J1177" i="1" s="1"/>
  <c r="J1178" i="1" a="1"/>
  <c r="J1178" i="1" s="1"/>
  <c r="J1179" i="1" a="1"/>
  <c r="J1179" i="1" s="1"/>
  <c r="J1180" i="1" a="1"/>
  <c r="J1180" i="1" s="1"/>
  <c r="J1181" i="1" a="1"/>
  <c r="J1181" i="1" s="1"/>
  <c r="J1182" i="1" a="1"/>
  <c r="J1182" i="1" s="1"/>
  <c r="J1183" i="1" a="1"/>
  <c r="J1183" i="1" s="1"/>
  <c r="J1184" i="1" a="1"/>
  <c r="J1184" i="1" s="1"/>
  <c r="J1185" i="1" a="1"/>
  <c r="J1185" i="1" s="1"/>
  <c r="J1186" i="1" a="1"/>
  <c r="J1186" i="1" s="1"/>
  <c r="J1187" i="1" a="1"/>
  <c r="J1187" i="1" s="1"/>
  <c r="J1188" i="1" a="1"/>
  <c r="J1188" i="1" s="1"/>
  <c r="J1189" i="1" a="1"/>
  <c r="J1189" i="1" s="1"/>
  <c r="J1190" i="1" a="1"/>
  <c r="J1190" i="1" s="1"/>
  <c r="J1191" i="1" a="1"/>
  <c r="J1191" i="1" s="1"/>
  <c r="J1192" i="1" a="1"/>
  <c r="J1192" i="1" s="1"/>
  <c r="J1193" i="1" a="1"/>
  <c r="J1193" i="1" s="1"/>
  <c r="J1194" i="1" a="1"/>
  <c r="J1194" i="1" s="1"/>
  <c r="J1195" i="1" a="1"/>
  <c r="J1195" i="1" s="1"/>
  <c r="J1196" i="1" a="1"/>
  <c r="J1196" i="1" s="1"/>
  <c r="J1197" i="1" a="1"/>
  <c r="J1197" i="1" s="1"/>
  <c r="J1198" i="1" a="1"/>
  <c r="J1198" i="1" s="1"/>
  <c r="J1199" i="1" a="1"/>
  <c r="J1199" i="1" s="1"/>
  <c r="J1200" i="1" a="1"/>
  <c r="J1200" i="1" s="1"/>
  <c r="J1201" i="1" a="1"/>
  <c r="J1201" i="1" s="1"/>
  <c r="J1202" i="1" a="1"/>
  <c r="J1202" i="1" s="1"/>
  <c r="J1203" i="1" a="1"/>
  <c r="J1203" i="1" s="1"/>
  <c r="J1204" i="1" a="1"/>
  <c r="J1204" i="1" s="1"/>
  <c r="J1205" i="1" a="1"/>
  <c r="J1205" i="1" s="1"/>
  <c r="J1206" i="1" a="1"/>
  <c r="J1206" i="1" s="1"/>
  <c r="J1207" i="1" a="1"/>
  <c r="J1207" i="1" s="1"/>
  <c r="J1208" i="1" a="1"/>
  <c r="J1208" i="1" s="1"/>
  <c r="J1209" i="1" a="1"/>
  <c r="J1209" i="1" s="1"/>
  <c r="J1210" i="1" a="1"/>
  <c r="J1210" i="1" s="1"/>
  <c r="J1211" i="1" a="1"/>
  <c r="J1211" i="1" s="1"/>
  <c r="J1212" i="1" a="1"/>
  <c r="J1212" i="1" s="1"/>
  <c r="J1213" i="1" a="1"/>
  <c r="J1213" i="1" s="1"/>
  <c r="J1214" i="1" a="1"/>
  <c r="J1214" i="1" s="1"/>
  <c r="J1215" i="1" a="1"/>
  <c r="J1215" i="1" s="1"/>
  <c r="J1216" i="1" a="1"/>
  <c r="J1216" i="1" s="1"/>
  <c r="J1217" i="1" a="1"/>
  <c r="J1217" i="1" s="1"/>
  <c r="J1218" i="1" a="1"/>
  <c r="J1218" i="1" s="1"/>
  <c r="J1219" i="1" a="1"/>
  <c r="J1219" i="1" s="1"/>
  <c r="J1220" i="1" a="1"/>
  <c r="J1220" i="1" s="1"/>
  <c r="J1221" i="1" a="1"/>
  <c r="J1221" i="1" s="1"/>
  <c r="J1222" i="1" a="1"/>
  <c r="J1222" i="1" s="1"/>
  <c r="J1223" i="1" a="1"/>
  <c r="J1223" i="1" s="1"/>
  <c r="J1224" i="1" a="1"/>
  <c r="J1224" i="1" s="1"/>
  <c r="J1225" i="1" a="1"/>
  <c r="J1225" i="1" s="1"/>
  <c r="J1226" i="1" a="1"/>
  <c r="J1226" i="1" s="1"/>
  <c r="J1227" i="1" a="1"/>
  <c r="J1227" i="1" s="1"/>
  <c r="J1228" i="1" a="1"/>
  <c r="J1228" i="1" s="1"/>
  <c r="J1229" i="1" a="1"/>
  <c r="J1229" i="1" s="1"/>
  <c r="J1230" i="1" a="1"/>
  <c r="J1230" i="1" s="1"/>
  <c r="J1231" i="1" a="1"/>
  <c r="J1231" i="1" s="1"/>
  <c r="J1232" i="1" a="1"/>
  <c r="J1232" i="1" s="1"/>
  <c r="J1233" i="1" a="1"/>
  <c r="J1233" i="1" s="1"/>
  <c r="J1234" i="1" a="1"/>
  <c r="J1234" i="1" s="1"/>
  <c r="J1235" i="1" a="1"/>
  <c r="J1235" i="1" s="1"/>
  <c r="J1236" i="1" a="1"/>
  <c r="J1236" i="1" s="1"/>
  <c r="J1237" i="1" a="1"/>
  <c r="J1237" i="1" s="1"/>
  <c r="J1238" i="1" a="1"/>
  <c r="J1238" i="1" s="1"/>
  <c r="J1239" i="1" a="1"/>
  <c r="J1239" i="1" s="1"/>
  <c r="J1240" i="1" a="1"/>
  <c r="J1240" i="1" s="1"/>
  <c r="J1241" i="1" a="1"/>
  <c r="J1241" i="1" s="1"/>
  <c r="J1242" i="1" a="1"/>
  <c r="J1242" i="1" s="1"/>
  <c r="J1243" i="1" a="1"/>
  <c r="J1243" i="1" s="1"/>
  <c r="J1244" i="1" a="1"/>
  <c r="J1244" i="1" s="1"/>
  <c r="J1245" i="1" a="1"/>
  <c r="J1245" i="1" s="1"/>
  <c r="J1246" i="1" a="1"/>
  <c r="J1246" i="1" s="1"/>
  <c r="J1247" i="1" a="1"/>
  <c r="J1247" i="1" s="1"/>
  <c r="J1248" i="1" a="1"/>
  <c r="J1248" i="1" s="1"/>
  <c r="J1249" i="1" a="1"/>
  <c r="J1249" i="1" s="1"/>
  <c r="J1250" i="1" a="1"/>
  <c r="J1250" i="1" s="1"/>
  <c r="J1251" i="1" a="1"/>
  <c r="J1251" i="1" s="1"/>
  <c r="J1252" i="1" a="1"/>
  <c r="J1252" i="1" s="1"/>
  <c r="J1253" i="1" a="1"/>
  <c r="J1253" i="1" s="1"/>
  <c r="J1254" i="1" a="1"/>
  <c r="J1254" i="1" s="1"/>
  <c r="J1255" i="1" a="1"/>
  <c r="J1255" i="1" s="1"/>
  <c r="J1256" i="1" a="1"/>
  <c r="J1256" i="1" s="1"/>
  <c r="J1257" i="1" a="1"/>
  <c r="J1257" i="1" s="1"/>
  <c r="J1258" i="1" a="1"/>
  <c r="J1258" i="1" s="1"/>
  <c r="J1259" i="1" a="1"/>
  <c r="J1259" i="1" s="1"/>
  <c r="J1260" i="1" a="1"/>
  <c r="J1260" i="1" s="1"/>
  <c r="J1261" i="1" a="1"/>
  <c r="J1261" i="1" s="1"/>
  <c r="J1262" i="1" a="1"/>
  <c r="J1262" i="1" s="1"/>
  <c r="J1263" i="1" a="1"/>
  <c r="J1263" i="1" s="1"/>
  <c r="J1264" i="1" a="1"/>
  <c r="J1264" i="1" s="1"/>
  <c r="J1265" i="1" a="1"/>
  <c r="J1265" i="1" s="1"/>
  <c r="J1266" i="1" a="1"/>
  <c r="J1266" i="1" s="1"/>
  <c r="J1267" i="1" a="1"/>
  <c r="J1267" i="1" s="1"/>
  <c r="J1268" i="1" a="1"/>
  <c r="J1268" i="1" s="1"/>
  <c r="J1269" i="1" a="1"/>
  <c r="J1269" i="1" s="1"/>
  <c r="J1270" i="1" a="1"/>
  <c r="J1270" i="1" s="1"/>
  <c r="J1271" i="1" a="1"/>
  <c r="J1271" i="1" s="1"/>
  <c r="J1272" i="1" a="1"/>
  <c r="J1272" i="1" s="1"/>
  <c r="J1273" i="1" a="1"/>
  <c r="J1273" i="1" s="1"/>
  <c r="J1274" i="1" a="1"/>
  <c r="J1274" i="1" s="1"/>
  <c r="J1275" i="1" a="1"/>
  <c r="J1275" i="1" s="1"/>
  <c r="J1276" i="1" a="1"/>
  <c r="J1276" i="1" s="1"/>
  <c r="J1277" i="1" a="1"/>
  <c r="J1277" i="1" s="1"/>
  <c r="J1278" i="1" a="1"/>
  <c r="J1278" i="1" s="1"/>
  <c r="J1279" i="1" a="1"/>
  <c r="J1279" i="1" s="1"/>
  <c r="J1280" i="1" a="1"/>
  <c r="J1280" i="1" s="1"/>
  <c r="J1281" i="1" a="1"/>
  <c r="J1281" i="1" s="1"/>
  <c r="J1282" i="1" a="1"/>
  <c r="J1282" i="1" s="1"/>
  <c r="J1283" i="1" a="1"/>
  <c r="J1283" i="1" s="1"/>
  <c r="J1284" i="1" a="1"/>
  <c r="J1284" i="1" s="1"/>
  <c r="J1285" i="1" a="1"/>
  <c r="J1285" i="1" s="1"/>
  <c r="J1286" i="1" a="1"/>
  <c r="J1286" i="1" s="1"/>
  <c r="J1287" i="1" a="1"/>
  <c r="J1287" i="1" s="1"/>
  <c r="J1288" i="1" a="1"/>
  <c r="J1288" i="1" s="1"/>
  <c r="J1289" i="1" a="1"/>
  <c r="J1289" i="1" s="1"/>
  <c r="J1290" i="1" a="1"/>
  <c r="J1290" i="1" s="1"/>
  <c r="J1291" i="1" a="1"/>
  <c r="J1291" i="1" s="1"/>
  <c r="J1292" i="1" a="1"/>
  <c r="J1292" i="1" s="1"/>
  <c r="J1293" i="1" a="1"/>
  <c r="J1293" i="1" s="1"/>
  <c r="J1294" i="1" a="1"/>
  <c r="J1294" i="1" s="1"/>
  <c r="J1295" i="1" a="1"/>
  <c r="J1295" i="1" s="1"/>
  <c r="J1296" i="1" a="1"/>
  <c r="J1296" i="1" s="1"/>
  <c r="J1297" i="1" a="1"/>
  <c r="J1297" i="1" s="1"/>
  <c r="J1298" i="1" a="1"/>
  <c r="J1298" i="1" s="1"/>
  <c r="J1299" i="1" a="1"/>
  <c r="J1299" i="1" s="1"/>
  <c r="J1300" i="1" a="1"/>
  <c r="J1300" i="1" s="1"/>
  <c r="J1301" i="1" a="1"/>
  <c r="J1301" i="1" s="1"/>
  <c r="J1302" i="1" a="1"/>
  <c r="J1302" i="1" s="1"/>
  <c r="J1303" i="1" a="1"/>
  <c r="J1303" i="1" s="1"/>
  <c r="J1304" i="1" a="1"/>
  <c r="J1304" i="1" s="1"/>
  <c r="J1305" i="1" a="1"/>
  <c r="J1305" i="1" s="1"/>
  <c r="J1306" i="1" a="1"/>
  <c r="J1306" i="1" s="1"/>
  <c r="J1307" i="1" a="1"/>
  <c r="J1307" i="1" s="1"/>
  <c r="J1308" i="1" a="1"/>
  <c r="J1308" i="1" s="1"/>
  <c r="J1309" i="1" a="1"/>
  <c r="J1309" i="1" s="1"/>
  <c r="J1310" i="1" a="1"/>
  <c r="J1310" i="1" s="1"/>
  <c r="J1311" i="1" a="1"/>
  <c r="J1311" i="1" s="1"/>
  <c r="J1312" i="1" a="1"/>
  <c r="J1312" i="1" s="1"/>
  <c r="J1313" i="1" a="1"/>
  <c r="J1313" i="1" s="1"/>
  <c r="J1314" i="1" a="1"/>
  <c r="J1314" i="1" s="1"/>
  <c r="J1315" i="1" a="1"/>
  <c r="J1315" i="1" s="1"/>
  <c r="J1316" i="1" a="1"/>
  <c r="J1316" i="1" s="1"/>
  <c r="J1317" i="1" a="1"/>
  <c r="J1317" i="1" s="1"/>
  <c r="J1318" i="1" a="1"/>
  <c r="J1318" i="1" s="1"/>
  <c r="J1319" i="1" a="1"/>
  <c r="J1319" i="1" s="1"/>
  <c r="J1320" i="1" a="1"/>
  <c r="J1320" i="1" s="1"/>
  <c r="J1321" i="1" a="1"/>
  <c r="J1321" i="1" s="1"/>
  <c r="J1322" i="1" a="1"/>
  <c r="J1322" i="1" s="1"/>
  <c r="J1323" i="1" a="1"/>
  <c r="J1323" i="1" s="1"/>
  <c r="J1324" i="1" a="1"/>
  <c r="J1324" i="1" s="1"/>
  <c r="J1325" i="1" a="1"/>
  <c r="J1325" i="1" s="1"/>
  <c r="J1326" i="1" a="1"/>
  <c r="J1326" i="1" s="1"/>
  <c r="J1327" i="1" a="1"/>
  <c r="J1327" i="1" s="1"/>
  <c r="J1328" i="1" a="1"/>
  <c r="J1328" i="1" s="1"/>
  <c r="J1329" i="1" a="1"/>
  <c r="J1329" i="1" s="1"/>
  <c r="J1330" i="1" a="1"/>
  <c r="J1330" i="1" s="1"/>
  <c r="J1331" i="1" a="1"/>
  <c r="J1331" i="1" s="1"/>
  <c r="J1332" i="1" a="1"/>
  <c r="J1332" i="1" s="1"/>
  <c r="J1333" i="1" a="1"/>
  <c r="J1333" i="1" s="1"/>
  <c r="J1334" i="1" a="1"/>
  <c r="J1334" i="1" s="1"/>
  <c r="J1335" i="1" a="1"/>
  <c r="J1335" i="1" s="1"/>
  <c r="J1336" i="1" a="1"/>
  <c r="J1336" i="1" s="1"/>
  <c r="J1337" i="1" a="1"/>
  <c r="J1337" i="1" s="1"/>
  <c r="J1338" i="1" a="1"/>
  <c r="J1338" i="1" s="1"/>
  <c r="J1339" i="1" a="1"/>
  <c r="J1339" i="1" s="1"/>
  <c r="J1340" i="1" a="1"/>
  <c r="J1340" i="1" s="1"/>
  <c r="J1341" i="1" a="1"/>
  <c r="J1341" i="1" s="1"/>
  <c r="J1342" i="1" a="1"/>
  <c r="J1342" i="1" s="1"/>
  <c r="J1343" i="1" a="1"/>
  <c r="J1343" i="1" s="1"/>
  <c r="J1344" i="1" a="1"/>
  <c r="J1344" i="1" s="1"/>
  <c r="J1345" i="1" a="1"/>
  <c r="J1345" i="1" s="1"/>
  <c r="J1346" i="1" a="1"/>
  <c r="J1346" i="1" s="1"/>
  <c r="J1347" i="1" a="1"/>
  <c r="J1347" i="1" s="1"/>
  <c r="J1348" i="1" a="1"/>
  <c r="J1348" i="1" s="1"/>
  <c r="J1349" i="1" a="1"/>
  <c r="J1349" i="1" s="1"/>
  <c r="J1350" i="1" a="1"/>
  <c r="J1350" i="1" s="1"/>
  <c r="J1351" i="1" a="1"/>
  <c r="J1351" i="1" s="1"/>
  <c r="J1352" i="1" a="1"/>
  <c r="J1352" i="1" s="1"/>
  <c r="J1353" i="1" a="1"/>
  <c r="J1353" i="1" s="1"/>
  <c r="J1354" i="1" a="1"/>
  <c r="J1354" i="1" s="1"/>
  <c r="J1355" i="1" a="1"/>
  <c r="J1355" i="1" s="1"/>
  <c r="J1356" i="1" a="1"/>
  <c r="J1356" i="1" s="1"/>
  <c r="J1357" i="1" a="1"/>
  <c r="J1357" i="1" s="1"/>
  <c r="J1358" i="1" a="1"/>
  <c r="J1358" i="1" s="1"/>
  <c r="J1359" i="1" a="1"/>
  <c r="J1359" i="1" s="1"/>
  <c r="J1360" i="1" a="1"/>
  <c r="J1360" i="1" s="1"/>
  <c r="J1361" i="1" a="1"/>
  <c r="J1361" i="1" s="1"/>
  <c r="J1362" i="1" a="1"/>
  <c r="J1362" i="1" s="1"/>
  <c r="J1363" i="1" a="1"/>
  <c r="J1363" i="1" s="1"/>
  <c r="J1364" i="1" a="1"/>
  <c r="J1364" i="1" s="1"/>
  <c r="J1365" i="1" a="1"/>
  <c r="J1365" i="1" s="1"/>
  <c r="J1366" i="1" a="1"/>
  <c r="J1366" i="1" s="1"/>
  <c r="J1367" i="1" a="1"/>
  <c r="J1367" i="1" s="1"/>
  <c r="J1368" i="1" a="1"/>
  <c r="J1368" i="1" s="1"/>
  <c r="J1369" i="1" a="1"/>
  <c r="J1369" i="1" s="1"/>
  <c r="J1370" i="1" a="1"/>
  <c r="J1370" i="1" s="1"/>
  <c r="J1371" i="1" a="1"/>
  <c r="J1371" i="1" s="1"/>
  <c r="J1372" i="1" a="1"/>
  <c r="J1372" i="1" s="1"/>
  <c r="J1373" i="1" a="1"/>
  <c r="J1373" i="1" s="1"/>
  <c r="J1374" i="1" a="1"/>
  <c r="J1374" i="1" s="1"/>
  <c r="J1375" i="1" a="1"/>
  <c r="J1375" i="1" s="1"/>
  <c r="J1376" i="1" a="1"/>
  <c r="J1376" i="1" s="1"/>
  <c r="J1377" i="1" a="1"/>
  <c r="J1377" i="1" s="1"/>
  <c r="J1378" i="1" a="1"/>
  <c r="J1378" i="1" s="1"/>
  <c r="J1379" i="1" a="1"/>
  <c r="J1379" i="1" s="1"/>
  <c r="J1380" i="1" a="1"/>
  <c r="J1380" i="1" s="1"/>
  <c r="J1381" i="1" a="1"/>
  <c r="J1381" i="1" s="1"/>
  <c r="J1382" i="1" a="1"/>
  <c r="J1382" i="1" s="1"/>
  <c r="J1383" i="1" a="1"/>
  <c r="J1383" i="1" s="1"/>
  <c r="J1384" i="1" a="1"/>
  <c r="J1384" i="1" s="1"/>
  <c r="J1385" i="1" a="1"/>
  <c r="J1385" i="1" s="1"/>
  <c r="J1386" i="1" a="1"/>
  <c r="J1386" i="1" s="1"/>
  <c r="J1387" i="1" a="1"/>
  <c r="J1387" i="1" s="1"/>
  <c r="J1388" i="1" a="1"/>
  <c r="J1388" i="1" s="1"/>
  <c r="J1389" i="1" a="1"/>
  <c r="J1389" i="1" s="1"/>
  <c r="J1390" i="1" a="1"/>
  <c r="J1390" i="1" s="1"/>
  <c r="J1391" i="1" a="1"/>
  <c r="J1391" i="1" s="1"/>
  <c r="J1392" i="1" a="1"/>
  <c r="J1392" i="1" s="1"/>
  <c r="J1393" i="1" a="1"/>
  <c r="J1393" i="1" s="1"/>
  <c r="J1394" i="1" a="1"/>
  <c r="J1394" i="1" s="1"/>
  <c r="J1395" i="1" a="1"/>
  <c r="J1395" i="1" s="1"/>
  <c r="J1396" i="1" a="1"/>
  <c r="J1396" i="1" s="1"/>
  <c r="J1397" i="1" a="1"/>
  <c r="J1397" i="1" s="1"/>
  <c r="J1398" i="1" a="1"/>
  <c r="J1398" i="1" s="1"/>
  <c r="J1399" i="1" a="1"/>
  <c r="J1399" i="1" s="1"/>
  <c r="J1400" i="1" a="1"/>
  <c r="J1400" i="1" s="1"/>
  <c r="J1401" i="1" a="1"/>
  <c r="J1401" i="1" s="1"/>
  <c r="J1402" i="1" a="1"/>
  <c r="J1402" i="1" s="1"/>
  <c r="J1403" i="1" a="1"/>
  <c r="J1403" i="1" s="1"/>
  <c r="J1404" i="1" a="1"/>
  <c r="J1404" i="1" s="1"/>
  <c r="J1405" i="1" a="1"/>
  <c r="J1405" i="1" s="1"/>
  <c r="J1406" i="1" a="1"/>
  <c r="J1406" i="1" s="1"/>
  <c r="J1407" i="1" a="1"/>
  <c r="J1407" i="1" s="1"/>
  <c r="J1408" i="1" a="1"/>
  <c r="J1408" i="1" s="1"/>
  <c r="J1409" i="1" a="1"/>
  <c r="J1409" i="1" s="1"/>
  <c r="J1410" i="1" a="1"/>
  <c r="J1410" i="1" s="1"/>
  <c r="J1411" i="1" a="1"/>
  <c r="J1411" i="1" s="1"/>
  <c r="J1412" i="1" a="1"/>
  <c r="J1412" i="1" s="1"/>
  <c r="J1413" i="1" a="1"/>
  <c r="J1413" i="1" s="1"/>
  <c r="J1414" i="1" a="1"/>
  <c r="J1414" i="1" s="1"/>
  <c r="J1415" i="1" a="1"/>
  <c r="J1415" i="1" s="1"/>
  <c r="J1416" i="1" a="1"/>
  <c r="J1416" i="1" s="1"/>
  <c r="J1417" i="1" a="1"/>
  <c r="J1417" i="1" s="1"/>
  <c r="J1418" i="1" a="1"/>
  <c r="J1418" i="1" s="1"/>
  <c r="J1419" i="1" a="1"/>
  <c r="J1419" i="1" s="1"/>
  <c r="J1420" i="1" a="1"/>
  <c r="J1420" i="1" s="1"/>
  <c r="J1421" i="1" a="1"/>
  <c r="J1421" i="1" s="1"/>
  <c r="J1422" i="1" a="1"/>
  <c r="J1422" i="1" s="1"/>
  <c r="J1423" i="1" a="1"/>
  <c r="J1423" i="1" s="1"/>
  <c r="J1424" i="1" a="1"/>
  <c r="J1424" i="1" s="1"/>
  <c r="J1425" i="1" a="1"/>
  <c r="J1425" i="1" s="1"/>
  <c r="J1426" i="1" a="1"/>
  <c r="J1426" i="1" s="1"/>
  <c r="J1427" i="1" a="1"/>
  <c r="J1427" i="1" s="1"/>
  <c r="J1428" i="1" a="1"/>
  <c r="J1428" i="1" s="1"/>
  <c r="J1429" i="1" a="1"/>
  <c r="J1429" i="1" s="1"/>
  <c r="J1430" i="1" a="1"/>
  <c r="J1430" i="1" s="1"/>
  <c r="J1431" i="1" a="1"/>
  <c r="J1431" i="1" s="1"/>
  <c r="J1432" i="1" a="1"/>
  <c r="J1432" i="1" s="1"/>
  <c r="J1433" i="1" a="1"/>
  <c r="J1433" i="1" s="1"/>
  <c r="J1434" i="1" a="1"/>
  <c r="J1434" i="1" s="1"/>
  <c r="J1435" i="1" a="1"/>
  <c r="J1435" i="1" s="1"/>
  <c r="J1436" i="1" a="1"/>
  <c r="J1436" i="1" s="1"/>
  <c r="J1437" i="1" a="1"/>
  <c r="J1437" i="1" s="1"/>
  <c r="J1438" i="1" a="1"/>
  <c r="J1438" i="1" s="1"/>
  <c r="J1439" i="1" a="1"/>
  <c r="J1439" i="1" s="1"/>
  <c r="J1440" i="1" a="1"/>
  <c r="J1440" i="1" s="1"/>
  <c r="J1441" i="1" a="1"/>
  <c r="J1441" i="1" s="1"/>
  <c r="J1442" i="1" a="1"/>
  <c r="J1442" i="1" s="1"/>
  <c r="J1443" i="1" a="1"/>
  <c r="J1443" i="1" s="1"/>
  <c r="J1444" i="1" a="1"/>
  <c r="J1444" i="1" s="1"/>
  <c r="J1445" i="1" a="1"/>
  <c r="J1445" i="1" s="1"/>
  <c r="J1446" i="1" a="1"/>
  <c r="J1446" i="1" s="1"/>
  <c r="J1447" i="1" a="1"/>
  <c r="J1447" i="1" s="1"/>
  <c r="J1448" i="1" a="1"/>
  <c r="J1448" i="1" s="1"/>
  <c r="J1449" i="1" a="1"/>
  <c r="J1449" i="1" s="1"/>
  <c r="J1450" i="1" a="1"/>
  <c r="J1450" i="1" s="1"/>
  <c r="J1451" i="1" a="1"/>
  <c r="J1451" i="1" s="1"/>
  <c r="J1452" i="1" a="1"/>
  <c r="J1452" i="1" s="1"/>
  <c r="J1453" i="1" a="1"/>
  <c r="J1453" i="1" s="1"/>
  <c r="J1454" i="1" a="1"/>
  <c r="J1454" i="1" s="1"/>
  <c r="J1455" i="1" a="1"/>
  <c r="J1455" i="1" s="1"/>
  <c r="J1456" i="1" a="1"/>
  <c r="J1456" i="1" s="1"/>
  <c r="J1457" i="1" a="1"/>
  <c r="J1457" i="1" s="1"/>
  <c r="J1458" i="1" a="1"/>
  <c r="J1458" i="1" s="1"/>
  <c r="J1459" i="1" a="1"/>
  <c r="J1459" i="1" s="1"/>
  <c r="J1460" i="1" a="1"/>
  <c r="J1460" i="1" s="1"/>
  <c r="J1461" i="1" a="1"/>
  <c r="J1461" i="1" s="1"/>
  <c r="J1462" i="1" a="1"/>
  <c r="J1462" i="1" s="1"/>
  <c r="J1463" i="1" a="1"/>
  <c r="J1463" i="1" s="1"/>
  <c r="J1464" i="1" a="1"/>
  <c r="J1464" i="1" s="1"/>
  <c r="J1465" i="1" a="1"/>
  <c r="J1465" i="1" s="1"/>
  <c r="J1466" i="1" a="1"/>
  <c r="J1466" i="1" s="1"/>
  <c r="J1467" i="1" a="1"/>
  <c r="J1467" i="1" s="1"/>
  <c r="J1468" i="1" a="1"/>
  <c r="J1468" i="1" s="1"/>
  <c r="J1469" i="1" a="1"/>
  <c r="J1469" i="1" s="1"/>
  <c r="J1470" i="1" a="1"/>
  <c r="J1470" i="1" s="1"/>
  <c r="J1471" i="1" a="1"/>
  <c r="J1471" i="1" s="1"/>
  <c r="J2" i="1" a="1"/>
  <c r="J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<sst xmlns="http://schemas.openxmlformats.org/spreadsheetml/2006/main" count="11908" uniqueCount="90">
  <si>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</si>
  <si>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</si>
  <si>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</si>
  <si>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</si>
  <si>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</si>
  <si>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</si>
  <si>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</si>
  <si>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</si>
  <si>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</si>
  <si>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</si>
  <si>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</si>
  <si>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</si>
  <si>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</si>
  <si>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</si>
  <si>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</si>
  <si>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</si>
  <si>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</si>
  <si>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</si>
  <si>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</si>
  <si>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</si>
  <si>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</si>
  <si>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</si>
  <si>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</si>
  <si>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</si>
  <si>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</si>
  <si>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</si>
  <si>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</si>
  <si>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</si>
  <si>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</si>
  <si>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</si>
  <si>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</si>
  <si>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</si>
  <si>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</si>
  <si>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</si>
  <si>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</si>
  <si>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</si>
  <si>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</si>
  <si>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</si>
  <si>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</si>
  <si>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</si>
  <si>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</si>
  <si>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</si>
  <si>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</si>
  <si>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</si>
  <si>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</si>
  <si>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</si>
  <si>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</si>
  <si>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</si>
  <si>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</si>
  <si>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</si>
  <si>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</si>
  <si>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</si>
  <si>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</si>
  <si>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</si>
  <si>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</si>
  <si>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</si>
  <si>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</si>
  <si>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</si>
  <si>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Education_Label</t>
  </si>
  <si>
    <t>WorkLifeBalance_Label</t>
  </si>
  <si>
    <t>RelationshipSatisfaction_Label</t>
  </si>
  <si>
    <t>PerformanceRating_Label</t>
  </si>
  <si>
    <t>JobSatisfaction_Label</t>
  </si>
  <si>
    <t xml:space="preserve">EnvironmentSatisfaction_Label </t>
  </si>
  <si>
    <t>JobLevel_Label</t>
  </si>
  <si>
    <t>JobInvolvement_Label</t>
  </si>
  <si>
    <t>Age_Group</t>
  </si>
  <si>
    <t>Row Labels</t>
  </si>
  <si>
    <t>Grand Total</t>
  </si>
  <si>
    <t>Column Labels</t>
  </si>
  <si>
    <t>Count of Attrition</t>
  </si>
  <si>
    <t>Total Count of Attrition</t>
  </si>
  <si>
    <t>Total Count of Attrition2</t>
  </si>
  <si>
    <t>Count of Attrition2</t>
  </si>
  <si>
    <t>High</t>
  </si>
  <si>
    <t>Low</t>
  </si>
  <si>
    <t>Medium</t>
  </si>
  <si>
    <t>Very High</t>
  </si>
  <si>
    <t>18-25</t>
  </si>
  <si>
    <t>26-35</t>
  </si>
  <si>
    <t>36-45</t>
  </si>
  <si>
    <t>46-55</t>
  </si>
  <si>
    <t>56+</t>
  </si>
  <si>
    <t>Average of MonthlyIncome</t>
  </si>
  <si>
    <t>Count of BusinessTravel</t>
  </si>
  <si>
    <t>DistanceFromHome_Label</t>
  </si>
  <si>
    <t>1-10 km</t>
  </si>
  <si>
    <t>11-20 km</t>
  </si>
  <si>
    <t>21-30 km</t>
  </si>
  <si>
    <t>Count of DistanceFromHome_Label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</si>
</sst>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6"/>
      <color theme="1"/>
      <name val="Aptos Narrow"/>
      <family val="2"/>
      <scheme val="minor"/>
    </font>
    <font>
      <b/>
      <sz val="3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9" fillId="0" borderId="0" xfId="0" applyFont="1"/>
    <xf numFmtId="0" fontId="20"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[HR-Employee-Attrition-Analysis-Dashboard.xlxs.xlsx]Department!PivotTable2</c:name>
    <c:fmtId val="4"/>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sz="1600" b="1"/>
              <a:t>DEPARTMENTS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Department!$B$3:$B$4</c:f>
              <c:strCache>
                <c:ptCount val="1"/>
                <c:pt idx="0">
                  <c:v>No</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Department!$A$5:$A$8</c:f>
              <c:strCache>
                <c:ptCount val="3"/>
                <c:pt idx="0">
                  <c:v>Human Resources</c:v>
                </c:pt>
                <c:pt idx="1">
                  <c:v>Research &amp; Development</c:v>
                </c:pt>
                <c:pt idx="2">
                  <c:v>Sales</c:v>
                </c:pt>
              </c:strCache>
            </c:strRef>
          </c:cat>
          <c:val>
            <c:numRef>
              <c:f>Department!$B$5:$B$8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881C-4550-9064-5971C052C06B}"/>
            </c:ext>
          </c:extLst>
        </c:ser>
        <c:ser>
          <c:idx val="1"/>
          <c:order val="1"/>
          <c:tx>
            <c:strRef>
              <c:f>Department!$C$3:$C$4</c:f>
              <c:strCache>
                <c:ptCount val="1"/>
                <c:pt idx="0">
                  <c:v>Yes</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Department!$A$5:$A$8</c:f>
              <c:strCache>
                <c:ptCount val="3"/>
                <c:pt idx="0">
                  <c:v>Human Resources</c:v>
                </c:pt>
                <c:pt idx="1">
                  <c:v>Research &amp; Development</c:v>
                </c:pt>
                <c:pt idx="2">
                  <c:v>Sales</c:v>
                </c:pt>
              </c:strCache>
            </c:strRef>
          </c:cat>
          <c:val>
            <c:numRef>
              <c:f>Department!$C$5:$C$8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881C-4550-9064-5971C052C06B}"/>
            </c:ext>
          </c:extLst>
        </c:ser>
        <c:dLbls>
          <c:showLegendKey val="0"/>
          <c:showVal val="1"/>
          <c:showCatName val="0"/>
          <c:showSerName val="0"/>
          <c:showPercent val="0"/>
          <c:showBubbleSize val="0"/>
        </c:dLbls>
        <c:gapWidth val="219"/>
        <c:shape val="box"/>
        <c:axId val="1292866079"/>
        <c:axId val="1290473311"/>
        <c:axId val="0"/>
      </c:bar3DChart>
      <c:catAx>
        <c:axId val="129286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290473311"/>
        <c:crosses val="autoZero"/>
        <c:auto val="1"/>
        <c:lblAlgn val="ctr"/>
        <c:lblOffset val="100"/>
        <c:noMultiLvlLbl val="0"/>
      </c:catAx>
      <c:valAx>
        <c:axId val="12904733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2928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accent1">
          <a:satMod val="175000"/>
          <a:alpha val="40000"/>
        </a:schemeClr>
      </a:glow>
      <a:outerShdw blurRad="50800" dist="38100" dir="2700000" algn="tl" rotWithShape="0">
        <a:schemeClr val="bg1">
          <a:alpha val="40000"/>
        </a:schemeClr>
      </a:outerShdw>
      <a:softEdge rad="63500"/>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[HR-Employee-Attrition-Analysis-Dashboard.xlxs.xlsx]OverTime!PivotTable3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OverTime!$B$3:$B$4</c:f>
              <c:strCache>
                <c:ptCount val="1"/>
                <c:pt idx="0">
                  <c:v>No</c:v>
                </c:pt>
              </c:strCache>
            </c:strRef>
          </c:tx>
          <c:dPt>
            <c:idx val="0"/>
            <c:bubble3D val="0"/>
            <c:spPr>
              <a:solidFill>
                <a:schemeClr val="accent5">
                  <a:shade val="76000"/>
                </a:schemeClr>
              </a:solidFill>
              <a:ln>
                <a:noFill/>
              </a:ln>
              <a:effectLst/>
            </c:spPr>
          </c:dPt>
          <c:dPt>
            <c:idx val="1"/>
            <c:bubble3D val="0"/>
            <c:spPr>
              <a:solidFill>
                <a:schemeClr val="accent5">
                  <a:tint val="77000"/>
                </a:schemeClr>
              </a:solidFill>
              <a:ln>
                <a:noFill/>
              </a:ln>
              <a:effectLst/>
            </c:spPr>
          </c:dPt>
          <c:cat>
            <c:strRef>
              <c:f>OverTime!$A$5:$A$7</c:f>
              <c:strCache>
                <c:ptCount val="2"/>
                <c:pt idx="0">
                  <c:v>No</c:v>
                </c:pt>
                <c:pt idx="1">
                  <c:v>Yes</c:v>
                </c:pt>
              </c:strCache>
            </c:strRef>
          </c:cat>
          <c:val>
            <c:numRef>
              <c:f>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12E0-4D60-AC22-2E49E7CABB7C}"/>
            </c:ext>
          </c:extLst>
        </c:ser>
        <c:ser>
          <c:idx val="1"/>
          <c:order val="1"/>
          <c:tx>
            <c:strRef>
              <c:f>OverTime!$C$3:$C$4</c:f>
              <c:strCache>
                <c:ptCount val="1"/>
                <c:pt idx="0">
                  <c:v>Yes</c:v>
                </c:pt>
              </c:strCache>
            </c:strRef>
          </c:tx>
          <c:dPt>
            <c:idx val="0"/>
            <c:bubble3D val="0"/>
            <c:spPr>
              <a:solidFill>
                <a:schemeClr val="accent5">
                  <a:shade val="76000"/>
                </a:schemeClr>
              </a:solidFill>
              <a:ln>
                <a:noFill/>
              </a:ln>
              <a:effectLst/>
            </c:spPr>
          </c:dPt>
          <c:dPt>
            <c:idx val="1"/>
            <c:bubble3D val="0"/>
            <c:spPr>
              <a:solidFill>
                <a:schemeClr val="accent5">
                  <a:tint val="77000"/>
                </a:schemeClr>
              </a:solidFill>
              <a:ln>
                <a:noFill/>
              </a:ln>
              <a:effectLst/>
            </c:spPr>
          </c:dPt>
          <c:cat>
            <c:strRef>
              <c:f>OverTime!$A$5:$A$7</c:f>
              <c:strCache>
                <c:ptCount val="2"/>
                <c:pt idx="0">
                  <c:v>No</c:v>
                </c:pt>
                <c:pt idx="1">
                  <c:v>Yes</c:v>
                </c:pt>
              </c:strCache>
            </c:strRef>
          </c:cat>
          <c:val>
            <c:numRef>
              <c:f>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1-12E0-4D60-AC22-2E49E7CABB7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tx2">
          <a:lumMod val="50000"/>
          <a:lumOff val="50000"/>
          <a:alpha val="40000"/>
        </a:schemeClr>
      </a:glow>
      <a:outerShdw blurRad="50800" dist="38100" dir="2700000" algn="tl" rotWithShape="0">
        <a:schemeClr val="tx2">
          <a:lumMod val="10000"/>
          <a:lumOff val="90000"/>
          <a:alpha val="40000"/>
        </a:scheme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[HR-Employee-Attrition-Analysis-Dashboard.xlxs.xlsx]JobSatisfaction!PivotTable4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ENVIRONMENT</a:t>
            </a:r>
            <a:r>
              <a:rPr lang="en-US" sz="1600" b="1" baseline="0">
                <a:solidFill>
                  <a:schemeClr val="tx1"/>
                </a:solidFill>
              </a:rPr>
              <a:t> SATISFACTION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JobSatisfaction!$B$3:$B$4</c:f>
              <c:strCache>
                <c:ptCount val="1"/>
                <c:pt idx="0">
                  <c:v>No</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JobSatisfaction!$A$5:$A$9</c:f>
              <c:strCache>
                <c:ptCount val="4"/>
                <c:pt idx="0">
                  <c:v>High</c:v>
                </c:pt>
                <c:pt idx="1">
                  <c:v>Low</c:v>
                </c:pt>
                <c:pt idx="2">
                  <c:v>Medium</c:v>
                </c:pt>
                <c:pt idx="3">
                  <c:v>Very High</c:v>
                </c:pt>
              </c:strCache>
            </c:strRef>
          </c:cat>
          <c:val>
            <c:numRef>
              <c:f>JobSatisfaction!$B$5:$B$9</c:f>
              <c:numCache>
                <c:formatCode>0.00%</c:formatCode>
                <c:ptCount val="4"/>
                <c:pt idx="0">
                  <c:v>0.86313465783664456</c:v>
                </c:pt>
                <c:pt idx="1">
                  <c:v>0.743859649122807</c:v>
                </c:pt>
                <c:pt idx="2">
                  <c:v>0.85017421602787457</c:v>
                </c:pt>
                <c:pt idx="3">
                  <c:v>0.86741573033707864</c:v>
                </c:pt>
              </c:numCache>
            </c:numRef>
          </c:val>
          <c:extLst>
            <c:ext xmlns:c16="http://schemas.microsoft.com/office/drawing/2014/chart" uri="{C3380CC4-5D6E-409C-BE32-E72D297353CC}">
              <c16:uniqueId val="{00000000-798C-48EE-84AF-74525E0B6659}"/>
            </c:ext>
          </c:extLst>
        </c:ser>
        <c:ser>
          <c:idx val="1"/>
          <c:order val="1"/>
          <c:tx>
            <c:strRef>
              <c:f>JobSatisfaction!$C$3:$C$4</c:f>
              <c:strCache>
                <c:ptCount val="1"/>
                <c:pt idx="0">
                  <c:v>Yes</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JobSatisfaction!$A$5:$A$9</c:f>
              <c:strCache>
                <c:ptCount val="4"/>
                <c:pt idx="0">
                  <c:v>High</c:v>
                </c:pt>
                <c:pt idx="1">
                  <c:v>Low</c:v>
                </c:pt>
                <c:pt idx="2">
                  <c:v>Medium</c:v>
                </c:pt>
                <c:pt idx="3">
                  <c:v>Very High</c:v>
                </c:pt>
              </c:strCache>
            </c:strRef>
          </c:cat>
          <c:val>
            <c:numRef>
              <c:f>JobSatisfaction!$C$5:$C$9</c:f>
              <c:numCache>
                <c:formatCode>0.00%</c:formatCode>
                <c:ptCount val="4"/>
                <c:pt idx="0">
                  <c:v>0.13686534216335541</c:v>
                </c:pt>
                <c:pt idx="1">
                  <c:v>0.256140350877193</c:v>
                </c:pt>
                <c:pt idx="2">
                  <c:v>0.14982578397212543</c:v>
                </c:pt>
                <c:pt idx="3">
                  <c:v>0.13258426966292136</c:v>
                </c:pt>
              </c:numCache>
            </c:numRef>
          </c:val>
          <c:extLst>
            <c:ext xmlns:c16="http://schemas.microsoft.com/office/drawing/2014/chart" uri="{C3380CC4-5D6E-409C-BE32-E72D297353CC}">
              <c16:uniqueId val="{00000001-798C-48EE-84AF-74525E0B6659}"/>
            </c:ext>
          </c:extLst>
        </c:ser>
        <c:dLbls>
          <c:showLegendKey val="0"/>
          <c:showVal val="1"/>
          <c:showCatName val="0"/>
          <c:showSerName val="0"/>
          <c:showPercent val="0"/>
          <c:showBubbleSize val="0"/>
        </c:dLbls>
        <c:gapWidth val="150"/>
        <c:shape val="box"/>
        <c:axId val="1221586159"/>
        <c:axId val="1290476191"/>
        <c:axId val="0"/>
      </c:bar3DChart>
      <c:catAx>
        <c:axId val="12215861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76191"/>
        <c:crosses val="autoZero"/>
        <c:auto val="1"/>
        <c:lblAlgn val="ctr"/>
        <c:lblOffset val="100"/>
        <c:noMultiLvlLbl val="0"/>
      </c:catAx>
      <c:valAx>
        <c:axId val="1290476191"/>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8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tx2">
          <a:lumMod val="75000"/>
          <a:lumOff val="25000"/>
          <a:alpha val="40000"/>
        </a:schemeClr>
      </a:glow>
      <a:outerShdw blurRad="50800" dist="38100" dir="2700000" algn="tl" rotWithShape="0">
        <a:schemeClr val="tx2">
          <a:lumMod val="50000"/>
          <a:lumOff val="50000"/>
          <a:alpha val="40000"/>
        </a:scheme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[HR-Employee-Attrition-Analysis-Dashboard.xlxs.xlsx]AgeGroup!PivotTable5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AGE</a:t>
            </a:r>
            <a:r>
              <a:rPr lang="en-US" sz="1600" b="1" baseline="0">
                <a:solidFill>
                  <a:schemeClr val="tx1"/>
                </a:solidFill>
              </a:rPr>
              <a:t> GROUP</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AgeGroup!$B$3:$B$4</c:f>
              <c:strCache>
                <c:ptCount val="1"/>
                <c:pt idx="0">
                  <c:v>No</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AgeGroup!$A$5:$A$10</c:f>
              <c:strCache>
                <c:ptCount val="5"/>
                <c:pt idx="0">
                  <c:v>18-25</c:v>
                </c:pt>
                <c:pt idx="1">
                  <c:v>26-35</c:v>
                </c:pt>
                <c:pt idx="2">
                  <c:v>36-45</c:v>
                </c:pt>
                <c:pt idx="3">
                  <c:v>46-55</c:v>
                </c:pt>
                <c:pt idx="4">
                  <c:v>56+</c:v>
                </c:pt>
              </c:strCache>
            </c:strRef>
          </c:cat>
          <c:val>
            <c:numRef>
              <c:f>AgeGroup!$B$5:$B$10</c:f>
              <c:numCache>
                <c:formatCode>0.00%</c:formatCode>
                <c:ptCount val="5"/>
                <c:pt idx="0">
                  <c:v>0.64227642276422769</c:v>
                </c:pt>
                <c:pt idx="1">
                  <c:v>0.8085808580858086</c:v>
                </c:pt>
                <c:pt idx="2">
                  <c:v>0.90811965811965811</c:v>
                </c:pt>
                <c:pt idx="3">
                  <c:v>0.88495575221238942</c:v>
                </c:pt>
                <c:pt idx="4">
                  <c:v>0.82978723404255317</c:v>
                </c:pt>
              </c:numCache>
            </c:numRef>
          </c:val>
          <c:extLst>
            <c:ext xmlns:c16="http://schemas.microsoft.com/office/drawing/2014/chart" uri="{C3380CC4-5D6E-409C-BE32-E72D297353CC}">
              <c16:uniqueId val="{00000000-4C21-4DCB-88EA-1133CAAE32B9}"/>
            </c:ext>
          </c:extLst>
        </c:ser>
        <c:ser>
          <c:idx val="1"/>
          <c:order val="1"/>
          <c:tx>
            <c:strRef>
              <c:f>AgeGroup!$C$3:$C$4</c:f>
              <c:strCache>
                <c:ptCount val="1"/>
                <c:pt idx="0">
                  <c:v>Yes</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AgeGroup!$A$5:$A$10</c:f>
              <c:strCache>
                <c:ptCount val="5"/>
                <c:pt idx="0">
                  <c:v>18-25</c:v>
                </c:pt>
                <c:pt idx="1">
                  <c:v>26-35</c:v>
                </c:pt>
                <c:pt idx="2">
                  <c:v>36-45</c:v>
                </c:pt>
                <c:pt idx="3">
                  <c:v>46-55</c:v>
                </c:pt>
                <c:pt idx="4">
                  <c:v>56+</c:v>
                </c:pt>
              </c:strCache>
            </c:strRef>
          </c:cat>
          <c:val>
            <c:numRef>
              <c:f>AgeGroup!$C$5:$C$10</c:f>
              <c:numCache>
                <c:formatCode>0.00%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1-4C21-4DCB-88EA-1133CAAE32B9}"/>
            </c:ext>
          </c:extLst>
        </c:ser>
        <c:dLbls>
          <c:showLegendKey val="0"/>
          <c:showVal val="1"/>
          <c:showCatName val="0"/>
          <c:showSerName val="0"/>
          <c:showPercent val="0"/>
          <c:showBubbleSize val="0"/>
        </c:dLbls>
        <c:gapWidth val="219"/>
        <c:shape val="box"/>
        <c:axId val="1230935135"/>
        <c:axId val="1290474751"/>
        <c:axId val="0"/>
      </c:bar3DChart>
      <c:catAx>
        <c:axId val="12309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74751"/>
        <c:crosses val="autoZero"/>
        <c:auto val="1"/>
        <c:lblAlgn val="ctr"/>
        <c:lblOffset val="100"/>
        <c:noMultiLvlLbl val="0"/>
      </c:catAx>
      <c:valAx>
        <c:axId val="12904747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3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tx2">
          <a:lumMod val="50000"/>
          <a:lumOff val="50000"/>
          <a:alpha val="40000"/>
        </a:schemeClr>
      </a:glow>
      <a:outerShdw blurRad="50800" dist="38100" dir="2700000" algn="tl" rotWithShape="0">
        <a:schemeClr val="tx2">
          <a:lumMod val="50000"/>
          <a:lumOff val="50000"/>
          <a:alpha val="40000"/>
        </a:scheme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[HR-Employee-Attrition-Analysis-Dashboard.xlxs.xlsx]JobRole!PivotTable6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JOB</a:t>
            </a:r>
            <a:r>
              <a:rPr lang="en-US" sz="1600" b="1" baseline="0">
                <a:solidFill>
                  <a:schemeClr val="tx1"/>
                </a:solidFill>
              </a:rPr>
              <a:t> ROLE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JobRole!$B$3:$B$4</c:f>
              <c:strCache>
                <c:ptCount val="1"/>
                <c:pt idx="0">
                  <c:v>No</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JobRole!$B$5:$B$14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BB5F-4E2E-B8FC-B1547291F6DD}"/>
            </c:ext>
          </c:extLst>
        </c:ser>
        <c:ser>
          <c:idx val="1"/>
          <c:order val="1"/>
          <c:tx>
            <c:strRef>
              <c:f>JobRole!$C$3:$C$4</c:f>
              <c:strCache>
                <c:ptCount val="1"/>
                <c:pt idx="0">
                  <c:v>Yes</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JobRole!$C$5:$C$14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BB5F-4E2E-B8FC-B1547291F6DD}"/>
            </c:ext>
          </c:extLst>
        </c:ser>
        <c:dLbls>
          <c:showLegendKey val="0"/>
          <c:showVal val="1"/>
          <c:showCatName val="0"/>
          <c:showSerName val="0"/>
          <c:showPercent val="0"/>
          <c:showBubbleSize val="0"/>
        </c:dLbls>
        <c:gapWidth val="219"/>
        <c:shape val="box"/>
        <c:axId val="1317160479"/>
        <c:axId val="1069940863"/>
        <c:axId val="0"/>
      </c:bar3DChart>
      <c:catAx>
        <c:axId val="131716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940863"/>
        <c:crosses val="autoZero"/>
        <c:auto val="1"/>
        <c:lblAlgn val="ctr"/>
        <c:lblOffset val="100"/>
        <c:noMultiLvlLbl val="0"/>
      </c:catAx>
      <c:valAx>
        <c:axId val="1069940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6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accent1">
          <a:satMod val="175000"/>
          <a:alpha val="40000"/>
        </a:schemeClr>
      </a:glow>
      <a:outerShdw blurRad="50800" dist="38100" dir="2700000" algn="tl" rotWithShape="0">
        <a:schemeClr val="tx2">
          <a:lumMod val="50000"/>
          <a:lumOff val="50000"/>
          <a:alpha val="40000"/>
        </a:scheme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[HR-Employee-Attrition-Analysis-Dashboard.xlxs.xlsx]MaritalStatus!PivotTable7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MARITAL</a:t>
            </a:r>
            <a:r>
              <a:rPr lang="en-US" sz="1600" b="1" baseline="0">
                <a:solidFill>
                  <a:schemeClr val="tx1"/>
                </a:solidFill>
              </a:rPr>
              <a:t> STATUS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MaritalStatus!$B$3:$B$4</c:f>
              <c:strCache>
                <c:ptCount val="1"/>
                <c:pt idx="0">
                  <c:v>No</c:v>
                </c:pt>
              </c:strCache>
            </c:strRef>
          </c:tx>
          <c:spPr>
            <a:solidFill>
              <a:schemeClr val="accent5">
                <a:shade val="76000"/>
              </a:schemeClr>
            </a:solidFill>
            <a:ln>
              <a:noFill/>
            </a:ln>
            <a:effectLst/>
            <a:sp3d/>
          </c:spPr>
          <c:invertIfNegative val="0"/>
          <c:cat>
            <c:strRef>
              <c:f>MaritalStatus!$A$5:$A$8</c:f>
              <c:strCache>
                <c:ptCount val="3"/>
                <c:pt idx="0">
                  <c:v>Divorced</c:v>
                </c:pt>
                <c:pt idx="1">
                  <c:v>Married</c:v>
                </c:pt>
                <c:pt idx="2">
                  <c:v>Single</c:v>
                </c:pt>
              </c:strCache>
            </c:strRef>
          </c:cat>
          <c:val>
            <c:numRef>
              <c:f>MaritalStatus!$B$5:$B$8</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7BA5-4C49-8D09-723F3DB674F2}"/>
            </c:ext>
          </c:extLst>
        </c:ser>
        <c:ser>
          <c:idx val="1"/>
          <c:order val="1"/>
          <c:tx>
            <c:strRef>
              <c:f>MaritalStatus!$C$3:$C$4</c:f>
              <c:strCache>
                <c:ptCount val="1"/>
                <c:pt idx="0">
                  <c:v>Yes</c:v>
                </c:pt>
              </c:strCache>
            </c:strRef>
          </c:tx>
          <c:spPr>
            <a:solidFill>
              <a:schemeClr val="accent5">
                <a:tint val="77000"/>
              </a:schemeClr>
            </a:solidFill>
            <a:ln>
              <a:noFill/>
            </a:ln>
            <a:effectLst/>
            <a:sp3d/>
          </c:spPr>
          <c:invertIfNegative val="0"/>
          <c:cat>
            <c:strRef>
              <c:f>MaritalStatus!$A$5:$A$8</c:f>
              <c:strCache>
                <c:ptCount val="3"/>
                <c:pt idx="0">
                  <c:v>Divorced</c:v>
                </c:pt>
                <c:pt idx="1">
                  <c:v>Married</c:v>
                </c:pt>
                <c:pt idx="2">
                  <c:v>Single</c:v>
                </c:pt>
              </c:strCache>
            </c:strRef>
          </c:cat>
          <c:val>
            <c:numRef>
              <c:f>MaritalStatus!$C$5:$C$8</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1-7BA5-4C49-8D09-723F3DB674F2}"/>
            </c:ext>
          </c:extLst>
        </c:ser>
        <c:dLbls>
          <c:showLegendKey val="0"/>
          <c:showVal val="0"/>
          <c:showCatName val="0"/>
          <c:showSerName val="0"/>
          <c:showPercent val="0"/>
          <c:showBubbleSize val="0"/>
        </c:dLbls>
        <c:gapWidth val="150"/>
        <c:shape val="box"/>
        <c:axId val="1295571311"/>
        <c:axId val="1290468511"/>
        <c:axId val="0"/>
      </c:bar3DChart>
      <c:catAx>
        <c:axId val="1295571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68511"/>
        <c:crosses val="autoZero"/>
        <c:auto val="1"/>
        <c:lblAlgn val="ctr"/>
        <c:lblOffset val="100"/>
        <c:noMultiLvlLbl val="0"/>
      </c:catAx>
      <c:valAx>
        <c:axId val="1290468511"/>
        <c:scaling>
          <c:orientation val="minMax"/>
        </c:scaling>
        <c:delete val="1"/>
        <c:axPos val="b"/>
        <c:numFmt formatCode="0.00%" sourceLinked="1"/>
        <c:majorTickMark val="out"/>
        <c:minorTickMark val="none"/>
        <c:tickLblPos val="nextTo"/>
        <c:crossAx val="129557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accent1">
          <a:satMod val="175000"/>
          <a:alpha val="42000"/>
        </a:schemeClr>
      </a:glow>
      <a:outerShdw blurRad="50800" dist="50800" dir="5400000" algn="ctr" rotWithShape="0">
        <a:schemeClr val="tx2">
          <a:lumMod val="50000"/>
          <a:lumOff val="50000"/>
        </a:scheme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[HR-Employee-Attrition-Analysis-Dashboard.xlxs.xlsx]MonthlyIncome by JobRole!PivotTable8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AVG</a:t>
            </a:r>
            <a:r>
              <a:rPr lang="en-US" sz="1600" b="1" baseline="0">
                <a:solidFill>
                  <a:schemeClr val="tx1"/>
                </a:solidFill>
              </a:rPr>
              <a:t> MONTHLY INCOME BY JOB ROLE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'MonthlyIncome by JobRole'!$B$3</c:f>
              <c:strCache>
                <c:ptCount val="1"/>
                <c:pt idx="0">
                  <c:v>Total</c:v>
                </c:pt>
              </c:strCache>
            </c:strRef>
          </c:tx>
          <c:spPr>
            <a:solidFill>
              <a:schemeClr val="accent5"/>
            </a:solidFill>
            <a:ln>
              <a:noFill/>
            </a:ln>
            <a:effectLst/>
            <a:sp3d/>
          </c:spPr>
          <c:invertIfNegative val="0"/>
          <c:cat>
            <c:strRef>
              <c:f>'MonthlyIncome by JobRole'!$A$4:$A$13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'MonthlyIncome by JobRole'!$B$4:$B$13</c:f>
              <c:numCache>
                <c:formatCode>"$"#,##0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6DC3-4158-9129-90B67569152E}"/>
            </c:ext>
          </c:extLst>
        </c:ser>
        <c:dLbls>
          <c:showLegendKey val="0"/>
          <c:showVal val="0"/>
          <c:showCatName val="0"/>
          <c:showSerName val="0"/>
          <c:showPercent val="0"/>
          <c:showBubbleSize val="0"/>
        </c:dLbls>
        <c:gapWidth val="150"/>
        <c:shape val="box"/>
        <c:axId val="1227122191"/>
        <c:axId val="1077289279"/>
        <c:axId val="0"/>
      </c:bar3DChart>
      <c:catAx>
        <c:axId val="1227122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289279"/>
        <c:crosses val="autoZero"/>
        <c:auto val="1"/>
        <c:lblAlgn val="ctr"/>
        <c:lblOffset val="100"/>
        <c:noMultiLvlLbl val="0"/>
      </c:catAx>
      <c:valAx>
        <c:axId val="10772892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2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[HR-Employee-Attrition-Analysis-Dashboard.xlxs.xlsx]Department!PivotTable2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Department!$A$5:$A$8</c:f>
              <c:strCache>
                <c:ptCount val="3"/>
                <c:pt idx="0">
                  <c:v>Human Resources</c:v>
                </c:pt>
                <c:pt idx="1">
                  <c:v>Research &amp; Development</c:v>
                </c:pt>
                <c:pt idx="2">
                  <c:v>Sales</c:v>
                </c:pt>
              </c:strCache>
            </c:strRef>
          </c:cat>
          <c:val>
            <c:numRef>
              <c:f>Department!$B$5:$B$8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8290-41F8-BF1C-CA35863947E3}"/>
            </c:ext>
          </c:extLst>
        </c:ser>
        <c:ser>
          <c:idx val="1"/>
          <c:order val="1"/>
          <c:tx>
            <c:strRef>
              <c:f>Department!$C$3:$C$4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Department!$A$5:$A$8</c:f>
              <c:strCache>
                <c:ptCount val="3"/>
                <c:pt idx="0">
                  <c:v>Human Resources</c:v>
                </c:pt>
                <c:pt idx="1">
                  <c:v>Research &amp; Development</c:v>
                </c:pt>
                <c:pt idx="2">
                  <c:v>Sales</c:v>
                </c:pt>
              </c:strCache>
            </c:strRef>
          </c:cat>
          <c:val>
            <c:numRef>
              <c:f>Department!$C$5:$C$8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8290-41F8-BF1C-CA35863947E3}"/>
            </c:ext>
          </c:extLst>
        </c:ser>
        <c:dLbls>
          <c:dLblPos val="inEnd"/>
          <c:showLegendKey val="0"/>
          <c:showVal val="1"/>
          <c:showCatName val="0"/>
          <c:showSerName val="0"/>
          <c:showPercent val="0"/>
          <c:showBubbleSize val="0"/>
        </c:dLbls>
        <c:gapWidth val="219"/>
        <c:overlap val="-27"/>
        <c:axId val="1292866079"/>
        <c:axId val="1290473311"/>
      </c:barChart>
      <c:catAx>
        <c:axId val="129286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73311"/>
        <c:crosses val="autoZero"/>
        <c:auto val="1"/>
        <c:lblAlgn val="ctr"/>
        <c:lblOffset val="100"/>
        <c:noMultiLvlLbl val="0"/>
      </c:catAx>
      <c:valAx>
        <c:axId val="129047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8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[HR-Employee-Attrition-Analysis-Dashboard.xlxs.xlsx]OverTime!PivotTable3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OverTime!$A$5:$A$7</c:f>
              <c:strCache>
                <c:ptCount val="2"/>
                <c:pt idx="0">
                  <c:v>No</c:v>
                </c:pt>
                <c:pt idx="1">
                  <c:v>Yes</c:v>
                </c:pt>
              </c:strCache>
            </c:strRef>
          </c:cat>
          <c:val>
            <c:numRef>
              <c:f>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E481-4143-9479-10829C160276}"/>
            </c:ext>
          </c:extLst>
        </c:ser>
        <c:ser>
          <c:idx val="1"/>
          <c:order val="1"/>
          <c:tx>
            <c:strRef>
              <c:f>OverTime!$C$3:$C$4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OverTime!$A$5:$A$7</c:f>
              <c:strCache>
                <c:ptCount val="2"/>
                <c:pt idx="0">
                  <c:v>No</c:v>
                </c:pt>
                <c:pt idx="1">
                  <c:v>Yes</c:v>
                </c:pt>
              </c:strCache>
            </c:strRef>
          </c:cat>
          <c:val>
            <c:numRef>
              <c:f>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1-E481-4143-9479-10829C160276}"/>
            </c:ext>
          </c:extLst>
        </c:ser>
        <c:dLbls>
          <c:dLblPos val="inEnd"/>
          <c:showLegendKey val="0"/>
          <c:showVal val="1"/>
          <c:showCatName val="0"/>
          <c:showSerName val="0"/>
          <c:showPercent val="0"/>
          <c:showBubbleSize val="0"/>
        </c:dLbls>
        <c:gapWidth val="182"/>
        <c:axId val="1227129615"/>
        <c:axId val="1077298879"/>
      </c:barChart>
      <c:catAx>
        <c:axId val="122712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298879"/>
        <c:crosses val="autoZero"/>
        <c:auto val="1"/>
        <c:lblAlgn val="ctr"/>
        <c:lblOffset val="100"/>
        <c:noMultiLvlLbl val="0"/>
      </c:catAx>
      <c:valAx>
        <c:axId val="1077298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2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[HR-Employee-Attrition-Analysis-Dashboard.xlxs.xlsx]JobSatisfaction!PivotTable4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aseline="0"/>
              <a:t> </a:t>
            </a:r>
            <a:r>
              <a:rPr lang="en-US" b="1" baseline="0"/>
              <a:t>By</a:t>
            </a:r>
            <a:r>
              <a:rPr lang="en-US" baseline="0"/>
              <a:t> </a:t>
            </a:r>
            <a:r>
              <a:rPr lang="en-US" b="1" baseline="0"/>
              <a:t>Job</a:t>
            </a:r>
            <a:r>
              <a:rPr lang="en-US" baseline="0"/>
              <a:t> </a:t>
            </a:r>
            <a:r>
              <a:rPr lang="en-US" b="1" baseline="0"/>
              <a:t>Satisfaction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JobSatisfaction!$B$3:$B$4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JobSatisfaction!$A$5:$A$9</c:f>
              <c:strCache>
                <c:ptCount val="4"/>
                <c:pt idx="0">
                  <c:v>High</c:v>
                </c:pt>
                <c:pt idx="1">
                  <c:v>Low</c:v>
                </c:pt>
                <c:pt idx="2">
                  <c:v>Medium</c:v>
                </c:pt>
                <c:pt idx="3">
                  <c:v>Very High</c:v>
                </c:pt>
              </c:strCache>
            </c:strRef>
          </c:cat>
          <c:val>
            <c:numRef>
              <c:f>JobSatisfaction!$B$5:$B$9</c:f>
              <c:numCache>
                <c:formatCode>0.00%</c:formatCode>
                <c:ptCount val="4"/>
                <c:pt idx="0">
                  <c:v>0.86313465783664456</c:v>
                </c:pt>
                <c:pt idx="1">
                  <c:v>0.743859649122807</c:v>
                </c:pt>
                <c:pt idx="2">
                  <c:v>0.85017421602787457</c:v>
                </c:pt>
                <c:pt idx="3">
                  <c:v>0.86741573033707864</c:v>
                </c:pt>
              </c:numCache>
            </c:numRef>
          </c:val>
          <c:extLst>
            <c:ext xmlns:c16="http://schemas.microsoft.com/office/drawing/2014/chart" uri="{C3380CC4-5D6E-409C-BE32-E72D297353CC}">
              <c16:uniqueId val="{00000000-480B-4D0A-AC7A-D8600003DCE5}"/>
            </c:ext>
          </c:extLst>
        </c:ser>
        <c:ser>
          <c:idx val="1"/>
          <c:order val="1"/>
          <c:tx>
            <c:strRef>
              <c:f>JobSatisfaction!$C$3:$C$4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JobSatisfaction!$A$5:$A$9</c:f>
              <c:strCache>
                <c:ptCount val="4"/>
                <c:pt idx="0">
                  <c:v>High</c:v>
                </c:pt>
                <c:pt idx="1">
                  <c:v>Low</c:v>
                </c:pt>
                <c:pt idx="2">
                  <c:v>Medium</c:v>
                </c:pt>
                <c:pt idx="3">
                  <c:v>Very High</c:v>
                </c:pt>
              </c:strCache>
            </c:strRef>
          </c:cat>
          <c:val>
            <c:numRef>
              <c:f>JobSatisfaction!$C$5:$C$9</c:f>
              <c:numCache>
                <c:formatCode>0.00%</c:formatCode>
                <c:ptCount val="4"/>
                <c:pt idx="0">
                  <c:v>0.13686534216335541</c:v>
                </c:pt>
                <c:pt idx="1">
                  <c:v>0.256140350877193</c:v>
                </c:pt>
                <c:pt idx="2">
                  <c:v>0.14982578397212543</c:v>
                </c:pt>
                <c:pt idx="3">
                  <c:v>0.13258426966292136</c:v>
                </c:pt>
              </c:numCache>
            </c:numRef>
          </c:val>
          <c:extLst>
            <c:ext xmlns:c16="http://schemas.microsoft.com/office/drawing/2014/chart" uri="{C3380CC4-5D6E-409C-BE32-E72D297353CC}">
              <c16:uniqueId val="{00000001-480B-4D0A-AC7A-D8600003DCE5}"/>
            </c:ext>
          </c:extLst>
        </c:ser>
        <c:dLbls>
          <c:showLegendKey val="0"/>
          <c:showVal val="1"/>
          <c:showCatName val="0"/>
          <c:showSerName val="0"/>
          <c:showPercent val="0"/>
          <c:showBubbleSize val="0"/>
        </c:dLbls>
        <c:gapWidth val="150"/>
        <c:shape val="box"/>
        <c:axId val="1221586159"/>
        <c:axId val="1290476191"/>
        <c:axId val="0"/>
      </c:bar3DChart>
      <c:catAx>
        <c:axId val="122158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76191"/>
        <c:crosses val="autoZero"/>
        <c:auto val="1"/>
        <c:lblAlgn val="ctr"/>
        <c:lblOffset val="100"/>
        <c:noMultiLvlLbl val="0"/>
      </c:catAx>
      <c:valAx>
        <c:axId val="1290476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8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[HR-Employee-Attrition-Analysis-Dashboard.xlxs.xlsx]AgeGroup!PivotTable5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AgeGroup!$B$3:$B$4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AgeGroup!$A$5:$A$10</c:f>
              <c:strCache>
                <c:ptCount val="5"/>
                <c:pt idx="0">
                  <c:v>18-25</c:v>
                </c:pt>
                <c:pt idx="1">
                  <c:v>26-35</c:v>
                </c:pt>
                <c:pt idx="2">
                  <c:v>36-45</c:v>
                </c:pt>
                <c:pt idx="3">
                  <c:v>46-55</c:v>
                </c:pt>
                <c:pt idx="4">
                  <c:v>56+</c:v>
                </c:pt>
              </c:strCache>
            </c:strRef>
          </c:cat>
          <c:val>
            <c:numRef>
              <c:f>AgeGroup!$B$5:$B$10</c:f>
              <c:numCache>
                <c:formatCode>0.00%</c:formatCode>
                <c:ptCount val="5"/>
                <c:pt idx="0">
                  <c:v>0.64227642276422769</c:v>
                </c:pt>
                <c:pt idx="1">
                  <c:v>0.8085808580858086</c:v>
                </c:pt>
                <c:pt idx="2">
                  <c:v>0.90811965811965811</c:v>
                </c:pt>
                <c:pt idx="3">
                  <c:v>0.88495575221238942</c:v>
                </c:pt>
                <c:pt idx="4">
                  <c:v>0.82978723404255317</c:v>
                </c:pt>
              </c:numCache>
            </c:numRef>
          </c:val>
          <c:extLst>
            <c:ext xmlns:c16="http://schemas.microsoft.com/office/drawing/2014/chart" uri="{C3380CC4-5D6E-409C-BE32-E72D297353CC}">
              <c16:uniqueId val="{00000000-C01C-412A-AD29-507FC78579F6}"/>
            </c:ext>
          </c:extLst>
        </c:ser>
        <c:ser>
          <c:idx val="1"/>
          <c:order val="1"/>
          <c:tx>
            <c:strRef>
              <c:f>AgeGroup!$C$3:$C$4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AgeGroup!$A$5:$A$10</c:f>
              <c:strCache>
                <c:ptCount val="5"/>
                <c:pt idx="0">
                  <c:v>18-25</c:v>
                </c:pt>
                <c:pt idx="1">
                  <c:v>26-35</c:v>
                </c:pt>
                <c:pt idx="2">
                  <c:v>36-45</c:v>
                </c:pt>
                <c:pt idx="3">
                  <c:v>46-55</c:v>
                </c:pt>
                <c:pt idx="4">
                  <c:v>56+</c:v>
                </c:pt>
              </c:strCache>
            </c:strRef>
          </c:cat>
          <c:val>
            <c:numRef>
              <c:f>AgeGroup!$C$5:$C$10</c:f>
              <c:numCache>
                <c:formatCode>0.00%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1-C01C-412A-AD29-507FC78579F6}"/>
            </c:ext>
          </c:extLst>
        </c:ser>
        <c:dLbls>
          <c:dLblPos val="inEnd"/>
          <c:showLegendKey val="0"/>
          <c:showVal val="1"/>
          <c:showCatName val="0"/>
          <c:showSerName val="0"/>
          <c:showPercent val="0"/>
          <c:showBubbleSize val="0"/>
        </c:dLbls>
        <c:gapWidth val="219"/>
        <c:overlap val="-27"/>
        <c:axId val="1230935135"/>
        <c:axId val="1290474751"/>
      </c:barChart>
      <c:catAx>
        <c:axId val="12309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74751"/>
        <c:crosses val="autoZero"/>
        <c:auto val="1"/>
        <c:lblAlgn val="ctr"/>
        <c:lblOffset val="100"/>
        <c:noMultiLvlLbl val="0"/>
      </c:catAx>
      <c:valAx>
        <c:axId val="1290474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93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[HR-Employee-Attrition-Analysis-Dashboard.xlxs.xlsx]JobRole!PivotTable6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Job 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JobRole!$B$3:$B$4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JobRole!$B$5:$B$14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B05B-4FC4-8B93-111ED6B4361E}"/>
            </c:ext>
          </c:extLst>
        </c:ser>
        <c:ser>
          <c:idx val="1"/>
          <c:order val="1"/>
          <c:tx>
            <c:strRef>
              <c:f>JobRole!$C$3:$C$4</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JobRole!$C$5:$C$14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B05B-4FC4-8B93-111ED6B4361E}"/>
            </c:ext>
          </c:extLst>
        </c:ser>
        <c:dLbls>
          <c:dLblPos val="outEnd"/>
          <c:showLegendKey val="0"/>
          <c:showVal val="1"/>
          <c:showCatName val="0"/>
          <c:showSerName val="0"/>
          <c:showPercent val="0"/>
          <c:showBubbleSize val="0"/>
        </c:dLbls>
        <c:gapWidth val="219"/>
        <c:overlap val="-27"/>
        <c:axId val="1317160479"/>
        <c:axId val="1069940863"/>
      </c:barChart>
      <c:catAx>
        <c:axId val="131716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940863"/>
        <c:crosses val="autoZero"/>
        <c:auto val="1"/>
        <c:lblAlgn val="ctr"/>
        <c:lblOffset val="100"/>
        <c:noMultiLvlLbl val="0"/>
      </c:catAx>
      <c:valAx>
        <c:axId val="1069940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16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[HR-Employee-Attrition-Analysis-Dashboard.xlxs.xlsx]MaritalStatus!PivotTable7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by Marital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MaritalStatus!$B$3:$B$4</c:f>
              <c:strCache>
                <c:ptCount val="1"/>
                <c:pt idx="0">
                  <c:v>No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MaritalStatus!$A$5:$A$8</c:f>
              <c:strCache>
                <c:ptCount val="3"/>
                <c:pt idx="0">
                  <c:v>Divorced</c:v>
                </c:pt>
                <c:pt idx="1">
                  <c:v>Married</c:v>
                </c:pt>
                <c:pt idx="2">
                  <c:v>Single</c:v>
                </c:pt>
              </c:strCache>
            </c:strRef>
          </c:cat>
          <c:val>
            <c:numRef>
              <c:f>MaritalStatus!$B$5:$B$8</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6B18-475C-844E-43E3DFA79E0C}"/>
            </c:ext>
          </c:extLst>
        </c:ser>
        <c:ser>
          <c:idx val="1"/>
          <c:order val="1"/>
          <c:tx>
            <c:strRef>
              <c:f>MaritalStatus!$C$3:$C$4</c:f>
              <c:strCache>
                <c:ptCount val="1"/>
                <c:pt idx="0">
                  <c:v>Yes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MaritalStatus!$A$5:$A$8</c:f>
              <c:strCache>
                <c:ptCount val="3"/>
                <c:pt idx="0">
                  <c:v>Divorced</c:v>
                </c:pt>
                <c:pt idx="1">
                  <c:v>Married</c:v>
                </c:pt>
                <c:pt idx="2">
                  <c:v>Single</c:v>
                </c:pt>
              </c:strCache>
            </c:strRef>
          </c:cat>
          <c:val>
            <c:numRef>
              <c:f>MaritalStatus!$C$5:$C$8</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1-6B18-475C-844E-43E3DFA79E0C}"/>
            </c:ext>
          </c:extLst>
        </c:ser>
        <c:dLbls>
          <c:showLegendKey val="0"/>
          <c:showVal val="1"/>
          <c:showCatName val="0"/>
          <c:showSerName val="0"/>
          <c:showPercent val="0"/>
          <c:showBubbleSize val="0"/>
        </c:dLbls>
        <c:gapWidth val="150"/>
        <c:shape val="box"/>
        <c:axId val="1295571311"/>
        <c:axId val="1290468511"/>
        <c:axId val="0"/>
      </c:bar3DChart>
      <c:catAx>
        <c:axId val="129557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68511"/>
        <c:crosses val="autoZero"/>
        <c:auto val="1"/>
        <c:lblAlgn val="ctr"/>
        <c:lblOffset val="100"/>
        <c:noMultiLvlLbl val="0"/>
      </c:catAx>
      <c:valAx>
        <c:axId val="12904685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57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[HR-Employee-Attrition-Analysis-Dashboard.xlxs.xlsx]MonthlyIncome by JobRole!PivotTable8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Monthly Income by JobRole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'MonthlyIncome by JobRole'!$B$3</c:f>
              <c:strCache>
                <c:ptCount val="1"/>
                <c:pt idx="0">
                  <c:v>Total</c:v>
                </c:pt>
              </c:strCache>
            </c:strRef>
          </c:tx>
          <c:spPr>
            <a:solidFill>
              <a:schemeClr val="accent5"/>
            </a:solidFill>
            <a:ln>
              <a:noFill/>
            </a:ln>
            <a:effectLst/>
            <a:sp3d/>
          </c:spPr>
          <c:invertIfNegative val="0"/>
          <c:cat>
            <c:strRef>
              <c:f>'MonthlyIncome by JobRole'!$A$4:$A$13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'MonthlyIncome by JobRole'!$B$4:$B$13</c:f>
              <c:numCache>
                <c:formatCode>"$"#,##0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BEB8-4B85-B138-046C7A84160A}"/>
            </c:ext>
          </c:extLst>
        </c:ser>
        <c:dLbls>
          <c:showLegendKey val="0"/>
          <c:showVal val="0"/>
          <c:showCatName val="0"/>
          <c:showSerName val="0"/>
          <c:showPercent val="0"/>
          <c:showBubbleSize val="0"/>
        </c:dLbls>
        <c:gapWidth val="150"/>
        <c:shape val="box"/>
        <c:axId val="1227122191"/>
        <c:axId val="1077289279"/>
        <c:axId val="0"/>
      </c:bar3DChart>
      <c:catAx>
        <c:axId val="1227122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289279"/>
        <c:crosses val="autoZero"/>
        <c:auto val="1"/>
        <c:lblAlgn val="ctr"/>
        <c:lblOffset val="100"/>
        <c:noMultiLvlLbl val="0"/>
      </c:catAx>
      <c:valAx>
        <c:axId val="107728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12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[HR-Employee-Attrition-Analysis-Dashboard.xlxs.xlsx]Sheet2!PivotTable1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Non-Travel</c:v>
                </c:pt>
                <c:pt idx="1">
                  <c:v>Travel_Frequently</c:v>
                </c:pt>
                <c:pt idx="2">
                  <c:v>Travel_Rarely</c:v>
                </c:pt>
              </c:strCache>
            </c:strRef>
          </c:cat>
          <c:val>
            <c:numRef>
              <c:f>Sheet2!$B$4:$B$7</c:f>
              <c:numCache>
                <c:formatCode>General</c:formatCode>
                <c:ptCount val="3"/>
                <c:pt idx="0">
                  <c:v>150</c:v>
                </c:pt>
                <c:pt idx="1">
                  <c:v>277</c:v>
                </c:pt>
                <c:pt idx="2">
                  <c:v>1043</c:v>
                </c:pt>
              </c:numCache>
            </c:numRef>
          </c:val>
          <c:extLst>
            <c:ext xmlns:c16="http://schemas.microsoft.com/office/drawing/2014/chart" uri="{C3380CC4-5D6E-409C-BE32-E72D297353CC}">
              <c16:uniqueId val="{00000000-31F2-43B2-B980-AD7579A8D411}"/>
            </c:ext>
          </c:extLst>
        </c:ser>
        <c:dLbls>
          <c:showLegendKey val="0"/>
          <c:showVal val="0"/>
          <c:showCatName val="0"/>
          <c:showSerName val="0"/>
          <c:showPercent val="0"/>
          <c:showBubbleSize val="0"/>
        </c:dLbls>
        <c:gapWidth val="150"/>
        <c:shape val="box"/>
        <c:axId val="1490118432"/>
        <c:axId val="1490079552"/>
        <c:axId val="0"/>
      </c:bar3DChart>
      <c:catAx>
        <c:axId val="149011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079552"/>
        <c:crosses val="autoZero"/>
        <c:auto val="1"/>
        <c:lblAlgn val="ctr"/>
        <c:lblOffset val="100"/>
        <c:noMultiLvlLbl val="0"/>
      </c:catAx>
      <c:valAx>
        <c:axId val="1490079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81642</xdr:colOff>
      <xdr:row>0</xdr:row>
      <xdr:rowOff>0</xdr:rowOff>
    </xdr:from>
    <xdr:to>
      <xdr:col>39</xdr:col>
      <xdr:colOff>326571</xdr:colOff>
      <xdr:row>71</xdr:row>
      <xdr:rowOff>176893</xdr:rowOff>
    </xdr:to>
    <xdr:sp macro="" textlink="">
      <xdr:nvSpPr>
        <xdr:cNvPr id="14" name="Rectangle: Rounded Corners 13">
          <a:extLst>
            <a:ext uri="{FF2B5EF4-FFF2-40B4-BE49-F238E27FC236}">
              <a16:creationId xmlns:a16="http://schemas.microsoft.com/office/drawing/2014/main" id="{24787BBE-A92E-6FFF-3B9F-FCCF73C49D96}"/>
            </a:ext>
          </a:extLst>
        </xdr:cNvPr>
        <xdr:cNvSpPr/>
      </xdr:nvSpPr>
      <xdr:spPr>
        <a:xfrm>
          <a:off x="81642" y="0"/>
          <a:ext cx="24125465" cy="140970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a:ln>
              <a:noFill/>
            </a:ln>
            <a:solidFill>
              <a:schemeClr val="lt1"/>
            </a:solidFill>
          </a:endParaRPr>
        </a:p>
      </xdr:txBody>
    </xdr:sp>
    <xdr:clientData/>
  </xdr:twoCellAnchor>
  <xdr:twoCellAnchor>
    <xdr:from>
      <xdr:col>6</xdr:col>
      <xdr:colOff>258535</xdr:colOff>
      <xdr:row>5</xdr:row>
      <xdr:rowOff>81643</xdr:rowOff>
    </xdr:from>
    <xdr:to>
      <xdr:col>15</xdr:col>
      <xdr:colOff>258536</xdr:colOff>
      <xdr:row>21</xdr:row>
      <xdr:rowOff>86406</xdr:rowOff>
    </xdr:to>
    <xdr:graphicFrame macro="">
      <xdr:nvGraphicFramePr>
        <xdr:cNvPr id="2" name="Chart 1">
          <a:extLst>
            <a:ext uri="{FF2B5EF4-FFF2-40B4-BE49-F238E27FC236}">
              <a16:creationId xmlns:a16="http://schemas.microsoft.com/office/drawing/2014/main" id="{85462A30-18AE-4783-8EC5-E10E9730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450736</xdr:colOff>
      <xdr:row>5</xdr:row>
      <xdr:rowOff>171787</xdr:rowOff>
    </xdr:from>
    <xdr:to>
      <xdr:col>24</xdr:col>
      <xdr:colOff>148317</xdr:colOff>
      <xdr:row>21</xdr:row>
      <xdr:rowOff>81642</xdr:rowOff>
    </xdr:to>
    <xdr:graphicFrame macro="">
      <xdr:nvGraphicFramePr>
        <xdr:cNvPr id="3" name="Chart 2">
          <a:extLst>
            <a:ext uri="{FF2B5EF4-FFF2-40B4-BE49-F238E27FC236}">
              <a16:creationId xmlns:a16="http://schemas.microsoft.com/office/drawing/2014/main" id="{79AB721D-88D1-441D-B41B-19275ACD6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231321</xdr:colOff>
      <xdr:row>22</xdr:row>
      <xdr:rowOff>134370</xdr:rowOff>
    </xdr:from>
    <xdr:to>
      <xdr:col>15</xdr:col>
      <xdr:colOff>176892</xdr:colOff>
      <xdr:row>38</xdr:row>
      <xdr:rowOff>190499</xdr:rowOff>
    </xdr:to>
    <xdr:graphicFrame macro="">
      <xdr:nvGraphicFramePr>
        <xdr:cNvPr id="4" name="Chart 3">
          <a:extLst>
            <a:ext uri="{FF2B5EF4-FFF2-40B4-BE49-F238E27FC236}">
              <a16:creationId xmlns:a16="http://schemas.microsoft.com/office/drawing/2014/main" id="{8B3DBEDB-6EF8-4ADC-BBB0-565D0343E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136072</xdr:colOff>
      <xdr:row>22</xdr:row>
      <xdr:rowOff>136073</xdr:rowOff>
    </xdr:from>
    <xdr:to>
      <xdr:col>25</xdr:col>
      <xdr:colOff>68035</xdr:colOff>
      <xdr:row>39</xdr:row>
      <xdr:rowOff>1</xdr:rowOff>
    </xdr:to>
    <xdr:graphicFrame macro="">
      <xdr:nvGraphicFramePr>
        <xdr:cNvPr id="5" name="Chart 4">
          <a:extLst>
            <a:ext uri="{FF2B5EF4-FFF2-40B4-BE49-F238E27FC236}">
              <a16:creationId xmlns:a16="http://schemas.microsoft.com/office/drawing/2014/main" id="{7FB8A915-4552-443F-9369-31432EB51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204106</xdr:colOff>
      <xdr:row>6</xdr:row>
      <xdr:rowOff>0</xdr:rowOff>
    </xdr:from>
    <xdr:to>
      <xdr:col>35</xdr:col>
      <xdr:colOff>136071</xdr:colOff>
      <xdr:row>21</xdr:row>
      <xdr:rowOff>98311</xdr:rowOff>
    </xdr:to>
    <xdr:graphicFrame macro="">
      <xdr:nvGraphicFramePr>
        <xdr:cNvPr id="6" name="Chart 5">
          <a:extLst>
            <a:ext uri="{FF2B5EF4-FFF2-40B4-BE49-F238E27FC236}">
              <a16:creationId xmlns:a16="http://schemas.microsoft.com/office/drawing/2014/main" id="{7DE35A11-9371-49F3-AF55-9C16F6DEA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510266</xdr:colOff>
      <xdr:row>41</xdr:row>
      <xdr:rowOff>69738</xdr:rowOff>
    </xdr:from>
    <xdr:to>
      <xdr:col>15</xdr:col>
      <xdr:colOff>353786</xdr:colOff>
      <xdr:row>57</xdr:row>
      <xdr:rowOff>68036</xdr:rowOff>
    </xdr:to>
    <xdr:graphicFrame macro="">
      <xdr:nvGraphicFramePr>
        <xdr:cNvPr id="7" name="Chart 6">
          <a:extLst>
            <a:ext uri="{FF2B5EF4-FFF2-40B4-BE49-F238E27FC236}">
              <a16:creationId xmlns:a16="http://schemas.microsoft.com/office/drawing/2014/main" id="{948FCE8F-320A-4BDE-B730-77B4549DC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57830</xdr:colOff>
      <xdr:row>22</xdr:row>
      <xdr:rowOff>149678</xdr:rowOff>
    </xdr:from>
    <xdr:to>
      <xdr:col>34</xdr:col>
      <xdr:colOff>386782</xdr:colOff>
      <xdr:row>39</xdr:row>
      <xdr:rowOff>95249</xdr:rowOff>
    </xdr:to>
    <xdr:graphicFrame macro="">
      <xdr:nvGraphicFramePr>
        <xdr:cNvPr id="8" name="Chart 7">
          <a:extLst>
            <a:ext uri="{FF2B5EF4-FFF2-40B4-BE49-F238E27FC236}">
              <a16:creationId xmlns:a16="http://schemas.microsoft.com/office/drawing/2014/main" id="{374F6291-4E11-400D-8430-C0BBA5AF7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6</xdr:col>
      <xdr:colOff>68035</xdr:colOff>
      <xdr:row>1</xdr:row>
      <xdr:rowOff>435429</xdr:rowOff>
    </xdr:from>
    <xdr:ext cx="184731" cy="264560"/>
    <xdr:sp macro="" textlink="">
      <xdr:nvSpPr>
        <xdr:cNvPr id="9" name="TextBox 8">
          <a:extLst>
            <a:ext uri="{FF2B5EF4-FFF2-40B4-BE49-F238E27FC236}">
              <a16:creationId xmlns:a16="http://schemas.microsoft.com/office/drawing/2014/main" id="{2641B019-BD12-27E2-9C3A-5BCA58DADB8F}"/>
            </a:ext>
          </a:extLst>
        </xdr:cNvPr>
        <xdr:cNvSpPr txBox="1"/>
      </xdr:nvSpPr>
      <xdr:spPr>
        <a:xfrm>
          <a:off x="3741964" y="6259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13</xdr:col>
      <xdr:colOff>258535</xdr:colOff>
      <xdr:row>1</xdr:row>
      <xdr:rowOff>272143</xdr:rowOff>
    </xdr:from>
    <xdr:ext cx="184731" cy="264560"/>
    <xdr:sp macro="" textlink="">
      <xdr:nvSpPr>
        <xdr:cNvPr id="12" name="TextBox 11">
          <a:extLst>
            <a:ext uri="{FF2B5EF4-FFF2-40B4-BE49-F238E27FC236}">
              <a16:creationId xmlns:a16="http://schemas.microsoft.com/office/drawing/2014/main" id="{5BADD26B-656E-CED0-FC3A-04A319B9BE18}"/>
            </a:ext>
          </a:extLst>
        </xdr:cNvPr>
        <xdr:cNvSpPr txBox="1"/>
      </xdr:nvSpPr>
      <xdr:spPr>
        <a:xfrm>
          <a:off x="8218714" y="4626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136071</xdr:colOff>
      <xdr:row>0</xdr:row>
      <xdr:rowOff>0</xdr:rowOff>
    </xdr:from>
    <xdr:ext cx="12600215" cy="1496785"/>
    <xdr:sp macro="" textlink="">
      <xdr:nvSpPr>
        <xdr:cNvPr id="13" name="TextBox 12">
          <a:extLst>
            <a:ext uri="{FF2B5EF4-FFF2-40B4-BE49-F238E27FC236}">
              <a16:creationId xmlns:a16="http://schemas.microsoft.com/office/drawing/2014/main" id="{027AF212-A615-7BB8-B968-911591BD7A89}"/>
            </a:ext>
          </a:extLst>
        </xdr:cNvPr>
        <xdr:cNvSpPr txBox="1"/>
      </xdr:nvSpPr>
      <xdr:spPr>
        <a:xfrm>
          <a:off x="4422321" y="0"/>
          <a:ext cx="12600215" cy="1496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chemeClr val="bg1"/>
              </a:solidFill>
            </a:rPr>
            <a:t>                                             HR EMPLOYEE ATTRITION</a:t>
          </a:r>
        </a:p>
        <a:p>
          <a:r>
            <a:rPr lang="en-US" sz="3200" b="1">
              <a:solidFill>
                <a:schemeClr val="bg1"/>
              </a:solidFill>
            </a:rPr>
            <a:t>                                                          ANALYSIS DASHBOARD</a:t>
          </a:r>
        </a:p>
      </xdr:txBody>
    </xdr:sp>
    <xdr:clientData/>
  </xdr:oneCellAnchor>
  <xdr:twoCellAnchor editAs="oneCell">
    <xdr:from>
      <xdr:col>0</xdr:col>
      <xdr:colOff>530679</xdr:colOff>
      <xdr:row>5</xdr:row>
      <xdr:rowOff>95250</xdr:rowOff>
    </xdr:from>
    <xdr:to>
      <xdr:col>5</xdr:col>
      <xdr:colOff>367393</xdr:colOff>
      <xdr:row>21</xdr:row>
      <xdr:rowOff>0</xdr:rowOff>
    </xdr:to>
    <mc:AlternateContent xmlns:mc="http://schemas.openxmlformats.org/markup-compatibility/2006">
      <mc:Choice xmlns:a14="http://schemas.microsoft.com/office/drawing/2010/main" Requires="a14">
        <xdr:graphicFrame macro="">
          <xdr:nvGraphicFramePr>
            <xdr:cNvPr id="15" name="JobLevel_Label 1">
              <a:extLst>
                <a:ext uri="{FF2B5EF4-FFF2-40B4-BE49-F238E27FC236}">
                  <a16:creationId xmlns:a16="http://schemas.microsoft.com/office/drawing/2014/main" id="{E49AC4D2-F790-4BEB-978B-8F23492F45F2}"/>
                </a:ext>
              </a:extLst>
            </xdr:cNvPr>
            <xdr:cNvGraphicFramePr/>
          </xdr:nvGraphicFramePr>
          <xdr:xfrm>
            <a:off x="0" y="0"/>
            <a:ext cx="0" cy="0"/>
          </xdr:xfrm>
          <a:graphic>
            <a:graphicData uri="http://schemas.microsoft.com/office/drawing/2010/slicer">
              <sle:slicer xmlns:sle="http://schemas.microsoft.com/office/drawing/2010/slicer" name="JobLevel_Label 1"/>
            </a:graphicData>
          </a:graphic>
        </xdr:graphicFrame>
      </mc:Choice>
      <mc:Fallback>
        <xdr:sp macro="" textlink="">
          <xdr:nvSpPr>
            <xdr:cNvPr id="0" name=""/>
            <xdr:cNvSpPr>
              <a:spLocks noTextEdit="1"/>
            </xdr:cNvSpPr>
          </xdr:nvSpPr>
          <xdr:spPr>
            <a:xfrm>
              <a:off x="530679" y="1442357"/>
              <a:ext cx="2898321" cy="295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530679</xdr:colOff>
      <xdr:row>22</xdr:row>
      <xdr:rowOff>176892</xdr:rowOff>
    </xdr:from>
    <xdr:to>
      <xdr:col>5</xdr:col>
      <xdr:colOff>421821</xdr:colOff>
      <xdr:row>38</xdr:row>
      <xdr:rowOff>190499</xdr:rowOff>
    </xdr:to>
    <mc:AlternateContent xmlns:mc="http://schemas.openxmlformats.org/markup-compatibility/2006">
      <mc:Choice xmlns:a14="http://schemas.microsoft.com/office/drawing/2010/main" Requires="a14">
        <xdr:graphicFrame macro="">
          <xdr:nvGraphicFramePr>
            <xdr:cNvPr id="16" name="BusinessTravel 1">
              <a:extLst>
                <a:ext uri="{FF2B5EF4-FFF2-40B4-BE49-F238E27FC236}">
                  <a16:creationId xmlns:a16="http://schemas.microsoft.com/office/drawing/2014/main" id="{99D4FFDA-BCFF-4067-BEB1-8AE318DFB354}"/>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530679" y="4762499"/>
              <a:ext cx="2952749" cy="3061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489857</xdr:colOff>
      <xdr:row>41</xdr:row>
      <xdr:rowOff>95250</xdr:rowOff>
    </xdr:from>
    <xdr:to>
      <xdr:col>5</xdr:col>
      <xdr:colOff>394607</xdr:colOff>
      <xdr:row>57</xdr:row>
      <xdr:rowOff>81643</xdr:rowOff>
    </xdr:to>
    <mc:AlternateContent xmlns:mc="http://schemas.openxmlformats.org/markup-compatibility/2006">
      <mc:Choice xmlns:a14="http://schemas.microsoft.com/office/drawing/2010/main" Requires="a14">
        <xdr:graphicFrame macro="">
          <xdr:nvGraphicFramePr>
            <xdr:cNvPr id="17" name="DistanceFromHome_Label 1">
              <a:extLst>
                <a:ext uri="{FF2B5EF4-FFF2-40B4-BE49-F238E27FC236}">
                  <a16:creationId xmlns:a16="http://schemas.microsoft.com/office/drawing/2014/main" id="{5752C23C-5C49-4552-B1C7-0D14A3C3C947}"/>
                </a:ext>
              </a:extLst>
            </xdr:cNvPr>
            <xdr:cNvGraphicFramePr/>
          </xdr:nvGraphicFramePr>
          <xdr:xfrm>
            <a:off x="0" y="0"/>
            <a:ext cx="0" cy="0"/>
          </xdr:xfrm>
          <a:graphic>
            <a:graphicData uri="http://schemas.microsoft.com/office/drawing/2010/slicer">
              <sle:slicer xmlns:sle="http://schemas.microsoft.com/office/drawing/2010/slicer" name="DistanceFromHome_Label 1"/>
            </a:graphicData>
          </a:graphic>
        </xdr:graphicFrame>
      </mc:Choice>
      <mc:Fallback>
        <xdr:sp macro="" textlink="">
          <xdr:nvSpPr>
            <xdr:cNvPr id="0" name=""/>
            <xdr:cNvSpPr>
              <a:spLocks noTextEdit="1"/>
            </xdr:cNvSpPr>
          </xdr:nvSpPr>
          <xdr:spPr>
            <a:xfrm>
              <a:off x="489857" y="8300357"/>
              <a:ext cx="2966357" cy="3034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561974</xdr:colOff>
      <xdr:row>9</xdr:row>
      <xdr:rowOff>147637</xdr:rowOff>
    </xdr:from>
    <xdr:to>
      <xdr:col>6</xdr:col>
      <xdr:colOff>723899</xdr:colOff>
      <xdr:row>24</xdr:row>
      <xdr:rowOff>33337</xdr:rowOff>
    </xdr:to>
    <xdr:graphicFrame macro="">
      <xdr:nvGraphicFramePr>
        <xdr:cNvPr id="2" name="Chart 1">
          <a:extLst>
            <a:ext uri="{FF2B5EF4-FFF2-40B4-BE49-F238E27FC236}">
              <a16:creationId xmlns:a16="http://schemas.microsoft.com/office/drawing/2014/main" id="{F558D261-E441-954F-B606-2FAAA2CEE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323850</xdr:colOff>
      <xdr:row>6</xdr:row>
      <xdr:rowOff>147637</xdr:rowOff>
    </xdr:from>
    <xdr:to>
      <xdr:col>10</xdr:col>
      <xdr:colOff>485775</xdr:colOff>
      <xdr:row>21</xdr:row>
      <xdr:rowOff>33337</xdr:rowOff>
    </xdr:to>
    <xdr:graphicFrame macro="">
      <xdr:nvGraphicFramePr>
        <xdr:cNvPr id="2" name="Chart 1">
          <a:extLst>
            <a:ext uri="{FF2B5EF4-FFF2-40B4-BE49-F238E27FC236}">
              <a16:creationId xmlns:a16="http://schemas.microsoft.com/office/drawing/2014/main" id="{2C0CD1A4-6EA8-3C58-35FE-69DF20150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3</xdr:row>
      <xdr:rowOff>128587</xdr:rowOff>
    </xdr:from>
    <xdr:to>
      <xdr:col>9</xdr:col>
      <xdr:colOff>371475</xdr:colOff>
      <xdr:row>18</xdr:row>
      <xdr:rowOff>14287</xdr:rowOff>
    </xdr:to>
    <xdr:graphicFrame macro="">
      <xdr:nvGraphicFramePr>
        <xdr:cNvPr id="2" name="Chart 1">
          <a:extLst>
            <a:ext uri="{FF2B5EF4-FFF2-40B4-BE49-F238E27FC236}">
              <a16:creationId xmlns:a16="http://schemas.microsoft.com/office/drawing/2014/main" id="{4A296B70-63B4-2849-83EA-28004DC6E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742950</xdr:colOff>
      <xdr:row>6</xdr:row>
      <xdr:rowOff>176212</xdr:rowOff>
    </xdr:from>
    <xdr:to>
      <xdr:col>11</xdr:col>
      <xdr:colOff>295275</xdr:colOff>
      <xdr:row>21</xdr:row>
      <xdr:rowOff>61912</xdr:rowOff>
    </xdr:to>
    <xdr:graphicFrame macro="">
      <xdr:nvGraphicFramePr>
        <xdr:cNvPr id="2" name="Chart 1">
          <a:extLst>
            <a:ext uri="{FF2B5EF4-FFF2-40B4-BE49-F238E27FC236}">
              <a16:creationId xmlns:a16="http://schemas.microsoft.com/office/drawing/2014/main" id="{342E6C70-112C-49F0-F55D-4438961B9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704850</xdr:colOff>
      <xdr:row>3</xdr:row>
      <xdr:rowOff>128587</xdr:rowOff>
    </xdr:from>
    <xdr:to>
      <xdr:col>8</xdr:col>
      <xdr:colOff>485775</xdr:colOff>
      <xdr:row>18</xdr:row>
      <xdr:rowOff>14287</xdr:rowOff>
    </xdr:to>
    <xdr:graphicFrame macro="">
      <xdr:nvGraphicFramePr>
        <xdr:cNvPr id="2" name="Chart 1">
          <a:extLst>
            <a:ext uri="{FF2B5EF4-FFF2-40B4-BE49-F238E27FC236}">
              <a16:creationId xmlns:a16="http://schemas.microsoft.com/office/drawing/2014/main" id="{F3B84CCD-DC70-9D9B-8E93-FD8ADEF37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76200</xdr:colOff>
      <xdr:row>3</xdr:row>
      <xdr:rowOff>128587</xdr:rowOff>
    </xdr:from>
    <xdr:to>
      <xdr:col>9</xdr:col>
      <xdr:colOff>371475</xdr:colOff>
      <xdr:row>18</xdr:row>
      <xdr:rowOff>14287</xdr:rowOff>
    </xdr:to>
    <xdr:graphicFrame macro="">
      <xdr:nvGraphicFramePr>
        <xdr:cNvPr id="2" name="Chart 1">
          <a:extLst>
            <a:ext uri="{FF2B5EF4-FFF2-40B4-BE49-F238E27FC236}">
              <a16:creationId xmlns:a16="http://schemas.microsoft.com/office/drawing/2014/main" id="{A19537C9-DA9E-C191-D386-84CAC03EB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704850</xdr:colOff>
      <xdr:row>3</xdr:row>
      <xdr:rowOff>128587</xdr:rowOff>
    </xdr:from>
    <xdr:to>
      <xdr:col>7</xdr:col>
      <xdr:colOff>542925</xdr:colOff>
      <xdr:row>18</xdr:row>
      <xdr:rowOff>14287</xdr:rowOff>
    </xdr:to>
    <xdr:graphicFrame macro="">
      <xdr:nvGraphicFramePr>
        <xdr:cNvPr id="2" name="Chart 1">
          <a:extLst>
            <a:ext uri="{FF2B5EF4-FFF2-40B4-BE49-F238E27FC236}">
              <a16:creationId xmlns:a16="http://schemas.microsoft.com/office/drawing/2014/main" id="{9DE31330-C43A-608C-63A9-2A48F668E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9525</xdr:colOff>
      <xdr:row>4</xdr:row>
      <xdr:rowOff>133350</xdr:rowOff>
    </xdr:from>
    <xdr:to>
      <xdr:col>10</xdr:col>
      <xdr:colOff>314325</xdr:colOff>
      <xdr:row>19</xdr:row>
      <xdr:rowOff>19050</xdr:rowOff>
    </xdr:to>
    <xdr:graphicFrame macro="">
      <xdr:nvGraphicFramePr>
        <xdr:cNvPr id="2" name="Chart 1">
          <a:extLst>
            <a:ext uri="{FF2B5EF4-FFF2-40B4-BE49-F238E27FC236}">
              <a16:creationId xmlns:a16="http://schemas.microsoft.com/office/drawing/2014/main" id="{F4F5DCB1-2B45-6EA5-A4BB-D8DEEB43B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561975</xdr:colOff>
      <xdr:row>5</xdr:row>
      <xdr:rowOff>95250</xdr:rowOff>
    </xdr:from>
    <xdr:to>
      <xdr:col>6</xdr:col>
      <xdr:colOff>561975</xdr:colOff>
      <xdr:row>19</xdr:row>
      <xdr:rowOff>95250</xdr:rowOff>
    </xdr:to>
    <mc:AlternateContent xmlns:mc="http://schemas.openxmlformats.org/markup-compatibility/2006">
      <mc:Choice xmlns:a14="http://schemas.microsoft.com/office/drawing/2010/main" Requires="a14">
        <xdr:graphicFrame macro="">
          <xdr:nvGraphicFramePr>
            <xdr:cNvPr id="5" name="BusinessTravel">
              <a:extLst>
                <a:ext uri="{FF2B5EF4-FFF2-40B4-BE49-F238E27FC236}">
                  <a16:creationId xmlns:a16="http://schemas.microsoft.com/office/drawing/2014/main" id="{9FB34970-13E4-9558-4FB1-D17F63C45863}"/>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3819525" y="1047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4</xdr:row>
      <xdr:rowOff>85725</xdr:rowOff>
    </xdr:from>
    <xdr:to>
      <xdr:col>6</xdr:col>
      <xdr:colOff>57150</xdr:colOff>
      <xdr:row>18</xdr:row>
      <xdr:rowOff>85725</xdr:rowOff>
    </xdr:to>
    <mc:AlternateContent xmlns:mc="http://schemas.openxmlformats.org/markup-compatibility/2006">
      <mc:Choice xmlns:a14="http://schemas.microsoft.com/office/drawing/2010/main" Requires="a14">
        <xdr:graphicFrame macro="">
          <xdr:nvGraphicFramePr>
            <xdr:cNvPr id="2" name="DistanceFromHome_Label">
              <a:extLst>
                <a:ext uri="{FF2B5EF4-FFF2-40B4-BE49-F238E27FC236}">
                  <a16:creationId xmlns:a16="http://schemas.microsoft.com/office/drawing/2014/main" id="{955F179A-773D-7538-918C-88C1C07B500C}"/>
                </a:ext>
              </a:extLst>
            </xdr:cNvPr>
            <xdr:cNvGraphicFramePr/>
          </xdr:nvGraphicFramePr>
          <xdr:xfrm>
            <a:off x="0" y="0"/>
            <a:ext cx="0" cy="0"/>
          </xdr:xfrm>
          <a:graphic>
            <a:graphicData uri="http://schemas.microsoft.com/office/drawing/2010/slicer">
              <sle:slicer xmlns:sle="http://schemas.microsoft.com/office/drawing/2010/slicer" name="DistanceFromHome_Label"/>
            </a:graphicData>
          </a:graphic>
        </xdr:graphicFrame>
      </mc:Choice>
      <mc:Fallback>
        <xdr:sp macro="" textlink="">
          <xdr:nvSpPr>
            <xdr:cNvPr id="0" name=""/>
            <xdr:cNvSpPr>
              <a:spLocks noTextEdit="1"/>
            </xdr:cNvSpPr>
          </xdr:nvSpPr>
          <xdr:spPr>
            <a:xfrm>
              <a:off x="3819525" y="847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3.045034953706" createdVersion="8" refreshedVersion="8" minRefreshableVersion="3" recordCount="1470" xr:uid="{1759B0F4-841B-407F-B680-08F27A629B6E}">
  <cacheSource type="worksheet">
    <worksheetSource ref="A1:AP1471" sheet="HR-employee Dataset"/>
  </cacheSource>
  <cacheFields count="42">
    <cacheField name="Age" numFmtId="0">
      <sharedItems containsSemiMixedTypes="0" containsString="0" containsNumber="1" containsInteger="1" minValue="18" maxValue="60"/>
    </cacheField>
    <cacheField name="Age_Group" numFmtId="0">
      <sharedItems count="5">
        <s v="36-45"/>
        <s v="46-55"/>
        <s v="26-35"/>
        <s v="56+"/>
        <s v="18-25"/>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164">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DistanceFromHome_Label" numFmtId="0">
      <sharedItems count="3">
        <s v="1-10 km"/>
        <s v="21-30 km"/>
        <s v="11-20 km"/>
      </sharedItems>
    </cacheField>
    <cacheField name="Education" numFmtId="0">
      <sharedItems containsSemiMixedTypes="0" containsString="0" containsNumber="1" containsInteger="1" minValue="1" maxValue="5"/>
    </cacheField>
    <cacheField name="Education_Label" numFmtId="0">
      <sharedItems/>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EnvironmentSatisfaction_Label " numFmtId="0">
      <sharedItems count="4">
        <s v="Medium"/>
        <s v="High"/>
        <s v="Low"/>
        <s v="Very High"/>
      </sharedItems>
    </cacheField>
    <cacheField name="Gender" numFmtId="0">
      <sharedItems/>
    </cacheField>
    <cacheField name="HourlyRate" numFmtId="16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Involvement_Label" numFmtId="0">
      <sharedItems/>
    </cacheField>
    <cacheField name="JobLevel" numFmtId="0">
      <sharedItems containsSemiMixedTypes="0" containsString="0" containsNumber="1" containsInteger="1" minValue="1" maxValue="5"/>
    </cacheField>
    <cacheField name="JobLevel_Label" numFmtId="0">
      <sharedItems count="5">
        <s v="Junior"/>
        <s v="Entry Level"/>
        <s v="Mid-Level"/>
        <s v="Senior"/>
        <s v="Executive"/>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JobSatisfaction_Label" numFmtId="0">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PerformanceRating_Label" numFmtId="0">
      <sharedItems/>
    </cacheField>
    <cacheField name="RelationshipSatisfaction" numFmtId="0">
      <sharedItems containsSemiMixedTypes="0" containsString="0" containsNumber="1" containsInteger="1" minValue="1" maxValue="4"/>
    </cacheField>
    <cacheField name="RelationshipSatisfaction_Label" numFmtId="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orkLifeBalance_Label" numFmtId="0">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87563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n v="1102"/>
    <x v="0"/>
    <n v="1"/>
    <x v="0"/>
    <n v="2"/>
    <s v="College"/>
    <s v="Life Sciences"/>
    <n v="1"/>
    <n v="2"/>
    <x v="0"/>
    <s v="Female"/>
    <n v="94"/>
    <n v="3"/>
    <s v="High"/>
    <n v="2"/>
    <x v="0"/>
    <x v="0"/>
    <n v="4"/>
    <s v="Very High"/>
    <x v="0"/>
    <n v="5993"/>
    <n v="19479"/>
    <n v="8"/>
    <x v="0"/>
    <n v="11"/>
    <n v="3"/>
    <s v="Excellent"/>
    <n v="1"/>
    <s v="Low"/>
    <n v="0"/>
    <n v="8"/>
    <n v="0"/>
    <n v="1"/>
    <s v="Low"/>
    <n v="6"/>
    <n v="4"/>
    <n v="0"/>
    <n v="5"/>
  </r>
  <r>
    <n v="49"/>
    <x v="1"/>
    <x v="1"/>
    <x v="1"/>
    <n v="279"/>
    <x v="1"/>
    <n v="8"/>
    <x v="0"/>
    <n v="1"/>
    <s v="Below College"/>
    <s v="Life Sciences"/>
    <n v="2"/>
    <n v="3"/>
    <x v="1"/>
    <s v="Male"/>
    <n v="61"/>
    <n v="2"/>
    <s v="Medium"/>
    <n v="2"/>
    <x v="0"/>
    <x v="1"/>
    <n v="2"/>
    <s v="Medium"/>
    <x v="1"/>
    <n v="5130"/>
    <n v="24907"/>
    <n v="1"/>
    <x v="1"/>
    <n v="23"/>
    <n v="4"/>
    <s v="Outstanding"/>
    <n v="4"/>
    <s v="Very High"/>
    <n v="1"/>
    <n v="10"/>
    <n v="3"/>
    <n v="3"/>
    <s v="High"/>
    <n v="10"/>
    <n v="7"/>
    <n v="1"/>
    <n v="7"/>
  </r>
  <r>
    <n v="37"/>
    <x v="0"/>
    <x v="0"/>
    <x v="0"/>
    <n v="1373"/>
    <x v="1"/>
    <n v="2"/>
    <x v="0"/>
    <n v="2"/>
    <s v="College"/>
    <s v="Other"/>
    <n v="4"/>
    <n v="1"/>
    <x v="2"/>
    <s v="Male"/>
    <n v="92"/>
    <n v="2"/>
    <s v="Medium"/>
    <n v="1"/>
    <x v="1"/>
    <x v="2"/>
    <n v="3"/>
    <s v="High"/>
    <x v="0"/>
    <n v="2090"/>
    <n v="2396"/>
    <n v="6"/>
    <x v="0"/>
    <n v="15"/>
    <n v="3"/>
    <s v="Excellent"/>
    <n v="2"/>
    <s v="Medium"/>
    <n v="0"/>
    <n v="7"/>
    <n v="3"/>
    <n v="3"/>
    <s v="High"/>
    <n v="0"/>
    <n v="0"/>
    <n v="0"/>
    <n v="0"/>
  </r>
  <r>
    <n v="33"/>
    <x v="2"/>
    <x v="1"/>
    <x v="1"/>
    <n v="1392"/>
    <x v="1"/>
    <n v="3"/>
    <x v="0"/>
    <n v="4"/>
    <s v="Master"/>
    <s v="Life Sciences"/>
    <n v="5"/>
    <n v="4"/>
    <x v="3"/>
    <s v="Female"/>
    <n v="56"/>
    <n v="3"/>
    <s v="High"/>
    <n v="1"/>
    <x v="1"/>
    <x v="1"/>
    <n v="3"/>
    <s v="High"/>
    <x v="1"/>
    <n v="2909"/>
    <n v="23159"/>
    <n v="1"/>
    <x v="0"/>
    <n v="11"/>
    <n v="3"/>
    <s v="Excellent"/>
    <n v="3"/>
    <s v="High"/>
    <n v="0"/>
    <n v="8"/>
    <n v="3"/>
    <n v="3"/>
    <s v="High"/>
    <n v="8"/>
    <n v="7"/>
    <n v="3"/>
    <n v="0"/>
  </r>
  <r>
    <n v="27"/>
    <x v="2"/>
    <x v="1"/>
    <x v="0"/>
    <n v="591"/>
    <x v="1"/>
    <n v="2"/>
    <x v="0"/>
    <n v="1"/>
    <s v="Below College"/>
    <s v="Medical"/>
    <n v="7"/>
    <n v="1"/>
    <x v="2"/>
    <s v="Male"/>
    <n v="40"/>
    <n v="3"/>
    <s v="High"/>
    <n v="1"/>
    <x v="1"/>
    <x v="2"/>
    <n v="2"/>
    <s v="Medium"/>
    <x v="1"/>
    <n v="3468"/>
    <n v="16632"/>
    <n v="9"/>
    <x v="1"/>
    <n v="12"/>
    <n v="3"/>
    <s v="Excellent"/>
    <n v="4"/>
    <s v="Very High"/>
    <n v="1"/>
    <n v="6"/>
    <n v="3"/>
    <n v="3"/>
    <s v="High"/>
    <n v="2"/>
    <n v="2"/>
    <n v="2"/>
    <n v="2"/>
  </r>
  <r>
    <n v="32"/>
    <x v="2"/>
    <x v="1"/>
    <x v="1"/>
    <n v="1005"/>
    <x v="1"/>
    <n v="2"/>
    <x v="0"/>
    <n v="2"/>
    <s v="College"/>
    <s v="Life Sciences"/>
    <n v="8"/>
    <n v="4"/>
    <x v="3"/>
    <s v="Male"/>
    <n v="79"/>
    <n v="3"/>
    <s v="High"/>
    <n v="1"/>
    <x v="1"/>
    <x v="2"/>
    <n v="4"/>
    <s v="Very High"/>
    <x v="0"/>
    <n v="3068"/>
    <n v="11864"/>
    <n v="0"/>
    <x v="1"/>
    <n v="13"/>
    <n v="3"/>
    <s v="Excellent"/>
    <n v="3"/>
    <s v="High"/>
    <n v="0"/>
    <n v="8"/>
    <n v="2"/>
    <n v="2"/>
    <s v="Medium"/>
    <n v="7"/>
    <n v="7"/>
    <n v="3"/>
    <n v="6"/>
  </r>
  <r>
    <n v="59"/>
    <x v="3"/>
    <x v="1"/>
    <x v="0"/>
    <n v="1324"/>
    <x v="1"/>
    <n v="3"/>
    <x v="0"/>
    <n v="3"/>
    <s v="Bachelor"/>
    <s v="Medical"/>
    <n v="10"/>
    <n v="3"/>
    <x v="1"/>
    <s v="Female"/>
    <n v="81"/>
    <n v="4"/>
    <s v="Very High"/>
    <n v="1"/>
    <x v="1"/>
    <x v="2"/>
    <n v="1"/>
    <s v="Low"/>
    <x v="1"/>
    <n v="2670"/>
    <n v="9964"/>
    <n v="4"/>
    <x v="0"/>
    <n v="20"/>
    <n v="4"/>
    <s v="Outstanding"/>
    <n v="1"/>
    <s v="Low"/>
    <n v="3"/>
    <n v="12"/>
    <n v="3"/>
    <n v="2"/>
    <s v="Medium"/>
    <n v="1"/>
    <n v="0"/>
    <n v="0"/>
    <n v="0"/>
  </r>
  <r>
    <n v="30"/>
    <x v="2"/>
    <x v="1"/>
    <x v="0"/>
    <n v="1358"/>
    <x v="1"/>
    <n v="24"/>
    <x v="1"/>
    <n v="1"/>
    <s v="Below College"/>
    <s v="Life Sciences"/>
    <n v="11"/>
    <n v="4"/>
    <x v="3"/>
    <s v="Male"/>
    <n v="67"/>
    <n v="3"/>
    <s v="High"/>
    <n v="1"/>
    <x v="1"/>
    <x v="2"/>
    <n v="3"/>
    <s v="High"/>
    <x v="2"/>
    <n v="2693"/>
    <n v="13335"/>
    <n v="1"/>
    <x v="1"/>
    <n v="22"/>
    <n v="4"/>
    <s v="Outstanding"/>
    <n v="2"/>
    <s v="Medium"/>
    <n v="1"/>
    <n v="1"/>
    <n v="2"/>
    <n v="3"/>
    <s v="High"/>
    <n v="1"/>
    <n v="0"/>
    <n v="0"/>
    <n v="0"/>
  </r>
  <r>
    <n v="38"/>
    <x v="0"/>
    <x v="1"/>
    <x v="1"/>
    <n v="216"/>
    <x v="1"/>
    <n v="23"/>
    <x v="1"/>
    <n v="3"/>
    <s v="Bachelor"/>
    <s v="Life Sciences"/>
    <n v="12"/>
    <n v="4"/>
    <x v="3"/>
    <s v="Male"/>
    <n v="44"/>
    <n v="2"/>
    <s v="Medium"/>
    <n v="3"/>
    <x v="2"/>
    <x v="3"/>
    <n v="3"/>
    <s v="High"/>
    <x v="0"/>
    <n v="9526"/>
    <n v="8787"/>
    <n v="0"/>
    <x v="1"/>
    <n v="21"/>
    <n v="4"/>
    <s v="Outstanding"/>
    <n v="2"/>
    <s v="Medium"/>
    <n v="0"/>
    <n v="10"/>
    <n v="2"/>
    <n v="3"/>
    <s v="High"/>
    <n v="9"/>
    <n v="7"/>
    <n v="1"/>
    <n v="8"/>
  </r>
  <r>
    <n v="36"/>
    <x v="0"/>
    <x v="1"/>
    <x v="0"/>
    <n v="1299"/>
    <x v="1"/>
    <n v="27"/>
    <x v="1"/>
    <n v="3"/>
    <s v="Bachelor"/>
    <s v="Medical"/>
    <n v="13"/>
    <n v="3"/>
    <x v="1"/>
    <s v="Male"/>
    <n v="94"/>
    <n v="3"/>
    <s v="High"/>
    <n v="2"/>
    <x v="0"/>
    <x v="4"/>
    <n v="3"/>
    <s v="High"/>
    <x v="1"/>
    <n v="5237"/>
    <n v="16577"/>
    <n v="6"/>
    <x v="1"/>
    <n v="13"/>
    <n v="3"/>
    <s v="Excellent"/>
    <n v="2"/>
    <s v="Medium"/>
    <n v="2"/>
    <n v="17"/>
    <n v="3"/>
    <n v="2"/>
    <s v="Medium"/>
    <n v="7"/>
    <n v="7"/>
    <n v="7"/>
    <n v="7"/>
  </r>
  <r>
    <n v="35"/>
    <x v="2"/>
    <x v="1"/>
    <x v="0"/>
    <n v="809"/>
    <x v="1"/>
    <n v="16"/>
    <x v="2"/>
    <n v="3"/>
    <s v="Bachelor"/>
    <s v="Medical"/>
    <n v="14"/>
    <n v="1"/>
    <x v="2"/>
    <s v="Male"/>
    <n v="84"/>
    <n v="4"/>
    <s v="Very High"/>
    <n v="1"/>
    <x v="1"/>
    <x v="2"/>
    <n v="2"/>
    <s v="Medium"/>
    <x v="1"/>
    <n v="2426"/>
    <n v="16479"/>
    <n v="0"/>
    <x v="1"/>
    <n v="13"/>
    <n v="3"/>
    <s v="Excellent"/>
    <n v="3"/>
    <s v="High"/>
    <n v="1"/>
    <n v="6"/>
    <n v="5"/>
    <n v="3"/>
    <s v="High"/>
    <n v="5"/>
    <n v="4"/>
    <n v="0"/>
    <n v="3"/>
  </r>
  <r>
    <n v="29"/>
    <x v="2"/>
    <x v="1"/>
    <x v="0"/>
    <n v="153"/>
    <x v="1"/>
    <n v="15"/>
    <x v="2"/>
    <n v="2"/>
    <s v="College"/>
    <s v="Life Sciences"/>
    <n v="15"/>
    <n v="4"/>
    <x v="3"/>
    <s v="Female"/>
    <n v="49"/>
    <n v="2"/>
    <s v="Medium"/>
    <n v="2"/>
    <x v="0"/>
    <x v="2"/>
    <n v="3"/>
    <s v="High"/>
    <x v="0"/>
    <n v="4193"/>
    <n v="12682"/>
    <n v="0"/>
    <x v="0"/>
    <n v="12"/>
    <n v="3"/>
    <s v="Excellent"/>
    <n v="4"/>
    <s v="Very High"/>
    <n v="0"/>
    <n v="10"/>
    <n v="3"/>
    <n v="3"/>
    <s v="High"/>
    <n v="9"/>
    <n v="5"/>
    <n v="0"/>
    <n v="8"/>
  </r>
  <r>
    <n v="31"/>
    <x v="2"/>
    <x v="1"/>
    <x v="0"/>
    <n v="670"/>
    <x v="1"/>
    <n v="26"/>
    <x v="1"/>
    <n v="1"/>
    <s v="Below College"/>
    <s v="Life Sciences"/>
    <n v="16"/>
    <n v="1"/>
    <x v="2"/>
    <s v="Male"/>
    <n v="31"/>
    <n v="3"/>
    <s v="High"/>
    <n v="1"/>
    <x v="1"/>
    <x v="1"/>
    <n v="3"/>
    <s v="High"/>
    <x v="2"/>
    <n v="2911"/>
    <n v="15170"/>
    <n v="1"/>
    <x v="1"/>
    <n v="17"/>
    <n v="3"/>
    <s v="Excellent"/>
    <n v="4"/>
    <s v="Very High"/>
    <n v="1"/>
    <n v="5"/>
    <n v="1"/>
    <n v="2"/>
    <s v="Medium"/>
    <n v="5"/>
    <n v="2"/>
    <n v="4"/>
    <n v="3"/>
  </r>
  <r>
    <n v="34"/>
    <x v="2"/>
    <x v="1"/>
    <x v="0"/>
    <n v="1346"/>
    <x v="1"/>
    <n v="19"/>
    <x v="2"/>
    <n v="2"/>
    <s v="College"/>
    <s v="Medical"/>
    <n v="18"/>
    <n v="2"/>
    <x v="0"/>
    <s v="Male"/>
    <n v="93"/>
    <n v="3"/>
    <s v="High"/>
    <n v="1"/>
    <x v="1"/>
    <x v="2"/>
    <n v="4"/>
    <s v="Very High"/>
    <x v="2"/>
    <n v="2661"/>
    <n v="8758"/>
    <n v="0"/>
    <x v="1"/>
    <n v="11"/>
    <n v="3"/>
    <s v="Excellent"/>
    <n v="3"/>
    <s v="High"/>
    <n v="1"/>
    <n v="3"/>
    <n v="2"/>
    <n v="3"/>
    <s v="High"/>
    <n v="2"/>
    <n v="2"/>
    <n v="1"/>
    <n v="2"/>
  </r>
  <r>
    <n v="28"/>
    <x v="2"/>
    <x v="0"/>
    <x v="0"/>
    <n v="103"/>
    <x v="1"/>
    <n v="24"/>
    <x v="1"/>
    <n v="3"/>
    <s v="Bachelor"/>
    <s v="Life Sciences"/>
    <n v="19"/>
    <n v="3"/>
    <x v="1"/>
    <s v="Male"/>
    <n v="50"/>
    <n v="2"/>
    <s v="Medium"/>
    <n v="1"/>
    <x v="1"/>
    <x v="2"/>
    <n v="3"/>
    <s v="High"/>
    <x v="0"/>
    <n v="2028"/>
    <n v="12947"/>
    <n v="5"/>
    <x v="0"/>
    <n v="14"/>
    <n v="3"/>
    <s v="Excellent"/>
    <n v="2"/>
    <s v="Medium"/>
    <n v="0"/>
    <n v="6"/>
    <n v="4"/>
    <n v="3"/>
    <s v="High"/>
    <n v="4"/>
    <n v="2"/>
    <n v="0"/>
    <n v="3"/>
  </r>
  <r>
    <n v="29"/>
    <x v="2"/>
    <x v="1"/>
    <x v="0"/>
    <n v="1389"/>
    <x v="1"/>
    <n v="21"/>
    <x v="1"/>
    <n v="4"/>
    <s v="Master"/>
    <s v="Life Sciences"/>
    <n v="20"/>
    <n v="2"/>
    <x v="0"/>
    <s v="Female"/>
    <n v="51"/>
    <n v="4"/>
    <s v="Very High"/>
    <n v="3"/>
    <x v="2"/>
    <x v="3"/>
    <n v="1"/>
    <s v="Low"/>
    <x v="2"/>
    <n v="9980"/>
    <n v="10195"/>
    <n v="1"/>
    <x v="1"/>
    <n v="11"/>
    <n v="3"/>
    <s v="Excellent"/>
    <n v="3"/>
    <s v="High"/>
    <n v="1"/>
    <n v="10"/>
    <n v="1"/>
    <n v="3"/>
    <s v="High"/>
    <n v="10"/>
    <n v="9"/>
    <n v="8"/>
    <n v="8"/>
  </r>
  <r>
    <n v="32"/>
    <x v="2"/>
    <x v="1"/>
    <x v="0"/>
    <n v="334"/>
    <x v="1"/>
    <n v="5"/>
    <x v="0"/>
    <n v="2"/>
    <s v="College"/>
    <s v="Life Sciences"/>
    <n v="21"/>
    <n v="1"/>
    <x v="2"/>
    <s v="Male"/>
    <n v="80"/>
    <n v="4"/>
    <s v="Very High"/>
    <n v="1"/>
    <x v="1"/>
    <x v="1"/>
    <n v="2"/>
    <s v="Medium"/>
    <x v="2"/>
    <n v="3298"/>
    <n v="15053"/>
    <n v="0"/>
    <x v="0"/>
    <n v="12"/>
    <n v="3"/>
    <s v="Excellent"/>
    <n v="4"/>
    <s v="Very High"/>
    <n v="2"/>
    <n v="7"/>
    <n v="5"/>
    <n v="2"/>
    <s v="Medium"/>
    <n v="6"/>
    <n v="2"/>
    <n v="0"/>
    <n v="5"/>
  </r>
  <r>
    <n v="22"/>
    <x v="4"/>
    <x v="1"/>
    <x v="2"/>
    <n v="1123"/>
    <x v="1"/>
    <n v="16"/>
    <x v="2"/>
    <n v="2"/>
    <s v="College"/>
    <s v="Medical"/>
    <n v="22"/>
    <n v="4"/>
    <x v="3"/>
    <s v="Male"/>
    <n v="96"/>
    <n v="4"/>
    <s v="Very High"/>
    <n v="1"/>
    <x v="1"/>
    <x v="2"/>
    <n v="4"/>
    <s v="Very High"/>
    <x v="2"/>
    <n v="2935"/>
    <n v="7324"/>
    <n v="1"/>
    <x v="0"/>
    <n v="13"/>
    <n v="3"/>
    <s v="Excellent"/>
    <n v="2"/>
    <s v="Medium"/>
    <n v="2"/>
    <n v="1"/>
    <n v="2"/>
    <n v="2"/>
    <s v="Medium"/>
    <n v="1"/>
    <n v="0"/>
    <n v="0"/>
    <n v="0"/>
  </r>
  <r>
    <n v="53"/>
    <x v="1"/>
    <x v="1"/>
    <x v="0"/>
    <n v="1219"/>
    <x v="0"/>
    <n v="2"/>
    <x v="0"/>
    <n v="4"/>
    <s v="Master"/>
    <s v="Life Sciences"/>
    <n v="23"/>
    <n v="1"/>
    <x v="2"/>
    <s v="Female"/>
    <n v="78"/>
    <n v="2"/>
    <s v="Medium"/>
    <n v="4"/>
    <x v="3"/>
    <x v="5"/>
    <n v="4"/>
    <s v="Very High"/>
    <x v="1"/>
    <n v="15427"/>
    <n v="22021"/>
    <n v="2"/>
    <x v="1"/>
    <n v="16"/>
    <n v="3"/>
    <s v="Excellent"/>
    <n v="3"/>
    <s v="High"/>
    <n v="0"/>
    <n v="31"/>
    <n v="3"/>
    <n v="3"/>
    <s v="High"/>
    <n v="25"/>
    <n v="8"/>
    <n v="3"/>
    <n v="7"/>
  </r>
  <r>
    <n v="38"/>
    <x v="0"/>
    <x v="1"/>
    <x v="0"/>
    <n v="371"/>
    <x v="1"/>
    <n v="2"/>
    <x v="0"/>
    <n v="3"/>
    <s v="Bachelor"/>
    <s v="Life Sciences"/>
    <n v="24"/>
    <n v="4"/>
    <x v="3"/>
    <s v="Male"/>
    <n v="45"/>
    <n v="3"/>
    <s v="High"/>
    <n v="1"/>
    <x v="1"/>
    <x v="1"/>
    <n v="4"/>
    <s v="Very High"/>
    <x v="0"/>
    <n v="3944"/>
    <n v="4306"/>
    <n v="5"/>
    <x v="0"/>
    <n v="11"/>
    <n v="3"/>
    <s v="Excellent"/>
    <n v="3"/>
    <s v="High"/>
    <n v="0"/>
    <n v="6"/>
    <n v="3"/>
    <n v="3"/>
    <s v="High"/>
    <n v="3"/>
    <n v="2"/>
    <n v="1"/>
    <n v="2"/>
  </r>
  <r>
    <n v="24"/>
    <x v="4"/>
    <x v="1"/>
    <x v="2"/>
    <n v="673"/>
    <x v="1"/>
    <n v="11"/>
    <x v="2"/>
    <n v="2"/>
    <s v="College"/>
    <s v="Other"/>
    <n v="26"/>
    <n v="1"/>
    <x v="2"/>
    <s v="Female"/>
    <n v="96"/>
    <n v="4"/>
    <s v="Very High"/>
    <n v="2"/>
    <x v="0"/>
    <x v="3"/>
    <n v="3"/>
    <s v="High"/>
    <x v="2"/>
    <n v="4011"/>
    <n v="8232"/>
    <n v="0"/>
    <x v="1"/>
    <n v="18"/>
    <n v="3"/>
    <s v="Excellent"/>
    <n v="4"/>
    <s v="Very High"/>
    <n v="1"/>
    <n v="5"/>
    <n v="5"/>
    <n v="2"/>
    <s v="Medium"/>
    <n v="4"/>
    <n v="2"/>
    <n v="1"/>
    <n v="3"/>
  </r>
  <r>
    <n v="36"/>
    <x v="0"/>
    <x v="0"/>
    <x v="0"/>
    <n v="1218"/>
    <x v="0"/>
    <n v="9"/>
    <x v="0"/>
    <n v="4"/>
    <s v="Master"/>
    <s v="Life Sciences"/>
    <n v="27"/>
    <n v="3"/>
    <x v="1"/>
    <s v="Male"/>
    <n v="82"/>
    <n v="2"/>
    <s v="Medium"/>
    <n v="1"/>
    <x v="1"/>
    <x v="6"/>
    <n v="1"/>
    <s v="Low"/>
    <x v="0"/>
    <n v="3407"/>
    <n v="6986"/>
    <n v="7"/>
    <x v="1"/>
    <n v="23"/>
    <n v="4"/>
    <s v="Outstanding"/>
    <n v="2"/>
    <s v="Medium"/>
    <n v="0"/>
    <n v="10"/>
    <n v="4"/>
    <n v="3"/>
    <s v="High"/>
    <n v="5"/>
    <n v="3"/>
    <n v="0"/>
    <n v="3"/>
  </r>
  <r>
    <n v="34"/>
    <x v="2"/>
    <x v="1"/>
    <x v="0"/>
    <n v="419"/>
    <x v="1"/>
    <n v="7"/>
    <x v="0"/>
    <n v="4"/>
    <s v="Master"/>
    <s v="Life Sciences"/>
    <n v="28"/>
    <n v="1"/>
    <x v="2"/>
    <s v="Female"/>
    <n v="53"/>
    <n v="3"/>
    <s v="High"/>
    <n v="3"/>
    <x v="2"/>
    <x v="7"/>
    <n v="2"/>
    <s v="Medium"/>
    <x v="0"/>
    <n v="11994"/>
    <n v="21293"/>
    <n v="0"/>
    <x v="1"/>
    <n v="11"/>
    <n v="3"/>
    <s v="Excellent"/>
    <n v="3"/>
    <s v="High"/>
    <n v="0"/>
    <n v="13"/>
    <n v="4"/>
    <n v="3"/>
    <s v="High"/>
    <n v="12"/>
    <n v="6"/>
    <n v="2"/>
    <n v="11"/>
  </r>
  <r>
    <n v="21"/>
    <x v="4"/>
    <x v="1"/>
    <x v="0"/>
    <n v="391"/>
    <x v="1"/>
    <n v="15"/>
    <x v="2"/>
    <n v="2"/>
    <s v="College"/>
    <s v="Life Sciences"/>
    <n v="30"/>
    <n v="3"/>
    <x v="1"/>
    <s v="Male"/>
    <n v="96"/>
    <n v="3"/>
    <s v="High"/>
    <n v="1"/>
    <x v="1"/>
    <x v="1"/>
    <n v="4"/>
    <s v="Very High"/>
    <x v="0"/>
    <n v="1232"/>
    <n v="19281"/>
    <n v="1"/>
    <x v="1"/>
    <n v="14"/>
    <n v="3"/>
    <s v="Excellent"/>
    <n v="4"/>
    <s v="Very High"/>
    <n v="0"/>
    <n v="0"/>
    <n v="6"/>
    <n v="3"/>
    <s v="High"/>
    <n v="0"/>
    <n v="0"/>
    <n v="0"/>
    <n v="0"/>
  </r>
  <r>
    <n v="34"/>
    <x v="2"/>
    <x v="0"/>
    <x v="0"/>
    <n v="699"/>
    <x v="1"/>
    <n v="6"/>
    <x v="0"/>
    <n v="1"/>
    <s v="Below College"/>
    <s v="Medical"/>
    <n v="31"/>
    <n v="2"/>
    <x v="0"/>
    <s v="Male"/>
    <n v="83"/>
    <n v="3"/>
    <s v="High"/>
    <n v="1"/>
    <x v="1"/>
    <x v="1"/>
    <n v="1"/>
    <s v="Low"/>
    <x v="0"/>
    <n v="2960"/>
    <n v="17102"/>
    <n v="2"/>
    <x v="1"/>
    <n v="11"/>
    <n v="3"/>
    <s v="Excellent"/>
    <n v="3"/>
    <s v="High"/>
    <n v="0"/>
    <n v="8"/>
    <n v="2"/>
    <n v="3"/>
    <s v="High"/>
    <n v="4"/>
    <n v="2"/>
    <n v="1"/>
    <n v="3"/>
  </r>
  <r>
    <n v="53"/>
    <x v="1"/>
    <x v="1"/>
    <x v="0"/>
    <n v="1282"/>
    <x v="1"/>
    <n v="5"/>
    <x v="0"/>
    <n v="3"/>
    <s v="Bachelor"/>
    <s v="Other"/>
    <n v="32"/>
    <n v="3"/>
    <x v="1"/>
    <s v="Female"/>
    <n v="58"/>
    <n v="3"/>
    <s v="High"/>
    <n v="5"/>
    <x v="4"/>
    <x v="5"/>
    <n v="3"/>
    <s v="High"/>
    <x v="2"/>
    <n v="19094"/>
    <n v="10735"/>
    <n v="4"/>
    <x v="1"/>
    <n v="11"/>
    <n v="3"/>
    <s v="Excellent"/>
    <n v="4"/>
    <s v="Very High"/>
    <n v="1"/>
    <n v="26"/>
    <n v="3"/>
    <n v="2"/>
    <s v="Medium"/>
    <n v="14"/>
    <n v="13"/>
    <n v="4"/>
    <n v="8"/>
  </r>
  <r>
    <n v="32"/>
    <x v="2"/>
    <x v="0"/>
    <x v="1"/>
    <n v="1125"/>
    <x v="1"/>
    <n v="16"/>
    <x v="2"/>
    <n v="1"/>
    <s v="Below College"/>
    <s v="Life Sciences"/>
    <n v="33"/>
    <n v="2"/>
    <x v="0"/>
    <s v="Female"/>
    <n v="72"/>
    <n v="1"/>
    <s v="Low"/>
    <n v="1"/>
    <x v="1"/>
    <x v="1"/>
    <n v="1"/>
    <s v="Low"/>
    <x v="0"/>
    <n v="3919"/>
    <n v="4681"/>
    <n v="1"/>
    <x v="0"/>
    <n v="22"/>
    <n v="4"/>
    <s v="Outstanding"/>
    <n v="2"/>
    <s v="Medium"/>
    <n v="0"/>
    <n v="10"/>
    <n v="5"/>
    <n v="3"/>
    <s v="High"/>
    <n v="10"/>
    <n v="2"/>
    <n v="6"/>
    <n v="7"/>
  </r>
  <r>
    <n v="42"/>
    <x v="0"/>
    <x v="1"/>
    <x v="0"/>
    <n v="691"/>
    <x v="0"/>
    <n v="8"/>
    <x v="0"/>
    <n v="4"/>
    <s v="Master"/>
    <s v="Marketing"/>
    <n v="35"/>
    <n v="3"/>
    <x v="1"/>
    <s v="Male"/>
    <n v="48"/>
    <n v="3"/>
    <s v="High"/>
    <n v="2"/>
    <x v="0"/>
    <x v="0"/>
    <n v="2"/>
    <s v="Medium"/>
    <x v="1"/>
    <n v="6825"/>
    <n v="21173"/>
    <n v="0"/>
    <x v="1"/>
    <n v="11"/>
    <n v="3"/>
    <s v="Excellent"/>
    <n v="4"/>
    <s v="Very High"/>
    <n v="1"/>
    <n v="10"/>
    <n v="2"/>
    <n v="3"/>
    <s v="High"/>
    <n v="9"/>
    <n v="7"/>
    <n v="4"/>
    <n v="2"/>
  </r>
  <r>
    <n v="44"/>
    <x v="0"/>
    <x v="1"/>
    <x v="0"/>
    <n v="477"/>
    <x v="1"/>
    <n v="7"/>
    <x v="0"/>
    <n v="4"/>
    <s v="Master"/>
    <s v="Medical"/>
    <n v="36"/>
    <n v="1"/>
    <x v="2"/>
    <s v="Female"/>
    <n v="42"/>
    <n v="2"/>
    <s v="Medium"/>
    <n v="3"/>
    <x v="2"/>
    <x v="4"/>
    <n v="4"/>
    <s v="Very High"/>
    <x v="1"/>
    <n v="10248"/>
    <n v="2094"/>
    <n v="3"/>
    <x v="1"/>
    <n v="14"/>
    <n v="3"/>
    <s v="Excellent"/>
    <n v="4"/>
    <s v="Very High"/>
    <n v="1"/>
    <n v="24"/>
    <n v="4"/>
    <n v="3"/>
    <s v="High"/>
    <n v="22"/>
    <n v="6"/>
    <n v="5"/>
    <n v="17"/>
  </r>
  <r>
    <n v="46"/>
    <x v="1"/>
    <x v="1"/>
    <x v="0"/>
    <n v="705"/>
    <x v="0"/>
    <n v="2"/>
    <x v="0"/>
    <n v="4"/>
    <s v="Master"/>
    <s v="Marketing"/>
    <n v="38"/>
    <n v="2"/>
    <x v="0"/>
    <s v="Female"/>
    <n v="83"/>
    <n v="3"/>
    <s v="High"/>
    <n v="5"/>
    <x v="4"/>
    <x v="5"/>
    <n v="1"/>
    <s v="Low"/>
    <x v="0"/>
    <n v="18947"/>
    <n v="22822"/>
    <n v="3"/>
    <x v="1"/>
    <n v="12"/>
    <n v="3"/>
    <s v="Excellent"/>
    <n v="4"/>
    <s v="Very High"/>
    <n v="0"/>
    <n v="22"/>
    <n v="2"/>
    <n v="2"/>
    <s v="Medium"/>
    <n v="2"/>
    <n v="2"/>
    <n v="2"/>
    <n v="1"/>
  </r>
  <r>
    <n v="33"/>
    <x v="2"/>
    <x v="1"/>
    <x v="0"/>
    <n v="924"/>
    <x v="1"/>
    <n v="2"/>
    <x v="0"/>
    <n v="3"/>
    <s v="Bachelor"/>
    <s v="Medical"/>
    <n v="39"/>
    <n v="3"/>
    <x v="1"/>
    <s v="Male"/>
    <n v="78"/>
    <n v="3"/>
    <s v="High"/>
    <n v="1"/>
    <x v="1"/>
    <x v="2"/>
    <n v="4"/>
    <s v="Very High"/>
    <x v="0"/>
    <n v="2496"/>
    <n v="6670"/>
    <n v="4"/>
    <x v="1"/>
    <n v="11"/>
    <n v="3"/>
    <s v="Excellent"/>
    <n v="4"/>
    <s v="Very High"/>
    <n v="0"/>
    <n v="7"/>
    <n v="3"/>
    <n v="3"/>
    <s v="High"/>
    <n v="1"/>
    <n v="1"/>
    <n v="0"/>
    <n v="0"/>
  </r>
  <r>
    <n v="44"/>
    <x v="0"/>
    <x v="1"/>
    <x v="0"/>
    <n v="1459"/>
    <x v="1"/>
    <n v="10"/>
    <x v="0"/>
    <n v="4"/>
    <s v="Master"/>
    <s v="Other"/>
    <n v="40"/>
    <n v="4"/>
    <x v="3"/>
    <s v="Male"/>
    <n v="41"/>
    <n v="3"/>
    <s v="High"/>
    <n v="2"/>
    <x v="0"/>
    <x v="4"/>
    <n v="4"/>
    <s v="Very High"/>
    <x v="1"/>
    <n v="6465"/>
    <n v="19121"/>
    <n v="2"/>
    <x v="0"/>
    <n v="13"/>
    <n v="3"/>
    <s v="Excellent"/>
    <n v="4"/>
    <s v="Very High"/>
    <n v="0"/>
    <n v="9"/>
    <n v="5"/>
    <n v="4"/>
    <s v="Very High"/>
    <n v="4"/>
    <n v="2"/>
    <n v="1"/>
    <n v="3"/>
  </r>
  <r>
    <n v="30"/>
    <x v="2"/>
    <x v="1"/>
    <x v="0"/>
    <n v="125"/>
    <x v="1"/>
    <n v="9"/>
    <x v="0"/>
    <n v="2"/>
    <s v="College"/>
    <s v="Medical"/>
    <n v="41"/>
    <n v="4"/>
    <x v="3"/>
    <s v="Male"/>
    <n v="83"/>
    <n v="2"/>
    <s v="Medium"/>
    <n v="1"/>
    <x v="1"/>
    <x v="2"/>
    <n v="3"/>
    <s v="High"/>
    <x v="0"/>
    <n v="2206"/>
    <n v="16117"/>
    <n v="1"/>
    <x v="1"/>
    <n v="13"/>
    <n v="3"/>
    <s v="Excellent"/>
    <n v="1"/>
    <s v="Low"/>
    <n v="0"/>
    <n v="10"/>
    <n v="5"/>
    <n v="3"/>
    <s v="High"/>
    <n v="10"/>
    <n v="0"/>
    <n v="1"/>
    <n v="8"/>
  </r>
  <r>
    <n v="39"/>
    <x v="0"/>
    <x v="0"/>
    <x v="0"/>
    <n v="895"/>
    <x v="0"/>
    <n v="5"/>
    <x v="0"/>
    <n v="3"/>
    <s v="Bachelor"/>
    <s v="Technical Degree"/>
    <n v="42"/>
    <n v="4"/>
    <x v="3"/>
    <s v="Male"/>
    <n v="56"/>
    <n v="3"/>
    <s v="High"/>
    <n v="2"/>
    <x v="0"/>
    <x v="6"/>
    <n v="4"/>
    <s v="Very High"/>
    <x v="1"/>
    <n v="2086"/>
    <n v="3335"/>
    <n v="3"/>
    <x v="1"/>
    <n v="14"/>
    <n v="3"/>
    <s v="Excellent"/>
    <n v="3"/>
    <s v="High"/>
    <n v="1"/>
    <n v="19"/>
    <n v="6"/>
    <n v="4"/>
    <s v="Very High"/>
    <n v="1"/>
    <n v="0"/>
    <n v="0"/>
    <n v="0"/>
  </r>
  <r>
    <n v="24"/>
    <x v="4"/>
    <x v="0"/>
    <x v="0"/>
    <n v="813"/>
    <x v="1"/>
    <n v="1"/>
    <x v="0"/>
    <n v="3"/>
    <s v="Bachelor"/>
    <s v="Medical"/>
    <n v="45"/>
    <n v="2"/>
    <x v="0"/>
    <s v="Male"/>
    <n v="61"/>
    <n v="3"/>
    <s v="High"/>
    <n v="1"/>
    <x v="1"/>
    <x v="1"/>
    <n v="4"/>
    <s v="Very High"/>
    <x v="1"/>
    <n v="2293"/>
    <n v="3020"/>
    <n v="2"/>
    <x v="0"/>
    <n v="16"/>
    <n v="3"/>
    <s v="Excellent"/>
    <n v="1"/>
    <s v="Low"/>
    <n v="1"/>
    <n v="6"/>
    <n v="2"/>
    <n v="2"/>
    <s v="Medium"/>
    <n v="2"/>
    <n v="0"/>
    <n v="2"/>
    <n v="0"/>
  </r>
  <r>
    <n v="43"/>
    <x v="0"/>
    <x v="1"/>
    <x v="0"/>
    <n v="1273"/>
    <x v="1"/>
    <n v="2"/>
    <x v="0"/>
    <n v="2"/>
    <s v="College"/>
    <s v="Medical"/>
    <n v="46"/>
    <n v="4"/>
    <x v="3"/>
    <s v="Female"/>
    <n v="72"/>
    <n v="4"/>
    <s v="Very High"/>
    <n v="1"/>
    <x v="1"/>
    <x v="1"/>
    <n v="3"/>
    <s v="High"/>
    <x v="2"/>
    <n v="2645"/>
    <n v="21923"/>
    <n v="1"/>
    <x v="1"/>
    <n v="12"/>
    <n v="3"/>
    <s v="Excellent"/>
    <n v="4"/>
    <s v="Very High"/>
    <n v="2"/>
    <n v="6"/>
    <n v="3"/>
    <n v="2"/>
    <s v="Medium"/>
    <n v="5"/>
    <n v="3"/>
    <n v="1"/>
    <n v="4"/>
  </r>
  <r>
    <n v="50"/>
    <x v="1"/>
    <x v="0"/>
    <x v="0"/>
    <n v="869"/>
    <x v="0"/>
    <n v="3"/>
    <x v="0"/>
    <n v="2"/>
    <s v="College"/>
    <s v="Marketing"/>
    <n v="47"/>
    <n v="1"/>
    <x v="2"/>
    <s v="Male"/>
    <n v="86"/>
    <n v="2"/>
    <s v="Medium"/>
    <n v="1"/>
    <x v="1"/>
    <x v="6"/>
    <n v="3"/>
    <s v="High"/>
    <x v="1"/>
    <n v="2683"/>
    <n v="3810"/>
    <n v="1"/>
    <x v="0"/>
    <n v="14"/>
    <n v="3"/>
    <s v="Excellent"/>
    <n v="3"/>
    <s v="High"/>
    <n v="0"/>
    <n v="3"/>
    <n v="2"/>
    <n v="3"/>
    <s v="High"/>
    <n v="3"/>
    <n v="2"/>
    <n v="0"/>
    <n v="2"/>
  </r>
  <r>
    <n v="35"/>
    <x v="2"/>
    <x v="1"/>
    <x v="0"/>
    <n v="890"/>
    <x v="0"/>
    <n v="2"/>
    <x v="0"/>
    <n v="3"/>
    <s v="Bachelor"/>
    <s v="Marketing"/>
    <n v="49"/>
    <n v="4"/>
    <x v="3"/>
    <s v="Female"/>
    <n v="97"/>
    <n v="3"/>
    <s v="High"/>
    <n v="1"/>
    <x v="1"/>
    <x v="6"/>
    <n v="4"/>
    <s v="Very High"/>
    <x v="1"/>
    <n v="2014"/>
    <n v="9687"/>
    <n v="1"/>
    <x v="1"/>
    <n v="13"/>
    <n v="3"/>
    <s v="Excellent"/>
    <n v="1"/>
    <s v="Low"/>
    <n v="0"/>
    <n v="2"/>
    <n v="3"/>
    <n v="3"/>
    <s v="High"/>
    <n v="2"/>
    <n v="2"/>
    <n v="2"/>
    <n v="2"/>
  </r>
  <r>
    <n v="36"/>
    <x v="0"/>
    <x v="1"/>
    <x v="0"/>
    <n v="852"/>
    <x v="1"/>
    <n v="5"/>
    <x v="0"/>
    <n v="4"/>
    <s v="Master"/>
    <s v="Life Sciences"/>
    <n v="51"/>
    <n v="2"/>
    <x v="0"/>
    <s v="Female"/>
    <n v="82"/>
    <n v="2"/>
    <s v="Medium"/>
    <n v="1"/>
    <x v="1"/>
    <x v="1"/>
    <n v="1"/>
    <s v="Low"/>
    <x v="1"/>
    <n v="3419"/>
    <n v="13072"/>
    <n v="9"/>
    <x v="0"/>
    <n v="14"/>
    <n v="3"/>
    <s v="Excellent"/>
    <n v="4"/>
    <s v="Very High"/>
    <n v="1"/>
    <n v="6"/>
    <n v="3"/>
    <n v="4"/>
    <s v="Very High"/>
    <n v="1"/>
    <n v="1"/>
    <n v="0"/>
    <n v="0"/>
  </r>
  <r>
    <n v="33"/>
    <x v="2"/>
    <x v="1"/>
    <x v="1"/>
    <n v="1141"/>
    <x v="0"/>
    <n v="1"/>
    <x v="0"/>
    <n v="3"/>
    <s v="Bachelor"/>
    <s v="Life Sciences"/>
    <n v="52"/>
    <n v="3"/>
    <x v="1"/>
    <s v="Female"/>
    <n v="42"/>
    <n v="4"/>
    <s v="Very High"/>
    <n v="2"/>
    <x v="0"/>
    <x v="0"/>
    <n v="1"/>
    <s v="Low"/>
    <x v="1"/>
    <n v="5376"/>
    <n v="3193"/>
    <n v="2"/>
    <x v="1"/>
    <n v="19"/>
    <n v="3"/>
    <s v="Excellent"/>
    <n v="1"/>
    <s v="Low"/>
    <n v="2"/>
    <n v="10"/>
    <n v="3"/>
    <n v="3"/>
    <s v="High"/>
    <n v="5"/>
    <n v="3"/>
    <n v="1"/>
    <n v="3"/>
  </r>
  <r>
    <n v="35"/>
    <x v="2"/>
    <x v="1"/>
    <x v="0"/>
    <n v="464"/>
    <x v="1"/>
    <n v="4"/>
    <x v="0"/>
    <n v="2"/>
    <s v="College"/>
    <s v="Other"/>
    <n v="53"/>
    <n v="3"/>
    <x v="1"/>
    <s v="Male"/>
    <n v="75"/>
    <n v="3"/>
    <s v="High"/>
    <n v="1"/>
    <x v="1"/>
    <x v="2"/>
    <n v="4"/>
    <s v="Very High"/>
    <x v="2"/>
    <n v="1951"/>
    <n v="10910"/>
    <n v="1"/>
    <x v="1"/>
    <n v="12"/>
    <n v="3"/>
    <s v="Excellent"/>
    <n v="3"/>
    <s v="High"/>
    <n v="1"/>
    <n v="1"/>
    <n v="3"/>
    <n v="3"/>
    <s v="High"/>
    <n v="1"/>
    <n v="0"/>
    <n v="0"/>
    <n v="0"/>
  </r>
  <r>
    <n v="27"/>
    <x v="2"/>
    <x v="1"/>
    <x v="0"/>
    <n v="1240"/>
    <x v="1"/>
    <n v="2"/>
    <x v="0"/>
    <n v="4"/>
    <s v="Master"/>
    <s v="Life Sciences"/>
    <n v="54"/>
    <n v="4"/>
    <x v="3"/>
    <s v="Female"/>
    <n v="33"/>
    <n v="3"/>
    <s v="High"/>
    <n v="1"/>
    <x v="1"/>
    <x v="2"/>
    <n v="1"/>
    <s v="Low"/>
    <x v="2"/>
    <n v="2341"/>
    <n v="19715"/>
    <n v="1"/>
    <x v="1"/>
    <n v="13"/>
    <n v="3"/>
    <s v="Excellent"/>
    <n v="4"/>
    <s v="Very High"/>
    <n v="1"/>
    <n v="1"/>
    <n v="6"/>
    <n v="3"/>
    <s v="High"/>
    <n v="1"/>
    <n v="0"/>
    <n v="0"/>
    <n v="0"/>
  </r>
  <r>
    <n v="26"/>
    <x v="2"/>
    <x v="0"/>
    <x v="0"/>
    <n v="1357"/>
    <x v="1"/>
    <n v="25"/>
    <x v="1"/>
    <n v="3"/>
    <s v="Bachelor"/>
    <s v="Life Sciences"/>
    <n v="55"/>
    <n v="1"/>
    <x v="2"/>
    <s v="Male"/>
    <n v="48"/>
    <n v="1"/>
    <s v="Low"/>
    <n v="1"/>
    <x v="1"/>
    <x v="2"/>
    <n v="3"/>
    <s v="High"/>
    <x v="0"/>
    <n v="2293"/>
    <n v="10558"/>
    <n v="1"/>
    <x v="1"/>
    <n v="12"/>
    <n v="3"/>
    <s v="Excellent"/>
    <n v="3"/>
    <s v="High"/>
    <n v="0"/>
    <n v="1"/>
    <n v="2"/>
    <n v="2"/>
    <s v="Medium"/>
    <n v="1"/>
    <n v="0"/>
    <n v="0"/>
    <n v="1"/>
  </r>
  <r>
    <n v="27"/>
    <x v="2"/>
    <x v="1"/>
    <x v="1"/>
    <n v="994"/>
    <x v="0"/>
    <n v="8"/>
    <x v="0"/>
    <n v="3"/>
    <s v="Bachelor"/>
    <s v="Life Sciences"/>
    <n v="56"/>
    <n v="4"/>
    <x v="3"/>
    <s v="Male"/>
    <n v="37"/>
    <n v="3"/>
    <s v="High"/>
    <n v="3"/>
    <x v="2"/>
    <x v="0"/>
    <n v="3"/>
    <s v="High"/>
    <x v="0"/>
    <n v="8726"/>
    <n v="2975"/>
    <n v="1"/>
    <x v="1"/>
    <n v="15"/>
    <n v="3"/>
    <s v="Excellent"/>
    <n v="4"/>
    <s v="Very High"/>
    <n v="0"/>
    <n v="9"/>
    <n v="0"/>
    <n v="3"/>
    <s v="High"/>
    <n v="9"/>
    <n v="8"/>
    <n v="1"/>
    <n v="7"/>
  </r>
  <r>
    <n v="30"/>
    <x v="2"/>
    <x v="1"/>
    <x v="1"/>
    <n v="721"/>
    <x v="1"/>
    <n v="1"/>
    <x v="0"/>
    <n v="2"/>
    <s v="College"/>
    <s v="Medical"/>
    <n v="57"/>
    <n v="3"/>
    <x v="1"/>
    <s v="Female"/>
    <n v="58"/>
    <n v="3"/>
    <s v="High"/>
    <n v="2"/>
    <x v="0"/>
    <x v="2"/>
    <n v="4"/>
    <s v="Very High"/>
    <x v="0"/>
    <n v="4011"/>
    <n v="10781"/>
    <n v="1"/>
    <x v="1"/>
    <n v="23"/>
    <n v="4"/>
    <s v="Outstanding"/>
    <n v="4"/>
    <s v="Very High"/>
    <n v="0"/>
    <n v="12"/>
    <n v="2"/>
    <n v="3"/>
    <s v="High"/>
    <n v="12"/>
    <n v="8"/>
    <n v="3"/>
    <n v="7"/>
  </r>
  <r>
    <n v="41"/>
    <x v="0"/>
    <x v="0"/>
    <x v="0"/>
    <n v="1360"/>
    <x v="1"/>
    <n v="12"/>
    <x v="2"/>
    <n v="3"/>
    <s v="Bachelor"/>
    <s v="Technical Degree"/>
    <n v="58"/>
    <n v="2"/>
    <x v="0"/>
    <s v="Female"/>
    <n v="49"/>
    <n v="3"/>
    <s v="High"/>
    <n v="5"/>
    <x v="4"/>
    <x v="7"/>
    <n v="3"/>
    <s v="High"/>
    <x v="1"/>
    <n v="19545"/>
    <n v="16280"/>
    <n v="1"/>
    <x v="1"/>
    <n v="12"/>
    <n v="3"/>
    <s v="Excellent"/>
    <n v="4"/>
    <s v="Very High"/>
    <n v="0"/>
    <n v="23"/>
    <n v="0"/>
    <n v="3"/>
    <s v="High"/>
    <n v="22"/>
    <n v="15"/>
    <n v="15"/>
    <n v="8"/>
  </r>
  <r>
    <n v="34"/>
    <x v="2"/>
    <x v="1"/>
    <x v="2"/>
    <n v="1065"/>
    <x v="0"/>
    <n v="23"/>
    <x v="1"/>
    <n v="4"/>
    <s v="Master"/>
    <s v="Marketing"/>
    <n v="60"/>
    <n v="2"/>
    <x v="0"/>
    <s v="Male"/>
    <n v="72"/>
    <n v="3"/>
    <s v="High"/>
    <n v="2"/>
    <x v="0"/>
    <x v="0"/>
    <n v="3"/>
    <s v="High"/>
    <x v="0"/>
    <n v="4568"/>
    <n v="10034"/>
    <n v="0"/>
    <x v="1"/>
    <n v="20"/>
    <n v="4"/>
    <s v="Outstanding"/>
    <n v="3"/>
    <s v="High"/>
    <n v="0"/>
    <n v="10"/>
    <n v="2"/>
    <n v="3"/>
    <s v="High"/>
    <n v="9"/>
    <n v="5"/>
    <n v="8"/>
    <n v="7"/>
  </r>
  <r>
    <n v="37"/>
    <x v="0"/>
    <x v="1"/>
    <x v="0"/>
    <n v="408"/>
    <x v="1"/>
    <n v="19"/>
    <x v="2"/>
    <n v="2"/>
    <s v="College"/>
    <s v="Life Sciences"/>
    <n v="61"/>
    <n v="2"/>
    <x v="0"/>
    <s v="Male"/>
    <n v="73"/>
    <n v="3"/>
    <s v="High"/>
    <n v="1"/>
    <x v="1"/>
    <x v="1"/>
    <n v="2"/>
    <s v="Medium"/>
    <x v="1"/>
    <n v="3022"/>
    <n v="10227"/>
    <n v="4"/>
    <x v="1"/>
    <n v="21"/>
    <n v="4"/>
    <s v="Outstanding"/>
    <n v="1"/>
    <s v="Low"/>
    <n v="0"/>
    <n v="8"/>
    <n v="1"/>
    <n v="3"/>
    <s v="High"/>
    <n v="1"/>
    <n v="0"/>
    <n v="0"/>
    <n v="0"/>
  </r>
  <r>
    <n v="46"/>
    <x v="1"/>
    <x v="1"/>
    <x v="1"/>
    <n v="1211"/>
    <x v="0"/>
    <n v="5"/>
    <x v="0"/>
    <n v="4"/>
    <s v="Master"/>
    <s v="Marketing"/>
    <n v="62"/>
    <n v="1"/>
    <x v="2"/>
    <s v="Male"/>
    <n v="98"/>
    <n v="3"/>
    <s v="High"/>
    <n v="2"/>
    <x v="0"/>
    <x v="0"/>
    <n v="4"/>
    <s v="Very High"/>
    <x v="0"/>
    <n v="5772"/>
    <n v="20445"/>
    <n v="4"/>
    <x v="0"/>
    <n v="21"/>
    <n v="4"/>
    <s v="Outstanding"/>
    <n v="3"/>
    <s v="High"/>
    <n v="0"/>
    <n v="14"/>
    <n v="4"/>
    <n v="3"/>
    <s v="High"/>
    <n v="9"/>
    <n v="6"/>
    <n v="0"/>
    <n v="8"/>
  </r>
  <r>
    <n v="35"/>
    <x v="2"/>
    <x v="1"/>
    <x v="0"/>
    <n v="1229"/>
    <x v="1"/>
    <n v="8"/>
    <x v="0"/>
    <n v="1"/>
    <s v="Below College"/>
    <s v="Life Sciences"/>
    <n v="63"/>
    <n v="4"/>
    <x v="3"/>
    <s v="Male"/>
    <n v="36"/>
    <n v="4"/>
    <s v="Very High"/>
    <n v="1"/>
    <x v="1"/>
    <x v="2"/>
    <n v="4"/>
    <s v="Very High"/>
    <x v="1"/>
    <n v="2269"/>
    <n v="4892"/>
    <n v="1"/>
    <x v="1"/>
    <n v="19"/>
    <n v="3"/>
    <s v="Excellent"/>
    <n v="4"/>
    <s v="Very High"/>
    <n v="0"/>
    <n v="1"/>
    <n v="2"/>
    <n v="3"/>
    <s v="High"/>
    <n v="1"/>
    <n v="0"/>
    <n v="0"/>
    <n v="1"/>
  </r>
  <r>
    <n v="48"/>
    <x v="1"/>
    <x v="0"/>
    <x v="0"/>
    <n v="626"/>
    <x v="1"/>
    <n v="1"/>
    <x v="0"/>
    <n v="2"/>
    <s v="College"/>
    <s v="Life Sciences"/>
    <n v="64"/>
    <n v="1"/>
    <x v="2"/>
    <s v="Male"/>
    <n v="98"/>
    <n v="2"/>
    <s v="Medium"/>
    <n v="3"/>
    <x v="2"/>
    <x v="2"/>
    <n v="3"/>
    <s v="High"/>
    <x v="0"/>
    <n v="5381"/>
    <n v="19294"/>
    <n v="9"/>
    <x v="0"/>
    <n v="13"/>
    <n v="3"/>
    <s v="Excellent"/>
    <n v="4"/>
    <s v="Very High"/>
    <n v="0"/>
    <n v="23"/>
    <n v="2"/>
    <n v="3"/>
    <s v="High"/>
    <n v="1"/>
    <n v="0"/>
    <n v="0"/>
    <n v="0"/>
  </r>
  <r>
    <n v="28"/>
    <x v="2"/>
    <x v="0"/>
    <x v="0"/>
    <n v="1434"/>
    <x v="1"/>
    <n v="5"/>
    <x v="0"/>
    <n v="4"/>
    <s v="Master"/>
    <s v="Technical Degree"/>
    <n v="65"/>
    <n v="3"/>
    <x v="1"/>
    <s v="Male"/>
    <n v="50"/>
    <n v="3"/>
    <s v="High"/>
    <n v="1"/>
    <x v="1"/>
    <x v="2"/>
    <n v="3"/>
    <s v="High"/>
    <x v="0"/>
    <n v="3441"/>
    <n v="11179"/>
    <n v="1"/>
    <x v="0"/>
    <n v="13"/>
    <n v="3"/>
    <s v="Excellent"/>
    <n v="3"/>
    <s v="High"/>
    <n v="0"/>
    <n v="2"/>
    <n v="3"/>
    <n v="2"/>
    <s v="Medium"/>
    <n v="2"/>
    <n v="2"/>
    <n v="2"/>
    <n v="2"/>
  </r>
  <r>
    <n v="44"/>
    <x v="0"/>
    <x v="1"/>
    <x v="0"/>
    <n v="1488"/>
    <x v="0"/>
    <n v="1"/>
    <x v="0"/>
    <n v="5"/>
    <s v="Doctor"/>
    <s v="Marketing"/>
    <n v="68"/>
    <n v="2"/>
    <x v="0"/>
    <s v="Female"/>
    <n v="75"/>
    <n v="3"/>
    <s v="High"/>
    <n v="2"/>
    <x v="0"/>
    <x v="0"/>
    <n v="1"/>
    <s v="Low"/>
    <x v="2"/>
    <n v="5454"/>
    <n v="4009"/>
    <n v="5"/>
    <x v="0"/>
    <n v="21"/>
    <n v="4"/>
    <s v="Outstanding"/>
    <n v="3"/>
    <s v="High"/>
    <n v="1"/>
    <n v="9"/>
    <n v="2"/>
    <n v="2"/>
    <s v="Medium"/>
    <n v="4"/>
    <n v="3"/>
    <n v="1"/>
    <n v="3"/>
  </r>
  <r>
    <n v="35"/>
    <x v="2"/>
    <x v="1"/>
    <x v="2"/>
    <n v="1097"/>
    <x v="1"/>
    <n v="11"/>
    <x v="2"/>
    <n v="2"/>
    <s v="College"/>
    <s v="Medical"/>
    <n v="70"/>
    <n v="3"/>
    <x v="1"/>
    <s v="Male"/>
    <n v="79"/>
    <n v="2"/>
    <s v="Medium"/>
    <n v="3"/>
    <x v="2"/>
    <x v="4"/>
    <n v="1"/>
    <s v="Low"/>
    <x v="1"/>
    <n v="9884"/>
    <n v="8302"/>
    <n v="2"/>
    <x v="0"/>
    <n v="13"/>
    <n v="3"/>
    <s v="Excellent"/>
    <n v="3"/>
    <s v="High"/>
    <n v="1"/>
    <n v="10"/>
    <n v="3"/>
    <n v="3"/>
    <s v="High"/>
    <n v="4"/>
    <n v="0"/>
    <n v="2"/>
    <n v="3"/>
  </r>
  <r>
    <n v="26"/>
    <x v="2"/>
    <x v="1"/>
    <x v="0"/>
    <n v="1443"/>
    <x v="0"/>
    <n v="23"/>
    <x v="1"/>
    <n v="3"/>
    <s v="Bachelor"/>
    <s v="Marketing"/>
    <n v="72"/>
    <n v="3"/>
    <x v="1"/>
    <s v="Female"/>
    <n v="47"/>
    <n v="2"/>
    <s v="Medium"/>
    <n v="2"/>
    <x v="0"/>
    <x v="0"/>
    <n v="4"/>
    <s v="Very High"/>
    <x v="1"/>
    <n v="4157"/>
    <n v="21436"/>
    <n v="7"/>
    <x v="0"/>
    <n v="19"/>
    <n v="3"/>
    <s v="Excellent"/>
    <n v="3"/>
    <s v="High"/>
    <n v="1"/>
    <n v="5"/>
    <n v="2"/>
    <n v="2"/>
    <s v="Medium"/>
    <n v="2"/>
    <n v="2"/>
    <n v="0"/>
    <n v="0"/>
  </r>
  <r>
    <n v="33"/>
    <x v="2"/>
    <x v="1"/>
    <x v="1"/>
    <n v="515"/>
    <x v="1"/>
    <n v="1"/>
    <x v="0"/>
    <n v="2"/>
    <s v="College"/>
    <s v="Life Sciences"/>
    <n v="73"/>
    <n v="1"/>
    <x v="2"/>
    <s v="Female"/>
    <n v="98"/>
    <n v="3"/>
    <s v="High"/>
    <n v="3"/>
    <x v="2"/>
    <x v="7"/>
    <n v="4"/>
    <s v="Very High"/>
    <x v="0"/>
    <n v="13458"/>
    <n v="15146"/>
    <n v="1"/>
    <x v="0"/>
    <n v="12"/>
    <n v="3"/>
    <s v="Excellent"/>
    <n v="3"/>
    <s v="High"/>
    <n v="0"/>
    <n v="15"/>
    <n v="1"/>
    <n v="3"/>
    <s v="High"/>
    <n v="15"/>
    <n v="14"/>
    <n v="8"/>
    <n v="12"/>
  </r>
  <r>
    <n v="35"/>
    <x v="2"/>
    <x v="1"/>
    <x v="1"/>
    <n v="853"/>
    <x v="0"/>
    <n v="18"/>
    <x v="2"/>
    <n v="5"/>
    <s v="Doctor"/>
    <s v="Life Sciences"/>
    <n v="74"/>
    <n v="2"/>
    <x v="0"/>
    <s v="Male"/>
    <n v="71"/>
    <n v="3"/>
    <s v="High"/>
    <n v="3"/>
    <x v="2"/>
    <x v="0"/>
    <n v="1"/>
    <s v="Low"/>
    <x v="1"/>
    <n v="9069"/>
    <n v="11031"/>
    <n v="1"/>
    <x v="1"/>
    <n v="22"/>
    <n v="4"/>
    <s v="Outstanding"/>
    <n v="4"/>
    <s v="Very High"/>
    <n v="1"/>
    <n v="9"/>
    <n v="3"/>
    <n v="2"/>
    <s v="Medium"/>
    <n v="9"/>
    <n v="8"/>
    <n v="1"/>
    <n v="8"/>
  </r>
  <r>
    <n v="35"/>
    <x v="2"/>
    <x v="1"/>
    <x v="0"/>
    <n v="1142"/>
    <x v="1"/>
    <n v="23"/>
    <x v="1"/>
    <n v="4"/>
    <s v="Master"/>
    <s v="Medical"/>
    <n v="75"/>
    <n v="3"/>
    <x v="1"/>
    <s v="Female"/>
    <n v="30"/>
    <n v="3"/>
    <s v="High"/>
    <n v="1"/>
    <x v="1"/>
    <x v="2"/>
    <n v="1"/>
    <s v="Low"/>
    <x v="1"/>
    <n v="4014"/>
    <n v="16002"/>
    <n v="3"/>
    <x v="0"/>
    <n v="15"/>
    <n v="3"/>
    <s v="Excellent"/>
    <n v="3"/>
    <s v="High"/>
    <n v="1"/>
    <n v="4"/>
    <n v="3"/>
    <n v="3"/>
    <s v="High"/>
    <n v="2"/>
    <n v="2"/>
    <n v="2"/>
    <n v="2"/>
  </r>
  <r>
    <n v="31"/>
    <x v="2"/>
    <x v="1"/>
    <x v="0"/>
    <n v="655"/>
    <x v="1"/>
    <n v="7"/>
    <x v="0"/>
    <n v="4"/>
    <s v="Master"/>
    <s v="Life Sciences"/>
    <n v="76"/>
    <n v="4"/>
    <x v="3"/>
    <s v="Male"/>
    <n v="48"/>
    <n v="3"/>
    <s v="High"/>
    <n v="2"/>
    <x v="0"/>
    <x v="2"/>
    <n v="4"/>
    <s v="Very High"/>
    <x v="2"/>
    <n v="5915"/>
    <n v="9528"/>
    <n v="3"/>
    <x v="1"/>
    <n v="22"/>
    <n v="4"/>
    <s v="Outstanding"/>
    <n v="4"/>
    <s v="Very High"/>
    <n v="1"/>
    <n v="10"/>
    <n v="3"/>
    <n v="2"/>
    <s v="Medium"/>
    <n v="7"/>
    <n v="7"/>
    <n v="1"/>
    <n v="7"/>
  </r>
  <r>
    <n v="37"/>
    <x v="0"/>
    <x v="1"/>
    <x v="0"/>
    <n v="1115"/>
    <x v="1"/>
    <n v="1"/>
    <x v="0"/>
    <n v="4"/>
    <s v="Master"/>
    <s v="Life Sciences"/>
    <n v="77"/>
    <n v="1"/>
    <x v="2"/>
    <s v="Male"/>
    <n v="51"/>
    <n v="2"/>
    <s v="Medium"/>
    <n v="2"/>
    <x v="0"/>
    <x v="3"/>
    <n v="3"/>
    <s v="High"/>
    <x v="2"/>
    <n v="5993"/>
    <n v="2689"/>
    <n v="1"/>
    <x v="1"/>
    <n v="18"/>
    <n v="3"/>
    <s v="Excellent"/>
    <n v="3"/>
    <s v="High"/>
    <n v="1"/>
    <n v="7"/>
    <n v="2"/>
    <n v="4"/>
    <s v="Very High"/>
    <n v="7"/>
    <n v="5"/>
    <n v="0"/>
    <n v="7"/>
  </r>
  <r>
    <n v="32"/>
    <x v="2"/>
    <x v="1"/>
    <x v="0"/>
    <n v="427"/>
    <x v="1"/>
    <n v="1"/>
    <x v="0"/>
    <n v="3"/>
    <s v="Bachelor"/>
    <s v="Medical"/>
    <n v="78"/>
    <n v="1"/>
    <x v="2"/>
    <s v="Male"/>
    <n v="33"/>
    <n v="3"/>
    <s v="High"/>
    <n v="2"/>
    <x v="0"/>
    <x v="3"/>
    <n v="4"/>
    <s v="Very High"/>
    <x v="1"/>
    <n v="6162"/>
    <n v="10877"/>
    <n v="1"/>
    <x v="0"/>
    <n v="22"/>
    <n v="4"/>
    <s v="Outstanding"/>
    <n v="2"/>
    <s v="Medium"/>
    <n v="1"/>
    <n v="9"/>
    <n v="3"/>
    <n v="3"/>
    <s v="High"/>
    <n v="9"/>
    <n v="8"/>
    <n v="7"/>
    <n v="8"/>
  </r>
  <r>
    <n v="38"/>
    <x v="0"/>
    <x v="1"/>
    <x v="1"/>
    <n v="653"/>
    <x v="1"/>
    <n v="29"/>
    <x v="1"/>
    <n v="5"/>
    <s v="Doctor"/>
    <s v="Life Sciences"/>
    <n v="79"/>
    <n v="4"/>
    <x v="3"/>
    <s v="Female"/>
    <n v="50"/>
    <n v="3"/>
    <s v="High"/>
    <n v="2"/>
    <x v="0"/>
    <x v="2"/>
    <n v="4"/>
    <s v="Very High"/>
    <x v="0"/>
    <n v="2406"/>
    <n v="5456"/>
    <n v="1"/>
    <x v="1"/>
    <n v="11"/>
    <n v="3"/>
    <s v="Excellent"/>
    <n v="4"/>
    <s v="Very High"/>
    <n v="0"/>
    <n v="10"/>
    <n v="2"/>
    <n v="3"/>
    <s v="High"/>
    <n v="10"/>
    <n v="3"/>
    <n v="9"/>
    <n v="9"/>
  </r>
  <r>
    <n v="50"/>
    <x v="1"/>
    <x v="1"/>
    <x v="0"/>
    <n v="989"/>
    <x v="1"/>
    <n v="7"/>
    <x v="0"/>
    <n v="2"/>
    <s v="College"/>
    <s v="Medical"/>
    <n v="80"/>
    <n v="2"/>
    <x v="0"/>
    <s v="Female"/>
    <n v="43"/>
    <n v="2"/>
    <s v="Medium"/>
    <n v="5"/>
    <x v="4"/>
    <x v="7"/>
    <n v="3"/>
    <s v="High"/>
    <x v="2"/>
    <n v="18740"/>
    <n v="16701"/>
    <n v="5"/>
    <x v="0"/>
    <n v="12"/>
    <n v="3"/>
    <s v="Excellent"/>
    <n v="4"/>
    <s v="Very High"/>
    <n v="1"/>
    <n v="29"/>
    <n v="2"/>
    <n v="2"/>
    <s v="Medium"/>
    <n v="27"/>
    <n v="3"/>
    <n v="13"/>
    <n v="8"/>
  </r>
  <r>
    <n v="59"/>
    <x v="3"/>
    <x v="1"/>
    <x v="0"/>
    <n v="1435"/>
    <x v="0"/>
    <n v="25"/>
    <x v="1"/>
    <n v="3"/>
    <s v="Bachelor"/>
    <s v="Life Sciences"/>
    <n v="81"/>
    <n v="1"/>
    <x v="2"/>
    <s v="Female"/>
    <n v="99"/>
    <n v="3"/>
    <s v="High"/>
    <n v="3"/>
    <x v="2"/>
    <x v="0"/>
    <n v="1"/>
    <s v="Low"/>
    <x v="0"/>
    <n v="7637"/>
    <n v="2354"/>
    <n v="7"/>
    <x v="1"/>
    <n v="11"/>
    <n v="3"/>
    <s v="Excellent"/>
    <n v="4"/>
    <s v="Very High"/>
    <n v="0"/>
    <n v="28"/>
    <n v="3"/>
    <n v="2"/>
    <s v="Medium"/>
    <n v="21"/>
    <n v="16"/>
    <n v="7"/>
    <n v="9"/>
  </r>
  <r>
    <n v="36"/>
    <x v="0"/>
    <x v="1"/>
    <x v="0"/>
    <n v="1223"/>
    <x v="1"/>
    <n v="8"/>
    <x v="0"/>
    <n v="3"/>
    <s v="Bachelor"/>
    <s v="Technical Degree"/>
    <n v="83"/>
    <n v="3"/>
    <x v="1"/>
    <s v="Female"/>
    <n v="59"/>
    <n v="3"/>
    <s v="High"/>
    <n v="3"/>
    <x v="2"/>
    <x v="4"/>
    <n v="3"/>
    <s v="High"/>
    <x v="2"/>
    <n v="10096"/>
    <n v="8202"/>
    <n v="1"/>
    <x v="1"/>
    <n v="13"/>
    <n v="3"/>
    <s v="Excellent"/>
    <n v="2"/>
    <s v="Medium"/>
    <n v="3"/>
    <n v="17"/>
    <n v="2"/>
    <n v="3"/>
    <s v="High"/>
    <n v="17"/>
    <n v="14"/>
    <n v="12"/>
    <n v="8"/>
  </r>
  <r>
    <n v="55"/>
    <x v="1"/>
    <x v="1"/>
    <x v="0"/>
    <n v="836"/>
    <x v="1"/>
    <n v="8"/>
    <x v="0"/>
    <n v="3"/>
    <s v="Bachelor"/>
    <s v="Medical"/>
    <n v="84"/>
    <n v="4"/>
    <x v="3"/>
    <s v="Female"/>
    <n v="33"/>
    <n v="3"/>
    <s v="High"/>
    <n v="4"/>
    <x v="3"/>
    <x v="5"/>
    <n v="3"/>
    <s v="High"/>
    <x v="2"/>
    <n v="14756"/>
    <n v="19730"/>
    <n v="2"/>
    <x v="0"/>
    <n v="14"/>
    <n v="3"/>
    <s v="Excellent"/>
    <n v="3"/>
    <s v="High"/>
    <n v="3"/>
    <n v="21"/>
    <n v="2"/>
    <n v="3"/>
    <s v="High"/>
    <n v="5"/>
    <n v="0"/>
    <n v="0"/>
    <n v="2"/>
  </r>
  <r>
    <n v="36"/>
    <x v="0"/>
    <x v="1"/>
    <x v="1"/>
    <n v="1195"/>
    <x v="1"/>
    <n v="11"/>
    <x v="2"/>
    <n v="3"/>
    <s v="Bachelor"/>
    <s v="Life Sciences"/>
    <n v="85"/>
    <n v="2"/>
    <x v="0"/>
    <s v="Male"/>
    <n v="95"/>
    <n v="2"/>
    <s v="Medium"/>
    <n v="2"/>
    <x v="0"/>
    <x v="3"/>
    <n v="2"/>
    <s v="Medium"/>
    <x v="0"/>
    <n v="6499"/>
    <n v="22656"/>
    <n v="1"/>
    <x v="1"/>
    <n v="13"/>
    <n v="3"/>
    <s v="Excellent"/>
    <n v="3"/>
    <s v="High"/>
    <n v="0"/>
    <n v="6"/>
    <n v="3"/>
    <n v="3"/>
    <s v="High"/>
    <n v="6"/>
    <n v="5"/>
    <n v="0"/>
    <n v="3"/>
  </r>
  <r>
    <n v="45"/>
    <x v="0"/>
    <x v="1"/>
    <x v="0"/>
    <n v="1339"/>
    <x v="1"/>
    <n v="7"/>
    <x v="0"/>
    <n v="3"/>
    <s v="Bachelor"/>
    <s v="Life Sciences"/>
    <n v="86"/>
    <n v="2"/>
    <x v="0"/>
    <s v="Male"/>
    <n v="59"/>
    <n v="3"/>
    <s v="High"/>
    <n v="3"/>
    <x v="2"/>
    <x v="1"/>
    <n v="1"/>
    <s v="Low"/>
    <x v="2"/>
    <n v="9724"/>
    <n v="18787"/>
    <n v="2"/>
    <x v="1"/>
    <n v="17"/>
    <n v="3"/>
    <s v="Excellent"/>
    <n v="3"/>
    <s v="High"/>
    <n v="1"/>
    <n v="25"/>
    <n v="2"/>
    <n v="3"/>
    <s v="High"/>
    <n v="1"/>
    <n v="0"/>
    <n v="0"/>
    <n v="0"/>
  </r>
  <r>
    <n v="35"/>
    <x v="2"/>
    <x v="1"/>
    <x v="1"/>
    <n v="664"/>
    <x v="1"/>
    <n v="1"/>
    <x v="0"/>
    <n v="3"/>
    <s v="Bachelor"/>
    <s v="Medical"/>
    <n v="88"/>
    <n v="2"/>
    <x v="0"/>
    <s v="Male"/>
    <n v="79"/>
    <n v="3"/>
    <s v="High"/>
    <n v="1"/>
    <x v="1"/>
    <x v="1"/>
    <n v="1"/>
    <s v="Low"/>
    <x v="1"/>
    <n v="2194"/>
    <n v="5868"/>
    <n v="4"/>
    <x v="1"/>
    <n v="13"/>
    <n v="3"/>
    <s v="Excellent"/>
    <n v="4"/>
    <s v="Very High"/>
    <n v="1"/>
    <n v="5"/>
    <n v="2"/>
    <n v="2"/>
    <s v="Medium"/>
    <n v="3"/>
    <n v="2"/>
    <n v="1"/>
    <n v="2"/>
  </r>
  <r>
    <n v="36"/>
    <x v="0"/>
    <x v="0"/>
    <x v="0"/>
    <n v="318"/>
    <x v="1"/>
    <n v="9"/>
    <x v="0"/>
    <n v="3"/>
    <s v="Bachelor"/>
    <s v="Medical"/>
    <n v="90"/>
    <n v="4"/>
    <x v="3"/>
    <s v="Male"/>
    <n v="79"/>
    <n v="2"/>
    <s v="Medium"/>
    <n v="1"/>
    <x v="1"/>
    <x v="1"/>
    <n v="3"/>
    <s v="High"/>
    <x v="1"/>
    <n v="3388"/>
    <n v="21777"/>
    <n v="0"/>
    <x v="0"/>
    <n v="17"/>
    <n v="3"/>
    <s v="Excellent"/>
    <n v="1"/>
    <s v="Low"/>
    <n v="1"/>
    <n v="2"/>
    <n v="0"/>
    <n v="2"/>
    <s v="Medium"/>
    <n v="1"/>
    <n v="0"/>
    <n v="0"/>
    <n v="0"/>
  </r>
  <r>
    <n v="59"/>
    <x v="3"/>
    <x v="1"/>
    <x v="1"/>
    <n v="1225"/>
    <x v="0"/>
    <n v="1"/>
    <x v="0"/>
    <n v="1"/>
    <s v="Below College"/>
    <s v="Life Sciences"/>
    <n v="91"/>
    <n v="1"/>
    <x v="2"/>
    <s v="Female"/>
    <n v="57"/>
    <n v="2"/>
    <s v="Medium"/>
    <n v="2"/>
    <x v="0"/>
    <x v="0"/>
    <n v="3"/>
    <s v="High"/>
    <x v="0"/>
    <n v="5473"/>
    <n v="24668"/>
    <n v="7"/>
    <x v="1"/>
    <n v="11"/>
    <n v="3"/>
    <s v="Excellent"/>
    <n v="4"/>
    <s v="Very High"/>
    <n v="0"/>
    <n v="20"/>
    <n v="2"/>
    <n v="2"/>
    <s v="Medium"/>
    <n v="4"/>
    <n v="3"/>
    <n v="1"/>
    <n v="3"/>
  </r>
  <r>
    <n v="29"/>
    <x v="2"/>
    <x v="1"/>
    <x v="0"/>
    <n v="1328"/>
    <x v="1"/>
    <n v="2"/>
    <x v="0"/>
    <n v="3"/>
    <s v="Bachelor"/>
    <s v="Life Sciences"/>
    <n v="94"/>
    <n v="3"/>
    <x v="1"/>
    <s v="Male"/>
    <n v="76"/>
    <n v="3"/>
    <s v="High"/>
    <n v="1"/>
    <x v="1"/>
    <x v="1"/>
    <n v="2"/>
    <s v="Medium"/>
    <x v="1"/>
    <n v="2703"/>
    <n v="4956"/>
    <n v="0"/>
    <x v="1"/>
    <n v="23"/>
    <n v="4"/>
    <s v="Outstanding"/>
    <n v="4"/>
    <s v="Very High"/>
    <n v="1"/>
    <n v="6"/>
    <n v="3"/>
    <n v="3"/>
    <s v="High"/>
    <n v="5"/>
    <n v="4"/>
    <n v="0"/>
    <n v="4"/>
  </r>
  <r>
    <n v="31"/>
    <x v="2"/>
    <x v="1"/>
    <x v="0"/>
    <n v="1082"/>
    <x v="1"/>
    <n v="1"/>
    <x v="0"/>
    <n v="4"/>
    <s v="Master"/>
    <s v="Medical"/>
    <n v="95"/>
    <n v="3"/>
    <x v="1"/>
    <s v="Male"/>
    <n v="87"/>
    <n v="3"/>
    <s v="High"/>
    <n v="1"/>
    <x v="1"/>
    <x v="1"/>
    <n v="2"/>
    <s v="Medium"/>
    <x v="0"/>
    <n v="2501"/>
    <n v="18775"/>
    <n v="1"/>
    <x v="1"/>
    <n v="17"/>
    <n v="3"/>
    <s v="Excellent"/>
    <n v="2"/>
    <s v="Medium"/>
    <n v="0"/>
    <n v="1"/>
    <n v="4"/>
    <n v="3"/>
    <s v="High"/>
    <n v="1"/>
    <n v="1"/>
    <n v="1"/>
    <n v="0"/>
  </r>
  <r>
    <n v="32"/>
    <x v="2"/>
    <x v="1"/>
    <x v="0"/>
    <n v="548"/>
    <x v="1"/>
    <n v="1"/>
    <x v="0"/>
    <n v="3"/>
    <s v="Bachelor"/>
    <s v="Life Sciences"/>
    <n v="96"/>
    <n v="2"/>
    <x v="0"/>
    <s v="Male"/>
    <n v="66"/>
    <n v="3"/>
    <s v="High"/>
    <n v="2"/>
    <x v="0"/>
    <x v="1"/>
    <n v="2"/>
    <s v="Medium"/>
    <x v="1"/>
    <n v="6220"/>
    <n v="7346"/>
    <n v="1"/>
    <x v="1"/>
    <n v="17"/>
    <n v="3"/>
    <s v="Excellent"/>
    <n v="2"/>
    <s v="Medium"/>
    <n v="2"/>
    <n v="10"/>
    <n v="3"/>
    <n v="3"/>
    <s v="High"/>
    <n v="10"/>
    <n v="4"/>
    <n v="0"/>
    <n v="9"/>
  </r>
  <r>
    <n v="36"/>
    <x v="0"/>
    <x v="1"/>
    <x v="0"/>
    <n v="132"/>
    <x v="1"/>
    <n v="6"/>
    <x v="0"/>
    <n v="3"/>
    <s v="Bachelor"/>
    <s v="Life Sciences"/>
    <n v="97"/>
    <n v="2"/>
    <x v="0"/>
    <s v="Female"/>
    <n v="55"/>
    <n v="4"/>
    <s v="Very High"/>
    <n v="1"/>
    <x v="1"/>
    <x v="2"/>
    <n v="4"/>
    <s v="Very High"/>
    <x v="1"/>
    <n v="3038"/>
    <n v="22002"/>
    <n v="3"/>
    <x v="1"/>
    <n v="12"/>
    <n v="3"/>
    <s v="Excellent"/>
    <n v="2"/>
    <s v="Medium"/>
    <n v="0"/>
    <n v="5"/>
    <n v="3"/>
    <n v="3"/>
    <s v="High"/>
    <n v="1"/>
    <n v="0"/>
    <n v="0"/>
    <n v="0"/>
  </r>
  <r>
    <n v="31"/>
    <x v="2"/>
    <x v="1"/>
    <x v="0"/>
    <n v="746"/>
    <x v="1"/>
    <n v="8"/>
    <x v="0"/>
    <n v="4"/>
    <s v="Master"/>
    <s v="Life Sciences"/>
    <n v="98"/>
    <n v="3"/>
    <x v="1"/>
    <s v="Female"/>
    <n v="61"/>
    <n v="3"/>
    <s v="High"/>
    <n v="2"/>
    <x v="0"/>
    <x v="3"/>
    <n v="4"/>
    <s v="Very High"/>
    <x v="0"/>
    <n v="4424"/>
    <n v="20682"/>
    <n v="1"/>
    <x v="1"/>
    <n v="23"/>
    <n v="4"/>
    <s v="Outstanding"/>
    <n v="4"/>
    <s v="Very High"/>
    <n v="0"/>
    <n v="11"/>
    <n v="2"/>
    <n v="3"/>
    <s v="High"/>
    <n v="11"/>
    <n v="7"/>
    <n v="1"/>
    <n v="8"/>
  </r>
  <r>
    <n v="35"/>
    <x v="2"/>
    <x v="1"/>
    <x v="0"/>
    <n v="776"/>
    <x v="0"/>
    <n v="1"/>
    <x v="0"/>
    <n v="4"/>
    <s v="Master"/>
    <s v="Marketing"/>
    <n v="100"/>
    <n v="3"/>
    <x v="1"/>
    <s v="Male"/>
    <n v="32"/>
    <n v="2"/>
    <s v="Medium"/>
    <n v="2"/>
    <x v="0"/>
    <x v="0"/>
    <n v="1"/>
    <s v="Low"/>
    <x v="0"/>
    <n v="4312"/>
    <n v="23016"/>
    <n v="0"/>
    <x v="1"/>
    <n v="14"/>
    <n v="3"/>
    <s v="Excellent"/>
    <n v="2"/>
    <s v="Medium"/>
    <n v="0"/>
    <n v="16"/>
    <n v="2"/>
    <n v="3"/>
    <s v="High"/>
    <n v="15"/>
    <n v="13"/>
    <n v="2"/>
    <n v="8"/>
  </r>
  <r>
    <n v="45"/>
    <x v="0"/>
    <x v="1"/>
    <x v="0"/>
    <n v="193"/>
    <x v="1"/>
    <n v="6"/>
    <x v="0"/>
    <n v="4"/>
    <s v="Master"/>
    <s v="Other"/>
    <n v="101"/>
    <n v="4"/>
    <x v="3"/>
    <s v="Male"/>
    <n v="52"/>
    <n v="3"/>
    <s v="High"/>
    <n v="3"/>
    <x v="2"/>
    <x v="7"/>
    <n v="1"/>
    <s v="Low"/>
    <x v="1"/>
    <n v="13245"/>
    <n v="15067"/>
    <n v="4"/>
    <x v="0"/>
    <n v="14"/>
    <n v="3"/>
    <s v="Excellent"/>
    <n v="2"/>
    <s v="Medium"/>
    <n v="0"/>
    <n v="17"/>
    <n v="3"/>
    <n v="4"/>
    <s v="Very High"/>
    <n v="0"/>
    <n v="0"/>
    <n v="0"/>
    <n v="0"/>
  </r>
  <r>
    <n v="37"/>
    <x v="0"/>
    <x v="1"/>
    <x v="0"/>
    <n v="397"/>
    <x v="1"/>
    <n v="7"/>
    <x v="0"/>
    <n v="4"/>
    <s v="Master"/>
    <s v="Medical"/>
    <n v="102"/>
    <n v="1"/>
    <x v="2"/>
    <s v="Male"/>
    <n v="30"/>
    <n v="3"/>
    <s v="High"/>
    <n v="3"/>
    <x v="2"/>
    <x v="7"/>
    <n v="3"/>
    <s v="High"/>
    <x v="0"/>
    <n v="13664"/>
    <n v="25258"/>
    <n v="4"/>
    <x v="1"/>
    <n v="13"/>
    <n v="3"/>
    <s v="Excellent"/>
    <n v="1"/>
    <s v="Low"/>
    <n v="0"/>
    <n v="16"/>
    <n v="3"/>
    <n v="4"/>
    <s v="Very High"/>
    <n v="5"/>
    <n v="2"/>
    <n v="0"/>
    <n v="2"/>
  </r>
  <r>
    <n v="46"/>
    <x v="1"/>
    <x v="1"/>
    <x v="0"/>
    <n v="945"/>
    <x v="2"/>
    <n v="5"/>
    <x v="0"/>
    <n v="2"/>
    <s v="College"/>
    <s v="Medical"/>
    <n v="103"/>
    <n v="2"/>
    <x v="0"/>
    <s v="Male"/>
    <n v="80"/>
    <n v="3"/>
    <s v="High"/>
    <n v="2"/>
    <x v="0"/>
    <x v="8"/>
    <n v="2"/>
    <s v="Medium"/>
    <x v="2"/>
    <n v="5021"/>
    <n v="10425"/>
    <n v="8"/>
    <x v="0"/>
    <n v="22"/>
    <n v="4"/>
    <s v="Outstanding"/>
    <n v="4"/>
    <s v="Very High"/>
    <n v="1"/>
    <n v="16"/>
    <n v="2"/>
    <n v="3"/>
    <s v="High"/>
    <n v="4"/>
    <n v="2"/>
    <n v="0"/>
    <n v="2"/>
  </r>
  <r>
    <n v="30"/>
    <x v="2"/>
    <x v="1"/>
    <x v="0"/>
    <n v="852"/>
    <x v="1"/>
    <n v="1"/>
    <x v="0"/>
    <n v="1"/>
    <s v="Below College"/>
    <s v="Life Sciences"/>
    <n v="104"/>
    <n v="4"/>
    <x v="3"/>
    <s v="Male"/>
    <n v="55"/>
    <n v="2"/>
    <s v="Medium"/>
    <n v="2"/>
    <x v="0"/>
    <x v="2"/>
    <n v="4"/>
    <s v="Very High"/>
    <x v="1"/>
    <n v="5126"/>
    <n v="15998"/>
    <n v="1"/>
    <x v="0"/>
    <n v="12"/>
    <n v="3"/>
    <s v="Excellent"/>
    <n v="3"/>
    <s v="High"/>
    <n v="2"/>
    <n v="10"/>
    <n v="1"/>
    <n v="2"/>
    <s v="Medium"/>
    <n v="10"/>
    <n v="8"/>
    <n v="3"/>
    <n v="0"/>
  </r>
  <r>
    <n v="35"/>
    <x v="2"/>
    <x v="1"/>
    <x v="0"/>
    <n v="1214"/>
    <x v="1"/>
    <n v="1"/>
    <x v="0"/>
    <n v="3"/>
    <s v="Bachelor"/>
    <s v="Medical"/>
    <n v="105"/>
    <n v="2"/>
    <x v="0"/>
    <s v="Male"/>
    <n v="30"/>
    <n v="2"/>
    <s v="Medium"/>
    <n v="1"/>
    <x v="1"/>
    <x v="1"/>
    <n v="3"/>
    <s v="High"/>
    <x v="0"/>
    <n v="2859"/>
    <n v="26278"/>
    <n v="1"/>
    <x v="1"/>
    <n v="18"/>
    <n v="3"/>
    <s v="Excellent"/>
    <n v="1"/>
    <s v="Low"/>
    <n v="0"/>
    <n v="6"/>
    <n v="3"/>
    <n v="3"/>
    <s v="High"/>
    <n v="6"/>
    <n v="4"/>
    <n v="0"/>
    <n v="4"/>
  </r>
  <r>
    <n v="55"/>
    <x v="1"/>
    <x v="1"/>
    <x v="0"/>
    <n v="111"/>
    <x v="0"/>
    <n v="1"/>
    <x v="0"/>
    <n v="2"/>
    <s v="College"/>
    <s v="Life Sciences"/>
    <n v="106"/>
    <n v="1"/>
    <x v="2"/>
    <s v="Male"/>
    <n v="70"/>
    <n v="3"/>
    <s v="High"/>
    <n v="3"/>
    <x v="2"/>
    <x v="0"/>
    <n v="4"/>
    <s v="Very High"/>
    <x v="1"/>
    <n v="10239"/>
    <n v="18092"/>
    <n v="3"/>
    <x v="1"/>
    <n v="14"/>
    <n v="3"/>
    <s v="Excellent"/>
    <n v="4"/>
    <s v="Very High"/>
    <n v="1"/>
    <n v="24"/>
    <n v="4"/>
    <n v="3"/>
    <s v="High"/>
    <n v="1"/>
    <n v="0"/>
    <n v="1"/>
    <n v="0"/>
  </r>
  <r>
    <n v="38"/>
    <x v="0"/>
    <x v="1"/>
    <x v="2"/>
    <n v="573"/>
    <x v="1"/>
    <n v="6"/>
    <x v="0"/>
    <n v="3"/>
    <s v="Bachelor"/>
    <s v="Medical"/>
    <n v="107"/>
    <n v="2"/>
    <x v="0"/>
    <s v="Female"/>
    <n v="79"/>
    <n v="1"/>
    <s v="Low"/>
    <n v="2"/>
    <x v="0"/>
    <x v="1"/>
    <n v="4"/>
    <s v="Very High"/>
    <x v="2"/>
    <n v="5329"/>
    <n v="15717"/>
    <n v="7"/>
    <x v="0"/>
    <n v="12"/>
    <n v="3"/>
    <s v="Excellent"/>
    <n v="4"/>
    <s v="Very High"/>
    <n v="3"/>
    <n v="17"/>
    <n v="3"/>
    <n v="3"/>
    <s v="High"/>
    <n v="13"/>
    <n v="11"/>
    <n v="1"/>
    <n v="9"/>
  </r>
  <r>
    <n v="34"/>
    <x v="2"/>
    <x v="1"/>
    <x v="0"/>
    <n v="1153"/>
    <x v="1"/>
    <n v="1"/>
    <x v="0"/>
    <n v="2"/>
    <s v="College"/>
    <s v="Medical"/>
    <n v="110"/>
    <n v="1"/>
    <x v="2"/>
    <s v="Male"/>
    <n v="94"/>
    <n v="3"/>
    <s v="High"/>
    <n v="2"/>
    <x v="0"/>
    <x v="3"/>
    <n v="2"/>
    <s v="Medium"/>
    <x v="1"/>
    <n v="4325"/>
    <n v="17736"/>
    <n v="1"/>
    <x v="1"/>
    <n v="15"/>
    <n v="3"/>
    <s v="Excellent"/>
    <n v="3"/>
    <s v="High"/>
    <n v="0"/>
    <n v="5"/>
    <n v="2"/>
    <n v="3"/>
    <s v="High"/>
    <n v="5"/>
    <n v="2"/>
    <n v="1"/>
    <n v="3"/>
  </r>
  <r>
    <n v="56"/>
    <x v="3"/>
    <x v="1"/>
    <x v="0"/>
    <n v="1400"/>
    <x v="1"/>
    <n v="7"/>
    <x v="0"/>
    <n v="3"/>
    <s v="Bachelor"/>
    <s v="Life Sciences"/>
    <n v="112"/>
    <n v="4"/>
    <x v="3"/>
    <s v="Male"/>
    <n v="49"/>
    <n v="1"/>
    <s v="Low"/>
    <n v="3"/>
    <x v="2"/>
    <x v="3"/>
    <n v="4"/>
    <s v="Very High"/>
    <x v="0"/>
    <n v="7260"/>
    <n v="21698"/>
    <n v="4"/>
    <x v="1"/>
    <n v="11"/>
    <n v="3"/>
    <s v="Excellent"/>
    <n v="1"/>
    <s v="Low"/>
    <n v="0"/>
    <n v="37"/>
    <n v="3"/>
    <n v="2"/>
    <s v="Medium"/>
    <n v="6"/>
    <n v="4"/>
    <n v="0"/>
    <n v="2"/>
  </r>
  <r>
    <n v="23"/>
    <x v="4"/>
    <x v="1"/>
    <x v="0"/>
    <n v="541"/>
    <x v="0"/>
    <n v="2"/>
    <x v="0"/>
    <n v="1"/>
    <s v="Below College"/>
    <s v="Technical Degree"/>
    <n v="113"/>
    <n v="3"/>
    <x v="1"/>
    <s v="Male"/>
    <n v="62"/>
    <n v="3"/>
    <s v="High"/>
    <n v="1"/>
    <x v="1"/>
    <x v="6"/>
    <n v="1"/>
    <s v="Low"/>
    <x v="2"/>
    <n v="2322"/>
    <n v="9518"/>
    <n v="3"/>
    <x v="1"/>
    <n v="13"/>
    <n v="3"/>
    <s v="Excellent"/>
    <n v="3"/>
    <s v="High"/>
    <n v="1"/>
    <n v="3"/>
    <n v="3"/>
    <n v="3"/>
    <s v="High"/>
    <n v="0"/>
    <n v="0"/>
    <n v="0"/>
    <n v="0"/>
  </r>
  <r>
    <n v="51"/>
    <x v="1"/>
    <x v="1"/>
    <x v="0"/>
    <n v="432"/>
    <x v="1"/>
    <n v="9"/>
    <x v="0"/>
    <n v="4"/>
    <s v="Master"/>
    <s v="Life Sciences"/>
    <n v="116"/>
    <n v="4"/>
    <x v="3"/>
    <s v="Male"/>
    <n v="96"/>
    <n v="3"/>
    <s v="High"/>
    <n v="1"/>
    <x v="1"/>
    <x v="2"/>
    <n v="4"/>
    <s v="Very High"/>
    <x v="1"/>
    <n v="2075"/>
    <n v="18725"/>
    <n v="3"/>
    <x v="1"/>
    <n v="23"/>
    <n v="4"/>
    <s v="Outstanding"/>
    <n v="2"/>
    <s v="Medium"/>
    <n v="2"/>
    <n v="10"/>
    <n v="4"/>
    <n v="3"/>
    <s v="High"/>
    <n v="4"/>
    <n v="2"/>
    <n v="0"/>
    <n v="3"/>
  </r>
  <r>
    <n v="30"/>
    <x v="2"/>
    <x v="1"/>
    <x v="0"/>
    <n v="288"/>
    <x v="1"/>
    <n v="2"/>
    <x v="0"/>
    <n v="3"/>
    <s v="Bachelor"/>
    <s v="Life Sciences"/>
    <n v="117"/>
    <n v="3"/>
    <x v="1"/>
    <s v="Male"/>
    <n v="99"/>
    <n v="2"/>
    <s v="Medium"/>
    <n v="2"/>
    <x v="0"/>
    <x v="4"/>
    <n v="4"/>
    <s v="Very High"/>
    <x v="1"/>
    <n v="4152"/>
    <n v="15830"/>
    <n v="1"/>
    <x v="1"/>
    <n v="19"/>
    <n v="3"/>
    <s v="Excellent"/>
    <n v="1"/>
    <s v="Low"/>
    <n v="3"/>
    <n v="11"/>
    <n v="3"/>
    <n v="3"/>
    <s v="High"/>
    <n v="11"/>
    <n v="10"/>
    <n v="10"/>
    <n v="8"/>
  </r>
  <r>
    <n v="46"/>
    <x v="1"/>
    <x v="0"/>
    <x v="0"/>
    <n v="669"/>
    <x v="0"/>
    <n v="9"/>
    <x v="0"/>
    <n v="2"/>
    <s v="College"/>
    <s v="Medical"/>
    <n v="118"/>
    <n v="3"/>
    <x v="1"/>
    <s v="Male"/>
    <n v="64"/>
    <n v="2"/>
    <s v="Medium"/>
    <n v="3"/>
    <x v="2"/>
    <x v="0"/>
    <n v="4"/>
    <s v="Very High"/>
    <x v="0"/>
    <n v="9619"/>
    <n v="13596"/>
    <n v="1"/>
    <x v="1"/>
    <n v="16"/>
    <n v="3"/>
    <s v="Excellent"/>
    <n v="4"/>
    <s v="Very High"/>
    <n v="0"/>
    <n v="9"/>
    <n v="3"/>
    <n v="3"/>
    <s v="High"/>
    <n v="9"/>
    <n v="8"/>
    <n v="4"/>
    <n v="7"/>
  </r>
  <r>
    <n v="40"/>
    <x v="0"/>
    <x v="1"/>
    <x v="1"/>
    <n v="530"/>
    <x v="1"/>
    <n v="1"/>
    <x v="0"/>
    <n v="4"/>
    <s v="Master"/>
    <s v="Life Sciences"/>
    <n v="119"/>
    <n v="3"/>
    <x v="1"/>
    <s v="Male"/>
    <n v="78"/>
    <n v="2"/>
    <s v="Medium"/>
    <n v="4"/>
    <x v="3"/>
    <x v="4"/>
    <n v="2"/>
    <s v="Medium"/>
    <x v="1"/>
    <n v="13503"/>
    <n v="14115"/>
    <n v="1"/>
    <x v="1"/>
    <n v="22"/>
    <n v="4"/>
    <s v="Outstanding"/>
    <n v="4"/>
    <s v="Very High"/>
    <n v="1"/>
    <n v="22"/>
    <n v="3"/>
    <n v="2"/>
    <s v="Medium"/>
    <n v="22"/>
    <n v="3"/>
    <n v="11"/>
    <n v="11"/>
  </r>
  <r>
    <n v="51"/>
    <x v="1"/>
    <x v="1"/>
    <x v="0"/>
    <n v="632"/>
    <x v="0"/>
    <n v="21"/>
    <x v="1"/>
    <n v="4"/>
    <s v="Master"/>
    <s v="Marketing"/>
    <n v="120"/>
    <n v="3"/>
    <x v="1"/>
    <s v="Male"/>
    <n v="71"/>
    <n v="3"/>
    <s v="High"/>
    <n v="2"/>
    <x v="0"/>
    <x v="0"/>
    <n v="4"/>
    <s v="Very High"/>
    <x v="0"/>
    <n v="5441"/>
    <n v="8423"/>
    <n v="0"/>
    <x v="0"/>
    <n v="22"/>
    <n v="4"/>
    <s v="Outstanding"/>
    <n v="4"/>
    <s v="Very High"/>
    <n v="0"/>
    <n v="11"/>
    <n v="2"/>
    <n v="1"/>
    <s v="Low"/>
    <n v="10"/>
    <n v="7"/>
    <n v="1"/>
    <n v="0"/>
  </r>
  <r>
    <n v="30"/>
    <x v="2"/>
    <x v="1"/>
    <x v="0"/>
    <n v="1334"/>
    <x v="0"/>
    <n v="4"/>
    <x v="0"/>
    <n v="2"/>
    <s v="College"/>
    <s v="Medical"/>
    <n v="121"/>
    <n v="3"/>
    <x v="1"/>
    <s v="Female"/>
    <n v="63"/>
    <n v="2"/>
    <s v="Medium"/>
    <n v="2"/>
    <x v="0"/>
    <x v="0"/>
    <n v="2"/>
    <s v="Medium"/>
    <x v="2"/>
    <n v="5209"/>
    <n v="19760"/>
    <n v="1"/>
    <x v="0"/>
    <n v="12"/>
    <n v="3"/>
    <s v="Excellent"/>
    <n v="2"/>
    <s v="Medium"/>
    <n v="3"/>
    <n v="11"/>
    <n v="4"/>
    <n v="2"/>
    <s v="Medium"/>
    <n v="11"/>
    <n v="8"/>
    <n v="2"/>
    <n v="7"/>
  </r>
  <r>
    <n v="46"/>
    <x v="1"/>
    <x v="1"/>
    <x v="1"/>
    <n v="638"/>
    <x v="1"/>
    <n v="1"/>
    <x v="0"/>
    <n v="3"/>
    <s v="Bachelor"/>
    <s v="Medical"/>
    <n v="124"/>
    <n v="3"/>
    <x v="1"/>
    <s v="Male"/>
    <n v="40"/>
    <n v="2"/>
    <s v="Medium"/>
    <n v="3"/>
    <x v="2"/>
    <x v="4"/>
    <n v="1"/>
    <s v="Low"/>
    <x v="1"/>
    <n v="10673"/>
    <n v="3142"/>
    <n v="2"/>
    <x v="0"/>
    <n v="13"/>
    <n v="3"/>
    <s v="Excellent"/>
    <n v="3"/>
    <s v="High"/>
    <n v="1"/>
    <n v="21"/>
    <n v="5"/>
    <n v="2"/>
    <s v="Medium"/>
    <n v="10"/>
    <n v="9"/>
    <n v="9"/>
    <n v="5"/>
  </r>
  <r>
    <n v="32"/>
    <x v="2"/>
    <x v="1"/>
    <x v="0"/>
    <n v="1093"/>
    <x v="0"/>
    <n v="6"/>
    <x v="0"/>
    <n v="4"/>
    <s v="Master"/>
    <s v="Medical"/>
    <n v="125"/>
    <n v="2"/>
    <x v="0"/>
    <s v="Male"/>
    <n v="87"/>
    <n v="3"/>
    <s v="High"/>
    <n v="2"/>
    <x v="0"/>
    <x v="0"/>
    <n v="3"/>
    <s v="High"/>
    <x v="0"/>
    <n v="5010"/>
    <n v="24301"/>
    <n v="1"/>
    <x v="1"/>
    <n v="16"/>
    <n v="3"/>
    <s v="Excellent"/>
    <n v="1"/>
    <s v="Low"/>
    <n v="0"/>
    <n v="12"/>
    <n v="0"/>
    <n v="3"/>
    <s v="High"/>
    <n v="11"/>
    <n v="8"/>
    <n v="5"/>
    <n v="7"/>
  </r>
  <r>
    <n v="54"/>
    <x v="1"/>
    <x v="1"/>
    <x v="0"/>
    <n v="1217"/>
    <x v="1"/>
    <n v="2"/>
    <x v="0"/>
    <n v="4"/>
    <s v="Master"/>
    <s v="Technical Degree"/>
    <n v="126"/>
    <n v="1"/>
    <x v="2"/>
    <s v="Female"/>
    <n v="60"/>
    <n v="3"/>
    <s v="High"/>
    <n v="3"/>
    <x v="2"/>
    <x v="7"/>
    <n v="3"/>
    <s v="High"/>
    <x v="1"/>
    <n v="13549"/>
    <n v="24001"/>
    <n v="9"/>
    <x v="1"/>
    <n v="12"/>
    <n v="3"/>
    <s v="Excellent"/>
    <n v="1"/>
    <s v="Low"/>
    <n v="1"/>
    <n v="16"/>
    <n v="5"/>
    <n v="1"/>
    <s v="Low"/>
    <n v="4"/>
    <n v="3"/>
    <n v="0"/>
    <n v="3"/>
  </r>
  <r>
    <n v="24"/>
    <x v="4"/>
    <x v="1"/>
    <x v="0"/>
    <n v="1353"/>
    <x v="0"/>
    <n v="3"/>
    <x v="0"/>
    <n v="2"/>
    <s v="College"/>
    <s v="Other"/>
    <n v="128"/>
    <n v="1"/>
    <x v="2"/>
    <s v="Female"/>
    <n v="33"/>
    <n v="3"/>
    <s v="High"/>
    <n v="2"/>
    <x v="0"/>
    <x v="0"/>
    <n v="3"/>
    <s v="High"/>
    <x v="1"/>
    <n v="4999"/>
    <n v="17519"/>
    <n v="0"/>
    <x v="1"/>
    <n v="21"/>
    <n v="4"/>
    <s v="Outstanding"/>
    <n v="1"/>
    <s v="Low"/>
    <n v="1"/>
    <n v="4"/>
    <n v="2"/>
    <n v="2"/>
    <s v="Medium"/>
    <n v="3"/>
    <n v="2"/>
    <n v="0"/>
    <n v="2"/>
  </r>
  <r>
    <n v="28"/>
    <x v="2"/>
    <x v="1"/>
    <x v="2"/>
    <n v="120"/>
    <x v="0"/>
    <n v="4"/>
    <x v="0"/>
    <n v="3"/>
    <s v="Bachelor"/>
    <s v="Medical"/>
    <n v="129"/>
    <n v="2"/>
    <x v="0"/>
    <s v="Male"/>
    <n v="43"/>
    <n v="3"/>
    <s v="High"/>
    <n v="2"/>
    <x v="0"/>
    <x v="0"/>
    <n v="3"/>
    <s v="High"/>
    <x v="1"/>
    <n v="4221"/>
    <n v="8863"/>
    <n v="1"/>
    <x v="1"/>
    <n v="15"/>
    <n v="3"/>
    <s v="Excellent"/>
    <n v="2"/>
    <s v="Medium"/>
    <n v="0"/>
    <n v="5"/>
    <n v="3"/>
    <n v="4"/>
    <s v="Very High"/>
    <n v="5"/>
    <n v="4"/>
    <n v="0"/>
    <n v="4"/>
  </r>
  <r>
    <n v="58"/>
    <x v="3"/>
    <x v="1"/>
    <x v="0"/>
    <n v="682"/>
    <x v="0"/>
    <n v="10"/>
    <x v="0"/>
    <n v="4"/>
    <s v="Master"/>
    <s v="Medical"/>
    <n v="131"/>
    <n v="4"/>
    <x v="3"/>
    <s v="Male"/>
    <n v="37"/>
    <n v="3"/>
    <s v="High"/>
    <n v="4"/>
    <x v="3"/>
    <x v="0"/>
    <n v="3"/>
    <s v="High"/>
    <x v="0"/>
    <n v="13872"/>
    <n v="24409"/>
    <n v="0"/>
    <x v="1"/>
    <n v="13"/>
    <n v="3"/>
    <s v="Excellent"/>
    <n v="3"/>
    <s v="High"/>
    <n v="0"/>
    <n v="38"/>
    <n v="1"/>
    <n v="2"/>
    <s v="Medium"/>
    <n v="37"/>
    <n v="10"/>
    <n v="1"/>
    <n v="8"/>
  </r>
  <r>
    <n v="44"/>
    <x v="0"/>
    <x v="1"/>
    <x v="2"/>
    <n v="489"/>
    <x v="1"/>
    <n v="23"/>
    <x v="1"/>
    <n v="3"/>
    <s v="Bachelor"/>
    <s v="Medical"/>
    <n v="132"/>
    <n v="2"/>
    <x v="0"/>
    <s v="Male"/>
    <n v="67"/>
    <n v="3"/>
    <s v="High"/>
    <n v="2"/>
    <x v="0"/>
    <x v="2"/>
    <n v="2"/>
    <s v="Medium"/>
    <x v="1"/>
    <n v="2042"/>
    <n v="25043"/>
    <n v="4"/>
    <x v="1"/>
    <n v="12"/>
    <n v="3"/>
    <s v="Excellent"/>
    <n v="3"/>
    <s v="High"/>
    <n v="1"/>
    <n v="17"/>
    <n v="3"/>
    <n v="4"/>
    <s v="Very High"/>
    <n v="3"/>
    <n v="2"/>
    <n v="1"/>
    <n v="2"/>
  </r>
  <r>
    <n v="37"/>
    <x v="0"/>
    <x v="0"/>
    <x v="0"/>
    <n v="807"/>
    <x v="2"/>
    <n v="6"/>
    <x v="0"/>
    <n v="4"/>
    <s v="Master"/>
    <s v="Human Resources"/>
    <n v="133"/>
    <n v="3"/>
    <x v="1"/>
    <s v="Male"/>
    <n v="63"/>
    <n v="3"/>
    <s v="High"/>
    <n v="1"/>
    <x v="1"/>
    <x v="8"/>
    <n v="1"/>
    <s v="Low"/>
    <x v="2"/>
    <n v="2073"/>
    <n v="23648"/>
    <n v="4"/>
    <x v="0"/>
    <n v="22"/>
    <n v="4"/>
    <s v="Outstanding"/>
    <n v="4"/>
    <s v="Very High"/>
    <n v="0"/>
    <n v="7"/>
    <n v="3"/>
    <n v="3"/>
    <s v="High"/>
    <n v="3"/>
    <n v="2"/>
    <n v="0"/>
    <n v="2"/>
  </r>
  <r>
    <n v="32"/>
    <x v="2"/>
    <x v="1"/>
    <x v="0"/>
    <n v="827"/>
    <x v="1"/>
    <n v="1"/>
    <x v="0"/>
    <n v="1"/>
    <s v="Below College"/>
    <s v="Life Sciences"/>
    <n v="134"/>
    <n v="4"/>
    <x v="3"/>
    <s v="Male"/>
    <n v="71"/>
    <n v="3"/>
    <s v="High"/>
    <n v="1"/>
    <x v="1"/>
    <x v="1"/>
    <n v="1"/>
    <s v="Low"/>
    <x v="0"/>
    <n v="2956"/>
    <n v="15178"/>
    <n v="1"/>
    <x v="1"/>
    <n v="13"/>
    <n v="3"/>
    <s v="Excellent"/>
    <n v="4"/>
    <s v="Very High"/>
    <n v="0"/>
    <n v="1"/>
    <n v="2"/>
    <n v="3"/>
    <s v="High"/>
    <n v="1"/>
    <n v="0"/>
    <n v="0"/>
    <n v="0"/>
  </r>
  <r>
    <n v="20"/>
    <x v="4"/>
    <x v="0"/>
    <x v="1"/>
    <n v="871"/>
    <x v="1"/>
    <n v="6"/>
    <x v="0"/>
    <n v="3"/>
    <s v="Bachelor"/>
    <s v="Life Sciences"/>
    <n v="137"/>
    <n v="4"/>
    <x v="3"/>
    <s v="Female"/>
    <n v="66"/>
    <n v="2"/>
    <s v="Medium"/>
    <n v="1"/>
    <x v="1"/>
    <x v="2"/>
    <n v="4"/>
    <s v="Very High"/>
    <x v="0"/>
    <n v="2926"/>
    <n v="19783"/>
    <n v="1"/>
    <x v="0"/>
    <n v="18"/>
    <n v="3"/>
    <s v="Excellent"/>
    <n v="2"/>
    <s v="Medium"/>
    <n v="0"/>
    <n v="1"/>
    <n v="5"/>
    <n v="3"/>
    <s v="High"/>
    <n v="1"/>
    <n v="0"/>
    <n v="1"/>
    <n v="0"/>
  </r>
  <r>
    <n v="34"/>
    <x v="2"/>
    <x v="1"/>
    <x v="0"/>
    <n v="665"/>
    <x v="1"/>
    <n v="6"/>
    <x v="0"/>
    <n v="4"/>
    <s v="Master"/>
    <s v="Other"/>
    <n v="138"/>
    <n v="1"/>
    <x v="2"/>
    <s v="Female"/>
    <n v="41"/>
    <n v="3"/>
    <s v="High"/>
    <n v="2"/>
    <x v="0"/>
    <x v="1"/>
    <n v="3"/>
    <s v="High"/>
    <x v="0"/>
    <n v="4809"/>
    <n v="12482"/>
    <n v="1"/>
    <x v="1"/>
    <n v="14"/>
    <n v="3"/>
    <s v="Excellent"/>
    <n v="3"/>
    <s v="High"/>
    <n v="0"/>
    <n v="16"/>
    <n v="3"/>
    <n v="3"/>
    <s v="High"/>
    <n v="16"/>
    <n v="13"/>
    <n v="2"/>
    <n v="10"/>
  </r>
  <r>
    <n v="37"/>
    <x v="0"/>
    <x v="1"/>
    <x v="2"/>
    <n v="1040"/>
    <x v="1"/>
    <n v="2"/>
    <x v="0"/>
    <n v="2"/>
    <s v="College"/>
    <s v="Life Sciences"/>
    <n v="139"/>
    <n v="3"/>
    <x v="1"/>
    <s v="Male"/>
    <n v="100"/>
    <n v="2"/>
    <s v="Medium"/>
    <n v="2"/>
    <x v="0"/>
    <x v="4"/>
    <n v="4"/>
    <s v="Very High"/>
    <x v="2"/>
    <n v="5163"/>
    <n v="15850"/>
    <n v="5"/>
    <x v="1"/>
    <n v="14"/>
    <n v="3"/>
    <s v="Excellent"/>
    <n v="4"/>
    <s v="Very High"/>
    <n v="1"/>
    <n v="17"/>
    <n v="2"/>
    <n v="4"/>
    <s v="Very High"/>
    <n v="1"/>
    <n v="0"/>
    <n v="0"/>
    <n v="0"/>
  </r>
  <r>
    <n v="59"/>
    <x v="3"/>
    <x v="1"/>
    <x v="2"/>
    <n v="1420"/>
    <x v="2"/>
    <n v="2"/>
    <x v="0"/>
    <n v="4"/>
    <s v="Master"/>
    <s v="Human Resources"/>
    <n v="140"/>
    <n v="3"/>
    <x v="1"/>
    <s v="Female"/>
    <n v="32"/>
    <n v="2"/>
    <s v="Medium"/>
    <n v="5"/>
    <x v="4"/>
    <x v="5"/>
    <n v="4"/>
    <s v="Very High"/>
    <x v="1"/>
    <n v="18844"/>
    <n v="21922"/>
    <n v="9"/>
    <x v="1"/>
    <n v="21"/>
    <n v="4"/>
    <s v="Outstanding"/>
    <n v="4"/>
    <s v="Very High"/>
    <n v="1"/>
    <n v="30"/>
    <n v="3"/>
    <n v="3"/>
    <s v="High"/>
    <n v="3"/>
    <n v="2"/>
    <n v="2"/>
    <n v="2"/>
  </r>
  <r>
    <n v="50"/>
    <x v="1"/>
    <x v="1"/>
    <x v="1"/>
    <n v="1115"/>
    <x v="1"/>
    <n v="1"/>
    <x v="0"/>
    <n v="3"/>
    <s v="Bachelor"/>
    <s v="Life Sciences"/>
    <n v="141"/>
    <n v="1"/>
    <x v="2"/>
    <s v="Female"/>
    <n v="73"/>
    <n v="3"/>
    <s v="High"/>
    <n v="5"/>
    <x v="4"/>
    <x v="7"/>
    <n v="2"/>
    <s v="Medium"/>
    <x v="1"/>
    <n v="18172"/>
    <n v="9755"/>
    <n v="3"/>
    <x v="0"/>
    <n v="19"/>
    <n v="3"/>
    <s v="Excellent"/>
    <n v="1"/>
    <s v="Low"/>
    <n v="0"/>
    <n v="28"/>
    <n v="1"/>
    <n v="2"/>
    <s v="Medium"/>
    <n v="8"/>
    <n v="3"/>
    <n v="0"/>
    <n v="7"/>
  </r>
  <r>
    <n v="25"/>
    <x v="4"/>
    <x v="0"/>
    <x v="0"/>
    <n v="240"/>
    <x v="0"/>
    <n v="5"/>
    <x v="0"/>
    <n v="3"/>
    <s v="Bachelor"/>
    <s v="Marketing"/>
    <n v="142"/>
    <n v="3"/>
    <x v="1"/>
    <s v="Male"/>
    <n v="46"/>
    <n v="2"/>
    <s v="Medium"/>
    <n v="2"/>
    <x v="0"/>
    <x v="0"/>
    <n v="3"/>
    <s v="High"/>
    <x v="0"/>
    <n v="5744"/>
    <n v="26959"/>
    <n v="1"/>
    <x v="0"/>
    <n v="11"/>
    <n v="3"/>
    <s v="Excellent"/>
    <n v="4"/>
    <s v="Very High"/>
    <n v="0"/>
    <n v="6"/>
    <n v="1"/>
    <n v="3"/>
    <s v="High"/>
    <n v="6"/>
    <n v="4"/>
    <n v="0"/>
    <n v="3"/>
  </r>
  <r>
    <n v="25"/>
    <x v="4"/>
    <x v="1"/>
    <x v="0"/>
    <n v="1280"/>
    <x v="1"/>
    <n v="7"/>
    <x v="0"/>
    <n v="1"/>
    <s v="Below College"/>
    <s v="Medical"/>
    <n v="143"/>
    <n v="4"/>
    <x v="3"/>
    <s v="Male"/>
    <n v="64"/>
    <n v="2"/>
    <s v="Medium"/>
    <n v="1"/>
    <x v="1"/>
    <x v="1"/>
    <n v="4"/>
    <s v="Very High"/>
    <x v="1"/>
    <n v="2889"/>
    <n v="26897"/>
    <n v="1"/>
    <x v="1"/>
    <n v="11"/>
    <n v="3"/>
    <s v="Excellent"/>
    <n v="3"/>
    <s v="High"/>
    <n v="2"/>
    <n v="2"/>
    <n v="2"/>
    <n v="3"/>
    <s v="High"/>
    <n v="2"/>
    <n v="2"/>
    <n v="2"/>
    <n v="1"/>
  </r>
  <r>
    <n v="22"/>
    <x v="4"/>
    <x v="1"/>
    <x v="0"/>
    <n v="534"/>
    <x v="1"/>
    <n v="15"/>
    <x v="2"/>
    <n v="3"/>
    <s v="Bachelor"/>
    <s v="Medical"/>
    <n v="144"/>
    <n v="2"/>
    <x v="0"/>
    <s v="Female"/>
    <n v="59"/>
    <n v="3"/>
    <s v="High"/>
    <n v="1"/>
    <x v="1"/>
    <x v="2"/>
    <n v="4"/>
    <s v="Very High"/>
    <x v="0"/>
    <n v="2871"/>
    <n v="23785"/>
    <n v="1"/>
    <x v="1"/>
    <n v="15"/>
    <n v="3"/>
    <s v="Excellent"/>
    <n v="3"/>
    <s v="High"/>
    <n v="0"/>
    <n v="1"/>
    <n v="5"/>
    <n v="3"/>
    <s v="High"/>
    <n v="0"/>
    <n v="0"/>
    <n v="0"/>
    <n v="0"/>
  </r>
  <r>
    <n v="51"/>
    <x v="1"/>
    <x v="1"/>
    <x v="1"/>
    <n v="1456"/>
    <x v="1"/>
    <n v="1"/>
    <x v="0"/>
    <n v="4"/>
    <s v="Master"/>
    <s v="Medical"/>
    <n v="145"/>
    <n v="1"/>
    <x v="2"/>
    <s v="Female"/>
    <n v="30"/>
    <n v="2"/>
    <s v="Medium"/>
    <n v="3"/>
    <x v="2"/>
    <x v="4"/>
    <n v="1"/>
    <s v="Low"/>
    <x v="0"/>
    <n v="7484"/>
    <n v="25796"/>
    <n v="3"/>
    <x v="1"/>
    <n v="20"/>
    <n v="4"/>
    <s v="Outstanding"/>
    <n v="3"/>
    <s v="High"/>
    <n v="0"/>
    <n v="23"/>
    <n v="1"/>
    <n v="2"/>
    <s v="Medium"/>
    <n v="13"/>
    <n v="12"/>
    <n v="12"/>
    <n v="8"/>
  </r>
  <r>
    <n v="34"/>
    <x v="2"/>
    <x v="0"/>
    <x v="1"/>
    <n v="658"/>
    <x v="1"/>
    <n v="7"/>
    <x v="0"/>
    <n v="3"/>
    <s v="Bachelor"/>
    <s v="Life Sciences"/>
    <n v="147"/>
    <n v="1"/>
    <x v="2"/>
    <s v="Male"/>
    <n v="66"/>
    <n v="1"/>
    <s v="Low"/>
    <n v="2"/>
    <x v="0"/>
    <x v="2"/>
    <n v="3"/>
    <s v="High"/>
    <x v="0"/>
    <n v="6074"/>
    <n v="22887"/>
    <n v="1"/>
    <x v="0"/>
    <n v="24"/>
    <n v="4"/>
    <s v="Outstanding"/>
    <n v="4"/>
    <s v="Very High"/>
    <n v="0"/>
    <n v="9"/>
    <n v="3"/>
    <n v="3"/>
    <s v="High"/>
    <n v="9"/>
    <n v="7"/>
    <n v="0"/>
    <n v="6"/>
  </r>
  <r>
    <n v="54"/>
    <x v="1"/>
    <x v="1"/>
    <x v="2"/>
    <n v="142"/>
    <x v="2"/>
    <n v="26"/>
    <x v="1"/>
    <n v="3"/>
    <s v="Bachelor"/>
    <s v="Human Resources"/>
    <n v="148"/>
    <n v="4"/>
    <x v="3"/>
    <s v="Female"/>
    <n v="30"/>
    <n v="4"/>
    <s v="Very High"/>
    <n v="4"/>
    <x v="3"/>
    <x v="5"/>
    <n v="4"/>
    <s v="Very High"/>
    <x v="0"/>
    <n v="17328"/>
    <n v="13871"/>
    <n v="2"/>
    <x v="0"/>
    <n v="12"/>
    <n v="3"/>
    <s v="Excellent"/>
    <n v="3"/>
    <s v="High"/>
    <n v="0"/>
    <n v="23"/>
    <n v="3"/>
    <n v="3"/>
    <s v="High"/>
    <n v="5"/>
    <n v="3"/>
    <n v="4"/>
    <n v="4"/>
  </r>
  <r>
    <n v="24"/>
    <x v="4"/>
    <x v="1"/>
    <x v="0"/>
    <n v="1127"/>
    <x v="1"/>
    <n v="18"/>
    <x v="2"/>
    <n v="1"/>
    <s v="Below College"/>
    <s v="Life Sciences"/>
    <n v="150"/>
    <n v="2"/>
    <x v="0"/>
    <s v="Male"/>
    <n v="52"/>
    <n v="3"/>
    <s v="High"/>
    <n v="1"/>
    <x v="1"/>
    <x v="2"/>
    <n v="3"/>
    <s v="High"/>
    <x v="1"/>
    <n v="2774"/>
    <n v="13257"/>
    <n v="0"/>
    <x v="1"/>
    <n v="12"/>
    <n v="3"/>
    <s v="Excellent"/>
    <n v="3"/>
    <s v="High"/>
    <n v="1"/>
    <n v="6"/>
    <n v="2"/>
    <n v="3"/>
    <s v="High"/>
    <n v="5"/>
    <n v="3"/>
    <n v="1"/>
    <n v="2"/>
  </r>
  <r>
    <n v="34"/>
    <x v="2"/>
    <x v="1"/>
    <x v="0"/>
    <n v="1031"/>
    <x v="1"/>
    <n v="6"/>
    <x v="0"/>
    <n v="4"/>
    <s v="Master"/>
    <s v="Life Sciences"/>
    <n v="151"/>
    <n v="3"/>
    <x v="1"/>
    <s v="Female"/>
    <n v="45"/>
    <n v="2"/>
    <s v="Medium"/>
    <n v="2"/>
    <x v="0"/>
    <x v="1"/>
    <n v="2"/>
    <s v="Medium"/>
    <x v="2"/>
    <n v="4505"/>
    <n v="15000"/>
    <n v="6"/>
    <x v="1"/>
    <n v="15"/>
    <n v="3"/>
    <s v="Excellent"/>
    <n v="3"/>
    <s v="High"/>
    <n v="1"/>
    <n v="12"/>
    <n v="3"/>
    <n v="3"/>
    <s v="High"/>
    <n v="1"/>
    <n v="0"/>
    <n v="0"/>
    <n v="0"/>
  </r>
  <r>
    <n v="37"/>
    <x v="0"/>
    <x v="1"/>
    <x v="0"/>
    <n v="1189"/>
    <x v="0"/>
    <n v="3"/>
    <x v="0"/>
    <n v="3"/>
    <s v="Bachelor"/>
    <s v="Life Sciences"/>
    <n v="152"/>
    <n v="3"/>
    <x v="1"/>
    <s v="Male"/>
    <n v="87"/>
    <n v="3"/>
    <s v="High"/>
    <n v="3"/>
    <x v="2"/>
    <x v="0"/>
    <n v="4"/>
    <s v="Very High"/>
    <x v="0"/>
    <n v="7428"/>
    <n v="14506"/>
    <n v="2"/>
    <x v="1"/>
    <n v="12"/>
    <n v="3"/>
    <s v="Excellent"/>
    <n v="1"/>
    <s v="Low"/>
    <n v="0"/>
    <n v="12"/>
    <n v="3"/>
    <n v="3"/>
    <s v="High"/>
    <n v="5"/>
    <n v="3"/>
    <n v="1"/>
    <n v="3"/>
  </r>
  <r>
    <n v="34"/>
    <x v="2"/>
    <x v="1"/>
    <x v="0"/>
    <n v="1354"/>
    <x v="1"/>
    <n v="5"/>
    <x v="0"/>
    <n v="3"/>
    <s v="Bachelor"/>
    <s v="Medical"/>
    <n v="153"/>
    <n v="3"/>
    <x v="1"/>
    <s v="Female"/>
    <n v="45"/>
    <n v="2"/>
    <s v="Medium"/>
    <n v="3"/>
    <x v="2"/>
    <x v="5"/>
    <n v="1"/>
    <s v="Low"/>
    <x v="0"/>
    <n v="11631"/>
    <n v="5615"/>
    <n v="2"/>
    <x v="1"/>
    <n v="12"/>
    <n v="3"/>
    <s v="Excellent"/>
    <n v="4"/>
    <s v="Very High"/>
    <n v="0"/>
    <n v="14"/>
    <n v="6"/>
    <n v="3"/>
    <s v="High"/>
    <n v="11"/>
    <n v="10"/>
    <n v="5"/>
    <n v="8"/>
  </r>
  <r>
    <n v="36"/>
    <x v="0"/>
    <x v="1"/>
    <x v="1"/>
    <n v="1467"/>
    <x v="0"/>
    <n v="11"/>
    <x v="2"/>
    <n v="2"/>
    <s v="College"/>
    <s v="Technical Degree"/>
    <n v="154"/>
    <n v="2"/>
    <x v="0"/>
    <s v="Female"/>
    <n v="92"/>
    <n v="3"/>
    <s v="High"/>
    <n v="3"/>
    <x v="2"/>
    <x v="0"/>
    <n v="4"/>
    <s v="Very High"/>
    <x v="1"/>
    <n v="9738"/>
    <n v="22952"/>
    <n v="0"/>
    <x v="1"/>
    <n v="14"/>
    <n v="3"/>
    <s v="Excellent"/>
    <n v="3"/>
    <s v="High"/>
    <n v="1"/>
    <n v="10"/>
    <n v="6"/>
    <n v="3"/>
    <s v="High"/>
    <n v="9"/>
    <n v="7"/>
    <n v="2"/>
    <n v="8"/>
  </r>
  <r>
    <n v="36"/>
    <x v="0"/>
    <x v="1"/>
    <x v="0"/>
    <n v="922"/>
    <x v="1"/>
    <n v="3"/>
    <x v="0"/>
    <n v="2"/>
    <s v="College"/>
    <s v="Life Sciences"/>
    <n v="155"/>
    <n v="1"/>
    <x v="2"/>
    <s v="Female"/>
    <n v="39"/>
    <n v="3"/>
    <s v="High"/>
    <n v="1"/>
    <x v="1"/>
    <x v="2"/>
    <n v="4"/>
    <s v="Very High"/>
    <x v="2"/>
    <n v="2835"/>
    <n v="2561"/>
    <n v="5"/>
    <x v="1"/>
    <n v="22"/>
    <n v="4"/>
    <s v="Outstanding"/>
    <n v="1"/>
    <s v="Low"/>
    <n v="1"/>
    <n v="7"/>
    <n v="2"/>
    <n v="3"/>
    <s v="High"/>
    <n v="1"/>
    <n v="0"/>
    <n v="0"/>
    <n v="0"/>
  </r>
  <r>
    <n v="43"/>
    <x v="0"/>
    <x v="1"/>
    <x v="1"/>
    <n v="394"/>
    <x v="0"/>
    <n v="26"/>
    <x v="1"/>
    <n v="2"/>
    <s v="College"/>
    <s v="Life Sciences"/>
    <n v="158"/>
    <n v="3"/>
    <x v="1"/>
    <s v="Male"/>
    <n v="92"/>
    <n v="3"/>
    <s v="High"/>
    <n v="4"/>
    <x v="3"/>
    <x v="5"/>
    <n v="4"/>
    <s v="Very High"/>
    <x v="1"/>
    <n v="16959"/>
    <n v="19494"/>
    <n v="1"/>
    <x v="0"/>
    <n v="12"/>
    <n v="3"/>
    <s v="Excellent"/>
    <n v="4"/>
    <s v="Very High"/>
    <n v="2"/>
    <n v="25"/>
    <n v="3"/>
    <n v="4"/>
    <s v="Very High"/>
    <n v="25"/>
    <n v="12"/>
    <n v="4"/>
    <n v="12"/>
  </r>
  <r>
    <n v="30"/>
    <x v="2"/>
    <x v="1"/>
    <x v="1"/>
    <n v="1312"/>
    <x v="1"/>
    <n v="23"/>
    <x v="1"/>
    <n v="3"/>
    <s v="Bachelor"/>
    <s v="Life Sciences"/>
    <n v="159"/>
    <n v="1"/>
    <x v="2"/>
    <s v="Male"/>
    <n v="96"/>
    <n v="1"/>
    <s v="Low"/>
    <n v="1"/>
    <x v="1"/>
    <x v="1"/>
    <n v="3"/>
    <s v="High"/>
    <x v="2"/>
    <n v="2613"/>
    <n v="22310"/>
    <n v="1"/>
    <x v="1"/>
    <n v="25"/>
    <n v="4"/>
    <s v="Outstanding"/>
    <n v="3"/>
    <s v="High"/>
    <n v="3"/>
    <n v="10"/>
    <n v="2"/>
    <n v="2"/>
    <s v="Medium"/>
    <n v="10"/>
    <n v="7"/>
    <n v="0"/>
    <n v="9"/>
  </r>
  <r>
    <n v="33"/>
    <x v="2"/>
    <x v="1"/>
    <x v="2"/>
    <n v="750"/>
    <x v="0"/>
    <n v="22"/>
    <x v="1"/>
    <n v="2"/>
    <s v="College"/>
    <s v="Marketing"/>
    <n v="160"/>
    <n v="3"/>
    <x v="1"/>
    <s v="Male"/>
    <n v="95"/>
    <n v="3"/>
    <s v="High"/>
    <n v="2"/>
    <x v="0"/>
    <x v="0"/>
    <n v="2"/>
    <s v="Medium"/>
    <x v="1"/>
    <n v="6146"/>
    <n v="15480"/>
    <n v="0"/>
    <x v="1"/>
    <n v="13"/>
    <n v="3"/>
    <s v="Excellent"/>
    <n v="1"/>
    <s v="Low"/>
    <n v="1"/>
    <n v="8"/>
    <n v="2"/>
    <n v="4"/>
    <s v="Very High"/>
    <n v="7"/>
    <n v="7"/>
    <n v="0"/>
    <n v="7"/>
  </r>
  <r>
    <n v="56"/>
    <x v="3"/>
    <x v="0"/>
    <x v="0"/>
    <n v="441"/>
    <x v="1"/>
    <n v="14"/>
    <x v="2"/>
    <n v="4"/>
    <s v="Master"/>
    <s v="Life Sciences"/>
    <n v="161"/>
    <n v="2"/>
    <x v="0"/>
    <s v="Female"/>
    <n v="72"/>
    <n v="3"/>
    <s v="High"/>
    <n v="1"/>
    <x v="1"/>
    <x v="1"/>
    <n v="2"/>
    <s v="Medium"/>
    <x v="1"/>
    <n v="4963"/>
    <n v="4510"/>
    <n v="9"/>
    <x v="0"/>
    <n v="18"/>
    <n v="3"/>
    <s v="Excellent"/>
    <n v="1"/>
    <s v="Low"/>
    <n v="3"/>
    <n v="7"/>
    <n v="2"/>
    <n v="3"/>
    <s v="High"/>
    <n v="5"/>
    <n v="4"/>
    <n v="4"/>
    <n v="3"/>
  </r>
  <r>
    <n v="51"/>
    <x v="1"/>
    <x v="1"/>
    <x v="0"/>
    <n v="684"/>
    <x v="1"/>
    <n v="6"/>
    <x v="0"/>
    <n v="3"/>
    <s v="Bachelor"/>
    <s v="Life Sciences"/>
    <n v="162"/>
    <n v="1"/>
    <x v="2"/>
    <s v="Male"/>
    <n v="51"/>
    <n v="3"/>
    <s v="High"/>
    <n v="5"/>
    <x v="4"/>
    <x v="7"/>
    <n v="3"/>
    <s v="High"/>
    <x v="0"/>
    <n v="19537"/>
    <n v="6462"/>
    <n v="7"/>
    <x v="1"/>
    <n v="13"/>
    <n v="3"/>
    <s v="Excellent"/>
    <n v="3"/>
    <s v="High"/>
    <n v="0"/>
    <n v="23"/>
    <n v="5"/>
    <n v="3"/>
    <s v="High"/>
    <n v="20"/>
    <n v="18"/>
    <n v="15"/>
    <n v="15"/>
  </r>
  <r>
    <n v="31"/>
    <x v="2"/>
    <x v="0"/>
    <x v="0"/>
    <n v="249"/>
    <x v="0"/>
    <n v="6"/>
    <x v="0"/>
    <n v="4"/>
    <s v="Master"/>
    <s v="Life Sciences"/>
    <n v="163"/>
    <n v="2"/>
    <x v="0"/>
    <s v="Male"/>
    <n v="76"/>
    <n v="1"/>
    <s v="Low"/>
    <n v="2"/>
    <x v="0"/>
    <x v="0"/>
    <n v="3"/>
    <s v="High"/>
    <x v="1"/>
    <n v="6172"/>
    <n v="20739"/>
    <n v="4"/>
    <x v="0"/>
    <n v="18"/>
    <n v="3"/>
    <s v="Excellent"/>
    <n v="2"/>
    <s v="Medium"/>
    <n v="0"/>
    <n v="12"/>
    <n v="3"/>
    <n v="2"/>
    <s v="Medium"/>
    <n v="7"/>
    <n v="7"/>
    <n v="7"/>
    <n v="7"/>
  </r>
  <r>
    <n v="26"/>
    <x v="2"/>
    <x v="1"/>
    <x v="0"/>
    <n v="841"/>
    <x v="1"/>
    <n v="6"/>
    <x v="0"/>
    <n v="3"/>
    <s v="Bachelor"/>
    <s v="Other"/>
    <n v="164"/>
    <n v="3"/>
    <x v="1"/>
    <s v="Female"/>
    <n v="46"/>
    <n v="2"/>
    <s v="Medium"/>
    <n v="1"/>
    <x v="1"/>
    <x v="1"/>
    <n v="2"/>
    <s v="Medium"/>
    <x v="1"/>
    <n v="2368"/>
    <n v="23300"/>
    <n v="1"/>
    <x v="1"/>
    <n v="19"/>
    <n v="3"/>
    <s v="Excellent"/>
    <n v="3"/>
    <s v="High"/>
    <n v="0"/>
    <n v="5"/>
    <n v="3"/>
    <n v="2"/>
    <s v="Medium"/>
    <n v="5"/>
    <n v="4"/>
    <n v="4"/>
    <n v="3"/>
  </r>
  <r>
    <n v="58"/>
    <x v="3"/>
    <x v="0"/>
    <x v="0"/>
    <n v="147"/>
    <x v="1"/>
    <n v="23"/>
    <x v="1"/>
    <n v="4"/>
    <s v="Master"/>
    <s v="Medical"/>
    <n v="165"/>
    <n v="4"/>
    <x v="3"/>
    <s v="Female"/>
    <n v="94"/>
    <n v="3"/>
    <s v="High"/>
    <n v="3"/>
    <x v="2"/>
    <x v="4"/>
    <n v="4"/>
    <s v="Very High"/>
    <x v="1"/>
    <n v="10312"/>
    <n v="3465"/>
    <n v="1"/>
    <x v="1"/>
    <n v="12"/>
    <n v="3"/>
    <s v="Excellent"/>
    <n v="4"/>
    <s v="Very High"/>
    <n v="1"/>
    <n v="40"/>
    <n v="3"/>
    <n v="2"/>
    <s v="Medium"/>
    <n v="40"/>
    <n v="10"/>
    <n v="15"/>
    <n v="6"/>
  </r>
  <r>
    <n v="19"/>
    <x v="4"/>
    <x v="0"/>
    <x v="0"/>
    <n v="528"/>
    <x v="0"/>
    <n v="22"/>
    <x v="1"/>
    <n v="1"/>
    <s v="Below College"/>
    <s v="Marketing"/>
    <n v="167"/>
    <n v="4"/>
    <x v="3"/>
    <s v="Male"/>
    <n v="50"/>
    <n v="3"/>
    <s v="High"/>
    <n v="1"/>
    <x v="1"/>
    <x v="6"/>
    <n v="3"/>
    <s v="High"/>
    <x v="0"/>
    <n v="1675"/>
    <n v="26820"/>
    <n v="1"/>
    <x v="0"/>
    <n v="19"/>
    <n v="3"/>
    <s v="Excellent"/>
    <n v="4"/>
    <s v="Very High"/>
    <n v="0"/>
    <n v="0"/>
    <n v="2"/>
    <n v="2"/>
    <s v="Medium"/>
    <n v="0"/>
    <n v="0"/>
    <n v="0"/>
    <n v="0"/>
  </r>
  <r>
    <n v="22"/>
    <x v="4"/>
    <x v="1"/>
    <x v="0"/>
    <n v="594"/>
    <x v="1"/>
    <n v="2"/>
    <x v="0"/>
    <n v="1"/>
    <s v="Below College"/>
    <s v="Technical Degree"/>
    <n v="169"/>
    <n v="3"/>
    <x v="1"/>
    <s v="Male"/>
    <n v="100"/>
    <n v="3"/>
    <s v="High"/>
    <n v="1"/>
    <x v="1"/>
    <x v="2"/>
    <n v="4"/>
    <s v="Very High"/>
    <x v="1"/>
    <n v="2523"/>
    <n v="19299"/>
    <n v="0"/>
    <x v="1"/>
    <n v="14"/>
    <n v="3"/>
    <s v="Excellent"/>
    <n v="3"/>
    <s v="High"/>
    <n v="1"/>
    <n v="3"/>
    <n v="2"/>
    <n v="3"/>
    <s v="High"/>
    <n v="2"/>
    <n v="1"/>
    <n v="2"/>
    <n v="1"/>
  </r>
  <r>
    <n v="49"/>
    <x v="1"/>
    <x v="1"/>
    <x v="0"/>
    <n v="470"/>
    <x v="1"/>
    <n v="20"/>
    <x v="2"/>
    <n v="4"/>
    <s v="Master"/>
    <s v="Medical"/>
    <n v="170"/>
    <n v="3"/>
    <x v="1"/>
    <s v="Female"/>
    <n v="96"/>
    <n v="3"/>
    <s v="High"/>
    <n v="2"/>
    <x v="0"/>
    <x v="3"/>
    <n v="1"/>
    <s v="Low"/>
    <x v="1"/>
    <n v="6567"/>
    <n v="5549"/>
    <n v="1"/>
    <x v="1"/>
    <n v="14"/>
    <n v="3"/>
    <s v="Excellent"/>
    <n v="3"/>
    <s v="High"/>
    <n v="0"/>
    <n v="16"/>
    <n v="2"/>
    <n v="2"/>
    <s v="Medium"/>
    <n v="15"/>
    <n v="11"/>
    <n v="5"/>
    <n v="11"/>
  </r>
  <r>
    <n v="43"/>
    <x v="0"/>
    <x v="1"/>
    <x v="1"/>
    <n v="957"/>
    <x v="1"/>
    <n v="28"/>
    <x v="1"/>
    <n v="3"/>
    <s v="Bachelor"/>
    <s v="Medical"/>
    <n v="171"/>
    <n v="2"/>
    <x v="0"/>
    <s v="Female"/>
    <n v="72"/>
    <n v="4"/>
    <s v="Very High"/>
    <n v="1"/>
    <x v="1"/>
    <x v="1"/>
    <n v="3"/>
    <s v="High"/>
    <x v="0"/>
    <n v="4739"/>
    <n v="16090"/>
    <n v="4"/>
    <x v="1"/>
    <n v="12"/>
    <n v="3"/>
    <s v="Excellent"/>
    <n v="4"/>
    <s v="Very High"/>
    <n v="0"/>
    <n v="18"/>
    <n v="2"/>
    <n v="3"/>
    <s v="High"/>
    <n v="3"/>
    <n v="2"/>
    <n v="1"/>
    <n v="2"/>
  </r>
  <r>
    <n v="50"/>
    <x v="1"/>
    <x v="1"/>
    <x v="1"/>
    <n v="809"/>
    <x v="0"/>
    <n v="12"/>
    <x v="2"/>
    <n v="3"/>
    <s v="Bachelor"/>
    <s v="Marketing"/>
    <n v="174"/>
    <n v="3"/>
    <x v="1"/>
    <s v="Female"/>
    <n v="77"/>
    <n v="3"/>
    <s v="High"/>
    <n v="3"/>
    <x v="2"/>
    <x v="0"/>
    <n v="4"/>
    <s v="Very High"/>
    <x v="0"/>
    <n v="9208"/>
    <n v="6645"/>
    <n v="4"/>
    <x v="1"/>
    <n v="11"/>
    <n v="3"/>
    <s v="Excellent"/>
    <n v="4"/>
    <s v="Very High"/>
    <n v="0"/>
    <n v="16"/>
    <n v="3"/>
    <n v="3"/>
    <s v="High"/>
    <n v="2"/>
    <n v="2"/>
    <n v="2"/>
    <n v="1"/>
  </r>
  <r>
    <n v="31"/>
    <x v="2"/>
    <x v="0"/>
    <x v="0"/>
    <n v="542"/>
    <x v="0"/>
    <n v="20"/>
    <x v="2"/>
    <n v="3"/>
    <s v="Bachelor"/>
    <s v="Life Sciences"/>
    <n v="175"/>
    <n v="2"/>
    <x v="0"/>
    <s v="Female"/>
    <n v="71"/>
    <n v="1"/>
    <s v="Low"/>
    <n v="2"/>
    <x v="0"/>
    <x v="0"/>
    <n v="3"/>
    <s v="High"/>
    <x v="1"/>
    <n v="4559"/>
    <n v="24788"/>
    <n v="3"/>
    <x v="0"/>
    <n v="11"/>
    <n v="3"/>
    <s v="Excellent"/>
    <n v="3"/>
    <s v="High"/>
    <n v="1"/>
    <n v="4"/>
    <n v="2"/>
    <n v="3"/>
    <s v="High"/>
    <n v="2"/>
    <n v="2"/>
    <n v="2"/>
    <n v="2"/>
  </r>
  <r>
    <n v="41"/>
    <x v="0"/>
    <x v="1"/>
    <x v="0"/>
    <n v="802"/>
    <x v="0"/>
    <n v="9"/>
    <x v="0"/>
    <n v="1"/>
    <s v="Below College"/>
    <s v="Life Sciences"/>
    <n v="176"/>
    <n v="3"/>
    <x v="1"/>
    <s v="Male"/>
    <n v="96"/>
    <n v="3"/>
    <s v="High"/>
    <n v="3"/>
    <x v="2"/>
    <x v="0"/>
    <n v="3"/>
    <s v="High"/>
    <x v="2"/>
    <n v="8189"/>
    <n v="21196"/>
    <n v="3"/>
    <x v="0"/>
    <n v="13"/>
    <n v="3"/>
    <s v="Excellent"/>
    <n v="3"/>
    <s v="High"/>
    <n v="1"/>
    <n v="12"/>
    <n v="2"/>
    <n v="3"/>
    <s v="High"/>
    <n v="9"/>
    <n v="7"/>
    <n v="0"/>
    <n v="7"/>
  </r>
  <r>
    <n v="26"/>
    <x v="2"/>
    <x v="1"/>
    <x v="0"/>
    <n v="1355"/>
    <x v="2"/>
    <n v="25"/>
    <x v="1"/>
    <n v="1"/>
    <s v="Below College"/>
    <s v="Life Sciences"/>
    <n v="177"/>
    <n v="3"/>
    <x v="1"/>
    <s v="Female"/>
    <n v="61"/>
    <n v="3"/>
    <s v="High"/>
    <n v="1"/>
    <x v="1"/>
    <x v="8"/>
    <n v="3"/>
    <s v="High"/>
    <x v="1"/>
    <n v="2942"/>
    <n v="8916"/>
    <n v="1"/>
    <x v="1"/>
    <n v="23"/>
    <n v="4"/>
    <s v="Outstanding"/>
    <n v="4"/>
    <s v="Very High"/>
    <n v="1"/>
    <n v="8"/>
    <n v="3"/>
    <n v="3"/>
    <s v="High"/>
    <n v="8"/>
    <n v="7"/>
    <n v="5"/>
    <n v="7"/>
  </r>
  <r>
    <n v="36"/>
    <x v="0"/>
    <x v="1"/>
    <x v="0"/>
    <n v="216"/>
    <x v="1"/>
    <n v="6"/>
    <x v="0"/>
    <n v="2"/>
    <s v="College"/>
    <s v="Medical"/>
    <n v="178"/>
    <n v="2"/>
    <x v="0"/>
    <s v="Male"/>
    <n v="84"/>
    <n v="3"/>
    <s v="High"/>
    <n v="2"/>
    <x v="0"/>
    <x v="3"/>
    <n v="2"/>
    <s v="Medium"/>
    <x v="2"/>
    <n v="4941"/>
    <n v="2819"/>
    <n v="6"/>
    <x v="1"/>
    <n v="20"/>
    <n v="4"/>
    <s v="Outstanding"/>
    <n v="4"/>
    <s v="Very High"/>
    <n v="2"/>
    <n v="7"/>
    <n v="0"/>
    <n v="3"/>
    <s v="High"/>
    <n v="3"/>
    <n v="2"/>
    <n v="0"/>
    <n v="1"/>
  </r>
  <r>
    <n v="51"/>
    <x v="1"/>
    <x v="0"/>
    <x v="1"/>
    <n v="1150"/>
    <x v="1"/>
    <n v="8"/>
    <x v="0"/>
    <n v="4"/>
    <s v="Master"/>
    <s v="Life Sciences"/>
    <n v="179"/>
    <n v="1"/>
    <x v="2"/>
    <s v="Male"/>
    <n v="53"/>
    <n v="1"/>
    <s v="Low"/>
    <n v="3"/>
    <x v="2"/>
    <x v="3"/>
    <n v="4"/>
    <s v="Very High"/>
    <x v="0"/>
    <n v="10650"/>
    <n v="25150"/>
    <n v="2"/>
    <x v="1"/>
    <n v="15"/>
    <n v="3"/>
    <s v="Excellent"/>
    <n v="4"/>
    <s v="Very High"/>
    <n v="0"/>
    <n v="18"/>
    <n v="2"/>
    <n v="3"/>
    <s v="High"/>
    <n v="4"/>
    <n v="2"/>
    <n v="0"/>
    <n v="3"/>
  </r>
  <r>
    <n v="39"/>
    <x v="0"/>
    <x v="1"/>
    <x v="0"/>
    <n v="1329"/>
    <x v="0"/>
    <n v="4"/>
    <x v="0"/>
    <n v="4"/>
    <s v="Master"/>
    <s v="Life Sciences"/>
    <n v="182"/>
    <n v="4"/>
    <x v="3"/>
    <s v="Female"/>
    <n v="47"/>
    <n v="2"/>
    <s v="Medium"/>
    <n v="2"/>
    <x v="0"/>
    <x v="0"/>
    <n v="3"/>
    <s v="High"/>
    <x v="1"/>
    <n v="5902"/>
    <n v="14590"/>
    <n v="4"/>
    <x v="1"/>
    <n v="14"/>
    <n v="3"/>
    <s v="Excellent"/>
    <n v="3"/>
    <s v="High"/>
    <n v="1"/>
    <n v="17"/>
    <n v="1"/>
    <n v="4"/>
    <s v="Very High"/>
    <n v="15"/>
    <n v="11"/>
    <n v="5"/>
    <n v="9"/>
  </r>
  <r>
    <n v="25"/>
    <x v="4"/>
    <x v="1"/>
    <x v="0"/>
    <n v="959"/>
    <x v="0"/>
    <n v="28"/>
    <x v="1"/>
    <n v="3"/>
    <s v="Bachelor"/>
    <s v="Life Sciences"/>
    <n v="183"/>
    <n v="1"/>
    <x v="2"/>
    <s v="Male"/>
    <n v="41"/>
    <n v="2"/>
    <s v="Medium"/>
    <n v="2"/>
    <x v="0"/>
    <x v="0"/>
    <n v="3"/>
    <s v="High"/>
    <x v="1"/>
    <n v="8639"/>
    <n v="24835"/>
    <n v="2"/>
    <x v="1"/>
    <n v="18"/>
    <n v="3"/>
    <s v="Excellent"/>
    <n v="4"/>
    <s v="Very High"/>
    <n v="0"/>
    <n v="6"/>
    <n v="3"/>
    <n v="3"/>
    <s v="High"/>
    <n v="2"/>
    <n v="2"/>
    <n v="2"/>
    <n v="2"/>
  </r>
  <r>
    <n v="30"/>
    <x v="2"/>
    <x v="1"/>
    <x v="0"/>
    <n v="1240"/>
    <x v="2"/>
    <n v="9"/>
    <x v="0"/>
    <n v="3"/>
    <s v="Bachelor"/>
    <s v="Human Resources"/>
    <n v="184"/>
    <n v="3"/>
    <x v="1"/>
    <s v="Male"/>
    <n v="48"/>
    <n v="3"/>
    <s v="High"/>
    <n v="2"/>
    <x v="0"/>
    <x v="8"/>
    <n v="4"/>
    <s v="Very High"/>
    <x v="1"/>
    <n v="6347"/>
    <n v="13982"/>
    <n v="0"/>
    <x v="0"/>
    <n v="19"/>
    <n v="3"/>
    <s v="Excellent"/>
    <n v="4"/>
    <s v="Very High"/>
    <n v="0"/>
    <n v="12"/>
    <n v="2"/>
    <n v="1"/>
    <s v="Low"/>
    <n v="11"/>
    <n v="9"/>
    <n v="4"/>
    <n v="7"/>
  </r>
  <r>
    <n v="32"/>
    <x v="2"/>
    <x v="0"/>
    <x v="0"/>
    <n v="1033"/>
    <x v="1"/>
    <n v="9"/>
    <x v="0"/>
    <n v="3"/>
    <s v="Bachelor"/>
    <s v="Medical"/>
    <n v="190"/>
    <n v="1"/>
    <x v="2"/>
    <s v="Female"/>
    <n v="41"/>
    <n v="3"/>
    <s v="High"/>
    <n v="1"/>
    <x v="1"/>
    <x v="2"/>
    <n v="1"/>
    <s v="Low"/>
    <x v="0"/>
    <n v="4200"/>
    <n v="10224"/>
    <n v="7"/>
    <x v="1"/>
    <n v="22"/>
    <n v="4"/>
    <s v="Outstanding"/>
    <n v="1"/>
    <s v="Low"/>
    <n v="0"/>
    <n v="10"/>
    <n v="2"/>
    <n v="4"/>
    <s v="Very High"/>
    <n v="5"/>
    <n v="4"/>
    <n v="0"/>
    <n v="4"/>
  </r>
  <r>
    <n v="45"/>
    <x v="0"/>
    <x v="1"/>
    <x v="0"/>
    <n v="1316"/>
    <x v="1"/>
    <n v="29"/>
    <x v="1"/>
    <n v="3"/>
    <s v="Bachelor"/>
    <s v="Medical"/>
    <n v="192"/>
    <n v="3"/>
    <x v="1"/>
    <s v="Male"/>
    <n v="83"/>
    <n v="3"/>
    <s v="High"/>
    <n v="1"/>
    <x v="1"/>
    <x v="1"/>
    <n v="4"/>
    <s v="Very High"/>
    <x v="0"/>
    <n v="3452"/>
    <n v="9752"/>
    <n v="5"/>
    <x v="1"/>
    <n v="13"/>
    <n v="3"/>
    <s v="Excellent"/>
    <n v="2"/>
    <s v="Medium"/>
    <n v="0"/>
    <n v="9"/>
    <n v="2"/>
    <n v="2"/>
    <s v="Medium"/>
    <n v="6"/>
    <n v="5"/>
    <n v="0"/>
    <n v="3"/>
  </r>
  <r>
    <n v="38"/>
    <x v="0"/>
    <x v="1"/>
    <x v="0"/>
    <n v="364"/>
    <x v="1"/>
    <n v="3"/>
    <x v="0"/>
    <n v="5"/>
    <s v="Doctor"/>
    <s v="Technical Degree"/>
    <n v="193"/>
    <n v="4"/>
    <x v="3"/>
    <s v="Female"/>
    <n v="32"/>
    <n v="3"/>
    <s v="High"/>
    <n v="2"/>
    <x v="0"/>
    <x v="1"/>
    <n v="3"/>
    <s v="High"/>
    <x v="0"/>
    <n v="4317"/>
    <n v="2302"/>
    <n v="3"/>
    <x v="0"/>
    <n v="20"/>
    <n v="4"/>
    <s v="Outstanding"/>
    <n v="2"/>
    <s v="Medium"/>
    <n v="0"/>
    <n v="19"/>
    <n v="2"/>
    <n v="3"/>
    <s v="High"/>
    <n v="3"/>
    <n v="2"/>
    <n v="2"/>
    <n v="2"/>
  </r>
  <r>
    <n v="30"/>
    <x v="2"/>
    <x v="1"/>
    <x v="0"/>
    <n v="438"/>
    <x v="1"/>
    <n v="18"/>
    <x v="2"/>
    <n v="3"/>
    <s v="Bachelor"/>
    <s v="Life Sciences"/>
    <n v="194"/>
    <n v="1"/>
    <x v="2"/>
    <s v="Female"/>
    <n v="75"/>
    <n v="3"/>
    <s v="High"/>
    <n v="1"/>
    <x v="1"/>
    <x v="1"/>
    <n v="3"/>
    <s v="High"/>
    <x v="0"/>
    <n v="2632"/>
    <n v="23910"/>
    <n v="1"/>
    <x v="1"/>
    <n v="14"/>
    <n v="3"/>
    <s v="Excellent"/>
    <n v="3"/>
    <s v="High"/>
    <n v="0"/>
    <n v="5"/>
    <n v="4"/>
    <n v="2"/>
    <s v="Medium"/>
    <n v="5"/>
    <n v="4"/>
    <n v="0"/>
    <n v="4"/>
  </r>
  <r>
    <n v="32"/>
    <x v="2"/>
    <x v="1"/>
    <x v="1"/>
    <n v="689"/>
    <x v="0"/>
    <n v="9"/>
    <x v="0"/>
    <n v="2"/>
    <s v="College"/>
    <s v="Medical"/>
    <n v="195"/>
    <n v="4"/>
    <x v="3"/>
    <s v="Male"/>
    <n v="35"/>
    <n v="1"/>
    <s v="Low"/>
    <n v="2"/>
    <x v="0"/>
    <x v="0"/>
    <n v="4"/>
    <s v="Very High"/>
    <x v="2"/>
    <n v="4668"/>
    <n v="22812"/>
    <n v="0"/>
    <x v="1"/>
    <n v="17"/>
    <n v="3"/>
    <s v="Excellent"/>
    <n v="4"/>
    <s v="Very High"/>
    <n v="3"/>
    <n v="9"/>
    <n v="2"/>
    <n v="4"/>
    <s v="Very High"/>
    <n v="8"/>
    <n v="7"/>
    <n v="0"/>
    <n v="7"/>
  </r>
  <r>
    <n v="30"/>
    <x v="2"/>
    <x v="1"/>
    <x v="0"/>
    <n v="201"/>
    <x v="1"/>
    <n v="5"/>
    <x v="0"/>
    <n v="3"/>
    <s v="Bachelor"/>
    <s v="Technical Degree"/>
    <n v="197"/>
    <n v="4"/>
    <x v="3"/>
    <s v="Female"/>
    <n v="84"/>
    <n v="3"/>
    <s v="High"/>
    <n v="1"/>
    <x v="1"/>
    <x v="1"/>
    <n v="1"/>
    <s v="Low"/>
    <x v="2"/>
    <n v="3204"/>
    <n v="10415"/>
    <n v="5"/>
    <x v="1"/>
    <n v="14"/>
    <n v="3"/>
    <s v="Excellent"/>
    <n v="4"/>
    <s v="Very High"/>
    <n v="1"/>
    <n v="8"/>
    <n v="3"/>
    <n v="3"/>
    <s v="High"/>
    <n v="3"/>
    <n v="2"/>
    <n v="2"/>
    <n v="2"/>
  </r>
  <r>
    <n v="30"/>
    <x v="2"/>
    <x v="1"/>
    <x v="0"/>
    <n v="1427"/>
    <x v="1"/>
    <n v="2"/>
    <x v="0"/>
    <n v="1"/>
    <s v="Below College"/>
    <s v="Medical"/>
    <n v="198"/>
    <n v="2"/>
    <x v="0"/>
    <s v="Male"/>
    <n v="35"/>
    <n v="2"/>
    <s v="Medium"/>
    <n v="1"/>
    <x v="1"/>
    <x v="2"/>
    <n v="4"/>
    <s v="Very High"/>
    <x v="0"/>
    <n v="2720"/>
    <n v="11162"/>
    <n v="0"/>
    <x v="1"/>
    <n v="13"/>
    <n v="3"/>
    <s v="Excellent"/>
    <n v="4"/>
    <s v="Very High"/>
    <n v="0"/>
    <n v="6"/>
    <n v="3"/>
    <n v="3"/>
    <s v="High"/>
    <n v="5"/>
    <n v="3"/>
    <n v="1"/>
    <n v="2"/>
  </r>
  <r>
    <n v="41"/>
    <x v="0"/>
    <x v="1"/>
    <x v="1"/>
    <n v="857"/>
    <x v="1"/>
    <n v="10"/>
    <x v="0"/>
    <n v="3"/>
    <s v="Bachelor"/>
    <s v="Life Sciences"/>
    <n v="199"/>
    <n v="4"/>
    <x v="3"/>
    <s v="Male"/>
    <n v="91"/>
    <n v="2"/>
    <s v="Medium"/>
    <n v="4"/>
    <x v="3"/>
    <x v="5"/>
    <n v="1"/>
    <s v="Low"/>
    <x v="2"/>
    <n v="17181"/>
    <n v="12888"/>
    <n v="4"/>
    <x v="1"/>
    <n v="13"/>
    <n v="3"/>
    <s v="Excellent"/>
    <n v="2"/>
    <s v="Medium"/>
    <n v="1"/>
    <n v="21"/>
    <n v="2"/>
    <n v="2"/>
    <s v="Medium"/>
    <n v="7"/>
    <n v="6"/>
    <n v="7"/>
    <n v="7"/>
  </r>
  <r>
    <n v="41"/>
    <x v="0"/>
    <x v="1"/>
    <x v="0"/>
    <n v="933"/>
    <x v="1"/>
    <n v="9"/>
    <x v="0"/>
    <n v="4"/>
    <s v="Master"/>
    <s v="Life Sciences"/>
    <n v="200"/>
    <n v="3"/>
    <x v="1"/>
    <s v="Male"/>
    <n v="94"/>
    <n v="3"/>
    <s v="High"/>
    <n v="1"/>
    <x v="1"/>
    <x v="2"/>
    <n v="1"/>
    <s v="Low"/>
    <x v="1"/>
    <n v="2238"/>
    <n v="6961"/>
    <n v="2"/>
    <x v="1"/>
    <n v="21"/>
    <n v="4"/>
    <s v="Outstanding"/>
    <n v="4"/>
    <s v="Very High"/>
    <n v="1"/>
    <n v="7"/>
    <n v="2"/>
    <n v="3"/>
    <s v="High"/>
    <n v="5"/>
    <n v="0"/>
    <n v="1"/>
    <n v="4"/>
  </r>
  <r>
    <n v="19"/>
    <x v="4"/>
    <x v="1"/>
    <x v="0"/>
    <n v="1181"/>
    <x v="1"/>
    <n v="3"/>
    <x v="0"/>
    <n v="1"/>
    <s v="Below College"/>
    <s v="Medical"/>
    <n v="201"/>
    <n v="2"/>
    <x v="0"/>
    <s v="Female"/>
    <n v="79"/>
    <n v="3"/>
    <s v="High"/>
    <n v="1"/>
    <x v="1"/>
    <x v="2"/>
    <n v="2"/>
    <s v="Medium"/>
    <x v="0"/>
    <n v="1483"/>
    <n v="16102"/>
    <n v="1"/>
    <x v="1"/>
    <n v="14"/>
    <n v="3"/>
    <s v="Excellent"/>
    <n v="4"/>
    <s v="Very High"/>
    <n v="0"/>
    <n v="1"/>
    <n v="3"/>
    <n v="3"/>
    <s v="High"/>
    <n v="1"/>
    <n v="0"/>
    <n v="0"/>
    <n v="0"/>
  </r>
  <r>
    <n v="40"/>
    <x v="0"/>
    <x v="1"/>
    <x v="1"/>
    <n v="1395"/>
    <x v="1"/>
    <n v="26"/>
    <x v="1"/>
    <n v="3"/>
    <s v="Bachelor"/>
    <s v="Medical"/>
    <n v="202"/>
    <n v="2"/>
    <x v="0"/>
    <s v="Female"/>
    <n v="54"/>
    <n v="3"/>
    <s v="High"/>
    <n v="2"/>
    <x v="0"/>
    <x v="1"/>
    <n v="2"/>
    <s v="Medium"/>
    <x v="2"/>
    <n v="5605"/>
    <n v="8504"/>
    <n v="1"/>
    <x v="1"/>
    <n v="11"/>
    <n v="3"/>
    <s v="Excellent"/>
    <n v="1"/>
    <s v="Low"/>
    <n v="1"/>
    <n v="20"/>
    <n v="2"/>
    <n v="3"/>
    <s v="High"/>
    <n v="20"/>
    <n v="7"/>
    <n v="2"/>
    <n v="13"/>
  </r>
  <r>
    <n v="35"/>
    <x v="2"/>
    <x v="1"/>
    <x v="0"/>
    <n v="662"/>
    <x v="0"/>
    <n v="1"/>
    <x v="0"/>
    <n v="5"/>
    <s v="Doctor"/>
    <s v="Marketing"/>
    <n v="204"/>
    <n v="3"/>
    <x v="1"/>
    <s v="Male"/>
    <n v="94"/>
    <n v="3"/>
    <s v="High"/>
    <n v="3"/>
    <x v="2"/>
    <x v="0"/>
    <n v="2"/>
    <s v="Medium"/>
    <x v="1"/>
    <n v="7295"/>
    <n v="11439"/>
    <n v="1"/>
    <x v="1"/>
    <n v="13"/>
    <n v="3"/>
    <s v="Excellent"/>
    <n v="1"/>
    <s v="Low"/>
    <n v="2"/>
    <n v="10"/>
    <n v="3"/>
    <n v="3"/>
    <s v="High"/>
    <n v="10"/>
    <n v="8"/>
    <n v="0"/>
    <n v="6"/>
  </r>
  <r>
    <n v="53"/>
    <x v="1"/>
    <x v="1"/>
    <x v="0"/>
    <n v="1436"/>
    <x v="0"/>
    <n v="6"/>
    <x v="0"/>
    <n v="2"/>
    <s v="College"/>
    <s v="Marketing"/>
    <n v="205"/>
    <n v="2"/>
    <x v="0"/>
    <s v="Male"/>
    <n v="34"/>
    <n v="3"/>
    <s v="High"/>
    <n v="2"/>
    <x v="0"/>
    <x v="6"/>
    <n v="3"/>
    <s v="High"/>
    <x v="1"/>
    <n v="2306"/>
    <n v="16047"/>
    <n v="2"/>
    <x v="0"/>
    <n v="20"/>
    <n v="4"/>
    <s v="Outstanding"/>
    <n v="4"/>
    <s v="Very High"/>
    <n v="1"/>
    <n v="13"/>
    <n v="3"/>
    <n v="1"/>
    <s v="Low"/>
    <n v="7"/>
    <n v="7"/>
    <n v="4"/>
    <n v="5"/>
  </r>
  <r>
    <n v="45"/>
    <x v="0"/>
    <x v="1"/>
    <x v="0"/>
    <n v="194"/>
    <x v="1"/>
    <n v="9"/>
    <x v="0"/>
    <n v="3"/>
    <s v="Bachelor"/>
    <s v="Life Sciences"/>
    <n v="206"/>
    <n v="2"/>
    <x v="0"/>
    <s v="Male"/>
    <n v="60"/>
    <n v="3"/>
    <s v="High"/>
    <n v="2"/>
    <x v="0"/>
    <x v="2"/>
    <n v="2"/>
    <s v="Medium"/>
    <x v="2"/>
    <n v="2348"/>
    <n v="10901"/>
    <n v="8"/>
    <x v="1"/>
    <n v="18"/>
    <n v="3"/>
    <s v="Excellent"/>
    <n v="3"/>
    <s v="High"/>
    <n v="1"/>
    <n v="20"/>
    <n v="2"/>
    <n v="1"/>
    <s v="Low"/>
    <n v="17"/>
    <n v="9"/>
    <n v="0"/>
    <n v="15"/>
  </r>
  <r>
    <n v="32"/>
    <x v="2"/>
    <x v="1"/>
    <x v="1"/>
    <n v="967"/>
    <x v="0"/>
    <n v="8"/>
    <x v="0"/>
    <n v="3"/>
    <s v="Bachelor"/>
    <s v="Marketing"/>
    <n v="207"/>
    <n v="2"/>
    <x v="0"/>
    <s v="Female"/>
    <n v="43"/>
    <n v="3"/>
    <s v="High"/>
    <n v="3"/>
    <x v="2"/>
    <x v="0"/>
    <n v="4"/>
    <s v="Very High"/>
    <x v="0"/>
    <n v="8998"/>
    <n v="15589"/>
    <n v="1"/>
    <x v="1"/>
    <n v="14"/>
    <n v="3"/>
    <s v="Excellent"/>
    <n v="4"/>
    <s v="Very High"/>
    <n v="0"/>
    <n v="9"/>
    <n v="2"/>
    <n v="3"/>
    <s v="High"/>
    <n v="9"/>
    <n v="8"/>
    <n v="3"/>
    <n v="7"/>
  </r>
  <r>
    <n v="29"/>
    <x v="2"/>
    <x v="1"/>
    <x v="2"/>
    <n v="1496"/>
    <x v="1"/>
    <n v="1"/>
    <x v="0"/>
    <n v="1"/>
    <s v="Below College"/>
    <s v="Technical Degree"/>
    <n v="208"/>
    <n v="4"/>
    <x v="3"/>
    <s v="Male"/>
    <n v="41"/>
    <n v="3"/>
    <s v="High"/>
    <n v="2"/>
    <x v="0"/>
    <x v="3"/>
    <n v="3"/>
    <s v="High"/>
    <x v="1"/>
    <n v="4319"/>
    <n v="26283"/>
    <n v="1"/>
    <x v="1"/>
    <n v="13"/>
    <n v="3"/>
    <s v="Excellent"/>
    <n v="1"/>
    <s v="Low"/>
    <n v="1"/>
    <n v="10"/>
    <n v="1"/>
    <n v="3"/>
    <s v="High"/>
    <n v="10"/>
    <n v="7"/>
    <n v="0"/>
    <n v="9"/>
  </r>
  <r>
    <n v="51"/>
    <x v="1"/>
    <x v="1"/>
    <x v="0"/>
    <n v="1169"/>
    <x v="1"/>
    <n v="7"/>
    <x v="0"/>
    <n v="4"/>
    <s v="Master"/>
    <s v="Medical"/>
    <n v="211"/>
    <n v="2"/>
    <x v="0"/>
    <s v="Male"/>
    <n v="34"/>
    <n v="2"/>
    <s v="Medium"/>
    <n v="2"/>
    <x v="0"/>
    <x v="3"/>
    <n v="3"/>
    <s v="High"/>
    <x v="1"/>
    <n v="6132"/>
    <n v="13983"/>
    <n v="2"/>
    <x v="1"/>
    <n v="17"/>
    <n v="3"/>
    <s v="Excellent"/>
    <n v="3"/>
    <s v="High"/>
    <n v="0"/>
    <n v="10"/>
    <n v="2"/>
    <n v="3"/>
    <s v="High"/>
    <n v="1"/>
    <n v="0"/>
    <n v="0"/>
    <n v="0"/>
  </r>
  <r>
    <n v="58"/>
    <x v="3"/>
    <x v="1"/>
    <x v="0"/>
    <n v="1145"/>
    <x v="1"/>
    <n v="9"/>
    <x v="0"/>
    <n v="3"/>
    <s v="Bachelor"/>
    <s v="Medical"/>
    <n v="214"/>
    <n v="2"/>
    <x v="0"/>
    <s v="Female"/>
    <n v="75"/>
    <n v="2"/>
    <s v="Medium"/>
    <n v="1"/>
    <x v="1"/>
    <x v="1"/>
    <n v="2"/>
    <s v="Medium"/>
    <x v="1"/>
    <n v="3346"/>
    <n v="11873"/>
    <n v="4"/>
    <x v="0"/>
    <n v="20"/>
    <n v="4"/>
    <s v="Outstanding"/>
    <n v="2"/>
    <s v="Medium"/>
    <n v="1"/>
    <n v="9"/>
    <n v="3"/>
    <n v="2"/>
    <s v="Medium"/>
    <n v="1"/>
    <n v="0"/>
    <n v="0"/>
    <n v="0"/>
  </r>
  <r>
    <n v="40"/>
    <x v="0"/>
    <x v="1"/>
    <x v="0"/>
    <n v="630"/>
    <x v="0"/>
    <n v="4"/>
    <x v="0"/>
    <n v="4"/>
    <s v="Master"/>
    <s v="Marketing"/>
    <n v="215"/>
    <n v="3"/>
    <x v="1"/>
    <s v="Male"/>
    <n v="67"/>
    <n v="2"/>
    <s v="Medium"/>
    <n v="3"/>
    <x v="2"/>
    <x v="0"/>
    <n v="4"/>
    <s v="Very High"/>
    <x v="1"/>
    <n v="10855"/>
    <n v="8552"/>
    <n v="7"/>
    <x v="1"/>
    <n v="11"/>
    <n v="3"/>
    <s v="Excellent"/>
    <n v="1"/>
    <s v="Low"/>
    <n v="1"/>
    <n v="15"/>
    <n v="2"/>
    <n v="2"/>
    <s v="Medium"/>
    <n v="12"/>
    <n v="11"/>
    <n v="2"/>
    <n v="11"/>
  </r>
  <r>
    <n v="34"/>
    <x v="2"/>
    <x v="1"/>
    <x v="1"/>
    <n v="303"/>
    <x v="0"/>
    <n v="2"/>
    <x v="0"/>
    <n v="4"/>
    <s v="Master"/>
    <s v="Marketing"/>
    <n v="216"/>
    <n v="3"/>
    <x v="1"/>
    <s v="Female"/>
    <n v="75"/>
    <n v="3"/>
    <s v="High"/>
    <n v="1"/>
    <x v="1"/>
    <x v="6"/>
    <n v="3"/>
    <s v="High"/>
    <x v="1"/>
    <n v="2231"/>
    <n v="11314"/>
    <n v="6"/>
    <x v="1"/>
    <n v="18"/>
    <n v="3"/>
    <s v="Excellent"/>
    <n v="4"/>
    <s v="Very High"/>
    <n v="1"/>
    <n v="6"/>
    <n v="3"/>
    <n v="3"/>
    <s v="High"/>
    <n v="4"/>
    <n v="3"/>
    <n v="1"/>
    <n v="2"/>
  </r>
  <r>
    <n v="22"/>
    <x v="4"/>
    <x v="1"/>
    <x v="0"/>
    <n v="1256"/>
    <x v="1"/>
    <n v="19"/>
    <x v="2"/>
    <n v="1"/>
    <s v="Below College"/>
    <s v="Medical"/>
    <n v="217"/>
    <n v="3"/>
    <x v="1"/>
    <s v="Male"/>
    <n v="80"/>
    <n v="3"/>
    <s v="High"/>
    <n v="1"/>
    <x v="1"/>
    <x v="1"/>
    <n v="4"/>
    <s v="Very High"/>
    <x v="1"/>
    <n v="2323"/>
    <n v="11992"/>
    <n v="1"/>
    <x v="1"/>
    <n v="24"/>
    <n v="4"/>
    <s v="Outstanding"/>
    <n v="1"/>
    <s v="Low"/>
    <n v="2"/>
    <n v="2"/>
    <n v="6"/>
    <n v="3"/>
    <s v="High"/>
    <n v="2"/>
    <n v="2"/>
    <n v="2"/>
    <n v="2"/>
  </r>
  <r>
    <n v="27"/>
    <x v="2"/>
    <x v="1"/>
    <x v="2"/>
    <n v="691"/>
    <x v="1"/>
    <n v="9"/>
    <x v="0"/>
    <n v="3"/>
    <s v="Bachelor"/>
    <s v="Medical"/>
    <n v="218"/>
    <n v="4"/>
    <x v="3"/>
    <s v="Male"/>
    <n v="57"/>
    <n v="3"/>
    <s v="High"/>
    <n v="1"/>
    <x v="1"/>
    <x v="1"/>
    <n v="2"/>
    <s v="Medium"/>
    <x v="2"/>
    <n v="2024"/>
    <n v="5970"/>
    <n v="6"/>
    <x v="1"/>
    <n v="18"/>
    <n v="3"/>
    <s v="Excellent"/>
    <n v="4"/>
    <s v="Very High"/>
    <n v="1"/>
    <n v="6"/>
    <n v="1"/>
    <n v="1"/>
    <s v="Low"/>
    <n v="2"/>
    <n v="2"/>
    <n v="2"/>
    <n v="2"/>
  </r>
  <r>
    <n v="28"/>
    <x v="2"/>
    <x v="1"/>
    <x v="0"/>
    <n v="440"/>
    <x v="1"/>
    <n v="21"/>
    <x v="1"/>
    <n v="3"/>
    <s v="Bachelor"/>
    <s v="Medical"/>
    <n v="221"/>
    <n v="3"/>
    <x v="1"/>
    <s v="Male"/>
    <n v="42"/>
    <n v="3"/>
    <s v="High"/>
    <n v="1"/>
    <x v="1"/>
    <x v="1"/>
    <n v="4"/>
    <s v="Very High"/>
    <x v="1"/>
    <n v="2713"/>
    <n v="6672"/>
    <n v="1"/>
    <x v="1"/>
    <n v="11"/>
    <n v="3"/>
    <s v="Excellent"/>
    <n v="3"/>
    <s v="High"/>
    <n v="1"/>
    <n v="5"/>
    <n v="2"/>
    <n v="1"/>
    <s v="Low"/>
    <n v="5"/>
    <n v="2"/>
    <n v="0"/>
    <n v="2"/>
  </r>
  <r>
    <n v="57"/>
    <x v="3"/>
    <x v="1"/>
    <x v="0"/>
    <n v="334"/>
    <x v="1"/>
    <n v="24"/>
    <x v="1"/>
    <n v="2"/>
    <s v="College"/>
    <s v="Life Sciences"/>
    <n v="223"/>
    <n v="3"/>
    <x v="1"/>
    <s v="Male"/>
    <n v="83"/>
    <n v="4"/>
    <s v="Very High"/>
    <n v="3"/>
    <x v="2"/>
    <x v="4"/>
    <n v="4"/>
    <s v="Very High"/>
    <x v="2"/>
    <n v="9439"/>
    <n v="23402"/>
    <n v="3"/>
    <x v="0"/>
    <n v="16"/>
    <n v="3"/>
    <s v="Excellent"/>
    <n v="2"/>
    <s v="Medium"/>
    <n v="1"/>
    <n v="12"/>
    <n v="2"/>
    <n v="1"/>
    <s v="Low"/>
    <n v="5"/>
    <n v="3"/>
    <n v="1"/>
    <n v="4"/>
  </r>
  <r>
    <n v="27"/>
    <x v="2"/>
    <x v="1"/>
    <x v="2"/>
    <n v="1450"/>
    <x v="1"/>
    <n v="3"/>
    <x v="0"/>
    <n v="3"/>
    <s v="Bachelor"/>
    <s v="Medical"/>
    <n v="224"/>
    <n v="3"/>
    <x v="1"/>
    <s v="Male"/>
    <n v="79"/>
    <n v="2"/>
    <s v="Medium"/>
    <n v="1"/>
    <x v="1"/>
    <x v="1"/>
    <n v="3"/>
    <s v="High"/>
    <x v="2"/>
    <n v="2566"/>
    <n v="25326"/>
    <n v="1"/>
    <x v="0"/>
    <n v="15"/>
    <n v="3"/>
    <s v="Excellent"/>
    <n v="4"/>
    <s v="Very High"/>
    <n v="1"/>
    <n v="1"/>
    <n v="2"/>
    <n v="2"/>
    <s v="Medium"/>
    <n v="1"/>
    <n v="1"/>
    <n v="0"/>
    <n v="1"/>
  </r>
  <r>
    <n v="50"/>
    <x v="1"/>
    <x v="1"/>
    <x v="0"/>
    <n v="1452"/>
    <x v="1"/>
    <n v="11"/>
    <x v="2"/>
    <n v="3"/>
    <s v="Bachelor"/>
    <s v="Life Sciences"/>
    <n v="226"/>
    <n v="3"/>
    <x v="1"/>
    <s v="Female"/>
    <n v="53"/>
    <n v="3"/>
    <s v="High"/>
    <n v="5"/>
    <x v="4"/>
    <x v="5"/>
    <n v="2"/>
    <s v="Medium"/>
    <x v="0"/>
    <n v="19926"/>
    <n v="17053"/>
    <n v="3"/>
    <x v="1"/>
    <n v="15"/>
    <n v="3"/>
    <s v="Excellent"/>
    <n v="2"/>
    <s v="Medium"/>
    <n v="0"/>
    <n v="21"/>
    <n v="5"/>
    <n v="3"/>
    <s v="High"/>
    <n v="5"/>
    <n v="4"/>
    <n v="4"/>
    <n v="4"/>
  </r>
  <r>
    <n v="41"/>
    <x v="0"/>
    <x v="1"/>
    <x v="0"/>
    <n v="465"/>
    <x v="1"/>
    <n v="14"/>
    <x v="2"/>
    <n v="3"/>
    <s v="Bachelor"/>
    <s v="Life Sciences"/>
    <n v="227"/>
    <n v="1"/>
    <x v="2"/>
    <s v="Male"/>
    <n v="56"/>
    <n v="3"/>
    <s v="High"/>
    <n v="1"/>
    <x v="1"/>
    <x v="1"/>
    <n v="3"/>
    <s v="High"/>
    <x v="2"/>
    <n v="2451"/>
    <n v="4609"/>
    <n v="4"/>
    <x v="1"/>
    <n v="12"/>
    <n v="3"/>
    <s v="Excellent"/>
    <n v="1"/>
    <s v="Low"/>
    <n v="1"/>
    <n v="13"/>
    <n v="2"/>
    <n v="3"/>
    <s v="High"/>
    <n v="9"/>
    <n v="8"/>
    <n v="1"/>
    <n v="8"/>
  </r>
  <r>
    <n v="30"/>
    <x v="2"/>
    <x v="1"/>
    <x v="0"/>
    <n v="1339"/>
    <x v="0"/>
    <n v="5"/>
    <x v="0"/>
    <n v="3"/>
    <s v="Bachelor"/>
    <s v="Life Sciences"/>
    <n v="228"/>
    <n v="2"/>
    <x v="0"/>
    <s v="Female"/>
    <n v="41"/>
    <n v="3"/>
    <s v="High"/>
    <n v="3"/>
    <x v="2"/>
    <x v="0"/>
    <n v="4"/>
    <s v="Very High"/>
    <x v="1"/>
    <n v="9419"/>
    <n v="8053"/>
    <n v="2"/>
    <x v="1"/>
    <n v="12"/>
    <n v="3"/>
    <s v="Excellent"/>
    <n v="3"/>
    <s v="High"/>
    <n v="1"/>
    <n v="12"/>
    <n v="2"/>
    <n v="3"/>
    <s v="High"/>
    <n v="10"/>
    <n v="9"/>
    <n v="7"/>
    <n v="4"/>
  </r>
  <r>
    <n v="38"/>
    <x v="0"/>
    <x v="1"/>
    <x v="0"/>
    <n v="702"/>
    <x v="0"/>
    <n v="1"/>
    <x v="0"/>
    <n v="4"/>
    <s v="Master"/>
    <s v="Life Sciences"/>
    <n v="230"/>
    <n v="1"/>
    <x v="2"/>
    <s v="Female"/>
    <n v="59"/>
    <n v="2"/>
    <s v="Medium"/>
    <n v="2"/>
    <x v="0"/>
    <x v="0"/>
    <n v="4"/>
    <s v="Very High"/>
    <x v="0"/>
    <n v="8686"/>
    <n v="12930"/>
    <n v="4"/>
    <x v="1"/>
    <n v="22"/>
    <n v="4"/>
    <s v="Outstanding"/>
    <n v="3"/>
    <s v="High"/>
    <n v="0"/>
    <n v="12"/>
    <n v="2"/>
    <n v="4"/>
    <s v="Very High"/>
    <n v="8"/>
    <n v="3"/>
    <n v="0"/>
    <n v="7"/>
  </r>
  <r>
    <n v="32"/>
    <x v="2"/>
    <x v="1"/>
    <x v="0"/>
    <n v="120"/>
    <x v="1"/>
    <n v="6"/>
    <x v="0"/>
    <n v="5"/>
    <s v="Doctor"/>
    <s v="Life Sciences"/>
    <n v="231"/>
    <n v="3"/>
    <x v="1"/>
    <s v="Male"/>
    <n v="43"/>
    <n v="3"/>
    <s v="High"/>
    <n v="1"/>
    <x v="1"/>
    <x v="1"/>
    <n v="3"/>
    <s v="High"/>
    <x v="0"/>
    <n v="3038"/>
    <n v="12430"/>
    <n v="3"/>
    <x v="1"/>
    <n v="20"/>
    <n v="4"/>
    <s v="Outstanding"/>
    <n v="1"/>
    <s v="Low"/>
    <n v="0"/>
    <n v="8"/>
    <n v="2"/>
    <n v="3"/>
    <s v="High"/>
    <n v="5"/>
    <n v="4"/>
    <n v="1"/>
    <n v="4"/>
  </r>
  <r>
    <n v="27"/>
    <x v="2"/>
    <x v="1"/>
    <x v="0"/>
    <n v="1157"/>
    <x v="1"/>
    <n v="17"/>
    <x v="2"/>
    <n v="3"/>
    <s v="Bachelor"/>
    <s v="Technical Degree"/>
    <n v="233"/>
    <n v="3"/>
    <x v="1"/>
    <s v="Male"/>
    <n v="51"/>
    <n v="3"/>
    <s v="High"/>
    <n v="1"/>
    <x v="1"/>
    <x v="1"/>
    <n v="2"/>
    <s v="Medium"/>
    <x v="1"/>
    <n v="3058"/>
    <n v="13364"/>
    <n v="0"/>
    <x v="0"/>
    <n v="16"/>
    <n v="3"/>
    <s v="Excellent"/>
    <n v="4"/>
    <s v="Very High"/>
    <n v="1"/>
    <n v="6"/>
    <n v="3"/>
    <n v="2"/>
    <s v="Medium"/>
    <n v="5"/>
    <n v="2"/>
    <n v="1"/>
    <n v="1"/>
  </r>
  <r>
    <n v="19"/>
    <x v="4"/>
    <x v="0"/>
    <x v="1"/>
    <n v="602"/>
    <x v="0"/>
    <n v="1"/>
    <x v="0"/>
    <n v="1"/>
    <s v="Below College"/>
    <s v="Technical Degree"/>
    <n v="235"/>
    <n v="3"/>
    <x v="1"/>
    <s v="Female"/>
    <n v="100"/>
    <n v="1"/>
    <s v="Low"/>
    <n v="1"/>
    <x v="1"/>
    <x v="6"/>
    <n v="1"/>
    <s v="Low"/>
    <x v="0"/>
    <n v="2325"/>
    <n v="20989"/>
    <n v="0"/>
    <x v="1"/>
    <n v="21"/>
    <n v="4"/>
    <s v="Outstanding"/>
    <n v="1"/>
    <s v="Low"/>
    <n v="0"/>
    <n v="1"/>
    <n v="5"/>
    <n v="4"/>
    <s v="Very High"/>
    <n v="0"/>
    <n v="0"/>
    <n v="0"/>
    <n v="0"/>
  </r>
  <r>
    <n v="36"/>
    <x v="0"/>
    <x v="1"/>
    <x v="1"/>
    <n v="1480"/>
    <x v="1"/>
    <n v="3"/>
    <x v="0"/>
    <n v="2"/>
    <s v="College"/>
    <s v="Medical"/>
    <n v="238"/>
    <n v="4"/>
    <x v="3"/>
    <s v="Male"/>
    <n v="30"/>
    <n v="3"/>
    <s v="High"/>
    <n v="1"/>
    <x v="1"/>
    <x v="2"/>
    <n v="2"/>
    <s v="Medium"/>
    <x v="0"/>
    <n v="2088"/>
    <n v="15062"/>
    <n v="4"/>
    <x v="1"/>
    <n v="12"/>
    <n v="3"/>
    <s v="Excellent"/>
    <n v="3"/>
    <s v="High"/>
    <n v="0"/>
    <n v="13"/>
    <n v="3"/>
    <n v="2"/>
    <s v="Medium"/>
    <n v="8"/>
    <n v="7"/>
    <n v="7"/>
    <n v="2"/>
  </r>
  <r>
    <n v="30"/>
    <x v="2"/>
    <x v="1"/>
    <x v="2"/>
    <n v="111"/>
    <x v="1"/>
    <n v="9"/>
    <x v="0"/>
    <n v="3"/>
    <s v="Bachelor"/>
    <s v="Medical"/>
    <n v="239"/>
    <n v="3"/>
    <x v="1"/>
    <s v="Male"/>
    <n v="66"/>
    <n v="3"/>
    <s v="High"/>
    <n v="2"/>
    <x v="0"/>
    <x v="2"/>
    <n v="1"/>
    <s v="Low"/>
    <x v="2"/>
    <n v="3072"/>
    <n v="11012"/>
    <n v="1"/>
    <x v="1"/>
    <n v="11"/>
    <n v="3"/>
    <s v="Excellent"/>
    <n v="3"/>
    <s v="High"/>
    <n v="2"/>
    <n v="12"/>
    <n v="4"/>
    <n v="3"/>
    <s v="High"/>
    <n v="12"/>
    <n v="9"/>
    <n v="6"/>
    <n v="10"/>
  </r>
  <r>
    <n v="45"/>
    <x v="0"/>
    <x v="1"/>
    <x v="0"/>
    <n v="1268"/>
    <x v="0"/>
    <n v="4"/>
    <x v="0"/>
    <n v="2"/>
    <s v="College"/>
    <s v="Life Sciences"/>
    <n v="240"/>
    <n v="3"/>
    <x v="1"/>
    <s v="Female"/>
    <n v="30"/>
    <n v="3"/>
    <s v="High"/>
    <n v="2"/>
    <x v="0"/>
    <x v="0"/>
    <n v="1"/>
    <s v="Low"/>
    <x v="2"/>
    <n v="5006"/>
    <n v="6319"/>
    <n v="4"/>
    <x v="0"/>
    <n v="11"/>
    <n v="3"/>
    <s v="Excellent"/>
    <n v="1"/>
    <s v="Low"/>
    <n v="1"/>
    <n v="9"/>
    <n v="3"/>
    <n v="4"/>
    <s v="Very High"/>
    <n v="5"/>
    <n v="4"/>
    <n v="0"/>
    <n v="3"/>
  </r>
  <r>
    <n v="56"/>
    <x v="3"/>
    <x v="1"/>
    <x v="0"/>
    <n v="713"/>
    <x v="1"/>
    <n v="8"/>
    <x v="0"/>
    <n v="3"/>
    <s v="Bachelor"/>
    <s v="Life Sciences"/>
    <n v="241"/>
    <n v="3"/>
    <x v="1"/>
    <s v="Female"/>
    <n v="67"/>
    <n v="3"/>
    <s v="High"/>
    <n v="1"/>
    <x v="1"/>
    <x v="1"/>
    <n v="1"/>
    <s v="Low"/>
    <x v="2"/>
    <n v="4257"/>
    <n v="13939"/>
    <n v="4"/>
    <x v="0"/>
    <n v="18"/>
    <n v="3"/>
    <s v="Excellent"/>
    <n v="3"/>
    <s v="High"/>
    <n v="1"/>
    <n v="19"/>
    <n v="3"/>
    <n v="3"/>
    <s v="High"/>
    <n v="2"/>
    <n v="2"/>
    <n v="2"/>
    <n v="2"/>
  </r>
  <r>
    <n v="33"/>
    <x v="2"/>
    <x v="1"/>
    <x v="0"/>
    <n v="134"/>
    <x v="1"/>
    <n v="2"/>
    <x v="0"/>
    <n v="3"/>
    <s v="Bachelor"/>
    <s v="Life Sciences"/>
    <n v="242"/>
    <n v="3"/>
    <x v="1"/>
    <s v="Male"/>
    <n v="90"/>
    <n v="3"/>
    <s v="High"/>
    <n v="1"/>
    <x v="1"/>
    <x v="1"/>
    <n v="4"/>
    <s v="Very High"/>
    <x v="0"/>
    <n v="2500"/>
    <n v="10515"/>
    <n v="0"/>
    <x v="1"/>
    <n v="14"/>
    <n v="3"/>
    <s v="Excellent"/>
    <n v="1"/>
    <s v="Low"/>
    <n v="0"/>
    <n v="4"/>
    <n v="2"/>
    <n v="4"/>
    <s v="Very High"/>
    <n v="3"/>
    <n v="1"/>
    <n v="0"/>
    <n v="2"/>
  </r>
  <r>
    <n v="19"/>
    <x v="4"/>
    <x v="0"/>
    <x v="0"/>
    <n v="303"/>
    <x v="1"/>
    <n v="2"/>
    <x v="0"/>
    <n v="3"/>
    <s v="Bachelor"/>
    <s v="Life Sciences"/>
    <n v="243"/>
    <n v="2"/>
    <x v="0"/>
    <s v="Male"/>
    <n v="47"/>
    <n v="2"/>
    <s v="Medium"/>
    <n v="1"/>
    <x v="1"/>
    <x v="2"/>
    <n v="4"/>
    <s v="Very High"/>
    <x v="0"/>
    <n v="1102"/>
    <n v="9241"/>
    <n v="1"/>
    <x v="1"/>
    <n v="22"/>
    <n v="4"/>
    <s v="Outstanding"/>
    <n v="3"/>
    <s v="High"/>
    <n v="0"/>
    <n v="1"/>
    <n v="3"/>
    <n v="2"/>
    <s v="Medium"/>
    <n v="1"/>
    <n v="0"/>
    <n v="1"/>
    <n v="0"/>
  </r>
  <r>
    <n v="46"/>
    <x v="1"/>
    <x v="1"/>
    <x v="0"/>
    <n v="526"/>
    <x v="0"/>
    <n v="1"/>
    <x v="0"/>
    <n v="2"/>
    <s v="College"/>
    <s v="Marketing"/>
    <n v="244"/>
    <n v="2"/>
    <x v="0"/>
    <s v="Female"/>
    <n v="92"/>
    <n v="3"/>
    <s v="High"/>
    <n v="3"/>
    <x v="2"/>
    <x v="0"/>
    <n v="1"/>
    <s v="Low"/>
    <x v="2"/>
    <n v="10453"/>
    <n v="2137"/>
    <n v="1"/>
    <x v="1"/>
    <n v="25"/>
    <n v="4"/>
    <s v="Outstanding"/>
    <n v="3"/>
    <s v="High"/>
    <n v="3"/>
    <n v="24"/>
    <n v="2"/>
    <n v="3"/>
    <s v="High"/>
    <n v="24"/>
    <n v="13"/>
    <n v="15"/>
    <n v="7"/>
  </r>
  <r>
    <n v="38"/>
    <x v="0"/>
    <x v="1"/>
    <x v="0"/>
    <n v="1380"/>
    <x v="1"/>
    <n v="9"/>
    <x v="0"/>
    <n v="2"/>
    <s v="College"/>
    <s v="Life Sciences"/>
    <n v="245"/>
    <n v="3"/>
    <x v="1"/>
    <s v="Female"/>
    <n v="75"/>
    <n v="3"/>
    <s v="High"/>
    <n v="1"/>
    <x v="1"/>
    <x v="2"/>
    <n v="4"/>
    <s v="Very High"/>
    <x v="0"/>
    <n v="2288"/>
    <n v="6319"/>
    <n v="1"/>
    <x v="1"/>
    <n v="12"/>
    <n v="3"/>
    <s v="Excellent"/>
    <n v="3"/>
    <s v="High"/>
    <n v="0"/>
    <n v="2"/>
    <n v="3"/>
    <n v="3"/>
    <s v="High"/>
    <n v="2"/>
    <n v="2"/>
    <n v="2"/>
    <n v="1"/>
  </r>
  <r>
    <n v="31"/>
    <x v="2"/>
    <x v="1"/>
    <x v="0"/>
    <n v="140"/>
    <x v="1"/>
    <n v="12"/>
    <x v="2"/>
    <n v="1"/>
    <s v="Below College"/>
    <s v="Medical"/>
    <n v="246"/>
    <n v="3"/>
    <x v="1"/>
    <s v="Female"/>
    <n v="95"/>
    <n v="3"/>
    <s v="High"/>
    <n v="1"/>
    <x v="1"/>
    <x v="1"/>
    <n v="4"/>
    <s v="Very High"/>
    <x v="1"/>
    <n v="3929"/>
    <n v="6984"/>
    <n v="8"/>
    <x v="0"/>
    <n v="23"/>
    <n v="4"/>
    <s v="Outstanding"/>
    <n v="3"/>
    <s v="High"/>
    <n v="1"/>
    <n v="7"/>
    <n v="0"/>
    <n v="3"/>
    <s v="High"/>
    <n v="4"/>
    <n v="2"/>
    <n v="0"/>
    <n v="2"/>
  </r>
  <r>
    <n v="34"/>
    <x v="2"/>
    <x v="1"/>
    <x v="0"/>
    <n v="629"/>
    <x v="1"/>
    <n v="27"/>
    <x v="1"/>
    <n v="2"/>
    <s v="College"/>
    <s v="Medical"/>
    <n v="247"/>
    <n v="4"/>
    <x v="3"/>
    <s v="Female"/>
    <n v="95"/>
    <n v="3"/>
    <s v="High"/>
    <n v="1"/>
    <x v="1"/>
    <x v="1"/>
    <n v="2"/>
    <s v="Medium"/>
    <x v="0"/>
    <n v="2311"/>
    <n v="5711"/>
    <n v="2"/>
    <x v="1"/>
    <n v="15"/>
    <n v="3"/>
    <s v="Excellent"/>
    <n v="4"/>
    <s v="Very High"/>
    <n v="0"/>
    <n v="9"/>
    <n v="3"/>
    <n v="3"/>
    <s v="High"/>
    <n v="3"/>
    <n v="2"/>
    <n v="1"/>
    <n v="2"/>
  </r>
  <r>
    <n v="41"/>
    <x v="0"/>
    <x v="0"/>
    <x v="0"/>
    <n v="1356"/>
    <x v="0"/>
    <n v="20"/>
    <x v="2"/>
    <n v="2"/>
    <s v="College"/>
    <s v="Marketing"/>
    <n v="248"/>
    <n v="2"/>
    <x v="0"/>
    <s v="Female"/>
    <n v="70"/>
    <n v="3"/>
    <s v="High"/>
    <n v="1"/>
    <x v="1"/>
    <x v="6"/>
    <n v="2"/>
    <s v="Medium"/>
    <x v="0"/>
    <n v="3140"/>
    <n v="21728"/>
    <n v="1"/>
    <x v="0"/>
    <n v="22"/>
    <n v="4"/>
    <s v="Outstanding"/>
    <n v="4"/>
    <s v="Very High"/>
    <n v="0"/>
    <n v="4"/>
    <n v="5"/>
    <n v="2"/>
    <s v="Medium"/>
    <n v="4"/>
    <n v="3"/>
    <n v="0"/>
    <n v="2"/>
  </r>
  <r>
    <n v="50"/>
    <x v="1"/>
    <x v="1"/>
    <x v="0"/>
    <n v="328"/>
    <x v="1"/>
    <n v="1"/>
    <x v="0"/>
    <n v="3"/>
    <s v="Bachelor"/>
    <s v="Medical"/>
    <n v="249"/>
    <n v="3"/>
    <x v="1"/>
    <s v="Male"/>
    <n v="86"/>
    <n v="2"/>
    <s v="Medium"/>
    <n v="1"/>
    <x v="1"/>
    <x v="2"/>
    <n v="3"/>
    <s v="High"/>
    <x v="1"/>
    <n v="3690"/>
    <n v="3425"/>
    <n v="2"/>
    <x v="1"/>
    <n v="15"/>
    <n v="3"/>
    <s v="Excellent"/>
    <n v="4"/>
    <s v="Very High"/>
    <n v="1"/>
    <n v="5"/>
    <n v="2"/>
    <n v="2"/>
    <s v="Medium"/>
    <n v="3"/>
    <n v="2"/>
    <n v="0"/>
    <n v="2"/>
  </r>
  <r>
    <n v="53"/>
    <x v="1"/>
    <x v="1"/>
    <x v="0"/>
    <n v="1084"/>
    <x v="1"/>
    <n v="13"/>
    <x v="2"/>
    <n v="2"/>
    <s v="College"/>
    <s v="Medical"/>
    <n v="250"/>
    <n v="4"/>
    <x v="3"/>
    <s v="Female"/>
    <n v="57"/>
    <n v="4"/>
    <s v="Very High"/>
    <n v="2"/>
    <x v="0"/>
    <x v="3"/>
    <n v="1"/>
    <s v="Low"/>
    <x v="2"/>
    <n v="4450"/>
    <n v="26250"/>
    <n v="1"/>
    <x v="1"/>
    <n v="11"/>
    <n v="3"/>
    <s v="Excellent"/>
    <n v="3"/>
    <s v="High"/>
    <n v="2"/>
    <n v="5"/>
    <n v="3"/>
    <n v="3"/>
    <s v="High"/>
    <n v="4"/>
    <n v="2"/>
    <n v="1"/>
    <n v="3"/>
  </r>
  <r>
    <n v="33"/>
    <x v="2"/>
    <x v="1"/>
    <x v="0"/>
    <n v="931"/>
    <x v="1"/>
    <n v="14"/>
    <x v="2"/>
    <n v="3"/>
    <s v="Bachelor"/>
    <s v="Medical"/>
    <n v="252"/>
    <n v="4"/>
    <x v="3"/>
    <s v="Female"/>
    <n v="72"/>
    <n v="3"/>
    <s v="High"/>
    <n v="1"/>
    <x v="1"/>
    <x v="1"/>
    <n v="2"/>
    <s v="Medium"/>
    <x v="1"/>
    <n v="2756"/>
    <n v="4673"/>
    <n v="1"/>
    <x v="1"/>
    <n v="13"/>
    <n v="3"/>
    <s v="Excellent"/>
    <n v="4"/>
    <s v="Very High"/>
    <n v="1"/>
    <n v="8"/>
    <n v="5"/>
    <n v="3"/>
    <s v="High"/>
    <n v="8"/>
    <n v="7"/>
    <n v="1"/>
    <n v="6"/>
  </r>
  <r>
    <n v="40"/>
    <x v="0"/>
    <x v="1"/>
    <x v="0"/>
    <n v="989"/>
    <x v="1"/>
    <n v="4"/>
    <x v="0"/>
    <n v="1"/>
    <s v="Below College"/>
    <s v="Medical"/>
    <n v="253"/>
    <n v="4"/>
    <x v="3"/>
    <s v="Female"/>
    <n v="46"/>
    <n v="3"/>
    <s v="High"/>
    <n v="5"/>
    <x v="4"/>
    <x v="5"/>
    <n v="3"/>
    <s v="High"/>
    <x v="1"/>
    <n v="19033"/>
    <n v="6499"/>
    <n v="1"/>
    <x v="1"/>
    <n v="14"/>
    <n v="3"/>
    <s v="Excellent"/>
    <n v="2"/>
    <s v="Medium"/>
    <n v="1"/>
    <n v="21"/>
    <n v="2"/>
    <n v="3"/>
    <s v="High"/>
    <n v="20"/>
    <n v="8"/>
    <n v="9"/>
    <n v="9"/>
  </r>
  <r>
    <n v="55"/>
    <x v="1"/>
    <x v="1"/>
    <x v="0"/>
    <n v="692"/>
    <x v="1"/>
    <n v="14"/>
    <x v="2"/>
    <n v="4"/>
    <s v="Master"/>
    <s v="Medical"/>
    <n v="254"/>
    <n v="3"/>
    <x v="1"/>
    <s v="Male"/>
    <n v="61"/>
    <n v="4"/>
    <s v="Very High"/>
    <n v="5"/>
    <x v="4"/>
    <x v="7"/>
    <n v="2"/>
    <s v="Medium"/>
    <x v="0"/>
    <n v="18722"/>
    <n v="13339"/>
    <n v="8"/>
    <x v="1"/>
    <n v="11"/>
    <n v="3"/>
    <s v="Excellent"/>
    <n v="4"/>
    <s v="Very High"/>
    <n v="0"/>
    <n v="36"/>
    <n v="3"/>
    <n v="3"/>
    <s v="High"/>
    <n v="24"/>
    <n v="15"/>
    <n v="2"/>
    <n v="15"/>
  </r>
  <r>
    <n v="34"/>
    <x v="2"/>
    <x v="1"/>
    <x v="1"/>
    <n v="1069"/>
    <x v="1"/>
    <n v="2"/>
    <x v="0"/>
    <n v="1"/>
    <s v="Below College"/>
    <s v="Life Sciences"/>
    <n v="256"/>
    <n v="4"/>
    <x v="3"/>
    <s v="Male"/>
    <n v="45"/>
    <n v="2"/>
    <s v="Medium"/>
    <n v="2"/>
    <x v="0"/>
    <x v="3"/>
    <n v="3"/>
    <s v="High"/>
    <x v="1"/>
    <n v="9547"/>
    <n v="14074"/>
    <n v="1"/>
    <x v="1"/>
    <n v="17"/>
    <n v="3"/>
    <s v="Excellent"/>
    <n v="3"/>
    <s v="High"/>
    <n v="0"/>
    <n v="10"/>
    <n v="2"/>
    <n v="2"/>
    <s v="Medium"/>
    <n v="10"/>
    <n v="9"/>
    <n v="1"/>
    <n v="9"/>
  </r>
  <r>
    <n v="51"/>
    <x v="1"/>
    <x v="1"/>
    <x v="0"/>
    <n v="313"/>
    <x v="1"/>
    <n v="3"/>
    <x v="0"/>
    <n v="3"/>
    <s v="Bachelor"/>
    <s v="Medical"/>
    <n v="258"/>
    <n v="4"/>
    <x v="3"/>
    <s v="Female"/>
    <n v="98"/>
    <n v="3"/>
    <s v="High"/>
    <n v="4"/>
    <x v="3"/>
    <x v="4"/>
    <n v="2"/>
    <s v="Medium"/>
    <x v="0"/>
    <n v="13734"/>
    <n v="7192"/>
    <n v="3"/>
    <x v="1"/>
    <n v="18"/>
    <n v="3"/>
    <s v="Excellent"/>
    <n v="3"/>
    <s v="High"/>
    <n v="0"/>
    <n v="21"/>
    <n v="6"/>
    <n v="3"/>
    <s v="High"/>
    <n v="7"/>
    <n v="7"/>
    <n v="1"/>
    <n v="0"/>
  </r>
  <r>
    <n v="52"/>
    <x v="1"/>
    <x v="1"/>
    <x v="0"/>
    <n v="699"/>
    <x v="1"/>
    <n v="1"/>
    <x v="0"/>
    <n v="4"/>
    <s v="Master"/>
    <s v="Life Sciences"/>
    <n v="259"/>
    <n v="3"/>
    <x v="1"/>
    <s v="Male"/>
    <n v="65"/>
    <n v="2"/>
    <s v="Medium"/>
    <n v="5"/>
    <x v="4"/>
    <x v="5"/>
    <n v="3"/>
    <s v="High"/>
    <x v="1"/>
    <n v="19999"/>
    <n v="5678"/>
    <n v="0"/>
    <x v="1"/>
    <n v="14"/>
    <n v="3"/>
    <s v="Excellent"/>
    <n v="1"/>
    <s v="Low"/>
    <n v="1"/>
    <n v="34"/>
    <n v="5"/>
    <n v="3"/>
    <s v="High"/>
    <n v="33"/>
    <n v="18"/>
    <n v="11"/>
    <n v="9"/>
  </r>
  <r>
    <n v="27"/>
    <x v="2"/>
    <x v="1"/>
    <x v="0"/>
    <n v="894"/>
    <x v="1"/>
    <n v="9"/>
    <x v="0"/>
    <n v="3"/>
    <s v="Bachelor"/>
    <s v="Medical"/>
    <n v="260"/>
    <n v="4"/>
    <x v="3"/>
    <s v="Female"/>
    <n v="99"/>
    <n v="3"/>
    <s v="High"/>
    <n v="1"/>
    <x v="1"/>
    <x v="1"/>
    <n v="2"/>
    <s v="Medium"/>
    <x v="0"/>
    <n v="2279"/>
    <n v="11781"/>
    <n v="1"/>
    <x v="1"/>
    <n v="16"/>
    <n v="3"/>
    <s v="Excellent"/>
    <n v="4"/>
    <s v="Very High"/>
    <n v="0"/>
    <n v="7"/>
    <n v="2"/>
    <n v="2"/>
    <s v="Medium"/>
    <n v="7"/>
    <n v="7"/>
    <n v="0"/>
    <n v="3"/>
  </r>
  <r>
    <n v="35"/>
    <x v="2"/>
    <x v="0"/>
    <x v="0"/>
    <n v="556"/>
    <x v="1"/>
    <n v="23"/>
    <x v="1"/>
    <n v="2"/>
    <s v="College"/>
    <s v="Life Sciences"/>
    <n v="261"/>
    <n v="2"/>
    <x v="0"/>
    <s v="Male"/>
    <n v="50"/>
    <n v="2"/>
    <s v="Medium"/>
    <n v="2"/>
    <x v="0"/>
    <x v="3"/>
    <n v="3"/>
    <s v="High"/>
    <x v="1"/>
    <n v="5916"/>
    <n v="15497"/>
    <n v="3"/>
    <x v="0"/>
    <n v="13"/>
    <n v="3"/>
    <s v="Excellent"/>
    <n v="1"/>
    <s v="Low"/>
    <n v="0"/>
    <n v="8"/>
    <n v="1"/>
    <n v="3"/>
    <s v="High"/>
    <n v="1"/>
    <n v="0"/>
    <n v="0"/>
    <n v="1"/>
  </r>
  <r>
    <n v="43"/>
    <x v="0"/>
    <x v="1"/>
    <x v="2"/>
    <n v="1344"/>
    <x v="1"/>
    <n v="7"/>
    <x v="0"/>
    <n v="3"/>
    <s v="Bachelor"/>
    <s v="Medical"/>
    <n v="262"/>
    <n v="4"/>
    <x v="3"/>
    <s v="Male"/>
    <n v="37"/>
    <n v="4"/>
    <s v="Very High"/>
    <n v="1"/>
    <x v="1"/>
    <x v="1"/>
    <n v="4"/>
    <s v="Very High"/>
    <x v="2"/>
    <n v="2089"/>
    <n v="5228"/>
    <n v="4"/>
    <x v="1"/>
    <n v="14"/>
    <n v="3"/>
    <s v="Excellent"/>
    <n v="4"/>
    <s v="Very High"/>
    <n v="3"/>
    <n v="7"/>
    <n v="3"/>
    <n v="4"/>
    <s v="Very High"/>
    <n v="5"/>
    <n v="4"/>
    <n v="2"/>
    <n v="2"/>
  </r>
  <r>
    <n v="45"/>
    <x v="0"/>
    <x v="1"/>
    <x v="2"/>
    <n v="1195"/>
    <x v="1"/>
    <n v="2"/>
    <x v="0"/>
    <n v="2"/>
    <s v="College"/>
    <s v="Medical"/>
    <n v="264"/>
    <n v="1"/>
    <x v="2"/>
    <s v="Male"/>
    <n v="65"/>
    <n v="2"/>
    <s v="Medium"/>
    <n v="4"/>
    <x v="3"/>
    <x v="5"/>
    <n v="4"/>
    <s v="Very High"/>
    <x v="1"/>
    <n v="16792"/>
    <n v="20462"/>
    <n v="9"/>
    <x v="1"/>
    <n v="23"/>
    <n v="4"/>
    <s v="Outstanding"/>
    <n v="4"/>
    <s v="Very High"/>
    <n v="1"/>
    <n v="22"/>
    <n v="1"/>
    <n v="3"/>
    <s v="High"/>
    <n v="20"/>
    <n v="8"/>
    <n v="11"/>
    <n v="8"/>
  </r>
  <r>
    <n v="37"/>
    <x v="0"/>
    <x v="1"/>
    <x v="0"/>
    <n v="290"/>
    <x v="1"/>
    <n v="21"/>
    <x v="1"/>
    <n v="3"/>
    <s v="Bachelor"/>
    <s v="Life Sciences"/>
    <n v="267"/>
    <n v="2"/>
    <x v="0"/>
    <s v="Male"/>
    <n v="65"/>
    <n v="4"/>
    <s v="Very High"/>
    <n v="1"/>
    <x v="1"/>
    <x v="1"/>
    <n v="1"/>
    <s v="Low"/>
    <x v="1"/>
    <n v="3564"/>
    <n v="22977"/>
    <n v="1"/>
    <x v="0"/>
    <n v="12"/>
    <n v="3"/>
    <s v="Excellent"/>
    <n v="1"/>
    <s v="Low"/>
    <n v="1"/>
    <n v="8"/>
    <n v="3"/>
    <n v="2"/>
    <s v="Medium"/>
    <n v="8"/>
    <n v="7"/>
    <n v="1"/>
    <n v="7"/>
  </r>
  <r>
    <n v="35"/>
    <x v="2"/>
    <x v="1"/>
    <x v="1"/>
    <n v="138"/>
    <x v="1"/>
    <n v="2"/>
    <x v="0"/>
    <n v="3"/>
    <s v="Bachelor"/>
    <s v="Medical"/>
    <n v="269"/>
    <n v="2"/>
    <x v="0"/>
    <s v="Female"/>
    <n v="37"/>
    <n v="3"/>
    <s v="High"/>
    <n v="2"/>
    <x v="0"/>
    <x v="2"/>
    <n v="2"/>
    <s v="Medium"/>
    <x v="0"/>
    <n v="4425"/>
    <n v="15986"/>
    <n v="5"/>
    <x v="1"/>
    <n v="11"/>
    <n v="3"/>
    <s v="Excellent"/>
    <n v="4"/>
    <s v="Very High"/>
    <n v="0"/>
    <n v="10"/>
    <n v="5"/>
    <n v="3"/>
    <s v="High"/>
    <n v="6"/>
    <n v="2"/>
    <n v="1"/>
    <n v="2"/>
  </r>
  <r>
    <n v="42"/>
    <x v="0"/>
    <x v="1"/>
    <x v="2"/>
    <n v="926"/>
    <x v="1"/>
    <n v="21"/>
    <x v="1"/>
    <n v="2"/>
    <s v="College"/>
    <s v="Medical"/>
    <n v="270"/>
    <n v="3"/>
    <x v="1"/>
    <s v="Female"/>
    <n v="36"/>
    <n v="3"/>
    <s v="High"/>
    <n v="2"/>
    <x v="0"/>
    <x v="3"/>
    <n v="3"/>
    <s v="High"/>
    <x v="2"/>
    <n v="5265"/>
    <n v="16439"/>
    <n v="2"/>
    <x v="1"/>
    <n v="16"/>
    <n v="3"/>
    <s v="Excellent"/>
    <n v="2"/>
    <s v="Medium"/>
    <n v="1"/>
    <n v="11"/>
    <n v="5"/>
    <n v="3"/>
    <s v="High"/>
    <n v="5"/>
    <n v="3"/>
    <n v="0"/>
    <n v="2"/>
  </r>
  <r>
    <n v="38"/>
    <x v="0"/>
    <x v="1"/>
    <x v="0"/>
    <n v="1261"/>
    <x v="1"/>
    <n v="2"/>
    <x v="0"/>
    <n v="4"/>
    <s v="Master"/>
    <s v="Life Sciences"/>
    <n v="271"/>
    <n v="4"/>
    <x v="3"/>
    <s v="Male"/>
    <n v="88"/>
    <n v="3"/>
    <s v="High"/>
    <n v="2"/>
    <x v="0"/>
    <x v="3"/>
    <n v="3"/>
    <s v="High"/>
    <x v="1"/>
    <n v="6553"/>
    <n v="7259"/>
    <n v="9"/>
    <x v="1"/>
    <n v="14"/>
    <n v="3"/>
    <s v="Excellent"/>
    <n v="2"/>
    <s v="Medium"/>
    <n v="0"/>
    <n v="14"/>
    <n v="3"/>
    <n v="3"/>
    <s v="High"/>
    <n v="1"/>
    <n v="0"/>
    <n v="0"/>
    <n v="0"/>
  </r>
  <r>
    <n v="38"/>
    <x v="0"/>
    <x v="1"/>
    <x v="0"/>
    <n v="1084"/>
    <x v="1"/>
    <n v="29"/>
    <x v="1"/>
    <n v="3"/>
    <s v="Bachelor"/>
    <s v="Technical Degree"/>
    <n v="273"/>
    <n v="4"/>
    <x v="3"/>
    <s v="Male"/>
    <n v="54"/>
    <n v="3"/>
    <s v="High"/>
    <n v="2"/>
    <x v="0"/>
    <x v="3"/>
    <n v="4"/>
    <s v="Very High"/>
    <x v="1"/>
    <n v="6261"/>
    <n v="4185"/>
    <n v="3"/>
    <x v="1"/>
    <n v="18"/>
    <n v="3"/>
    <s v="Excellent"/>
    <n v="1"/>
    <s v="Low"/>
    <n v="1"/>
    <n v="9"/>
    <n v="3"/>
    <n v="1"/>
    <s v="Low"/>
    <n v="7"/>
    <n v="7"/>
    <n v="1"/>
    <n v="7"/>
  </r>
  <r>
    <n v="27"/>
    <x v="2"/>
    <x v="1"/>
    <x v="1"/>
    <n v="472"/>
    <x v="1"/>
    <n v="1"/>
    <x v="0"/>
    <n v="1"/>
    <s v="Below College"/>
    <s v="Technical Degree"/>
    <n v="274"/>
    <n v="3"/>
    <x v="1"/>
    <s v="Male"/>
    <n v="60"/>
    <n v="2"/>
    <s v="Medium"/>
    <n v="2"/>
    <x v="0"/>
    <x v="3"/>
    <n v="1"/>
    <s v="Low"/>
    <x v="1"/>
    <n v="4298"/>
    <n v="9679"/>
    <n v="5"/>
    <x v="1"/>
    <n v="19"/>
    <n v="3"/>
    <s v="Excellent"/>
    <n v="3"/>
    <s v="High"/>
    <n v="1"/>
    <n v="6"/>
    <n v="1"/>
    <n v="3"/>
    <s v="High"/>
    <n v="2"/>
    <n v="2"/>
    <n v="2"/>
    <n v="0"/>
  </r>
  <r>
    <n v="49"/>
    <x v="1"/>
    <x v="1"/>
    <x v="2"/>
    <n v="1002"/>
    <x v="1"/>
    <n v="18"/>
    <x v="2"/>
    <n v="4"/>
    <s v="Master"/>
    <s v="Life Sciences"/>
    <n v="275"/>
    <n v="4"/>
    <x v="3"/>
    <s v="Male"/>
    <n v="92"/>
    <n v="3"/>
    <s v="High"/>
    <n v="2"/>
    <x v="0"/>
    <x v="3"/>
    <n v="4"/>
    <s v="Very High"/>
    <x v="2"/>
    <n v="6804"/>
    <n v="23793"/>
    <n v="1"/>
    <x v="0"/>
    <n v="15"/>
    <n v="3"/>
    <s v="Excellent"/>
    <n v="1"/>
    <s v="Low"/>
    <n v="2"/>
    <n v="7"/>
    <n v="0"/>
    <n v="3"/>
    <s v="High"/>
    <n v="7"/>
    <n v="7"/>
    <n v="1"/>
    <n v="7"/>
  </r>
  <r>
    <n v="34"/>
    <x v="2"/>
    <x v="1"/>
    <x v="1"/>
    <n v="878"/>
    <x v="1"/>
    <n v="10"/>
    <x v="0"/>
    <n v="4"/>
    <s v="Master"/>
    <s v="Medical"/>
    <n v="277"/>
    <n v="4"/>
    <x v="3"/>
    <s v="Male"/>
    <n v="43"/>
    <n v="3"/>
    <s v="High"/>
    <n v="1"/>
    <x v="1"/>
    <x v="1"/>
    <n v="3"/>
    <s v="High"/>
    <x v="2"/>
    <n v="3815"/>
    <n v="5972"/>
    <n v="1"/>
    <x v="0"/>
    <n v="17"/>
    <n v="3"/>
    <s v="Excellent"/>
    <n v="4"/>
    <s v="Very High"/>
    <n v="1"/>
    <n v="5"/>
    <n v="4"/>
    <n v="4"/>
    <s v="Very High"/>
    <n v="5"/>
    <n v="3"/>
    <n v="2"/>
    <n v="0"/>
  </r>
  <r>
    <n v="40"/>
    <x v="0"/>
    <x v="1"/>
    <x v="0"/>
    <n v="905"/>
    <x v="1"/>
    <n v="19"/>
    <x v="2"/>
    <n v="2"/>
    <s v="College"/>
    <s v="Medical"/>
    <n v="281"/>
    <n v="3"/>
    <x v="1"/>
    <s v="Male"/>
    <n v="99"/>
    <n v="3"/>
    <s v="High"/>
    <n v="2"/>
    <x v="0"/>
    <x v="2"/>
    <n v="4"/>
    <s v="Very High"/>
    <x v="1"/>
    <n v="2741"/>
    <n v="16523"/>
    <n v="8"/>
    <x v="0"/>
    <n v="15"/>
    <n v="3"/>
    <s v="Excellent"/>
    <n v="3"/>
    <s v="High"/>
    <n v="1"/>
    <n v="15"/>
    <n v="2"/>
    <n v="4"/>
    <s v="Very High"/>
    <n v="7"/>
    <n v="2"/>
    <n v="3"/>
    <n v="7"/>
  </r>
  <r>
    <n v="38"/>
    <x v="0"/>
    <x v="0"/>
    <x v="0"/>
    <n v="1180"/>
    <x v="1"/>
    <n v="29"/>
    <x v="1"/>
    <n v="1"/>
    <s v="Below College"/>
    <s v="Medical"/>
    <n v="282"/>
    <n v="2"/>
    <x v="0"/>
    <s v="Male"/>
    <n v="70"/>
    <n v="3"/>
    <s v="High"/>
    <n v="2"/>
    <x v="0"/>
    <x v="4"/>
    <n v="1"/>
    <s v="Low"/>
    <x v="1"/>
    <n v="6673"/>
    <n v="11354"/>
    <n v="7"/>
    <x v="0"/>
    <n v="19"/>
    <n v="3"/>
    <s v="Excellent"/>
    <n v="2"/>
    <s v="Medium"/>
    <n v="0"/>
    <n v="17"/>
    <n v="2"/>
    <n v="3"/>
    <s v="High"/>
    <n v="1"/>
    <n v="0"/>
    <n v="0"/>
    <n v="0"/>
  </r>
  <r>
    <n v="29"/>
    <x v="2"/>
    <x v="0"/>
    <x v="0"/>
    <n v="121"/>
    <x v="0"/>
    <n v="27"/>
    <x v="1"/>
    <n v="3"/>
    <s v="Bachelor"/>
    <s v="Marketing"/>
    <n v="283"/>
    <n v="2"/>
    <x v="0"/>
    <s v="Female"/>
    <n v="35"/>
    <n v="3"/>
    <s v="High"/>
    <n v="3"/>
    <x v="2"/>
    <x v="0"/>
    <n v="4"/>
    <s v="Very High"/>
    <x v="1"/>
    <n v="7639"/>
    <n v="24525"/>
    <n v="1"/>
    <x v="1"/>
    <n v="22"/>
    <n v="4"/>
    <s v="Outstanding"/>
    <n v="4"/>
    <s v="Very High"/>
    <n v="3"/>
    <n v="10"/>
    <n v="3"/>
    <n v="2"/>
    <s v="Medium"/>
    <n v="10"/>
    <n v="4"/>
    <n v="1"/>
    <n v="9"/>
  </r>
  <r>
    <n v="22"/>
    <x v="4"/>
    <x v="1"/>
    <x v="0"/>
    <n v="1136"/>
    <x v="1"/>
    <n v="5"/>
    <x v="0"/>
    <n v="3"/>
    <s v="Bachelor"/>
    <s v="Life Sciences"/>
    <n v="284"/>
    <n v="4"/>
    <x v="3"/>
    <s v="Male"/>
    <n v="60"/>
    <n v="4"/>
    <s v="Very High"/>
    <n v="1"/>
    <x v="1"/>
    <x v="1"/>
    <n v="2"/>
    <s v="Medium"/>
    <x v="2"/>
    <n v="2328"/>
    <n v="12392"/>
    <n v="1"/>
    <x v="0"/>
    <n v="16"/>
    <n v="3"/>
    <s v="Excellent"/>
    <n v="1"/>
    <s v="Low"/>
    <n v="1"/>
    <n v="4"/>
    <n v="2"/>
    <n v="2"/>
    <s v="Medium"/>
    <n v="4"/>
    <n v="2"/>
    <n v="2"/>
    <n v="2"/>
  </r>
  <r>
    <n v="36"/>
    <x v="0"/>
    <x v="1"/>
    <x v="1"/>
    <n v="635"/>
    <x v="1"/>
    <n v="18"/>
    <x v="2"/>
    <n v="1"/>
    <s v="Below College"/>
    <s v="Medical"/>
    <n v="286"/>
    <n v="2"/>
    <x v="0"/>
    <s v="Female"/>
    <n v="73"/>
    <n v="3"/>
    <s v="High"/>
    <n v="1"/>
    <x v="1"/>
    <x v="2"/>
    <n v="4"/>
    <s v="Very High"/>
    <x v="0"/>
    <n v="2153"/>
    <n v="7703"/>
    <n v="1"/>
    <x v="1"/>
    <n v="13"/>
    <n v="3"/>
    <s v="Excellent"/>
    <n v="1"/>
    <s v="Low"/>
    <n v="0"/>
    <n v="8"/>
    <n v="2"/>
    <n v="3"/>
    <s v="High"/>
    <n v="8"/>
    <n v="1"/>
    <n v="1"/>
    <n v="7"/>
  </r>
  <r>
    <n v="40"/>
    <x v="0"/>
    <x v="1"/>
    <x v="2"/>
    <n v="1151"/>
    <x v="1"/>
    <n v="9"/>
    <x v="0"/>
    <n v="5"/>
    <s v="Doctor"/>
    <s v="Life Sciences"/>
    <n v="287"/>
    <n v="4"/>
    <x v="3"/>
    <s v="Male"/>
    <n v="63"/>
    <n v="2"/>
    <s v="Medium"/>
    <n v="2"/>
    <x v="0"/>
    <x v="4"/>
    <n v="4"/>
    <s v="Very High"/>
    <x v="1"/>
    <n v="4876"/>
    <n v="14242"/>
    <n v="9"/>
    <x v="1"/>
    <n v="14"/>
    <n v="3"/>
    <s v="Excellent"/>
    <n v="4"/>
    <s v="Very High"/>
    <n v="1"/>
    <n v="5"/>
    <n v="5"/>
    <n v="1"/>
    <s v="Low"/>
    <n v="3"/>
    <n v="2"/>
    <n v="0"/>
    <n v="2"/>
  </r>
  <r>
    <n v="46"/>
    <x v="1"/>
    <x v="1"/>
    <x v="0"/>
    <n v="644"/>
    <x v="1"/>
    <n v="1"/>
    <x v="0"/>
    <n v="4"/>
    <s v="Master"/>
    <s v="Medical"/>
    <n v="288"/>
    <n v="4"/>
    <x v="3"/>
    <s v="Male"/>
    <n v="97"/>
    <n v="3"/>
    <s v="High"/>
    <n v="3"/>
    <x v="2"/>
    <x v="4"/>
    <n v="1"/>
    <s v="Low"/>
    <x v="2"/>
    <n v="9396"/>
    <n v="12368"/>
    <n v="7"/>
    <x v="1"/>
    <n v="16"/>
    <n v="3"/>
    <s v="Excellent"/>
    <n v="3"/>
    <s v="High"/>
    <n v="1"/>
    <n v="17"/>
    <n v="3"/>
    <n v="3"/>
    <s v="High"/>
    <n v="4"/>
    <n v="2"/>
    <n v="0"/>
    <n v="3"/>
  </r>
  <r>
    <n v="32"/>
    <x v="2"/>
    <x v="0"/>
    <x v="0"/>
    <n v="1045"/>
    <x v="0"/>
    <n v="4"/>
    <x v="0"/>
    <n v="4"/>
    <s v="Master"/>
    <s v="Medical"/>
    <n v="291"/>
    <n v="4"/>
    <x v="3"/>
    <s v="Male"/>
    <n v="32"/>
    <n v="1"/>
    <s v="Low"/>
    <n v="3"/>
    <x v="2"/>
    <x v="0"/>
    <n v="4"/>
    <s v="Very High"/>
    <x v="1"/>
    <n v="10400"/>
    <n v="25812"/>
    <n v="1"/>
    <x v="1"/>
    <n v="11"/>
    <n v="3"/>
    <s v="Excellent"/>
    <n v="3"/>
    <s v="High"/>
    <n v="0"/>
    <n v="14"/>
    <n v="2"/>
    <n v="2"/>
    <s v="Medium"/>
    <n v="14"/>
    <n v="8"/>
    <n v="9"/>
    <n v="8"/>
  </r>
  <r>
    <n v="30"/>
    <x v="2"/>
    <x v="1"/>
    <x v="2"/>
    <n v="829"/>
    <x v="1"/>
    <n v="1"/>
    <x v="0"/>
    <n v="1"/>
    <s v="Below College"/>
    <s v="Life Sciences"/>
    <n v="292"/>
    <n v="3"/>
    <x v="1"/>
    <s v="Male"/>
    <n v="88"/>
    <n v="2"/>
    <s v="Medium"/>
    <n v="3"/>
    <x v="2"/>
    <x v="3"/>
    <n v="3"/>
    <s v="High"/>
    <x v="0"/>
    <n v="8474"/>
    <n v="20925"/>
    <n v="1"/>
    <x v="1"/>
    <n v="22"/>
    <n v="4"/>
    <s v="Outstanding"/>
    <n v="3"/>
    <s v="High"/>
    <n v="0"/>
    <n v="12"/>
    <n v="2"/>
    <n v="3"/>
    <s v="High"/>
    <n v="11"/>
    <n v="8"/>
    <n v="5"/>
    <n v="8"/>
  </r>
  <r>
    <n v="27"/>
    <x v="2"/>
    <x v="1"/>
    <x v="1"/>
    <n v="1242"/>
    <x v="0"/>
    <n v="20"/>
    <x v="2"/>
    <n v="3"/>
    <s v="Bachelor"/>
    <s v="Life Sciences"/>
    <n v="293"/>
    <n v="4"/>
    <x v="3"/>
    <s v="Female"/>
    <n v="90"/>
    <n v="3"/>
    <s v="High"/>
    <n v="2"/>
    <x v="0"/>
    <x v="0"/>
    <n v="3"/>
    <s v="High"/>
    <x v="0"/>
    <n v="9981"/>
    <n v="12916"/>
    <n v="1"/>
    <x v="1"/>
    <n v="14"/>
    <n v="3"/>
    <s v="Excellent"/>
    <n v="4"/>
    <s v="Very High"/>
    <n v="0"/>
    <n v="7"/>
    <n v="2"/>
    <n v="3"/>
    <s v="High"/>
    <n v="7"/>
    <n v="7"/>
    <n v="0"/>
    <n v="7"/>
  </r>
  <r>
    <n v="51"/>
    <x v="1"/>
    <x v="1"/>
    <x v="0"/>
    <n v="1469"/>
    <x v="1"/>
    <n v="8"/>
    <x v="0"/>
    <n v="4"/>
    <s v="Master"/>
    <s v="Life Sciences"/>
    <n v="296"/>
    <n v="2"/>
    <x v="0"/>
    <s v="Male"/>
    <n v="81"/>
    <n v="2"/>
    <s v="Medium"/>
    <n v="3"/>
    <x v="2"/>
    <x v="7"/>
    <n v="2"/>
    <s v="Medium"/>
    <x v="1"/>
    <n v="12490"/>
    <n v="15736"/>
    <n v="5"/>
    <x v="1"/>
    <n v="16"/>
    <n v="3"/>
    <s v="Excellent"/>
    <n v="4"/>
    <s v="Very High"/>
    <n v="2"/>
    <n v="16"/>
    <n v="5"/>
    <n v="1"/>
    <s v="Low"/>
    <n v="10"/>
    <n v="9"/>
    <n v="4"/>
    <n v="7"/>
  </r>
  <r>
    <n v="30"/>
    <x v="2"/>
    <x v="0"/>
    <x v="0"/>
    <n v="1005"/>
    <x v="1"/>
    <n v="3"/>
    <x v="0"/>
    <n v="3"/>
    <s v="Bachelor"/>
    <s v="Technical Degree"/>
    <n v="297"/>
    <n v="4"/>
    <x v="3"/>
    <s v="Female"/>
    <n v="88"/>
    <n v="3"/>
    <s v="High"/>
    <n v="1"/>
    <x v="1"/>
    <x v="1"/>
    <n v="1"/>
    <s v="Low"/>
    <x v="0"/>
    <n v="2657"/>
    <n v="8556"/>
    <n v="5"/>
    <x v="0"/>
    <n v="11"/>
    <n v="3"/>
    <s v="Excellent"/>
    <n v="3"/>
    <s v="High"/>
    <n v="0"/>
    <n v="8"/>
    <n v="5"/>
    <n v="3"/>
    <s v="High"/>
    <n v="5"/>
    <n v="2"/>
    <n v="0"/>
    <n v="4"/>
  </r>
  <r>
    <n v="41"/>
    <x v="0"/>
    <x v="1"/>
    <x v="0"/>
    <n v="896"/>
    <x v="0"/>
    <n v="6"/>
    <x v="0"/>
    <n v="3"/>
    <s v="Bachelor"/>
    <s v="Life Sciences"/>
    <n v="298"/>
    <n v="4"/>
    <x v="3"/>
    <s v="Female"/>
    <n v="75"/>
    <n v="3"/>
    <s v="High"/>
    <n v="3"/>
    <x v="2"/>
    <x v="5"/>
    <n v="4"/>
    <s v="Very High"/>
    <x v="0"/>
    <n v="13591"/>
    <n v="14674"/>
    <n v="3"/>
    <x v="0"/>
    <n v="18"/>
    <n v="3"/>
    <s v="Excellent"/>
    <n v="3"/>
    <s v="High"/>
    <n v="0"/>
    <n v="16"/>
    <n v="3"/>
    <n v="3"/>
    <s v="High"/>
    <n v="1"/>
    <n v="0"/>
    <n v="0"/>
    <n v="0"/>
  </r>
  <r>
    <n v="30"/>
    <x v="2"/>
    <x v="0"/>
    <x v="1"/>
    <n v="334"/>
    <x v="0"/>
    <n v="26"/>
    <x v="1"/>
    <n v="4"/>
    <s v="Master"/>
    <s v="Marketing"/>
    <n v="299"/>
    <n v="3"/>
    <x v="1"/>
    <s v="Female"/>
    <n v="52"/>
    <n v="2"/>
    <s v="Medium"/>
    <n v="2"/>
    <x v="0"/>
    <x v="0"/>
    <n v="1"/>
    <s v="Low"/>
    <x v="0"/>
    <n v="6696"/>
    <n v="22967"/>
    <n v="5"/>
    <x v="1"/>
    <n v="15"/>
    <n v="3"/>
    <s v="Excellent"/>
    <n v="3"/>
    <s v="High"/>
    <n v="0"/>
    <n v="9"/>
    <n v="5"/>
    <n v="2"/>
    <s v="Medium"/>
    <n v="6"/>
    <n v="3"/>
    <n v="0"/>
    <n v="1"/>
  </r>
  <r>
    <n v="29"/>
    <x v="2"/>
    <x v="0"/>
    <x v="0"/>
    <n v="992"/>
    <x v="1"/>
    <n v="1"/>
    <x v="0"/>
    <n v="3"/>
    <s v="Bachelor"/>
    <s v="Technical Degree"/>
    <n v="300"/>
    <n v="3"/>
    <x v="1"/>
    <s v="Male"/>
    <n v="85"/>
    <n v="3"/>
    <s v="High"/>
    <n v="1"/>
    <x v="1"/>
    <x v="1"/>
    <n v="3"/>
    <s v="High"/>
    <x v="0"/>
    <n v="2058"/>
    <n v="19757"/>
    <n v="0"/>
    <x v="1"/>
    <n v="14"/>
    <n v="3"/>
    <s v="Excellent"/>
    <n v="4"/>
    <s v="Very High"/>
    <n v="0"/>
    <n v="7"/>
    <n v="1"/>
    <n v="2"/>
    <s v="Medium"/>
    <n v="6"/>
    <n v="2"/>
    <n v="1"/>
    <n v="5"/>
  </r>
  <r>
    <n v="45"/>
    <x v="0"/>
    <x v="1"/>
    <x v="2"/>
    <n v="1052"/>
    <x v="0"/>
    <n v="6"/>
    <x v="0"/>
    <n v="3"/>
    <s v="Bachelor"/>
    <s v="Medical"/>
    <n v="302"/>
    <n v="4"/>
    <x v="3"/>
    <s v="Female"/>
    <n v="57"/>
    <n v="2"/>
    <s v="Medium"/>
    <n v="3"/>
    <x v="2"/>
    <x v="0"/>
    <n v="4"/>
    <s v="Very High"/>
    <x v="0"/>
    <n v="8865"/>
    <n v="16840"/>
    <n v="6"/>
    <x v="1"/>
    <n v="12"/>
    <n v="3"/>
    <s v="Excellent"/>
    <n v="4"/>
    <s v="Very High"/>
    <n v="0"/>
    <n v="23"/>
    <n v="2"/>
    <n v="3"/>
    <s v="High"/>
    <n v="19"/>
    <n v="7"/>
    <n v="12"/>
    <n v="8"/>
  </r>
  <r>
    <n v="54"/>
    <x v="1"/>
    <x v="1"/>
    <x v="0"/>
    <n v="1147"/>
    <x v="0"/>
    <n v="3"/>
    <x v="0"/>
    <n v="3"/>
    <s v="Bachelor"/>
    <s v="Marketing"/>
    <n v="303"/>
    <n v="4"/>
    <x v="3"/>
    <s v="Female"/>
    <n v="52"/>
    <n v="3"/>
    <s v="High"/>
    <n v="2"/>
    <x v="0"/>
    <x v="0"/>
    <n v="1"/>
    <s v="Low"/>
    <x v="1"/>
    <n v="5940"/>
    <n v="17011"/>
    <n v="2"/>
    <x v="1"/>
    <n v="14"/>
    <n v="3"/>
    <s v="Excellent"/>
    <n v="4"/>
    <s v="Very High"/>
    <n v="1"/>
    <n v="16"/>
    <n v="4"/>
    <n v="3"/>
    <s v="High"/>
    <n v="6"/>
    <n v="2"/>
    <n v="0"/>
    <n v="5"/>
  </r>
  <r>
    <n v="36"/>
    <x v="0"/>
    <x v="1"/>
    <x v="0"/>
    <n v="1396"/>
    <x v="1"/>
    <n v="5"/>
    <x v="0"/>
    <n v="2"/>
    <s v="College"/>
    <s v="Life Sciences"/>
    <n v="304"/>
    <n v="4"/>
    <x v="3"/>
    <s v="Male"/>
    <n v="62"/>
    <n v="3"/>
    <s v="High"/>
    <n v="2"/>
    <x v="0"/>
    <x v="2"/>
    <n v="2"/>
    <s v="Medium"/>
    <x v="0"/>
    <n v="5914"/>
    <n v="9945"/>
    <n v="8"/>
    <x v="1"/>
    <n v="16"/>
    <n v="3"/>
    <s v="Excellent"/>
    <n v="4"/>
    <s v="Very High"/>
    <n v="0"/>
    <n v="16"/>
    <n v="3"/>
    <n v="4"/>
    <s v="Very High"/>
    <n v="13"/>
    <n v="11"/>
    <n v="3"/>
    <n v="7"/>
  </r>
  <r>
    <n v="33"/>
    <x v="2"/>
    <x v="1"/>
    <x v="0"/>
    <n v="147"/>
    <x v="1"/>
    <n v="4"/>
    <x v="0"/>
    <n v="4"/>
    <s v="Master"/>
    <s v="Medical"/>
    <n v="305"/>
    <n v="3"/>
    <x v="1"/>
    <s v="Female"/>
    <n v="47"/>
    <n v="2"/>
    <s v="Medium"/>
    <n v="1"/>
    <x v="1"/>
    <x v="1"/>
    <n v="2"/>
    <s v="Medium"/>
    <x v="1"/>
    <n v="2622"/>
    <n v="13248"/>
    <n v="6"/>
    <x v="1"/>
    <n v="21"/>
    <n v="4"/>
    <s v="Outstanding"/>
    <n v="4"/>
    <s v="Very High"/>
    <n v="0"/>
    <n v="7"/>
    <n v="3"/>
    <n v="3"/>
    <s v="High"/>
    <n v="3"/>
    <n v="2"/>
    <n v="1"/>
    <n v="1"/>
  </r>
  <r>
    <n v="37"/>
    <x v="0"/>
    <x v="1"/>
    <x v="1"/>
    <n v="663"/>
    <x v="1"/>
    <n v="11"/>
    <x v="2"/>
    <n v="3"/>
    <s v="Bachelor"/>
    <s v="Other"/>
    <n v="306"/>
    <n v="2"/>
    <x v="0"/>
    <s v="Male"/>
    <n v="47"/>
    <n v="3"/>
    <s v="High"/>
    <n v="3"/>
    <x v="2"/>
    <x v="7"/>
    <n v="4"/>
    <s v="Very High"/>
    <x v="2"/>
    <n v="12185"/>
    <n v="10056"/>
    <n v="1"/>
    <x v="0"/>
    <n v="14"/>
    <n v="3"/>
    <s v="Excellent"/>
    <n v="3"/>
    <s v="High"/>
    <n v="3"/>
    <n v="10"/>
    <n v="1"/>
    <n v="3"/>
    <s v="High"/>
    <n v="10"/>
    <n v="8"/>
    <n v="0"/>
    <n v="7"/>
  </r>
  <r>
    <n v="38"/>
    <x v="0"/>
    <x v="1"/>
    <x v="0"/>
    <n v="119"/>
    <x v="0"/>
    <n v="3"/>
    <x v="0"/>
    <n v="3"/>
    <s v="Bachelor"/>
    <s v="Life Sciences"/>
    <n v="307"/>
    <n v="1"/>
    <x v="2"/>
    <s v="Male"/>
    <n v="76"/>
    <n v="3"/>
    <s v="High"/>
    <n v="3"/>
    <x v="2"/>
    <x v="0"/>
    <n v="3"/>
    <s v="High"/>
    <x v="2"/>
    <n v="10609"/>
    <n v="9647"/>
    <n v="0"/>
    <x v="1"/>
    <n v="12"/>
    <n v="3"/>
    <s v="Excellent"/>
    <n v="3"/>
    <s v="High"/>
    <n v="2"/>
    <n v="17"/>
    <n v="6"/>
    <n v="2"/>
    <s v="Medium"/>
    <n v="16"/>
    <n v="10"/>
    <n v="5"/>
    <n v="13"/>
  </r>
  <r>
    <n v="31"/>
    <x v="2"/>
    <x v="1"/>
    <x v="2"/>
    <n v="979"/>
    <x v="1"/>
    <n v="1"/>
    <x v="0"/>
    <n v="4"/>
    <s v="Master"/>
    <s v="Medical"/>
    <n v="308"/>
    <n v="3"/>
    <x v="1"/>
    <s v="Male"/>
    <n v="90"/>
    <n v="1"/>
    <s v="Low"/>
    <n v="2"/>
    <x v="0"/>
    <x v="3"/>
    <n v="3"/>
    <s v="High"/>
    <x v="1"/>
    <n v="4345"/>
    <n v="4381"/>
    <n v="0"/>
    <x v="1"/>
    <n v="12"/>
    <n v="3"/>
    <s v="Excellent"/>
    <n v="4"/>
    <s v="Very High"/>
    <n v="1"/>
    <n v="6"/>
    <n v="2"/>
    <n v="3"/>
    <s v="High"/>
    <n v="5"/>
    <n v="4"/>
    <n v="1"/>
    <n v="4"/>
  </r>
  <r>
    <n v="59"/>
    <x v="3"/>
    <x v="1"/>
    <x v="0"/>
    <n v="142"/>
    <x v="1"/>
    <n v="3"/>
    <x v="0"/>
    <n v="3"/>
    <s v="Bachelor"/>
    <s v="Life Sciences"/>
    <n v="309"/>
    <n v="3"/>
    <x v="1"/>
    <s v="Male"/>
    <n v="70"/>
    <n v="2"/>
    <s v="Medium"/>
    <n v="1"/>
    <x v="1"/>
    <x v="1"/>
    <n v="4"/>
    <s v="Very High"/>
    <x v="1"/>
    <n v="2177"/>
    <n v="8456"/>
    <n v="3"/>
    <x v="1"/>
    <n v="17"/>
    <n v="3"/>
    <s v="Excellent"/>
    <n v="1"/>
    <s v="Low"/>
    <n v="1"/>
    <n v="7"/>
    <n v="6"/>
    <n v="3"/>
    <s v="High"/>
    <n v="1"/>
    <n v="0"/>
    <n v="0"/>
    <n v="0"/>
  </r>
  <r>
    <n v="37"/>
    <x v="0"/>
    <x v="1"/>
    <x v="1"/>
    <n v="319"/>
    <x v="0"/>
    <n v="4"/>
    <x v="0"/>
    <n v="4"/>
    <s v="Master"/>
    <s v="Marketing"/>
    <n v="311"/>
    <n v="1"/>
    <x v="2"/>
    <s v="Male"/>
    <n v="41"/>
    <n v="3"/>
    <s v="High"/>
    <n v="1"/>
    <x v="1"/>
    <x v="6"/>
    <n v="4"/>
    <s v="Very High"/>
    <x v="2"/>
    <n v="2793"/>
    <n v="2539"/>
    <n v="4"/>
    <x v="1"/>
    <n v="17"/>
    <n v="3"/>
    <s v="Excellent"/>
    <n v="3"/>
    <s v="High"/>
    <n v="1"/>
    <n v="13"/>
    <n v="2"/>
    <n v="3"/>
    <s v="High"/>
    <n v="9"/>
    <n v="8"/>
    <n v="5"/>
    <n v="8"/>
  </r>
  <r>
    <n v="29"/>
    <x v="2"/>
    <x v="1"/>
    <x v="1"/>
    <n v="1413"/>
    <x v="0"/>
    <n v="1"/>
    <x v="0"/>
    <n v="1"/>
    <s v="Below College"/>
    <s v="Medical"/>
    <n v="312"/>
    <n v="2"/>
    <x v="0"/>
    <s v="Female"/>
    <n v="42"/>
    <n v="3"/>
    <s v="High"/>
    <n v="3"/>
    <x v="2"/>
    <x v="0"/>
    <n v="4"/>
    <s v="Very High"/>
    <x v="1"/>
    <n v="7918"/>
    <n v="6599"/>
    <n v="1"/>
    <x v="1"/>
    <n v="14"/>
    <n v="3"/>
    <s v="Excellent"/>
    <n v="4"/>
    <s v="Very High"/>
    <n v="1"/>
    <n v="11"/>
    <n v="5"/>
    <n v="3"/>
    <s v="High"/>
    <n v="11"/>
    <n v="10"/>
    <n v="4"/>
    <n v="1"/>
  </r>
  <r>
    <n v="35"/>
    <x v="2"/>
    <x v="1"/>
    <x v="1"/>
    <n v="944"/>
    <x v="0"/>
    <n v="1"/>
    <x v="0"/>
    <n v="3"/>
    <s v="Bachelor"/>
    <s v="Marketing"/>
    <n v="314"/>
    <n v="3"/>
    <x v="1"/>
    <s v="Female"/>
    <n v="92"/>
    <n v="3"/>
    <s v="High"/>
    <n v="3"/>
    <x v="2"/>
    <x v="0"/>
    <n v="3"/>
    <s v="High"/>
    <x v="0"/>
    <n v="8789"/>
    <n v="9096"/>
    <n v="1"/>
    <x v="1"/>
    <n v="14"/>
    <n v="3"/>
    <s v="Excellent"/>
    <n v="1"/>
    <s v="Low"/>
    <n v="0"/>
    <n v="10"/>
    <n v="3"/>
    <n v="4"/>
    <s v="Very High"/>
    <n v="10"/>
    <n v="7"/>
    <n v="0"/>
    <n v="8"/>
  </r>
  <r>
    <n v="29"/>
    <x v="2"/>
    <x v="0"/>
    <x v="0"/>
    <n v="896"/>
    <x v="1"/>
    <n v="18"/>
    <x v="2"/>
    <n v="1"/>
    <s v="Below College"/>
    <s v="Medical"/>
    <n v="315"/>
    <n v="3"/>
    <x v="1"/>
    <s v="Male"/>
    <n v="86"/>
    <n v="2"/>
    <s v="Medium"/>
    <n v="1"/>
    <x v="1"/>
    <x v="1"/>
    <n v="4"/>
    <s v="Very High"/>
    <x v="0"/>
    <n v="2389"/>
    <n v="14961"/>
    <n v="1"/>
    <x v="0"/>
    <n v="13"/>
    <n v="3"/>
    <s v="Excellent"/>
    <n v="3"/>
    <s v="High"/>
    <n v="0"/>
    <n v="4"/>
    <n v="3"/>
    <n v="2"/>
    <s v="Medium"/>
    <n v="4"/>
    <n v="3"/>
    <n v="0"/>
    <n v="1"/>
  </r>
  <r>
    <n v="52"/>
    <x v="1"/>
    <x v="1"/>
    <x v="0"/>
    <n v="1323"/>
    <x v="1"/>
    <n v="2"/>
    <x v="0"/>
    <n v="3"/>
    <s v="Bachelor"/>
    <s v="Life Sciences"/>
    <n v="316"/>
    <n v="3"/>
    <x v="1"/>
    <s v="Female"/>
    <n v="89"/>
    <n v="2"/>
    <s v="Medium"/>
    <n v="1"/>
    <x v="1"/>
    <x v="2"/>
    <n v="4"/>
    <s v="Very High"/>
    <x v="0"/>
    <n v="3212"/>
    <n v="3300"/>
    <n v="7"/>
    <x v="1"/>
    <n v="15"/>
    <n v="3"/>
    <s v="Excellent"/>
    <n v="2"/>
    <s v="Medium"/>
    <n v="0"/>
    <n v="6"/>
    <n v="3"/>
    <n v="2"/>
    <s v="Medium"/>
    <n v="2"/>
    <n v="2"/>
    <n v="2"/>
    <n v="2"/>
  </r>
  <r>
    <n v="42"/>
    <x v="0"/>
    <x v="1"/>
    <x v="0"/>
    <n v="532"/>
    <x v="1"/>
    <n v="4"/>
    <x v="0"/>
    <n v="2"/>
    <s v="College"/>
    <s v="Technical Degree"/>
    <n v="319"/>
    <n v="3"/>
    <x v="1"/>
    <s v="Male"/>
    <n v="58"/>
    <n v="3"/>
    <s v="High"/>
    <n v="5"/>
    <x v="4"/>
    <x v="5"/>
    <n v="4"/>
    <s v="Very High"/>
    <x v="1"/>
    <n v="19232"/>
    <n v="4933"/>
    <n v="1"/>
    <x v="1"/>
    <n v="11"/>
    <n v="3"/>
    <s v="Excellent"/>
    <n v="4"/>
    <s v="Very High"/>
    <n v="0"/>
    <n v="22"/>
    <n v="3"/>
    <n v="3"/>
    <s v="High"/>
    <n v="22"/>
    <n v="17"/>
    <n v="11"/>
    <n v="15"/>
  </r>
  <r>
    <n v="59"/>
    <x v="3"/>
    <x v="1"/>
    <x v="0"/>
    <n v="818"/>
    <x v="2"/>
    <n v="6"/>
    <x v="0"/>
    <n v="2"/>
    <s v="College"/>
    <s v="Medical"/>
    <n v="321"/>
    <n v="2"/>
    <x v="0"/>
    <s v="Male"/>
    <n v="52"/>
    <n v="3"/>
    <s v="High"/>
    <n v="1"/>
    <x v="1"/>
    <x v="8"/>
    <n v="3"/>
    <s v="High"/>
    <x v="1"/>
    <n v="2267"/>
    <n v="25657"/>
    <n v="8"/>
    <x v="1"/>
    <n v="17"/>
    <n v="3"/>
    <s v="Excellent"/>
    <n v="4"/>
    <s v="Very High"/>
    <n v="0"/>
    <n v="7"/>
    <n v="2"/>
    <n v="2"/>
    <s v="Medium"/>
    <n v="2"/>
    <n v="2"/>
    <n v="2"/>
    <n v="2"/>
  </r>
  <r>
    <n v="50"/>
    <x v="1"/>
    <x v="1"/>
    <x v="0"/>
    <n v="854"/>
    <x v="0"/>
    <n v="1"/>
    <x v="0"/>
    <n v="4"/>
    <s v="Master"/>
    <s v="Medical"/>
    <n v="323"/>
    <n v="4"/>
    <x v="3"/>
    <s v="Female"/>
    <n v="68"/>
    <n v="3"/>
    <s v="High"/>
    <n v="5"/>
    <x v="4"/>
    <x v="5"/>
    <n v="4"/>
    <s v="Very High"/>
    <x v="2"/>
    <n v="19517"/>
    <n v="24118"/>
    <n v="3"/>
    <x v="1"/>
    <n v="11"/>
    <n v="3"/>
    <s v="Excellent"/>
    <n v="3"/>
    <s v="High"/>
    <n v="1"/>
    <n v="32"/>
    <n v="3"/>
    <n v="2"/>
    <s v="Medium"/>
    <n v="7"/>
    <n v="0"/>
    <n v="0"/>
    <n v="6"/>
  </r>
  <r>
    <n v="33"/>
    <x v="2"/>
    <x v="0"/>
    <x v="0"/>
    <n v="813"/>
    <x v="1"/>
    <n v="14"/>
    <x v="2"/>
    <n v="3"/>
    <s v="Bachelor"/>
    <s v="Medical"/>
    <n v="325"/>
    <n v="3"/>
    <x v="1"/>
    <s v="Male"/>
    <n v="58"/>
    <n v="3"/>
    <s v="High"/>
    <n v="1"/>
    <x v="1"/>
    <x v="2"/>
    <n v="4"/>
    <s v="Very High"/>
    <x v="1"/>
    <n v="2436"/>
    <n v="22149"/>
    <n v="5"/>
    <x v="0"/>
    <n v="13"/>
    <n v="3"/>
    <s v="Excellent"/>
    <n v="3"/>
    <s v="High"/>
    <n v="1"/>
    <n v="8"/>
    <n v="2"/>
    <n v="1"/>
    <s v="Low"/>
    <n v="5"/>
    <n v="4"/>
    <n v="0"/>
    <n v="4"/>
  </r>
  <r>
    <n v="43"/>
    <x v="0"/>
    <x v="1"/>
    <x v="0"/>
    <n v="1034"/>
    <x v="0"/>
    <n v="16"/>
    <x v="2"/>
    <n v="3"/>
    <s v="Bachelor"/>
    <s v="Marketing"/>
    <n v="327"/>
    <n v="4"/>
    <x v="3"/>
    <s v="Female"/>
    <n v="80"/>
    <n v="3"/>
    <s v="High"/>
    <n v="4"/>
    <x v="3"/>
    <x v="5"/>
    <n v="4"/>
    <s v="Very High"/>
    <x v="1"/>
    <n v="16064"/>
    <n v="7744"/>
    <n v="5"/>
    <x v="0"/>
    <n v="22"/>
    <n v="4"/>
    <s v="Outstanding"/>
    <n v="3"/>
    <s v="High"/>
    <n v="1"/>
    <n v="22"/>
    <n v="3"/>
    <n v="3"/>
    <s v="High"/>
    <n v="17"/>
    <n v="13"/>
    <n v="1"/>
    <n v="9"/>
  </r>
  <r>
    <n v="33"/>
    <x v="2"/>
    <x v="0"/>
    <x v="0"/>
    <n v="465"/>
    <x v="1"/>
    <n v="2"/>
    <x v="0"/>
    <n v="2"/>
    <s v="College"/>
    <s v="Life Sciences"/>
    <n v="328"/>
    <n v="1"/>
    <x v="2"/>
    <s v="Female"/>
    <n v="39"/>
    <n v="3"/>
    <s v="High"/>
    <n v="1"/>
    <x v="1"/>
    <x v="2"/>
    <n v="1"/>
    <s v="Low"/>
    <x v="1"/>
    <n v="2707"/>
    <n v="21509"/>
    <n v="7"/>
    <x v="1"/>
    <n v="20"/>
    <n v="4"/>
    <s v="Outstanding"/>
    <n v="1"/>
    <s v="Low"/>
    <n v="0"/>
    <n v="13"/>
    <n v="3"/>
    <n v="4"/>
    <s v="Very High"/>
    <n v="9"/>
    <n v="7"/>
    <n v="1"/>
    <n v="7"/>
  </r>
  <r>
    <n v="52"/>
    <x v="1"/>
    <x v="1"/>
    <x v="2"/>
    <n v="771"/>
    <x v="0"/>
    <n v="2"/>
    <x v="0"/>
    <n v="4"/>
    <s v="Master"/>
    <s v="Life Sciences"/>
    <n v="329"/>
    <n v="1"/>
    <x v="2"/>
    <s v="Male"/>
    <n v="79"/>
    <n v="2"/>
    <s v="Medium"/>
    <n v="5"/>
    <x v="4"/>
    <x v="5"/>
    <n v="3"/>
    <s v="High"/>
    <x v="0"/>
    <n v="19068"/>
    <n v="21030"/>
    <n v="1"/>
    <x v="0"/>
    <n v="18"/>
    <n v="3"/>
    <s v="Excellent"/>
    <n v="4"/>
    <s v="Very High"/>
    <n v="0"/>
    <n v="33"/>
    <n v="2"/>
    <n v="4"/>
    <s v="Very High"/>
    <n v="33"/>
    <n v="7"/>
    <n v="15"/>
    <n v="12"/>
  </r>
  <r>
    <n v="32"/>
    <x v="2"/>
    <x v="1"/>
    <x v="0"/>
    <n v="1401"/>
    <x v="0"/>
    <n v="4"/>
    <x v="0"/>
    <n v="2"/>
    <s v="College"/>
    <s v="Life Sciences"/>
    <n v="330"/>
    <n v="3"/>
    <x v="1"/>
    <s v="Female"/>
    <n v="56"/>
    <n v="3"/>
    <s v="High"/>
    <n v="1"/>
    <x v="1"/>
    <x v="6"/>
    <n v="2"/>
    <s v="Medium"/>
    <x v="1"/>
    <n v="3931"/>
    <n v="20990"/>
    <n v="2"/>
    <x v="1"/>
    <n v="11"/>
    <n v="3"/>
    <s v="Excellent"/>
    <n v="1"/>
    <s v="Low"/>
    <n v="1"/>
    <n v="6"/>
    <n v="5"/>
    <n v="3"/>
    <s v="High"/>
    <n v="4"/>
    <n v="3"/>
    <n v="1"/>
    <n v="2"/>
  </r>
  <r>
    <n v="32"/>
    <x v="2"/>
    <x v="0"/>
    <x v="0"/>
    <n v="515"/>
    <x v="1"/>
    <n v="1"/>
    <x v="0"/>
    <n v="3"/>
    <s v="Bachelor"/>
    <s v="Life Sciences"/>
    <n v="331"/>
    <n v="4"/>
    <x v="3"/>
    <s v="Male"/>
    <n v="62"/>
    <n v="2"/>
    <s v="Medium"/>
    <n v="1"/>
    <x v="1"/>
    <x v="2"/>
    <n v="3"/>
    <s v="High"/>
    <x v="0"/>
    <n v="3730"/>
    <n v="9571"/>
    <n v="0"/>
    <x v="0"/>
    <n v="14"/>
    <n v="3"/>
    <s v="Excellent"/>
    <n v="4"/>
    <s v="Very High"/>
    <n v="0"/>
    <n v="4"/>
    <n v="2"/>
    <n v="1"/>
    <s v="Low"/>
    <n v="3"/>
    <n v="2"/>
    <n v="1"/>
    <n v="2"/>
  </r>
  <r>
    <n v="39"/>
    <x v="0"/>
    <x v="1"/>
    <x v="0"/>
    <n v="1431"/>
    <x v="1"/>
    <n v="1"/>
    <x v="0"/>
    <n v="4"/>
    <s v="Master"/>
    <s v="Medical"/>
    <n v="332"/>
    <n v="3"/>
    <x v="1"/>
    <s v="Female"/>
    <n v="96"/>
    <n v="3"/>
    <s v="High"/>
    <n v="1"/>
    <x v="1"/>
    <x v="2"/>
    <n v="3"/>
    <s v="High"/>
    <x v="2"/>
    <n v="2232"/>
    <n v="15417"/>
    <n v="7"/>
    <x v="1"/>
    <n v="14"/>
    <n v="3"/>
    <s v="Excellent"/>
    <n v="3"/>
    <s v="High"/>
    <n v="3"/>
    <n v="7"/>
    <n v="1"/>
    <n v="3"/>
    <s v="High"/>
    <n v="3"/>
    <n v="2"/>
    <n v="1"/>
    <n v="2"/>
  </r>
  <r>
    <n v="32"/>
    <x v="2"/>
    <x v="1"/>
    <x v="2"/>
    <n v="976"/>
    <x v="0"/>
    <n v="26"/>
    <x v="1"/>
    <n v="4"/>
    <s v="Master"/>
    <s v="Marketing"/>
    <n v="333"/>
    <n v="3"/>
    <x v="1"/>
    <s v="Male"/>
    <n v="100"/>
    <n v="3"/>
    <s v="High"/>
    <n v="2"/>
    <x v="0"/>
    <x v="0"/>
    <n v="4"/>
    <s v="Very High"/>
    <x v="1"/>
    <n v="4465"/>
    <n v="12069"/>
    <n v="0"/>
    <x v="1"/>
    <n v="18"/>
    <n v="3"/>
    <s v="Excellent"/>
    <n v="1"/>
    <s v="Low"/>
    <n v="0"/>
    <n v="4"/>
    <n v="2"/>
    <n v="3"/>
    <s v="High"/>
    <n v="3"/>
    <n v="2"/>
    <n v="2"/>
    <n v="2"/>
  </r>
  <r>
    <n v="41"/>
    <x v="0"/>
    <x v="1"/>
    <x v="0"/>
    <n v="1411"/>
    <x v="1"/>
    <n v="19"/>
    <x v="2"/>
    <n v="2"/>
    <s v="College"/>
    <s v="Life Sciences"/>
    <n v="334"/>
    <n v="3"/>
    <x v="1"/>
    <s v="Male"/>
    <n v="36"/>
    <n v="3"/>
    <s v="High"/>
    <n v="2"/>
    <x v="0"/>
    <x v="1"/>
    <n v="1"/>
    <s v="Low"/>
    <x v="2"/>
    <n v="3072"/>
    <n v="19877"/>
    <n v="2"/>
    <x v="1"/>
    <n v="16"/>
    <n v="3"/>
    <s v="Excellent"/>
    <n v="1"/>
    <s v="Low"/>
    <n v="2"/>
    <n v="17"/>
    <n v="2"/>
    <n v="2"/>
    <s v="Medium"/>
    <n v="1"/>
    <n v="0"/>
    <n v="0"/>
    <n v="0"/>
  </r>
  <r>
    <n v="40"/>
    <x v="0"/>
    <x v="1"/>
    <x v="0"/>
    <n v="1300"/>
    <x v="1"/>
    <n v="24"/>
    <x v="1"/>
    <n v="2"/>
    <s v="College"/>
    <s v="Technical Degree"/>
    <n v="335"/>
    <n v="1"/>
    <x v="2"/>
    <s v="Male"/>
    <n v="62"/>
    <n v="3"/>
    <s v="High"/>
    <n v="2"/>
    <x v="0"/>
    <x v="1"/>
    <n v="4"/>
    <s v="Very High"/>
    <x v="2"/>
    <n v="3319"/>
    <n v="24447"/>
    <n v="1"/>
    <x v="1"/>
    <n v="17"/>
    <n v="3"/>
    <s v="Excellent"/>
    <n v="1"/>
    <s v="Low"/>
    <n v="2"/>
    <n v="9"/>
    <n v="3"/>
    <n v="3"/>
    <s v="High"/>
    <n v="9"/>
    <n v="8"/>
    <n v="4"/>
    <n v="7"/>
  </r>
  <r>
    <n v="45"/>
    <x v="0"/>
    <x v="1"/>
    <x v="0"/>
    <n v="252"/>
    <x v="1"/>
    <n v="1"/>
    <x v="0"/>
    <n v="3"/>
    <s v="Bachelor"/>
    <s v="Other"/>
    <n v="336"/>
    <n v="3"/>
    <x v="1"/>
    <s v="Male"/>
    <n v="70"/>
    <n v="4"/>
    <s v="Very High"/>
    <n v="5"/>
    <x v="4"/>
    <x v="5"/>
    <n v="4"/>
    <s v="Very High"/>
    <x v="1"/>
    <n v="19202"/>
    <n v="15970"/>
    <n v="0"/>
    <x v="1"/>
    <n v="11"/>
    <n v="3"/>
    <s v="Excellent"/>
    <n v="3"/>
    <s v="High"/>
    <n v="1"/>
    <n v="25"/>
    <n v="2"/>
    <n v="3"/>
    <s v="High"/>
    <n v="24"/>
    <n v="0"/>
    <n v="1"/>
    <n v="7"/>
  </r>
  <r>
    <n v="31"/>
    <x v="2"/>
    <x v="1"/>
    <x v="1"/>
    <n v="1327"/>
    <x v="1"/>
    <n v="3"/>
    <x v="0"/>
    <n v="4"/>
    <s v="Master"/>
    <s v="Medical"/>
    <n v="337"/>
    <n v="2"/>
    <x v="0"/>
    <s v="Male"/>
    <n v="73"/>
    <n v="3"/>
    <s v="High"/>
    <n v="3"/>
    <x v="2"/>
    <x v="7"/>
    <n v="3"/>
    <s v="High"/>
    <x v="2"/>
    <n v="13675"/>
    <n v="13523"/>
    <n v="9"/>
    <x v="1"/>
    <n v="12"/>
    <n v="3"/>
    <s v="Excellent"/>
    <n v="1"/>
    <s v="Low"/>
    <n v="1"/>
    <n v="9"/>
    <n v="3"/>
    <n v="3"/>
    <s v="High"/>
    <n v="2"/>
    <n v="2"/>
    <n v="2"/>
    <n v="2"/>
  </r>
  <r>
    <n v="33"/>
    <x v="2"/>
    <x v="1"/>
    <x v="0"/>
    <n v="832"/>
    <x v="1"/>
    <n v="5"/>
    <x v="0"/>
    <n v="4"/>
    <s v="Master"/>
    <s v="Life Sciences"/>
    <n v="338"/>
    <n v="3"/>
    <x v="1"/>
    <s v="Female"/>
    <n v="63"/>
    <n v="2"/>
    <s v="Medium"/>
    <n v="1"/>
    <x v="1"/>
    <x v="1"/>
    <n v="4"/>
    <s v="Very High"/>
    <x v="1"/>
    <n v="2911"/>
    <n v="14776"/>
    <n v="1"/>
    <x v="1"/>
    <n v="13"/>
    <n v="3"/>
    <s v="Excellent"/>
    <n v="3"/>
    <s v="High"/>
    <n v="1"/>
    <n v="2"/>
    <n v="2"/>
    <n v="2"/>
    <s v="Medium"/>
    <n v="2"/>
    <n v="2"/>
    <n v="0"/>
    <n v="2"/>
  </r>
  <r>
    <n v="34"/>
    <x v="2"/>
    <x v="1"/>
    <x v="0"/>
    <n v="470"/>
    <x v="1"/>
    <n v="2"/>
    <x v="0"/>
    <n v="4"/>
    <s v="Master"/>
    <s v="Life Sciences"/>
    <n v="339"/>
    <n v="4"/>
    <x v="3"/>
    <s v="Male"/>
    <n v="84"/>
    <n v="2"/>
    <s v="Medium"/>
    <n v="2"/>
    <x v="0"/>
    <x v="3"/>
    <n v="1"/>
    <s v="Low"/>
    <x v="1"/>
    <n v="5957"/>
    <n v="23687"/>
    <n v="6"/>
    <x v="1"/>
    <n v="13"/>
    <n v="3"/>
    <s v="Excellent"/>
    <n v="2"/>
    <s v="Medium"/>
    <n v="1"/>
    <n v="13"/>
    <n v="3"/>
    <n v="3"/>
    <s v="High"/>
    <n v="11"/>
    <n v="9"/>
    <n v="5"/>
    <n v="9"/>
  </r>
  <r>
    <n v="37"/>
    <x v="0"/>
    <x v="1"/>
    <x v="0"/>
    <n v="1017"/>
    <x v="1"/>
    <n v="1"/>
    <x v="0"/>
    <n v="2"/>
    <s v="College"/>
    <s v="Medical"/>
    <n v="340"/>
    <n v="3"/>
    <x v="1"/>
    <s v="Female"/>
    <n v="83"/>
    <n v="2"/>
    <s v="Medium"/>
    <n v="1"/>
    <x v="1"/>
    <x v="1"/>
    <n v="1"/>
    <s v="Low"/>
    <x v="1"/>
    <n v="3920"/>
    <n v="18697"/>
    <n v="2"/>
    <x v="1"/>
    <n v="14"/>
    <n v="3"/>
    <s v="Excellent"/>
    <n v="1"/>
    <s v="Low"/>
    <n v="1"/>
    <n v="17"/>
    <n v="2"/>
    <n v="2"/>
    <s v="Medium"/>
    <n v="3"/>
    <n v="1"/>
    <n v="0"/>
    <n v="2"/>
  </r>
  <r>
    <n v="45"/>
    <x v="0"/>
    <x v="1"/>
    <x v="1"/>
    <n v="1199"/>
    <x v="1"/>
    <n v="7"/>
    <x v="0"/>
    <n v="4"/>
    <s v="Master"/>
    <s v="Life Sciences"/>
    <n v="341"/>
    <n v="1"/>
    <x v="2"/>
    <s v="Male"/>
    <n v="77"/>
    <n v="4"/>
    <s v="Very High"/>
    <n v="2"/>
    <x v="0"/>
    <x v="3"/>
    <n v="3"/>
    <s v="High"/>
    <x v="1"/>
    <n v="6434"/>
    <n v="5118"/>
    <n v="4"/>
    <x v="1"/>
    <n v="17"/>
    <n v="3"/>
    <s v="Excellent"/>
    <n v="4"/>
    <s v="Very High"/>
    <n v="1"/>
    <n v="9"/>
    <n v="1"/>
    <n v="3"/>
    <s v="High"/>
    <n v="3"/>
    <n v="2"/>
    <n v="0"/>
    <n v="2"/>
  </r>
  <r>
    <n v="37"/>
    <x v="0"/>
    <x v="0"/>
    <x v="1"/>
    <n v="504"/>
    <x v="1"/>
    <n v="10"/>
    <x v="0"/>
    <n v="3"/>
    <s v="Bachelor"/>
    <s v="Medical"/>
    <n v="342"/>
    <n v="1"/>
    <x v="2"/>
    <s v="Male"/>
    <n v="61"/>
    <n v="3"/>
    <s v="High"/>
    <n v="3"/>
    <x v="2"/>
    <x v="3"/>
    <n v="3"/>
    <s v="High"/>
    <x v="2"/>
    <n v="10048"/>
    <n v="22573"/>
    <n v="6"/>
    <x v="1"/>
    <n v="11"/>
    <n v="3"/>
    <s v="Excellent"/>
    <n v="2"/>
    <s v="Medium"/>
    <n v="2"/>
    <n v="17"/>
    <n v="5"/>
    <n v="3"/>
    <s v="High"/>
    <n v="1"/>
    <n v="0"/>
    <n v="0"/>
    <n v="0"/>
  </r>
  <r>
    <n v="39"/>
    <x v="0"/>
    <x v="1"/>
    <x v="1"/>
    <n v="505"/>
    <x v="1"/>
    <n v="2"/>
    <x v="0"/>
    <n v="4"/>
    <s v="Master"/>
    <s v="Technical Degree"/>
    <n v="343"/>
    <n v="3"/>
    <x v="1"/>
    <s v="Female"/>
    <n v="64"/>
    <n v="3"/>
    <s v="High"/>
    <n v="3"/>
    <x v="2"/>
    <x v="4"/>
    <n v="3"/>
    <s v="High"/>
    <x v="0"/>
    <n v="10938"/>
    <n v="6420"/>
    <n v="0"/>
    <x v="1"/>
    <n v="25"/>
    <n v="4"/>
    <s v="Outstanding"/>
    <n v="4"/>
    <s v="Very High"/>
    <n v="0"/>
    <n v="20"/>
    <n v="1"/>
    <n v="3"/>
    <s v="High"/>
    <n v="19"/>
    <n v="6"/>
    <n v="11"/>
    <n v="8"/>
  </r>
  <r>
    <n v="29"/>
    <x v="2"/>
    <x v="1"/>
    <x v="0"/>
    <n v="665"/>
    <x v="1"/>
    <n v="15"/>
    <x v="2"/>
    <n v="3"/>
    <s v="Bachelor"/>
    <s v="Life Sciences"/>
    <n v="346"/>
    <n v="3"/>
    <x v="1"/>
    <s v="Male"/>
    <n v="60"/>
    <n v="3"/>
    <s v="High"/>
    <n v="1"/>
    <x v="1"/>
    <x v="1"/>
    <n v="4"/>
    <s v="Very High"/>
    <x v="0"/>
    <n v="2340"/>
    <n v="22673"/>
    <n v="1"/>
    <x v="1"/>
    <n v="19"/>
    <n v="3"/>
    <s v="Excellent"/>
    <n v="1"/>
    <s v="Low"/>
    <n v="0"/>
    <n v="6"/>
    <n v="1"/>
    <n v="3"/>
    <s v="High"/>
    <n v="6"/>
    <n v="5"/>
    <n v="1"/>
    <n v="5"/>
  </r>
  <r>
    <n v="42"/>
    <x v="0"/>
    <x v="1"/>
    <x v="0"/>
    <n v="916"/>
    <x v="1"/>
    <n v="17"/>
    <x v="2"/>
    <n v="2"/>
    <s v="College"/>
    <s v="Life Sciences"/>
    <n v="347"/>
    <n v="4"/>
    <x v="3"/>
    <s v="Female"/>
    <n v="82"/>
    <n v="4"/>
    <s v="Very High"/>
    <n v="2"/>
    <x v="0"/>
    <x v="1"/>
    <n v="1"/>
    <s v="Low"/>
    <x v="0"/>
    <n v="6545"/>
    <n v="23016"/>
    <n v="3"/>
    <x v="0"/>
    <n v="13"/>
    <n v="3"/>
    <s v="Excellent"/>
    <n v="3"/>
    <s v="High"/>
    <n v="0"/>
    <n v="10"/>
    <n v="1"/>
    <n v="3"/>
    <s v="High"/>
    <n v="3"/>
    <n v="2"/>
    <n v="0"/>
    <n v="2"/>
  </r>
  <r>
    <n v="29"/>
    <x v="2"/>
    <x v="1"/>
    <x v="0"/>
    <n v="1247"/>
    <x v="0"/>
    <n v="20"/>
    <x v="2"/>
    <n v="2"/>
    <s v="College"/>
    <s v="Marketing"/>
    <n v="349"/>
    <n v="4"/>
    <x v="3"/>
    <s v="Male"/>
    <n v="45"/>
    <n v="3"/>
    <s v="High"/>
    <n v="2"/>
    <x v="0"/>
    <x v="0"/>
    <n v="4"/>
    <s v="Very High"/>
    <x v="2"/>
    <n v="6931"/>
    <n v="10732"/>
    <n v="2"/>
    <x v="1"/>
    <n v="14"/>
    <n v="3"/>
    <s v="Excellent"/>
    <n v="4"/>
    <s v="Very High"/>
    <n v="1"/>
    <n v="10"/>
    <n v="2"/>
    <n v="3"/>
    <s v="High"/>
    <n v="3"/>
    <n v="2"/>
    <n v="0"/>
    <n v="2"/>
  </r>
  <r>
    <n v="25"/>
    <x v="4"/>
    <x v="1"/>
    <x v="0"/>
    <n v="685"/>
    <x v="1"/>
    <n v="1"/>
    <x v="0"/>
    <n v="3"/>
    <s v="Bachelor"/>
    <s v="Life Sciences"/>
    <n v="350"/>
    <n v="1"/>
    <x v="2"/>
    <s v="Female"/>
    <n v="62"/>
    <n v="3"/>
    <s v="High"/>
    <n v="2"/>
    <x v="0"/>
    <x v="3"/>
    <n v="3"/>
    <s v="High"/>
    <x v="1"/>
    <n v="4898"/>
    <n v="7505"/>
    <n v="0"/>
    <x v="1"/>
    <n v="12"/>
    <n v="3"/>
    <s v="Excellent"/>
    <n v="4"/>
    <s v="Very High"/>
    <n v="2"/>
    <n v="5"/>
    <n v="3"/>
    <n v="3"/>
    <s v="High"/>
    <n v="4"/>
    <n v="2"/>
    <n v="1"/>
    <n v="2"/>
  </r>
  <r>
    <n v="42"/>
    <x v="0"/>
    <x v="1"/>
    <x v="0"/>
    <n v="269"/>
    <x v="1"/>
    <n v="2"/>
    <x v="0"/>
    <n v="3"/>
    <s v="Bachelor"/>
    <s v="Medical"/>
    <n v="351"/>
    <n v="4"/>
    <x v="3"/>
    <s v="Female"/>
    <n v="56"/>
    <n v="2"/>
    <s v="Medium"/>
    <n v="1"/>
    <x v="1"/>
    <x v="2"/>
    <n v="1"/>
    <s v="Low"/>
    <x v="2"/>
    <n v="2593"/>
    <n v="8007"/>
    <n v="0"/>
    <x v="0"/>
    <n v="11"/>
    <n v="3"/>
    <s v="Excellent"/>
    <n v="3"/>
    <s v="High"/>
    <n v="1"/>
    <n v="10"/>
    <n v="4"/>
    <n v="3"/>
    <s v="High"/>
    <n v="9"/>
    <n v="6"/>
    <n v="7"/>
    <n v="8"/>
  </r>
  <r>
    <n v="40"/>
    <x v="0"/>
    <x v="1"/>
    <x v="0"/>
    <n v="1416"/>
    <x v="1"/>
    <n v="2"/>
    <x v="0"/>
    <n v="2"/>
    <s v="College"/>
    <s v="Medical"/>
    <n v="352"/>
    <n v="1"/>
    <x v="2"/>
    <s v="Male"/>
    <n v="49"/>
    <n v="3"/>
    <s v="High"/>
    <n v="5"/>
    <x v="4"/>
    <x v="7"/>
    <n v="3"/>
    <s v="High"/>
    <x v="2"/>
    <n v="19436"/>
    <n v="5949"/>
    <n v="0"/>
    <x v="1"/>
    <n v="19"/>
    <n v="3"/>
    <s v="Excellent"/>
    <n v="4"/>
    <s v="Very High"/>
    <n v="1"/>
    <n v="22"/>
    <n v="5"/>
    <n v="3"/>
    <s v="High"/>
    <n v="21"/>
    <n v="7"/>
    <n v="3"/>
    <n v="9"/>
  </r>
  <r>
    <n v="51"/>
    <x v="1"/>
    <x v="1"/>
    <x v="0"/>
    <n v="833"/>
    <x v="1"/>
    <n v="1"/>
    <x v="0"/>
    <n v="3"/>
    <s v="Bachelor"/>
    <s v="Life Sciences"/>
    <n v="353"/>
    <n v="3"/>
    <x v="1"/>
    <s v="Male"/>
    <n v="96"/>
    <n v="3"/>
    <s v="High"/>
    <n v="1"/>
    <x v="1"/>
    <x v="1"/>
    <n v="4"/>
    <s v="Very High"/>
    <x v="1"/>
    <n v="2723"/>
    <n v="23231"/>
    <n v="1"/>
    <x v="1"/>
    <n v="11"/>
    <n v="3"/>
    <s v="Excellent"/>
    <n v="2"/>
    <s v="Medium"/>
    <n v="0"/>
    <n v="1"/>
    <n v="0"/>
    <n v="2"/>
    <s v="Medium"/>
    <n v="1"/>
    <n v="0"/>
    <n v="0"/>
    <n v="0"/>
  </r>
  <r>
    <n v="31"/>
    <x v="2"/>
    <x v="0"/>
    <x v="1"/>
    <n v="307"/>
    <x v="1"/>
    <n v="29"/>
    <x v="1"/>
    <n v="2"/>
    <s v="College"/>
    <s v="Medical"/>
    <n v="355"/>
    <n v="3"/>
    <x v="1"/>
    <s v="Male"/>
    <n v="71"/>
    <n v="2"/>
    <s v="Medium"/>
    <n v="1"/>
    <x v="1"/>
    <x v="2"/>
    <n v="2"/>
    <s v="Medium"/>
    <x v="0"/>
    <n v="3479"/>
    <n v="11652"/>
    <n v="0"/>
    <x v="1"/>
    <n v="11"/>
    <n v="3"/>
    <s v="Excellent"/>
    <n v="2"/>
    <s v="Medium"/>
    <n v="0"/>
    <n v="6"/>
    <n v="2"/>
    <n v="4"/>
    <s v="Very High"/>
    <n v="5"/>
    <n v="4"/>
    <n v="1"/>
    <n v="4"/>
  </r>
  <r>
    <n v="32"/>
    <x v="2"/>
    <x v="1"/>
    <x v="1"/>
    <n v="1311"/>
    <x v="1"/>
    <n v="7"/>
    <x v="0"/>
    <n v="3"/>
    <s v="Bachelor"/>
    <s v="Life Sciences"/>
    <n v="359"/>
    <n v="2"/>
    <x v="0"/>
    <s v="Male"/>
    <n v="100"/>
    <n v="4"/>
    <s v="Very High"/>
    <n v="1"/>
    <x v="1"/>
    <x v="2"/>
    <n v="2"/>
    <s v="Medium"/>
    <x v="1"/>
    <n v="2794"/>
    <n v="26062"/>
    <n v="1"/>
    <x v="1"/>
    <n v="20"/>
    <n v="4"/>
    <s v="Outstanding"/>
    <n v="3"/>
    <s v="High"/>
    <n v="0"/>
    <n v="5"/>
    <n v="3"/>
    <n v="1"/>
    <s v="Low"/>
    <n v="5"/>
    <n v="1"/>
    <n v="0"/>
    <n v="3"/>
  </r>
  <r>
    <n v="38"/>
    <x v="0"/>
    <x v="1"/>
    <x v="2"/>
    <n v="1327"/>
    <x v="0"/>
    <n v="2"/>
    <x v="0"/>
    <n v="2"/>
    <s v="College"/>
    <s v="Life Sciences"/>
    <n v="361"/>
    <n v="4"/>
    <x v="3"/>
    <s v="Male"/>
    <n v="39"/>
    <n v="2"/>
    <s v="Medium"/>
    <n v="2"/>
    <x v="0"/>
    <x v="0"/>
    <n v="4"/>
    <s v="Very High"/>
    <x v="1"/>
    <n v="5249"/>
    <n v="19682"/>
    <n v="3"/>
    <x v="1"/>
    <n v="18"/>
    <n v="3"/>
    <s v="Excellent"/>
    <n v="4"/>
    <s v="Very High"/>
    <n v="1"/>
    <n v="13"/>
    <n v="0"/>
    <n v="3"/>
    <s v="High"/>
    <n v="8"/>
    <n v="7"/>
    <n v="7"/>
    <n v="5"/>
  </r>
  <r>
    <n v="32"/>
    <x v="2"/>
    <x v="1"/>
    <x v="0"/>
    <n v="128"/>
    <x v="1"/>
    <n v="2"/>
    <x v="0"/>
    <n v="1"/>
    <s v="Below College"/>
    <s v="Technical Degree"/>
    <n v="362"/>
    <n v="4"/>
    <x v="3"/>
    <s v="Male"/>
    <n v="84"/>
    <n v="2"/>
    <s v="Medium"/>
    <n v="2"/>
    <x v="0"/>
    <x v="2"/>
    <n v="1"/>
    <s v="Low"/>
    <x v="0"/>
    <n v="2176"/>
    <n v="19737"/>
    <n v="4"/>
    <x v="1"/>
    <n v="13"/>
    <n v="3"/>
    <s v="Excellent"/>
    <n v="4"/>
    <s v="Very High"/>
    <n v="0"/>
    <n v="9"/>
    <n v="5"/>
    <n v="3"/>
    <s v="High"/>
    <n v="6"/>
    <n v="2"/>
    <n v="0"/>
    <n v="4"/>
  </r>
  <r>
    <n v="46"/>
    <x v="1"/>
    <x v="1"/>
    <x v="0"/>
    <n v="488"/>
    <x v="0"/>
    <n v="2"/>
    <x v="0"/>
    <n v="3"/>
    <s v="Bachelor"/>
    <s v="Technical Degree"/>
    <n v="363"/>
    <n v="3"/>
    <x v="1"/>
    <s v="Female"/>
    <n v="75"/>
    <n v="1"/>
    <s v="Low"/>
    <n v="4"/>
    <x v="3"/>
    <x v="5"/>
    <n v="2"/>
    <s v="Medium"/>
    <x v="1"/>
    <n v="16872"/>
    <n v="14977"/>
    <n v="3"/>
    <x v="0"/>
    <n v="12"/>
    <n v="3"/>
    <s v="Excellent"/>
    <n v="2"/>
    <s v="Medium"/>
    <n v="1"/>
    <n v="28"/>
    <n v="2"/>
    <n v="2"/>
    <s v="Medium"/>
    <n v="7"/>
    <n v="7"/>
    <n v="7"/>
    <n v="7"/>
  </r>
  <r>
    <n v="28"/>
    <x v="2"/>
    <x v="0"/>
    <x v="0"/>
    <n v="529"/>
    <x v="1"/>
    <n v="2"/>
    <x v="0"/>
    <n v="4"/>
    <s v="Master"/>
    <s v="Life Sciences"/>
    <n v="364"/>
    <n v="1"/>
    <x v="2"/>
    <s v="Male"/>
    <n v="79"/>
    <n v="3"/>
    <s v="High"/>
    <n v="1"/>
    <x v="1"/>
    <x v="2"/>
    <n v="3"/>
    <s v="High"/>
    <x v="0"/>
    <n v="3485"/>
    <n v="14935"/>
    <n v="2"/>
    <x v="1"/>
    <n v="11"/>
    <n v="3"/>
    <s v="Excellent"/>
    <n v="3"/>
    <s v="High"/>
    <n v="0"/>
    <n v="5"/>
    <n v="5"/>
    <n v="1"/>
    <s v="Low"/>
    <n v="0"/>
    <n v="0"/>
    <n v="0"/>
    <n v="0"/>
  </r>
  <r>
    <n v="29"/>
    <x v="2"/>
    <x v="1"/>
    <x v="0"/>
    <n v="1210"/>
    <x v="0"/>
    <n v="2"/>
    <x v="0"/>
    <n v="3"/>
    <s v="Bachelor"/>
    <s v="Medical"/>
    <n v="366"/>
    <n v="1"/>
    <x v="2"/>
    <s v="Male"/>
    <n v="78"/>
    <n v="2"/>
    <s v="Medium"/>
    <n v="2"/>
    <x v="0"/>
    <x v="0"/>
    <n v="2"/>
    <s v="Medium"/>
    <x v="1"/>
    <n v="6644"/>
    <n v="3687"/>
    <n v="2"/>
    <x v="1"/>
    <n v="19"/>
    <n v="3"/>
    <s v="Excellent"/>
    <n v="2"/>
    <s v="Medium"/>
    <n v="2"/>
    <n v="10"/>
    <n v="2"/>
    <n v="3"/>
    <s v="High"/>
    <n v="0"/>
    <n v="0"/>
    <n v="0"/>
    <n v="0"/>
  </r>
  <r>
    <n v="31"/>
    <x v="2"/>
    <x v="1"/>
    <x v="0"/>
    <n v="1463"/>
    <x v="1"/>
    <n v="23"/>
    <x v="1"/>
    <n v="3"/>
    <s v="Bachelor"/>
    <s v="Medical"/>
    <n v="367"/>
    <n v="2"/>
    <x v="0"/>
    <s v="Male"/>
    <n v="64"/>
    <n v="2"/>
    <s v="Medium"/>
    <n v="2"/>
    <x v="0"/>
    <x v="4"/>
    <n v="4"/>
    <s v="Very High"/>
    <x v="1"/>
    <n v="5582"/>
    <n v="14408"/>
    <n v="0"/>
    <x v="1"/>
    <n v="21"/>
    <n v="4"/>
    <s v="Outstanding"/>
    <n v="2"/>
    <s v="Medium"/>
    <n v="1"/>
    <n v="10"/>
    <n v="2"/>
    <n v="3"/>
    <s v="High"/>
    <n v="9"/>
    <n v="0"/>
    <n v="7"/>
    <n v="8"/>
  </r>
  <r>
    <n v="25"/>
    <x v="4"/>
    <x v="1"/>
    <x v="2"/>
    <n v="675"/>
    <x v="1"/>
    <n v="5"/>
    <x v="0"/>
    <n v="2"/>
    <s v="College"/>
    <s v="Life Sciences"/>
    <n v="369"/>
    <n v="2"/>
    <x v="0"/>
    <s v="Male"/>
    <n v="85"/>
    <n v="4"/>
    <s v="Very High"/>
    <n v="2"/>
    <x v="0"/>
    <x v="4"/>
    <n v="1"/>
    <s v="Low"/>
    <x v="2"/>
    <n v="4000"/>
    <n v="18384"/>
    <n v="1"/>
    <x v="1"/>
    <n v="12"/>
    <n v="3"/>
    <s v="Excellent"/>
    <n v="4"/>
    <s v="Very High"/>
    <n v="2"/>
    <n v="6"/>
    <n v="2"/>
    <n v="3"/>
    <s v="High"/>
    <n v="6"/>
    <n v="3"/>
    <n v="1"/>
    <n v="5"/>
  </r>
  <r>
    <n v="45"/>
    <x v="0"/>
    <x v="1"/>
    <x v="0"/>
    <n v="1385"/>
    <x v="1"/>
    <n v="20"/>
    <x v="2"/>
    <n v="2"/>
    <s v="College"/>
    <s v="Medical"/>
    <n v="372"/>
    <n v="3"/>
    <x v="1"/>
    <s v="Male"/>
    <n v="79"/>
    <n v="3"/>
    <s v="High"/>
    <n v="4"/>
    <x v="3"/>
    <x v="4"/>
    <n v="4"/>
    <s v="Very High"/>
    <x v="1"/>
    <n v="13496"/>
    <n v="7501"/>
    <n v="0"/>
    <x v="0"/>
    <n v="14"/>
    <n v="3"/>
    <s v="Excellent"/>
    <n v="2"/>
    <s v="Medium"/>
    <n v="0"/>
    <n v="21"/>
    <n v="2"/>
    <n v="3"/>
    <s v="High"/>
    <n v="20"/>
    <n v="7"/>
    <n v="4"/>
    <n v="10"/>
  </r>
  <r>
    <n v="36"/>
    <x v="0"/>
    <x v="1"/>
    <x v="0"/>
    <n v="1403"/>
    <x v="1"/>
    <n v="6"/>
    <x v="0"/>
    <n v="3"/>
    <s v="Bachelor"/>
    <s v="Life Sciences"/>
    <n v="373"/>
    <n v="4"/>
    <x v="3"/>
    <s v="Male"/>
    <n v="47"/>
    <n v="3"/>
    <s v="High"/>
    <n v="1"/>
    <x v="1"/>
    <x v="2"/>
    <n v="4"/>
    <s v="Very High"/>
    <x v="1"/>
    <n v="3210"/>
    <n v="20251"/>
    <n v="0"/>
    <x v="1"/>
    <n v="11"/>
    <n v="3"/>
    <s v="Excellent"/>
    <n v="3"/>
    <s v="High"/>
    <n v="1"/>
    <n v="16"/>
    <n v="4"/>
    <n v="3"/>
    <s v="High"/>
    <n v="15"/>
    <n v="13"/>
    <n v="10"/>
    <n v="11"/>
  </r>
  <r>
    <n v="55"/>
    <x v="1"/>
    <x v="1"/>
    <x v="0"/>
    <n v="452"/>
    <x v="1"/>
    <n v="1"/>
    <x v="0"/>
    <n v="3"/>
    <s v="Bachelor"/>
    <s v="Medical"/>
    <n v="374"/>
    <n v="4"/>
    <x v="3"/>
    <s v="Male"/>
    <n v="81"/>
    <n v="3"/>
    <s v="High"/>
    <n v="5"/>
    <x v="4"/>
    <x v="5"/>
    <n v="1"/>
    <s v="Low"/>
    <x v="0"/>
    <n v="19045"/>
    <n v="18938"/>
    <n v="0"/>
    <x v="0"/>
    <n v="14"/>
    <n v="3"/>
    <s v="Excellent"/>
    <n v="3"/>
    <s v="High"/>
    <n v="0"/>
    <n v="37"/>
    <n v="2"/>
    <n v="3"/>
    <s v="High"/>
    <n v="36"/>
    <n v="10"/>
    <n v="4"/>
    <n v="13"/>
  </r>
  <r>
    <n v="47"/>
    <x v="1"/>
    <x v="0"/>
    <x v="2"/>
    <n v="666"/>
    <x v="1"/>
    <n v="29"/>
    <x v="1"/>
    <n v="4"/>
    <s v="Master"/>
    <s v="Life Sciences"/>
    <n v="376"/>
    <n v="1"/>
    <x v="2"/>
    <s v="Male"/>
    <n v="88"/>
    <n v="3"/>
    <s v="High"/>
    <n v="3"/>
    <x v="2"/>
    <x v="5"/>
    <n v="2"/>
    <s v="Medium"/>
    <x v="1"/>
    <n v="11849"/>
    <n v="10268"/>
    <n v="1"/>
    <x v="0"/>
    <n v="12"/>
    <n v="3"/>
    <s v="Excellent"/>
    <n v="4"/>
    <s v="Very High"/>
    <n v="1"/>
    <n v="10"/>
    <n v="2"/>
    <n v="2"/>
    <s v="Medium"/>
    <n v="10"/>
    <n v="7"/>
    <n v="9"/>
    <n v="9"/>
  </r>
  <r>
    <n v="28"/>
    <x v="2"/>
    <x v="1"/>
    <x v="0"/>
    <n v="1158"/>
    <x v="1"/>
    <n v="9"/>
    <x v="0"/>
    <n v="3"/>
    <s v="Bachelor"/>
    <s v="Medical"/>
    <n v="377"/>
    <n v="4"/>
    <x v="3"/>
    <s v="Male"/>
    <n v="94"/>
    <n v="3"/>
    <s v="High"/>
    <n v="1"/>
    <x v="1"/>
    <x v="1"/>
    <n v="4"/>
    <s v="Very High"/>
    <x v="1"/>
    <n v="2070"/>
    <n v="2613"/>
    <n v="1"/>
    <x v="1"/>
    <n v="23"/>
    <n v="4"/>
    <s v="Outstanding"/>
    <n v="4"/>
    <s v="Very High"/>
    <n v="1"/>
    <n v="5"/>
    <n v="3"/>
    <n v="2"/>
    <s v="Medium"/>
    <n v="5"/>
    <n v="2"/>
    <n v="0"/>
    <n v="4"/>
  </r>
  <r>
    <n v="37"/>
    <x v="0"/>
    <x v="1"/>
    <x v="0"/>
    <n v="228"/>
    <x v="0"/>
    <n v="6"/>
    <x v="0"/>
    <n v="4"/>
    <s v="Master"/>
    <s v="Medical"/>
    <n v="378"/>
    <n v="3"/>
    <x v="1"/>
    <s v="Male"/>
    <n v="98"/>
    <n v="3"/>
    <s v="High"/>
    <n v="2"/>
    <x v="0"/>
    <x v="0"/>
    <n v="4"/>
    <s v="Very High"/>
    <x v="1"/>
    <n v="6502"/>
    <n v="22825"/>
    <n v="4"/>
    <x v="1"/>
    <n v="14"/>
    <n v="3"/>
    <s v="Excellent"/>
    <n v="2"/>
    <s v="Medium"/>
    <n v="1"/>
    <n v="7"/>
    <n v="5"/>
    <n v="4"/>
    <s v="Very High"/>
    <n v="5"/>
    <n v="4"/>
    <n v="0"/>
    <n v="1"/>
  </r>
  <r>
    <n v="21"/>
    <x v="4"/>
    <x v="1"/>
    <x v="0"/>
    <n v="996"/>
    <x v="1"/>
    <n v="3"/>
    <x v="0"/>
    <n v="2"/>
    <s v="College"/>
    <s v="Medical"/>
    <n v="379"/>
    <n v="4"/>
    <x v="3"/>
    <s v="Male"/>
    <n v="100"/>
    <n v="2"/>
    <s v="Medium"/>
    <n v="1"/>
    <x v="1"/>
    <x v="1"/>
    <n v="3"/>
    <s v="High"/>
    <x v="0"/>
    <n v="3230"/>
    <n v="10531"/>
    <n v="1"/>
    <x v="1"/>
    <n v="17"/>
    <n v="3"/>
    <s v="Excellent"/>
    <n v="1"/>
    <s v="Low"/>
    <n v="0"/>
    <n v="3"/>
    <n v="4"/>
    <n v="4"/>
    <s v="Very High"/>
    <n v="3"/>
    <n v="2"/>
    <n v="1"/>
    <n v="0"/>
  </r>
  <r>
    <n v="37"/>
    <x v="0"/>
    <x v="1"/>
    <x v="2"/>
    <n v="728"/>
    <x v="1"/>
    <n v="1"/>
    <x v="0"/>
    <n v="4"/>
    <s v="Master"/>
    <s v="Medical"/>
    <n v="380"/>
    <n v="1"/>
    <x v="2"/>
    <s v="Female"/>
    <n v="80"/>
    <n v="3"/>
    <s v="High"/>
    <n v="3"/>
    <x v="2"/>
    <x v="7"/>
    <n v="4"/>
    <s v="Very High"/>
    <x v="2"/>
    <n v="13603"/>
    <n v="11677"/>
    <n v="2"/>
    <x v="0"/>
    <n v="18"/>
    <n v="3"/>
    <s v="Excellent"/>
    <n v="1"/>
    <s v="Low"/>
    <n v="2"/>
    <n v="15"/>
    <n v="2"/>
    <n v="3"/>
    <s v="High"/>
    <n v="5"/>
    <n v="2"/>
    <n v="0"/>
    <n v="2"/>
  </r>
  <r>
    <n v="35"/>
    <x v="2"/>
    <x v="1"/>
    <x v="0"/>
    <n v="1315"/>
    <x v="1"/>
    <n v="22"/>
    <x v="1"/>
    <n v="3"/>
    <s v="Bachelor"/>
    <s v="Life Sciences"/>
    <n v="381"/>
    <n v="2"/>
    <x v="0"/>
    <s v="Female"/>
    <n v="71"/>
    <n v="4"/>
    <s v="Very High"/>
    <n v="3"/>
    <x v="2"/>
    <x v="5"/>
    <n v="2"/>
    <s v="Medium"/>
    <x v="2"/>
    <n v="11996"/>
    <n v="19100"/>
    <n v="7"/>
    <x v="1"/>
    <n v="18"/>
    <n v="3"/>
    <s v="Excellent"/>
    <n v="2"/>
    <s v="Medium"/>
    <n v="1"/>
    <n v="10"/>
    <n v="6"/>
    <n v="2"/>
    <s v="Medium"/>
    <n v="7"/>
    <n v="7"/>
    <n v="6"/>
    <n v="2"/>
  </r>
  <r>
    <n v="38"/>
    <x v="0"/>
    <x v="1"/>
    <x v="0"/>
    <n v="322"/>
    <x v="0"/>
    <n v="7"/>
    <x v="0"/>
    <n v="2"/>
    <s v="College"/>
    <s v="Medical"/>
    <n v="382"/>
    <n v="1"/>
    <x v="2"/>
    <s v="Female"/>
    <n v="44"/>
    <n v="4"/>
    <s v="Very High"/>
    <n v="2"/>
    <x v="0"/>
    <x v="0"/>
    <n v="1"/>
    <s v="Low"/>
    <x v="2"/>
    <n v="5605"/>
    <n v="19191"/>
    <n v="1"/>
    <x v="0"/>
    <n v="24"/>
    <n v="4"/>
    <s v="Outstanding"/>
    <n v="3"/>
    <s v="High"/>
    <n v="1"/>
    <n v="8"/>
    <n v="3"/>
    <n v="3"/>
    <s v="High"/>
    <n v="8"/>
    <n v="0"/>
    <n v="7"/>
    <n v="7"/>
  </r>
  <r>
    <n v="26"/>
    <x v="2"/>
    <x v="1"/>
    <x v="1"/>
    <n v="1479"/>
    <x v="1"/>
    <n v="1"/>
    <x v="0"/>
    <n v="3"/>
    <s v="Bachelor"/>
    <s v="Life Sciences"/>
    <n v="384"/>
    <n v="3"/>
    <x v="1"/>
    <s v="Female"/>
    <n v="84"/>
    <n v="3"/>
    <s v="High"/>
    <n v="2"/>
    <x v="0"/>
    <x v="3"/>
    <n v="2"/>
    <s v="Medium"/>
    <x v="2"/>
    <n v="6397"/>
    <n v="26767"/>
    <n v="1"/>
    <x v="1"/>
    <n v="20"/>
    <n v="4"/>
    <s v="Outstanding"/>
    <n v="1"/>
    <s v="Low"/>
    <n v="1"/>
    <n v="6"/>
    <n v="6"/>
    <n v="1"/>
    <s v="Low"/>
    <n v="6"/>
    <n v="5"/>
    <n v="1"/>
    <n v="4"/>
  </r>
  <r>
    <n v="50"/>
    <x v="1"/>
    <x v="1"/>
    <x v="0"/>
    <n v="797"/>
    <x v="1"/>
    <n v="4"/>
    <x v="0"/>
    <n v="1"/>
    <s v="Below College"/>
    <s v="Life Sciences"/>
    <n v="385"/>
    <n v="1"/>
    <x v="2"/>
    <s v="Male"/>
    <n v="96"/>
    <n v="3"/>
    <s v="High"/>
    <n v="5"/>
    <x v="4"/>
    <x v="7"/>
    <n v="2"/>
    <s v="Medium"/>
    <x v="2"/>
    <n v="19144"/>
    <n v="15815"/>
    <n v="3"/>
    <x v="1"/>
    <n v="14"/>
    <n v="3"/>
    <s v="Excellent"/>
    <n v="1"/>
    <s v="Low"/>
    <n v="2"/>
    <n v="28"/>
    <n v="4"/>
    <n v="2"/>
    <s v="Medium"/>
    <n v="10"/>
    <n v="4"/>
    <n v="1"/>
    <n v="6"/>
  </r>
  <r>
    <n v="53"/>
    <x v="1"/>
    <x v="1"/>
    <x v="0"/>
    <n v="1070"/>
    <x v="1"/>
    <n v="3"/>
    <x v="0"/>
    <n v="4"/>
    <s v="Master"/>
    <s v="Medical"/>
    <n v="386"/>
    <n v="3"/>
    <x v="1"/>
    <s v="Male"/>
    <n v="45"/>
    <n v="3"/>
    <s v="High"/>
    <n v="4"/>
    <x v="3"/>
    <x v="7"/>
    <n v="3"/>
    <s v="High"/>
    <x v="1"/>
    <n v="17584"/>
    <n v="21016"/>
    <n v="3"/>
    <x v="0"/>
    <n v="16"/>
    <n v="3"/>
    <s v="Excellent"/>
    <n v="4"/>
    <s v="Very High"/>
    <n v="3"/>
    <n v="21"/>
    <n v="5"/>
    <n v="2"/>
    <s v="Medium"/>
    <n v="5"/>
    <n v="3"/>
    <n v="1"/>
    <n v="3"/>
  </r>
  <r>
    <n v="42"/>
    <x v="0"/>
    <x v="1"/>
    <x v="0"/>
    <n v="635"/>
    <x v="0"/>
    <n v="1"/>
    <x v="0"/>
    <n v="1"/>
    <s v="Below College"/>
    <s v="Life Sciences"/>
    <n v="387"/>
    <n v="2"/>
    <x v="0"/>
    <s v="Male"/>
    <n v="99"/>
    <n v="3"/>
    <s v="High"/>
    <n v="2"/>
    <x v="0"/>
    <x v="0"/>
    <n v="3"/>
    <s v="High"/>
    <x v="1"/>
    <n v="4907"/>
    <n v="24532"/>
    <n v="1"/>
    <x v="1"/>
    <n v="25"/>
    <n v="4"/>
    <s v="Outstanding"/>
    <n v="3"/>
    <s v="High"/>
    <n v="0"/>
    <n v="20"/>
    <n v="3"/>
    <n v="3"/>
    <s v="High"/>
    <n v="20"/>
    <n v="16"/>
    <n v="11"/>
    <n v="6"/>
  </r>
  <r>
    <n v="29"/>
    <x v="2"/>
    <x v="1"/>
    <x v="1"/>
    <n v="442"/>
    <x v="0"/>
    <n v="2"/>
    <x v="0"/>
    <n v="2"/>
    <s v="College"/>
    <s v="Life Sciences"/>
    <n v="388"/>
    <n v="2"/>
    <x v="0"/>
    <s v="Male"/>
    <n v="44"/>
    <n v="3"/>
    <s v="High"/>
    <n v="2"/>
    <x v="0"/>
    <x v="0"/>
    <n v="4"/>
    <s v="Very High"/>
    <x v="0"/>
    <n v="4554"/>
    <n v="20260"/>
    <n v="1"/>
    <x v="1"/>
    <n v="18"/>
    <n v="3"/>
    <s v="Excellent"/>
    <n v="1"/>
    <s v="Low"/>
    <n v="0"/>
    <n v="10"/>
    <n v="3"/>
    <n v="2"/>
    <s v="Medium"/>
    <n v="10"/>
    <n v="7"/>
    <n v="0"/>
    <n v="9"/>
  </r>
  <r>
    <n v="55"/>
    <x v="1"/>
    <x v="1"/>
    <x v="0"/>
    <n v="147"/>
    <x v="1"/>
    <n v="20"/>
    <x v="2"/>
    <n v="2"/>
    <s v="College"/>
    <s v="Technical Degree"/>
    <n v="389"/>
    <n v="2"/>
    <x v="0"/>
    <s v="Male"/>
    <n v="37"/>
    <n v="3"/>
    <s v="High"/>
    <n v="2"/>
    <x v="0"/>
    <x v="2"/>
    <n v="4"/>
    <s v="Very High"/>
    <x v="1"/>
    <n v="5415"/>
    <n v="15972"/>
    <n v="3"/>
    <x v="0"/>
    <n v="19"/>
    <n v="3"/>
    <s v="Excellent"/>
    <n v="4"/>
    <s v="Very High"/>
    <n v="1"/>
    <n v="12"/>
    <n v="4"/>
    <n v="3"/>
    <s v="High"/>
    <n v="10"/>
    <n v="7"/>
    <n v="0"/>
    <n v="8"/>
  </r>
  <r>
    <n v="26"/>
    <x v="2"/>
    <x v="1"/>
    <x v="1"/>
    <n v="496"/>
    <x v="1"/>
    <n v="11"/>
    <x v="2"/>
    <n v="2"/>
    <s v="College"/>
    <s v="Medical"/>
    <n v="390"/>
    <n v="1"/>
    <x v="2"/>
    <s v="Male"/>
    <n v="60"/>
    <n v="3"/>
    <s v="High"/>
    <n v="2"/>
    <x v="0"/>
    <x v="4"/>
    <n v="1"/>
    <s v="Low"/>
    <x v="1"/>
    <n v="4741"/>
    <n v="22722"/>
    <n v="1"/>
    <x v="0"/>
    <n v="13"/>
    <n v="3"/>
    <s v="Excellent"/>
    <n v="3"/>
    <s v="High"/>
    <n v="1"/>
    <n v="5"/>
    <n v="3"/>
    <n v="3"/>
    <s v="High"/>
    <n v="5"/>
    <n v="3"/>
    <n v="3"/>
    <n v="3"/>
  </r>
  <r>
    <n v="37"/>
    <x v="0"/>
    <x v="1"/>
    <x v="0"/>
    <n v="1372"/>
    <x v="1"/>
    <n v="1"/>
    <x v="0"/>
    <n v="3"/>
    <s v="Bachelor"/>
    <s v="Life Sciences"/>
    <n v="391"/>
    <n v="4"/>
    <x v="3"/>
    <s v="Female"/>
    <n v="42"/>
    <n v="3"/>
    <s v="High"/>
    <n v="1"/>
    <x v="1"/>
    <x v="1"/>
    <n v="4"/>
    <s v="Very High"/>
    <x v="0"/>
    <n v="2115"/>
    <n v="15881"/>
    <n v="1"/>
    <x v="1"/>
    <n v="12"/>
    <n v="3"/>
    <s v="Excellent"/>
    <n v="2"/>
    <s v="Medium"/>
    <n v="0"/>
    <n v="17"/>
    <n v="3"/>
    <n v="3"/>
    <s v="High"/>
    <n v="17"/>
    <n v="12"/>
    <n v="5"/>
    <n v="7"/>
  </r>
  <r>
    <n v="44"/>
    <x v="0"/>
    <x v="0"/>
    <x v="1"/>
    <n v="920"/>
    <x v="1"/>
    <n v="24"/>
    <x v="1"/>
    <n v="3"/>
    <s v="Bachelor"/>
    <s v="Life Sciences"/>
    <n v="392"/>
    <n v="4"/>
    <x v="3"/>
    <s v="Male"/>
    <n v="43"/>
    <n v="3"/>
    <s v="High"/>
    <n v="1"/>
    <x v="1"/>
    <x v="2"/>
    <n v="3"/>
    <s v="High"/>
    <x v="2"/>
    <n v="3161"/>
    <n v="19920"/>
    <n v="3"/>
    <x v="0"/>
    <n v="22"/>
    <n v="4"/>
    <s v="Outstanding"/>
    <n v="4"/>
    <s v="Very High"/>
    <n v="1"/>
    <n v="19"/>
    <n v="0"/>
    <n v="1"/>
    <s v="Low"/>
    <n v="1"/>
    <n v="0"/>
    <n v="0"/>
    <n v="0"/>
  </r>
  <r>
    <n v="38"/>
    <x v="0"/>
    <x v="1"/>
    <x v="0"/>
    <n v="688"/>
    <x v="1"/>
    <n v="23"/>
    <x v="1"/>
    <n v="4"/>
    <s v="Master"/>
    <s v="Life Sciences"/>
    <n v="393"/>
    <n v="4"/>
    <x v="3"/>
    <s v="Male"/>
    <n v="82"/>
    <n v="3"/>
    <s v="High"/>
    <n v="2"/>
    <x v="0"/>
    <x v="4"/>
    <n v="4"/>
    <s v="Very High"/>
    <x v="2"/>
    <n v="5745"/>
    <n v="18899"/>
    <n v="9"/>
    <x v="1"/>
    <n v="14"/>
    <n v="3"/>
    <s v="Excellent"/>
    <n v="2"/>
    <s v="Medium"/>
    <n v="1"/>
    <n v="10"/>
    <n v="2"/>
    <n v="3"/>
    <s v="High"/>
    <n v="2"/>
    <n v="2"/>
    <n v="1"/>
    <n v="2"/>
  </r>
  <r>
    <n v="26"/>
    <x v="2"/>
    <x v="0"/>
    <x v="0"/>
    <n v="1449"/>
    <x v="1"/>
    <n v="16"/>
    <x v="2"/>
    <n v="4"/>
    <s v="Master"/>
    <s v="Medical"/>
    <n v="394"/>
    <n v="1"/>
    <x v="2"/>
    <s v="Male"/>
    <n v="45"/>
    <n v="3"/>
    <s v="High"/>
    <n v="1"/>
    <x v="1"/>
    <x v="2"/>
    <n v="2"/>
    <s v="Medium"/>
    <x v="2"/>
    <n v="2373"/>
    <n v="14180"/>
    <n v="2"/>
    <x v="0"/>
    <n v="13"/>
    <n v="3"/>
    <s v="Excellent"/>
    <n v="4"/>
    <s v="Very High"/>
    <n v="1"/>
    <n v="5"/>
    <n v="2"/>
    <n v="3"/>
    <s v="High"/>
    <n v="3"/>
    <n v="2"/>
    <n v="0"/>
    <n v="2"/>
  </r>
  <r>
    <n v="28"/>
    <x v="2"/>
    <x v="1"/>
    <x v="0"/>
    <n v="1117"/>
    <x v="1"/>
    <n v="8"/>
    <x v="0"/>
    <n v="2"/>
    <s v="College"/>
    <s v="Life Sciences"/>
    <n v="395"/>
    <n v="4"/>
    <x v="3"/>
    <s v="Female"/>
    <n v="66"/>
    <n v="3"/>
    <s v="High"/>
    <n v="1"/>
    <x v="1"/>
    <x v="1"/>
    <n v="4"/>
    <s v="Very High"/>
    <x v="0"/>
    <n v="3310"/>
    <n v="4488"/>
    <n v="1"/>
    <x v="1"/>
    <n v="21"/>
    <n v="4"/>
    <s v="Outstanding"/>
    <n v="4"/>
    <s v="Very High"/>
    <n v="0"/>
    <n v="5"/>
    <n v="3"/>
    <n v="3"/>
    <s v="High"/>
    <n v="5"/>
    <n v="3"/>
    <n v="0"/>
    <n v="2"/>
  </r>
  <r>
    <n v="49"/>
    <x v="1"/>
    <x v="1"/>
    <x v="1"/>
    <n v="636"/>
    <x v="1"/>
    <n v="10"/>
    <x v="0"/>
    <n v="4"/>
    <s v="Master"/>
    <s v="Life Sciences"/>
    <n v="396"/>
    <n v="3"/>
    <x v="1"/>
    <s v="Female"/>
    <n v="35"/>
    <n v="3"/>
    <s v="High"/>
    <n v="5"/>
    <x v="4"/>
    <x v="7"/>
    <n v="1"/>
    <s v="Low"/>
    <x v="0"/>
    <n v="18665"/>
    <n v="25594"/>
    <n v="9"/>
    <x v="0"/>
    <n v="11"/>
    <n v="3"/>
    <s v="Excellent"/>
    <n v="4"/>
    <s v="Very High"/>
    <n v="0"/>
    <n v="22"/>
    <n v="4"/>
    <n v="3"/>
    <s v="High"/>
    <n v="3"/>
    <n v="2"/>
    <n v="1"/>
    <n v="2"/>
  </r>
  <r>
    <n v="36"/>
    <x v="0"/>
    <x v="1"/>
    <x v="0"/>
    <n v="506"/>
    <x v="1"/>
    <n v="3"/>
    <x v="0"/>
    <n v="3"/>
    <s v="Bachelor"/>
    <s v="Technical Degree"/>
    <n v="397"/>
    <n v="3"/>
    <x v="1"/>
    <s v="Male"/>
    <n v="30"/>
    <n v="3"/>
    <s v="High"/>
    <n v="2"/>
    <x v="0"/>
    <x v="1"/>
    <n v="2"/>
    <s v="Medium"/>
    <x v="0"/>
    <n v="4485"/>
    <n v="26285"/>
    <n v="4"/>
    <x v="1"/>
    <n v="12"/>
    <n v="3"/>
    <s v="Excellent"/>
    <n v="4"/>
    <s v="Very High"/>
    <n v="0"/>
    <n v="10"/>
    <n v="2"/>
    <n v="3"/>
    <s v="High"/>
    <n v="8"/>
    <n v="0"/>
    <n v="7"/>
    <n v="7"/>
  </r>
  <r>
    <n v="31"/>
    <x v="2"/>
    <x v="1"/>
    <x v="1"/>
    <n v="444"/>
    <x v="0"/>
    <n v="5"/>
    <x v="0"/>
    <n v="3"/>
    <s v="Bachelor"/>
    <s v="Marketing"/>
    <n v="399"/>
    <n v="4"/>
    <x v="3"/>
    <s v="Female"/>
    <n v="84"/>
    <n v="3"/>
    <s v="High"/>
    <n v="1"/>
    <x v="1"/>
    <x v="6"/>
    <n v="2"/>
    <s v="Medium"/>
    <x v="2"/>
    <n v="2789"/>
    <n v="3909"/>
    <n v="1"/>
    <x v="1"/>
    <n v="11"/>
    <n v="3"/>
    <s v="Excellent"/>
    <n v="3"/>
    <s v="High"/>
    <n v="1"/>
    <n v="2"/>
    <n v="5"/>
    <n v="2"/>
    <s v="Medium"/>
    <n v="2"/>
    <n v="2"/>
    <n v="2"/>
    <n v="2"/>
  </r>
  <r>
    <n v="26"/>
    <x v="2"/>
    <x v="0"/>
    <x v="0"/>
    <n v="950"/>
    <x v="0"/>
    <n v="4"/>
    <x v="0"/>
    <n v="4"/>
    <s v="Master"/>
    <s v="Marketing"/>
    <n v="401"/>
    <n v="4"/>
    <x v="3"/>
    <s v="Male"/>
    <n v="48"/>
    <n v="2"/>
    <s v="Medium"/>
    <n v="2"/>
    <x v="0"/>
    <x v="0"/>
    <n v="4"/>
    <s v="Very High"/>
    <x v="0"/>
    <n v="5828"/>
    <n v="8450"/>
    <n v="1"/>
    <x v="0"/>
    <n v="12"/>
    <n v="3"/>
    <s v="Excellent"/>
    <n v="2"/>
    <s v="Medium"/>
    <n v="0"/>
    <n v="8"/>
    <n v="0"/>
    <n v="3"/>
    <s v="High"/>
    <n v="8"/>
    <n v="7"/>
    <n v="7"/>
    <n v="4"/>
  </r>
  <r>
    <n v="37"/>
    <x v="0"/>
    <x v="1"/>
    <x v="1"/>
    <n v="889"/>
    <x v="1"/>
    <n v="9"/>
    <x v="0"/>
    <n v="3"/>
    <s v="Bachelor"/>
    <s v="Medical"/>
    <n v="403"/>
    <n v="2"/>
    <x v="0"/>
    <s v="Male"/>
    <n v="53"/>
    <n v="3"/>
    <s v="High"/>
    <n v="1"/>
    <x v="1"/>
    <x v="1"/>
    <n v="4"/>
    <s v="Very High"/>
    <x v="1"/>
    <n v="2326"/>
    <n v="11411"/>
    <n v="1"/>
    <x v="0"/>
    <n v="12"/>
    <n v="3"/>
    <s v="Excellent"/>
    <n v="3"/>
    <s v="High"/>
    <n v="3"/>
    <n v="4"/>
    <n v="3"/>
    <n v="2"/>
    <s v="Medium"/>
    <n v="4"/>
    <n v="2"/>
    <n v="1"/>
    <n v="2"/>
  </r>
  <r>
    <n v="42"/>
    <x v="0"/>
    <x v="1"/>
    <x v="1"/>
    <n v="555"/>
    <x v="0"/>
    <n v="26"/>
    <x v="1"/>
    <n v="3"/>
    <s v="Bachelor"/>
    <s v="Marketing"/>
    <n v="404"/>
    <n v="3"/>
    <x v="1"/>
    <s v="Female"/>
    <n v="77"/>
    <n v="3"/>
    <s v="High"/>
    <n v="4"/>
    <x v="3"/>
    <x v="0"/>
    <n v="2"/>
    <s v="Medium"/>
    <x v="1"/>
    <n v="13525"/>
    <n v="14864"/>
    <n v="5"/>
    <x v="1"/>
    <n v="14"/>
    <n v="3"/>
    <s v="Excellent"/>
    <n v="4"/>
    <s v="Very High"/>
    <n v="1"/>
    <n v="23"/>
    <n v="2"/>
    <n v="4"/>
    <s v="Very High"/>
    <n v="20"/>
    <n v="4"/>
    <n v="4"/>
    <n v="8"/>
  </r>
  <r>
    <n v="18"/>
    <x v="4"/>
    <x v="0"/>
    <x v="0"/>
    <n v="230"/>
    <x v="1"/>
    <n v="3"/>
    <x v="0"/>
    <n v="3"/>
    <s v="Bachelor"/>
    <s v="Life Sciences"/>
    <n v="405"/>
    <n v="3"/>
    <x v="1"/>
    <s v="Male"/>
    <n v="54"/>
    <n v="3"/>
    <s v="High"/>
    <n v="1"/>
    <x v="1"/>
    <x v="2"/>
    <n v="3"/>
    <s v="High"/>
    <x v="0"/>
    <n v="1420"/>
    <n v="25233"/>
    <n v="1"/>
    <x v="1"/>
    <n v="13"/>
    <n v="3"/>
    <s v="Excellent"/>
    <n v="3"/>
    <s v="High"/>
    <n v="0"/>
    <n v="0"/>
    <n v="2"/>
    <n v="3"/>
    <s v="High"/>
    <n v="0"/>
    <n v="0"/>
    <n v="0"/>
    <n v="0"/>
  </r>
  <r>
    <n v="35"/>
    <x v="2"/>
    <x v="1"/>
    <x v="0"/>
    <n v="1232"/>
    <x v="0"/>
    <n v="16"/>
    <x v="2"/>
    <n v="3"/>
    <s v="Bachelor"/>
    <s v="Marketing"/>
    <n v="406"/>
    <n v="3"/>
    <x v="1"/>
    <s v="Male"/>
    <n v="96"/>
    <n v="3"/>
    <s v="High"/>
    <n v="3"/>
    <x v="2"/>
    <x v="0"/>
    <n v="2"/>
    <s v="Medium"/>
    <x v="1"/>
    <n v="8020"/>
    <n v="5100"/>
    <n v="0"/>
    <x v="1"/>
    <n v="15"/>
    <n v="3"/>
    <s v="Excellent"/>
    <n v="3"/>
    <s v="High"/>
    <n v="2"/>
    <n v="12"/>
    <n v="3"/>
    <n v="2"/>
    <s v="Medium"/>
    <n v="11"/>
    <n v="9"/>
    <n v="6"/>
    <n v="9"/>
  </r>
  <r>
    <n v="36"/>
    <x v="0"/>
    <x v="1"/>
    <x v="1"/>
    <n v="566"/>
    <x v="1"/>
    <n v="18"/>
    <x v="2"/>
    <n v="4"/>
    <s v="Master"/>
    <s v="Life Sciences"/>
    <n v="407"/>
    <n v="3"/>
    <x v="1"/>
    <s v="Male"/>
    <n v="81"/>
    <n v="4"/>
    <s v="Very High"/>
    <n v="1"/>
    <x v="1"/>
    <x v="2"/>
    <n v="4"/>
    <s v="Very High"/>
    <x v="1"/>
    <n v="3688"/>
    <n v="7122"/>
    <n v="4"/>
    <x v="1"/>
    <n v="18"/>
    <n v="3"/>
    <s v="Excellent"/>
    <n v="4"/>
    <s v="Very High"/>
    <n v="2"/>
    <n v="4"/>
    <n v="2"/>
    <n v="3"/>
    <s v="High"/>
    <n v="1"/>
    <n v="0"/>
    <n v="0"/>
    <n v="0"/>
  </r>
  <r>
    <n v="51"/>
    <x v="1"/>
    <x v="1"/>
    <x v="0"/>
    <n v="1302"/>
    <x v="1"/>
    <n v="2"/>
    <x v="0"/>
    <n v="3"/>
    <s v="Bachelor"/>
    <s v="Medical"/>
    <n v="408"/>
    <n v="4"/>
    <x v="3"/>
    <s v="Male"/>
    <n v="84"/>
    <n v="1"/>
    <s v="Low"/>
    <n v="2"/>
    <x v="0"/>
    <x v="3"/>
    <n v="2"/>
    <s v="Medium"/>
    <x v="2"/>
    <n v="5482"/>
    <n v="16321"/>
    <n v="5"/>
    <x v="1"/>
    <n v="18"/>
    <n v="3"/>
    <s v="Excellent"/>
    <n v="4"/>
    <s v="Very High"/>
    <n v="1"/>
    <n v="13"/>
    <n v="3"/>
    <n v="3"/>
    <s v="High"/>
    <n v="4"/>
    <n v="1"/>
    <n v="1"/>
    <n v="2"/>
  </r>
  <r>
    <n v="41"/>
    <x v="0"/>
    <x v="1"/>
    <x v="0"/>
    <n v="334"/>
    <x v="0"/>
    <n v="2"/>
    <x v="0"/>
    <n v="4"/>
    <s v="Master"/>
    <s v="Life Sciences"/>
    <n v="410"/>
    <n v="4"/>
    <x v="3"/>
    <s v="Male"/>
    <n v="88"/>
    <n v="3"/>
    <s v="High"/>
    <n v="4"/>
    <x v="3"/>
    <x v="5"/>
    <n v="2"/>
    <s v="Medium"/>
    <x v="0"/>
    <n v="16015"/>
    <n v="15896"/>
    <n v="1"/>
    <x v="1"/>
    <n v="19"/>
    <n v="3"/>
    <s v="Excellent"/>
    <n v="2"/>
    <s v="Medium"/>
    <n v="0"/>
    <n v="22"/>
    <n v="2"/>
    <n v="3"/>
    <s v="High"/>
    <n v="22"/>
    <n v="10"/>
    <n v="0"/>
    <n v="4"/>
  </r>
  <r>
    <n v="18"/>
    <x v="4"/>
    <x v="1"/>
    <x v="0"/>
    <n v="812"/>
    <x v="0"/>
    <n v="10"/>
    <x v="0"/>
    <n v="3"/>
    <s v="Bachelor"/>
    <s v="Medical"/>
    <n v="411"/>
    <n v="4"/>
    <x v="3"/>
    <s v="Female"/>
    <n v="69"/>
    <n v="2"/>
    <s v="Medium"/>
    <n v="1"/>
    <x v="1"/>
    <x v="6"/>
    <n v="3"/>
    <s v="High"/>
    <x v="0"/>
    <n v="1200"/>
    <n v="9724"/>
    <n v="1"/>
    <x v="1"/>
    <n v="12"/>
    <n v="3"/>
    <s v="Excellent"/>
    <n v="1"/>
    <s v="Low"/>
    <n v="0"/>
    <n v="0"/>
    <n v="2"/>
    <n v="3"/>
    <s v="High"/>
    <n v="0"/>
    <n v="0"/>
    <n v="0"/>
    <n v="0"/>
  </r>
  <r>
    <n v="28"/>
    <x v="2"/>
    <x v="1"/>
    <x v="0"/>
    <n v="1476"/>
    <x v="1"/>
    <n v="16"/>
    <x v="2"/>
    <n v="2"/>
    <s v="College"/>
    <s v="Medical"/>
    <n v="412"/>
    <n v="2"/>
    <x v="0"/>
    <s v="Male"/>
    <n v="68"/>
    <n v="4"/>
    <s v="Very High"/>
    <n v="2"/>
    <x v="0"/>
    <x v="4"/>
    <n v="1"/>
    <s v="Low"/>
    <x v="0"/>
    <n v="5661"/>
    <n v="4824"/>
    <n v="0"/>
    <x v="1"/>
    <n v="19"/>
    <n v="3"/>
    <s v="Excellent"/>
    <n v="3"/>
    <s v="High"/>
    <n v="0"/>
    <n v="9"/>
    <n v="2"/>
    <n v="3"/>
    <s v="High"/>
    <n v="8"/>
    <n v="3"/>
    <n v="0"/>
    <n v="7"/>
  </r>
  <r>
    <n v="31"/>
    <x v="2"/>
    <x v="1"/>
    <x v="0"/>
    <n v="218"/>
    <x v="0"/>
    <n v="7"/>
    <x v="0"/>
    <n v="3"/>
    <s v="Bachelor"/>
    <s v="Technical Degree"/>
    <n v="416"/>
    <n v="2"/>
    <x v="0"/>
    <s v="Male"/>
    <n v="100"/>
    <n v="4"/>
    <s v="Very High"/>
    <n v="2"/>
    <x v="0"/>
    <x v="0"/>
    <n v="4"/>
    <s v="Very High"/>
    <x v="1"/>
    <n v="6929"/>
    <n v="12241"/>
    <n v="4"/>
    <x v="1"/>
    <n v="11"/>
    <n v="3"/>
    <s v="Excellent"/>
    <n v="2"/>
    <s v="Medium"/>
    <n v="1"/>
    <n v="10"/>
    <n v="3"/>
    <n v="2"/>
    <s v="Medium"/>
    <n v="8"/>
    <n v="7"/>
    <n v="7"/>
    <n v="7"/>
  </r>
  <r>
    <n v="39"/>
    <x v="0"/>
    <x v="1"/>
    <x v="0"/>
    <n v="1132"/>
    <x v="1"/>
    <n v="1"/>
    <x v="0"/>
    <n v="3"/>
    <s v="Bachelor"/>
    <s v="Medical"/>
    <n v="417"/>
    <n v="3"/>
    <x v="1"/>
    <s v="Male"/>
    <n v="48"/>
    <n v="4"/>
    <s v="Very High"/>
    <n v="3"/>
    <x v="2"/>
    <x v="4"/>
    <n v="4"/>
    <s v="Very High"/>
    <x v="2"/>
    <n v="9613"/>
    <n v="10942"/>
    <n v="0"/>
    <x v="1"/>
    <n v="17"/>
    <n v="3"/>
    <s v="Excellent"/>
    <n v="1"/>
    <s v="Low"/>
    <n v="3"/>
    <n v="19"/>
    <n v="5"/>
    <n v="2"/>
    <s v="Medium"/>
    <n v="18"/>
    <n v="10"/>
    <n v="3"/>
    <n v="7"/>
  </r>
  <r>
    <n v="36"/>
    <x v="0"/>
    <x v="1"/>
    <x v="2"/>
    <n v="1105"/>
    <x v="1"/>
    <n v="24"/>
    <x v="1"/>
    <n v="4"/>
    <s v="Master"/>
    <s v="Life Sciences"/>
    <n v="419"/>
    <n v="2"/>
    <x v="0"/>
    <s v="Female"/>
    <n v="47"/>
    <n v="3"/>
    <s v="High"/>
    <n v="2"/>
    <x v="0"/>
    <x v="2"/>
    <n v="2"/>
    <s v="Medium"/>
    <x v="1"/>
    <n v="5674"/>
    <n v="6927"/>
    <n v="7"/>
    <x v="1"/>
    <n v="15"/>
    <n v="3"/>
    <s v="Excellent"/>
    <n v="3"/>
    <s v="High"/>
    <n v="1"/>
    <n v="11"/>
    <n v="3"/>
    <n v="3"/>
    <s v="High"/>
    <n v="9"/>
    <n v="8"/>
    <n v="0"/>
    <n v="8"/>
  </r>
  <r>
    <n v="32"/>
    <x v="2"/>
    <x v="1"/>
    <x v="0"/>
    <n v="906"/>
    <x v="0"/>
    <n v="7"/>
    <x v="0"/>
    <n v="3"/>
    <s v="Bachelor"/>
    <s v="Life Sciences"/>
    <n v="420"/>
    <n v="4"/>
    <x v="3"/>
    <s v="Male"/>
    <n v="91"/>
    <n v="2"/>
    <s v="Medium"/>
    <n v="2"/>
    <x v="0"/>
    <x v="0"/>
    <n v="3"/>
    <s v="High"/>
    <x v="1"/>
    <n v="5484"/>
    <n v="16985"/>
    <n v="1"/>
    <x v="1"/>
    <n v="14"/>
    <n v="3"/>
    <s v="Excellent"/>
    <n v="3"/>
    <s v="High"/>
    <n v="1"/>
    <n v="13"/>
    <n v="3"/>
    <n v="2"/>
    <s v="Medium"/>
    <n v="13"/>
    <n v="8"/>
    <n v="4"/>
    <n v="8"/>
  </r>
  <r>
    <n v="38"/>
    <x v="0"/>
    <x v="1"/>
    <x v="0"/>
    <n v="849"/>
    <x v="1"/>
    <n v="25"/>
    <x v="1"/>
    <n v="2"/>
    <s v="College"/>
    <s v="Life Sciences"/>
    <n v="421"/>
    <n v="1"/>
    <x v="2"/>
    <s v="Female"/>
    <n v="81"/>
    <n v="2"/>
    <s v="Medium"/>
    <n v="3"/>
    <x v="2"/>
    <x v="7"/>
    <n v="2"/>
    <s v="Medium"/>
    <x v="1"/>
    <n v="12061"/>
    <n v="26707"/>
    <n v="3"/>
    <x v="1"/>
    <n v="17"/>
    <n v="3"/>
    <s v="Excellent"/>
    <n v="3"/>
    <s v="High"/>
    <n v="1"/>
    <n v="19"/>
    <n v="2"/>
    <n v="3"/>
    <s v="High"/>
    <n v="10"/>
    <n v="8"/>
    <n v="0"/>
    <n v="1"/>
  </r>
  <r>
    <n v="58"/>
    <x v="3"/>
    <x v="1"/>
    <x v="2"/>
    <n v="390"/>
    <x v="1"/>
    <n v="1"/>
    <x v="0"/>
    <n v="4"/>
    <s v="Master"/>
    <s v="Life Sciences"/>
    <n v="422"/>
    <n v="4"/>
    <x v="3"/>
    <s v="Male"/>
    <n v="32"/>
    <n v="1"/>
    <s v="Low"/>
    <n v="2"/>
    <x v="0"/>
    <x v="4"/>
    <n v="3"/>
    <s v="High"/>
    <x v="2"/>
    <n v="5660"/>
    <n v="17056"/>
    <n v="2"/>
    <x v="0"/>
    <n v="13"/>
    <n v="3"/>
    <s v="Excellent"/>
    <n v="4"/>
    <s v="Very High"/>
    <n v="1"/>
    <n v="12"/>
    <n v="2"/>
    <n v="3"/>
    <s v="High"/>
    <n v="5"/>
    <n v="3"/>
    <n v="1"/>
    <n v="2"/>
  </r>
  <r>
    <n v="31"/>
    <x v="2"/>
    <x v="1"/>
    <x v="0"/>
    <n v="691"/>
    <x v="1"/>
    <n v="5"/>
    <x v="0"/>
    <n v="4"/>
    <s v="Master"/>
    <s v="Technical Degree"/>
    <n v="423"/>
    <n v="3"/>
    <x v="1"/>
    <s v="Male"/>
    <n v="86"/>
    <n v="3"/>
    <s v="High"/>
    <n v="1"/>
    <x v="1"/>
    <x v="1"/>
    <n v="4"/>
    <s v="Very High"/>
    <x v="1"/>
    <n v="4821"/>
    <n v="10077"/>
    <n v="0"/>
    <x v="0"/>
    <n v="12"/>
    <n v="3"/>
    <s v="Excellent"/>
    <n v="3"/>
    <s v="High"/>
    <n v="1"/>
    <n v="6"/>
    <n v="4"/>
    <n v="3"/>
    <s v="High"/>
    <n v="5"/>
    <n v="2"/>
    <n v="0"/>
    <n v="3"/>
  </r>
  <r>
    <n v="31"/>
    <x v="2"/>
    <x v="1"/>
    <x v="0"/>
    <n v="106"/>
    <x v="2"/>
    <n v="2"/>
    <x v="0"/>
    <n v="3"/>
    <s v="Bachelor"/>
    <s v="Human Resources"/>
    <n v="424"/>
    <n v="1"/>
    <x v="2"/>
    <s v="Male"/>
    <n v="62"/>
    <n v="2"/>
    <s v="Medium"/>
    <n v="2"/>
    <x v="0"/>
    <x v="8"/>
    <n v="1"/>
    <s v="Low"/>
    <x v="1"/>
    <n v="6410"/>
    <n v="17822"/>
    <n v="3"/>
    <x v="1"/>
    <n v="12"/>
    <n v="3"/>
    <s v="Excellent"/>
    <n v="4"/>
    <s v="Very High"/>
    <n v="0"/>
    <n v="9"/>
    <n v="1"/>
    <n v="3"/>
    <s v="High"/>
    <n v="2"/>
    <n v="2"/>
    <n v="1"/>
    <n v="0"/>
  </r>
  <r>
    <n v="45"/>
    <x v="0"/>
    <x v="1"/>
    <x v="1"/>
    <n v="1249"/>
    <x v="1"/>
    <n v="7"/>
    <x v="0"/>
    <n v="3"/>
    <s v="Bachelor"/>
    <s v="Life Sciences"/>
    <n v="425"/>
    <n v="1"/>
    <x v="2"/>
    <s v="Male"/>
    <n v="97"/>
    <n v="3"/>
    <s v="High"/>
    <n v="3"/>
    <x v="2"/>
    <x v="2"/>
    <n v="1"/>
    <s v="Low"/>
    <x v="2"/>
    <n v="5210"/>
    <n v="20308"/>
    <n v="1"/>
    <x v="1"/>
    <n v="18"/>
    <n v="3"/>
    <s v="Excellent"/>
    <n v="1"/>
    <s v="Low"/>
    <n v="1"/>
    <n v="24"/>
    <n v="2"/>
    <n v="3"/>
    <s v="High"/>
    <n v="24"/>
    <n v="9"/>
    <n v="9"/>
    <n v="11"/>
  </r>
  <r>
    <n v="31"/>
    <x v="2"/>
    <x v="1"/>
    <x v="0"/>
    <n v="192"/>
    <x v="1"/>
    <n v="2"/>
    <x v="0"/>
    <n v="4"/>
    <s v="Master"/>
    <s v="Life Sciences"/>
    <n v="426"/>
    <n v="3"/>
    <x v="1"/>
    <s v="Male"/>
    <n v="32"/>
    <n v="3"/>
    <s v="High"/>
    <n v="1"/>
    <x v="1"/>
    <x v="1"/>
    <n v="4"/>
    <s v="Very High"/>
    <x v="2"/>
    <n v="2695"/>
    <n v="7747"/>
    <n v="0"/>
    <x v="0"/>
    <n v="18"/>
    <n v="3"/>
    <s v="Excellent"/>
    <n v="2"/>
    <s v="Medium"/>
    <n v="1"/>
    <n v="3"/>
    <n v="2"/>
    <n v="1"/>
    <s v="Low"/>
    <n v="2"/>
    <n v="2"/>
    <n v="2"/>
    <n v="2"/>
  </r>
  <r>
    <n v="33"/>
    <x v="2"/>
    <x v="1"/>
    <x v="1"/>
    <n v="553"/>
    <x v="1"/>
    <n v="5"/>
    <x v="0"/>
    <n v="4"/>
    <s v="Master"/>
    <s v="Life Sciences"/>
    <n v="428"/>
    <n v="4"/>
    <x v="3"/>
    <s v="Female"/>
    <n v="74"/>
    <n v="3"/>
    <s v="High"/>
    <n v="3"/>
    <x v="2"/>
    <x v="5"/>
    <n v="2"/>
    <s v="Medium"/>
    <x v="1"/>
    <n v="11878"/>
    <n v="23364"/>
    <n v="6"/>
    <x v="1"/>
    <n v="11"/>
    <n v="3"/>
    <s v="Excellent"/>
    <n v="2"/>
    <s v="Medium"/>
    <n v="2"/>
    <n v="12"/>
    <n v="2"/>
    <n v="3"/>
    <s v="High"/>
    <n v="10"/>
    <n v="6"/>
    <n v="8"/>
    <n v="8"/>
  </r>
  <r>
    <n v="39"/>
    <x v="0"/>
    <x v="1"/>
    <x v="0"/>
    <n v="117"/>
    <x v="1"/>
    <n v="10"/>
    <x v="0"/>
    <n v="1"/>
    <s v="Below College"/>
    <s v="Medical"/>
    <n v="429"/>
    <n v="3"/>
    <x v="1"/>
    <s v="Male"/>
    <n v="99"/>
    <n v="3"/>
    <s v="High"/>
    <n v="4"/>
    <x v="3"/>
    <x v="5"/>
    <n v="1"/>
    <s v="Low"/>
    <x v="1"/>
    <n v="17068"/>
    <n v="5355"/>
    <n v="1"/>
    <x v="0"/>
    <n v="14"/>
    <n v="3"/>
    <s v="Excellent"/>
    <n v="4"/>
    <s v="Very High"/>
    <n v="0"/>
    <n v="21"/>
    <n v="3"/>
    <n v="3"/>
    <s v="High"/>
    <n v="21"/>
    <n v="9"/>
    <n v="11"/>
    <n v="10"/>
  </r>
  <r>
    <n v="43"/>
    <x v="0"/>
    <x v="1"/>
    <x v="1"/>
    <n v="185"/>
    <x v="1"/>
    <n v="10"/>
    <x v="0"/>
    <n v="4"/>
    <s v="Master"/>
    <s v="Life Sciences"/>
    <n v="430"/>
    <n v="3"/>
    <x v="1"/>
    <s v="Female"/>
    <n v="33"/>
    <n v="3"/>
    <s v="High"/>
    <n v="1"/>
    <x v="1"/>
    <x v="2"/>
    <n v="4"/>
    <s v="Very High"/>
    <x v="0"/>
    <n v="2455"/>
    <n v="10675"/>
    <n v="0"/>
    <x v="1"/>
    <n v="19"/>
    <n v="3"/>
    <s v="Excellent"/>
    <n v="1"/>
    <s v="Low"/>
    <n v="0"/>
    <n v="9"/>
    <n v="5"/>
    <n v="3"/>
    <s v="High"/>
    <n v="8"/>
    <n v="7"/>
    <n v="1"/>
    <n v="7"/>
  </r>
  <r>
    <n v="49"/>
    <x v="1"/>
    <x v="1"/>
    <x v="0"/>
    <n v="1091"/>
    <x v="1"/>
    <n v="1"/>
    <x v="0"/>
    <n v="2"/>
    <s v="College"/>
    <s v="Technical Degree"/>
    <n v="431"/>
    <n v="3"/>
    <x v="1"/>
    <s v="Female"/>
    <n v="90"/>
    <n v="2"/>
    <s v="Medium"/>
    <n v="4"/>
    <x v="3"/>
    <x v="4"/>
    <n v="3"/>
    <s v="High"/>
    <x v="0"/>
    <n v="13964"/>
    <n v="17810"/>
    <n v="7"/>
    <x v="0"/>
    <n v="12"/>
    <n v="3"/>
    <s v="Excellent"/>
    <n v="4"/>
    <s v="Very High"/>
    <n v="0"/>
    <n v="25"/>
    <n v="2"/>
    <n v="3"/>
    <s v="High"/>
    <n v="7"/>
    <n v="1"/>
    <n v="0"/>
    <n v="7"/>
  </r>
  <r>
    <n v="52"/>
    <x v="1"/>
    <x v="0"/>
    <x v="0"/>
    <n v="723"/>
    <x v="1"/>
    <n v="8"/>
    <x v="0"/>
    <n v="4"/>
    <s v="Master"/>
    <s v="Medical"/>
    <n v="433"/>
    <n v="3"/>
    <x v="1"/>
    <s v="Male"/>
    <n v="85"/>
    <n v="2"/>
    <s v="Medium"/>
    <n v="2"/>
    <x v="0"/>
    <x v="1"/>
    <n v="2"/>
    <s v="Medium"/>
    <x v="1"/>
    <n v="4941"/>
    <n v="17747"/>
    <n v="2"/>
    <x v="1"/>
    <n v="15"/>
    <n v="3"/>
    <s v="Excellent"/>
    <n v="1"/>
    <s v="Low"/>
    <n v="0"/>
    <n v="11"/>
    <n v="3"/>
    <n v="2"/>
    <s v="Medium"/>
    <n v="8"/>
    <n v="2"/>
    <n v="7"/>
    <n v="7"/>
  </r>
  <r>
    <n v="27"/>
    <x v="2"/>
    <x v="1"/>
    <x v="0"/>
    <n v="1220"/>
    <x v="1"/>
    <n v="5"/>
    <x v="0"/>
    <n v="3"/>
    <s v="Bachelor"/>
    <s v="Life Sciences"/>
    <n v="434"/>
    <n v="3"/>
    <x v="1"/>
    <s v="Female"/>
    <n v="85"/>
    <n v="3"/>
    <s v="High"/>
    <n v="1"/>
    <x v="1"/>
    <x v="1"/>
    <n v="2"/>
    <s v="Medium"/>
    <x v="0"/>
    <n v="2478"/>
    <n v="20938"/>
    <n v="1"/>
    <x v="0"/>
    <n v="12"/>
    <n v="3"/>
    <s v="Excellent"/>
    <n v="2"/>
    <s v="Medium"/>
    <n v="0"/>
    <n v="4"/>
    <n v="2"/>
    <n v="2"/>
    <s v="Medium"/>
    <n v="4"/>
    <n v="3"/>
    <n v="1"/>
    <n v="2"/>
  </r>
  <r>
    <n v="32"/>
    <x v="2"/>
    <x v="1"/>
    <x v="0"/>
    <n v="588"/>
    <x v="0"/>
    <n v="8"/>
    <x v="0"/>
    <n v="2"/>
    <s v="College"/>
    <s v="Technical Degree"/>
    <n v="436"/>
    <n v="3"/>
    <x v="1"/>
    <s v="Female"/>
    <n v="65"/>
    <n v="2"/>
    <s v="Medium"/>
    <n v="2"/>
    <x v="0"/>
    <x v="0"/>
    <n v="2"/>
    <s v="Medium"/>
    <x v="1"/>
    <n v="5228"/>
    <n v="24624"/>
    <n v="1"/>
    <x v="0"/>
    <n v="11"/>
    <n v="3"/>
    <s v="Excellent"/>
    <n v="4"/>
    <s v="Very High"/>
    <n v="0"/>
    <n v="13"/>
    <n v="2"/>
    <n v="3"/>
    <s v="High"/>
    <n v="13"/>
    <n v="12"/>
    <n v="11"/>
    <n v="9"/>
  </r>
  <r>
    <n v="27"/>
    <x v="2"/>
    <x v="1"/>
    <x v="0"/>
    <n v="1377"/>
    <x v="0"/>
    <n v="2"/>
    <x v="0"/>
    <n v="3"/>
    <s v="Bachelor"/>
    <s v="Life Sciences"/>
    <n v="437"/>
    <n v="4"/>
    <x v="3"/>
    <s v="Male"/>
    <n v="74"/>
    <n v="3"/>
    <s v="High"/>
    <n v="2"/>
    <x v="0"/>
    <x v="0"/>
    <n v="3"/>
    <s v="High"/>
    <x v="0"/>
    <n v="4478"/>
    <n v="5242"/>
    <n v="1"/>
    <x v="0"/>
    <n v="11"/>
    <n v="3"/>
    <s v="Excellent"/>
    <n v="1"/>
    <s v="Low"/>
    <n v="0"/>
    <n v="5"/>
    <n v="3"/>
    <n v="3"/>
    <s v="High"/>
    <n v="5"/>
    <n v="4"/>
    <n v="0"/>
    <n v="4"/>
  </r>
  <r>
    <n v="31"/>
    <x v="2"/>
    <x v="1"/>
    <x v="0"/>
    <n v="691"/>
    <x v="0"/>
    <n v="7"/>
    <x v="0"/>
    <n v="3"/>
    <s v="Bachelor"/>
    <s v="Marketing"/>
    <n v="438"/>
    <n v="4"/>
    <x v="3"/>
    <s v="Male"/>
    <n v="73"/>
    <n v="3"/>
    <s v="High"/>
    <n v="2"/>
    <x v="0"/>
    <x v="0"/>
    <n v="4"/>
    <s v="Very High"/>
    <x v="2"/>
    <n v="7547"/>
    <n v="7143"/>
    <n v="4"/>
    <x v="1"/>
    <n v="12"/>
    <n v="3"/>
    <s v="Excellent"/>
    <n v="4"/>
    <s v="Very High"/>
    <n v="3"/>
    <n v="13"/>
    <n v="3"/>
    <n v="3"/>
    <s v="High"/>
    <n v="7"/>
    <n v="7"/>
    <n v="1"/>
    <n v="7"/>
  </r>
  <r>
    <n v="32"/>
    <x v="2"/>
    <x v="1"/>
    <x v="0"/>
    <n v="1018"/>
    <x v="1"/>
    <n v="2"/>
    <x v="0"/>
    <n v="4"/>
    <s v="Master"/>
    <s v="Medical"/>
    <n v="439"/>
    <n v="1"/>
    <x v="2"/>
    <s v="Female"/>
    <n v="74"/>
    <n v="4"/>
    <s v="Very High"/>
    <n v="2"/>
    <x v="0"/>
    <x v="1"/>
    <n v="4"/>
    <s v="Very High"/>
    <x v="0"/>
    <n v="5055"/>
    <n v="10557"/>
    <n v="7"/>
    <x v="1"/>
    <n v="16"/>
    <n v="3"/>
    <s v="Excellent"/>
    <n v="3"/>
    <s v="High"/>
    <n v="0"/>
    <n v="10"/>
    <n v="0"/>
    <n v="2"/>
    <s v="Medium"/>
    <n v="7"/>
    <n v="7"/>
    <n v="0"/>
    <n v="7"/>
  </r>
  <r>
    <n v="28"/>
    <x v="2"/>
    <x v="0"/>
    <x v="0"/>
    <n v="1157"/>
    <x v="1"/>
    <n v="2"/>
    <x v="0"/>
    <n v="4"/>
    <s v="Master"/>
    <s v="Medical"/>
    <n v="440"/>
    <n v="1"/>
    <x v="2"/>
    <s v="Male"/>
    <n v="84"/>
    <n v="1"/>
    <s v="Low"/>
    <n v="1"/>
    <x v="1"/>
    <x v="1"/>
    <n v="4"/>
    <s v="Very High"/>
    <x v="1"/>
    <n v="3464"/>
    <n v="24737"/>
    <n v="5"/>
    <x v="0"/>
    <n v="13"/>
    <n v="3"/>
    <s v="Excellent"/>
    <n v="4"/>
    <s v="Very High"/>
    <n v="0"/>
    <n v="5"/>
    <n v="4"/>
    <n v="2"/>
    <s v="Medium"/>
    <n v="3"/>
    <n v="2"/>
    <n v="2"/>
    <n v="2"/>
  </r>
  <r>
    <n v="30"/>
    <x v="2"/>
    <x v="1"/>
    <x v="0"/>
    <n v="1275"/>
    <x v="1"/>
    <n v="28"/>
    <x v="1"/>
    <n v="2"/>
    <s v="College"/>
    <s v="Medical"/>
    <n v="441"/>
    <n v="4"/>
    <x v="3"/>
    <s v="Female"/>
    <n v="64"/>
    <n v="3"/>
    <s v="High"/>
    <n v="2"/>
    <x v="0"/>
    <x v="1"/>
    <n v="4"/>
    <s v="Very High"/>
    <x v="1"/>
    <n v="5775"/>
    <n v="11934"/>
    <n v="1"/>
    <x v="1"/>
    <n v="13"/>
    <n v="3"/>
    <s v="Excellent"/>
    <n v="4"/>
    <s v="Very High"/>
    <n v="2"/>
    <n v="11"/>
    <n v="2"/>
    <n v="3"/>
    <s v="High"/>
    <n v="10"/>
    <n v="8"/>
    <n v="1"/>
    <n v="9"/>
  </r>
  <r>
    <n v="31"/>
    <x v="2"/>
    <x v="1"/>
    <x v="1"/>
    <n v="798"/>
    <x v="1"/>
    <n v="7"/>
    <x v="0"/>
    <n v="2"/>
    <s v="College"/>
    <s v="Life Sciences"/>
    <n v="442"/>
    <n v="3"/>
    <x v="1"/>
    <s v="Female"/>
    <n v="48"/>
    <n v="2"/>
    <s v="Medium"/>
    <n v="3"/>
    <x v="2"/>
    <x v="3"/>
    <n v="3"/>
    <s v="High"/>
    <x v="1"/>
    <n v="8943"/>
    <n v="14034"/>
    <n v="1"/>
    <x v="1"/>
    <n v="24"/>
    <n v="4"/>
    <s v="Outstanding"/>
    <n v="1"/>
    <s v="Low"/>
    <n v="1"/>
    <n v="10"/>
    <n v="2"/>
    <n v="3"/>
    <s v="High"/>
    <n v="10"/>
    <n v="9"/>
    <n v="8"/>
    <n v="9"/>
  </r>
  <r>
    <n v="39"/>
    <x v="0"/>
    <x v="1"/>
    <x v="1"/>
    <n v="672"/>
    <x v="1"/>
    <n v="7"/>
    <x v="0"/>
    <n v="2"/>
    <s v="College"/>
    <s v="Medical"/>
    <n v="444"/>
    <n v="3"/>
    <x v="1"/>
    <s v="Male"/>
    <n v="54"/>
    <n v="2"/>
    <s v="Medium"/>
    <n v="5"/>
    <x v="4"/>
    <x v="5"/>
    <n v="4"/>
    <s v="Very High"/>
    <x v="1"/>
    <n v="19272"/>
    <n v="21141"/>
    <n v="1"/>
    <x v="1"/>
    <n v="15"/>
    <n v="3"/>
    <s v="Excellent"/>
    <n v="1"/>
    <s v="Low"/>
    <n v="1"/>
    <n v="21"/>
    <n v="2"/>
    <n v="3"/>
    <s v="High"/>
    <n v="21"/>
    <n v="9"/>
    <n v="13"/>
    <n v="3"/>
  </r>
  <r>
    <n v="39"/>
    <x v="0"/>
    <x v="0"/>
    <x v="0"/>
    <n v="1162"/>
    <x v="0"/>
    <n v="3"/>
    <x v="0"/>
    <n v="2"/>
    <s v="College"/>
    <s v="Medical"/>
    <n v="445"/>
    <n v="4"/>
    <x v="3"/>
    <s v="Female"/>
    <n v="41"/>
    <n v="3"/>
    <s v="High"/>
    <n v="2"/>
    <x v="0"/>
    <x v="0"/>
    <n v="3"/>
    <s v="High"/>
    <x v="1"/>
    <n v="5238"/>
    <n v="17778"/>
    <n v="4"/>
    <x v="0"/>
    <n v="18"/>
    <n v="3"/>
    <s v="Excellent"/>
    <n v="1"/>
    <s v="Low"/>
    <n v="0"/>
    <n v="12"/>
    <n v="3"/>
    <n v="2"/>
    <s v="Medium"/>
    <n v="1"/>
    <n v="0"/>
    <n v="0"/>
    <n v="0"/>
  </r>
  <r>
    <n v="33"/>
    <x v="2"/>
    <x v="1"/>
    <x v="1"/>
    <n v="508"/>
    <x v="0"/>
    <n v="10"/>
    <x v="0"/>
    <n v="3"/>
    <s v="Bachelor"/>
    <s v="Marketing"/>
    <n v="446"/>
    <n v="2"/>
    <x v="0"/>
    <s v="Male"/>
    <n v="46"/>
    <n v="2"/>
    <s v="Medium"/>
    <n v="2"/>
    <x v="0"/>
    <x v="0"/>
    <n v="4"/>
    <s v="Very High"/>
    <x v="0"/>
    <n v="4682"/>
    <n v="4317"/>
    <n v="3"/>
    <x v="1"/>
    <n v="14"/>
    <n v="3"/>
    <s v="Excellent"/>
    <n v="3"/>
    <s v="High"/>
    <n v="0"/>
    <n v="9"/>
    <n v="6"/>
    <n v="2"/>
    <s v="Medium"/>
    <n v="7"/>
    <n v="7"/>
    <n v="0"/>
    <n v="1"/>
  </r>
  <r>
    <n v="47"/>
    <x v="1"/>
    <x v="1"/>
    <x v="0"/>
    <n v="1482"/>
    <x v="1"/>
    <n v="5"/>
    <x v="0"/>
    <n v="5"/>
    <s v="Doctor"/>
    <s v="Life Sciences"/>
    <n v="447"/>
    <n v="4"/>
    <x v="3"/>
    <s v="Male"/>
    <n v="42"/>
    <n v="3"/>
    <s v="High"/>
    <n v="5"/>
    <x v="4"/>
    <x v="7"/>
    <n v="3"/>
    <s v="High"/>
    <x v="1"/>
    <n v="18300"/>
    <n v="16375"/>
    <n v="4"/>
    <x v="1"/>
    <n v="11"/>
    <n v="3"/>
    <s v="Excellent"/>
    <n v="2"/>
    <s v="Medium"/>
    <n v="1"/>
    <n v="21"/>
    <n v="2"/>
    <n v="3"/>
    <s v="High"/>
    <n v="3"/>
    <n v="2"/>
    <n v="1"/>
    <n v="1"/>
  </r>
  <r>
    <n v="43"/>
    <x v="0"/>
    <x v="1"/>
    <x v="1"/>
    <n v="559"/>
    <x v="1"/>
    <n v="10"/>
    <x v="0"/>
    <n v="4"/>
    <s v="Master"/>
    <s v="Life Sciences"/>
    <n v="448"/>
    <n v="3"/>
    <x v="1"/>
    <s v="Female"/>
    <n v="82"/>
    <n v="2"/>
    <s v="Medium"/>
    <n v="2"/>
    <x v="0"/>
    <x v="2"/>
    <n v="3"/>
    <s v="High"/>
    <x v="2"/>
    <n v="5257"/>
    <n v="6227"/>
    <n v="1"/>
    <x v="1"/>
    <n v="11"/>
    <n v="3"/>
    <s v="Excellent"/>
    <n v="2"/>
    <s v="Medium"/>
    <n v="1"/>
    <n v="9"/>
    <n v="3"/>
    <n v="4"/>
    <s v="Very High"/>
    <n v="9"/>
    <n v="7"/>
    <n v="0"/>
    <n v="0"/>
  </r>
  <r>
    <n v="27"/>
    <x v="2"/>
    <x v="1"/>
    <x v="2"/>
    <n v="210"/>
    <x v="0"/>
    <n v="1"/>
    <x v="0"/>
    <n v="1"/>
    <s v="Below College"/>
    <s v="Marketing"/>
    <n v="449"/>
    <n v="3"/>
    <x v="1"/>
    <s v="Male"/>
    <n v="73"/>
    <n v="3"/>
    <s v="High"/>
    <n v="2"/>
    <x v="0"/>
    <x v="0"/>
    <n v="2"/>
    <s v="Medium"/>
    <x v="1"/>
    <n v="6349"/>
    <n v="22107"/>
    <n v="0"/>
    <x v="0"/>
    <n v="13"/>
    <n v="3"/>
    <s v="Excellent"/>
    <n v="4"/>
    <s v="Very High"/>
    <n v="1"/>
    <n v="6"/>
    <n v="0"/>
    <n v="3"/>
    <s v="High"/>
    <n v="5"/>
    <n v="4"/>
    <n v="1"/>
    <n v="4"/>
  </r>
  <r>
    <n v="54"/>
    <x v="1"/>
    <x v="1"/>
    <x v="1"/>
    <n v="928"/>
    <x v="1"/>
    <n v="20"/>
    <x v="2"/>
    <n v="4"/>
    <s v="Master"/>
    <s v="Life Sciences"/>
    <n v="450"/>
    <n v="4"/>
    <x v="3"/>
    <s v="Female"/>
    <n v="31"/>
    <n v="3"/>
    <s v="High"/>
    <n v="2"/>
    <x v="0"/>
    <x v="1"/>
    <n v="3"/>
    <s v="High"/>
    <x v="0"/>
    <n v="4869"/>
    <n v="16885"/>
    <n v="3"/>
    <x v="1"/>
    <n v="12"/>
    <n v="3"/>
    <s v="Excellent"/>
    <n v="4"/>
    <s v="Very High"/>
    <n v="0"/>
    <n v="20"/>
    <n v="4"/>
    <n v="2"/>
    <s v="Medium"/>
    <n v="4"/>
    <n v="3"/>
    <n v="0"/>
    <n v="3"/>
  </r>
  <r>
    <n v="43"/>
    <x v="0"/>
    <x v="1"/>
    <x v="0"/>
    <n v="1001"/>
    <x v="1"/>
    <n v="7"/>
    <x v="0"/>
    <n v="3"/>
    <s v="Bachelor"/>
    <s v="Life Sciences"/>
    <n v="451"/>
    <n v="3"/>
    <x v="1"/>
    <s v="Female"/>
    <n v="43"/>
    <n v="3"/>
    <s v="High"/>
    <n v="3"/>
    <x v="2"/>
    <x v="4"/>
    <n v="1"/>
    <s v="Low"/>
    <x v="1"/>
    <n v="9985"/>
    <n v="9262"/>
    <n v="8"/>
    <x v="1"/>
    <n v="16"/>
    <n v="3"/>
    <s v="Excellent"/>
    <n v="1"/>
    <s v="Low"/>
    <n v="1"/>
    <n v="10"/>
    <n v="1"/>
    <n v="2"/>
    <s v="Medium"/>
    <n v="1"/>
    <n v="0"/>
    <n v="0"/>
    <n v="0"/>
  </r>
  <r>
    <n v="45"/>
    <x v="0"/>
    <x v="1"/>
    <x v="0"/>
    <n v="549"/>
    <x v="1"/>
    <n v="8"/>
    <x v="0"/>
    <n v="4"/>
    <s v="Master"/>
    <s v="Other"/>
    <n v="452"/>
    <n v="4"/>
    <x v="3"/>
    <s v="Male"/>
    <n v="75"/>
    <n v="3"/>
    <s v="High"/>
    <n v="2"/>
    <x v="0"/>
    <x v="1"/>
    <n v="4"/>
    <s v="Very High"/>
    <x v="1"/>
    <n v="3697"/>
    <n v="9278"/>
    <n v="9"/>
    <x v="1"/>
    <n v="14"/>
    <n v="3"/>
    <s v="Excellent"/>
    <n v="1"/>
    <s v="Low"/>
    <n v="2"/>
    <n v="12"/>
    <n v="3"/>
    <n v="3"/>
    <s v="High"/>
    <n v="10"/>
    <n v="9"/>
    <n v="9"/>
    <n v="8"/>
  </r>
  <r>
    <n v="40"/>
    <x v="0"/>
    <x v="1"/>
    <x v="0"/>
    <n v="1124"/>
    <x v="0"/>
    <n v="1"/>
    <x v="0"/>
    <n v="2"/>
    <s v="College"/>
    <s v="Medical"/>
    <n v="453"/>
    <n v="2"/>
    <x v="0"/>
    <s v="Male"/>
    <n v="57"/>
    <n v="1"/>
    <s v="Low"/>
    <n v="2"/>
    <x v="0"/>
    <x v="0"/>
    <n v="4"/>
    <s v="Very High"/>
    <x v="1"/>
    <n v="7457"/>
    <n v="13273"/>
    <n v="2"/>
    <x v="0"/>
    <n v="22"/>
    <n v="4"/>
    <s v="Outstanding"/>
    <n v="3"/>
    <s v="High"/>
    <n v="3"/>
    <n v="6"/>
    <n v="2"/>
    <n v="2"/>
    <s v="Medium"/>
    <n v="4"/>
    <n v="3"/>
    <n v="0"/>
    <n v="2"/>
  </r>
  <r>
    <n v="29"/>
    <x v="2"/>
    <x v="0"/>
    <x v="0"/>
    <n v="318"/>
    <x v="1"/>
    <n v="8"/>
    <x v="0"/>
    <n v="4"/>
    <s v="Master"/>
    <s v="Other"/>
    <n v="454"/>
    <n v="2"/>
    <x v="0"/>
    <s v="Male"/>
    <n v="77"/>
    <n v="1"/>
    <s v="Low"/>
    <n v="1"/>
    <x v="1"/>
    <x v="2"/>
    <n v="1"/>
    <s v="Low"/>
    <x v="1"/>
    <n v="2119"/>
    <n v="4759"/>
    <n v="1"/>
    <x v="0"/>
    <n v="11"/>
    <n v="3"/>
    <s v="Excellent"/>
    <n v="4"/>
    <s v="Very High"/>
    <n v="0"/>
    <n v="7"/>
    <n v="4"/>
    <n v="2"/>
    <s v="Medium"/>
    <n v="7"/>
    <n v="7"/>
    <n v="0"/>
    <n v="7"/>
  </r>
  <r>
    <n v="29"/>
    <x v="2"/>
    <x v="1"/>
    <x v="0"/>
    <n v="738"/>
    <x v="1"/>
    <n v="9"/>
    <x v="0"/>
    <n v="5"/>
    <s v="Doctor"/>
    <s v="Other"/>
    <n v="455"/>
    <n v="2"/>
    <x v="0"/>
    <s v="Male"/>
    <n v="30"/>
    <n v="2"/>
    <s v="Medium"/>
    <n v="1"/>
    <x v="1"/>
    <x v="2"/>
    <n v="4"/>
    <s v="Very High"/>
    <x v="0"/>
    <n v="3983"/>
    <n v="7621"/>
    <n v="0"/>
    <x v="1"/>
    <n v="17"/>
    <n v="3"/>
    <s v="Excellent"/>
    <n v="3"/>
    <s v="High"/>
    <n v="0"/>
    <n v="4"/>
    <n v="2"/>
    <n v="3"/>
    <s v="High"/>
    <n v="3"/>
    <n v="2"/>
    <n v="2"/>
    <n v="2"/>
  </r>
  <r>
    <n v="30"/>
    <x v="2"/>
    <x v="1"/>
    <x v="0"/>
    <n v="570"/>
    <x v="0"/>
    <n v="5"/>
    <x v="0"/>
    <n v="3"/>
    <s v="Bachelor"/>
    <s v="Marketing"/>
    <n v="456"/>
    <n v="4"/>
    <x v="3"/>
    <s v="Female"/>
    <n v="30"/>
    <n v="2"/>
    <s v="Medium"/>
    <n v="2"/>
    <x v="0"/>
    <x v="0"/>
    <n v="3"/>
    <s v="High"/>
    <x v="2"/>
    <n v="6118"/>
    <n v="5431"/>
    <n v="1"/>
    <x v="1"/>
    <n v="13"/>
    <n v="3"/>
    <s v="Excellent"/>
    <n v="3"/>
    <s v="High"/>
    <n v="3"/>
    <n v="10"/>
    <n v="2"/>
    <n v="3"/>
    <s v="High"/>
    <n v="10"/>
    <n v="9"/>
    <n v="1"/>
    <n v="2"/>
  </r>
  <r>
    <n v="27"/>
    <x v="2"/>
    <x v="1"/>
    <x v="0"/>
    <n v="1130"/>
    <x v="0"/>
    <n v="8"/>
    <x v="0"/>
    <n v="4"/>
    <s v="Master"/>
    <s v="Marketing"/>
    <n v="458"/>
    <n v="2"/>
    <x v="0"/>
    <s v="Female"/>
    <n v="56"/>
    <n v="3"/>
    <s v="High"/>
    <n v="2"/>
    <x v="0"/>
    <x v="0"/>
    <n v="2"/>
    <s v="Medium"/>
    <x v="1"/>
    <n v="6214"/>
    <n v="3415"/>
    <n v="1"/>
    <x v="1"/>
    <n v="18"/>
    <n v="3"/>
    <s v="Excellent"/>
    <n v="1"/>
    <s v="Low"/>
    <n v="1"/>
    <n v="8"/>
    <n v="3"/>
    <n v="3"/>
    <s v="High"/>
    <n v="8"/>
    <n v="7"/>
    <n v="0"/>
    <n v="7"/>
  </r>
  <r>
    <n v="37"/>
    <x v="0"/>
    <x v="1"/>
    <x v="0"/>
    <n v="1192"/>
    <x v="1"/>
    <n v="5"/>
    <x v="0"/>
    <n v="2"/>
    <s v="College"/>
    <s v="Medical"/>
    <n v="460"/>
    <n v="4"/>
    <x v="3"/>
    <s v="Male"/>
    <n v="61"/>
    <n v="3"/>
    <s v="High"/>
    <n v="2"/>
    <x v="0"/>
    <x v="3"/>
    <n v="4"/>
    <s v="Very High"/>
    <x v="2"/>
    <n v="6347"/>
    <n v="23177"/>
    <n v="7"/>
    <x v="1"/>
    <n v="16"/>
    <n v="3"/>
    <s v="Excellent"/>
    <n v="3"/>
    <s v="High"/>
    <n v="2"/>
    <n v="8"/>
    <n v="2"/>
    <n v="2"/>
    <s v="Medium"/>
    <n v="6"/>
    <n v="2"/>
    <n v="0"/>
    <n v="4"/>
  </r>
  <r>
    <n v="38"/>
    <x v="0"/>
    <x v="1"/>
    <x v="0"/>
    <n v="343"/>
    <x v="1"/>
    <n v="15"/>
    <x v="2"/>
    <n v="2"/>
    <s v="College"/>
    <s v="Life Sciences"/>
    <n v="461"/>
    <n v="3"/>
    <x v="1"/>
    <s v="Male"/>
    <n v="92"/>
    <n v="2"/>
    <s v="Medium"/>
    <n v="3"/>
    <x v="2"/>
    <x v="7"/>
    <n v="4"/>
    <s v="Very High"/>
    <x v="2"/>
    <n v="11510"/>
    <n v="15682"/>
    <n v="0"/>
    <x v="0"/>
    <n v="14"/>
    <n v="3"/>
    <s v="Excellent"/>
    <n v="2"/>
    <s v="Medium"/>
    <n v="1"/>
    <n v="12"/>
    <n v="3"/>
    <n v="3"/>
    <s v="High"/>
    <n v="11"/>
    <n v="10"/>
    <n v="2"/>
    <n v="9"/>
  </r>
  <r>
    <n v="31"/>
    <x v="2"/>
    <x v="1"/>
    <x v="0"/>
    <n v="1232"/>
    <x v="1"/>
    <n v="7"/>
    <x v="0"/>
    <n v="4"/>
    <s v="Master"/>
    <s v="Medical"/>
    <n v="462"/>
    <n v="3"/>
    <x v="1"/>
    <s v="Female"/>
    <n v="39"/>
    <n v="3"/>
    <s v="High"/>
    <n v="3"/>
    <x v="2"/>
    <x v="3"/>
    <n v="4"/>
    <s v="Very High"/>
    <x v="0"/>
    <n v="7143"/>
    <n v="25713"/>
    <n v="1"/>
    <x v="0"/>
    <n v="14"/>
    <n v="3"/>
    <s v="Excellent"/>
    <n v="3"/>
    <s v="High"/>
    <n v="0"/>
    <n v="11"/>
    <n v="2"/>
    <n v="2"/>
    <s v="Medium"/>
    <n v="11"/>
    <n v="9"/>
    <n v="4"/>
    <n v="10"/>
  </r>
  <r>
    <n v="29"/>
    <x v="2"/>
    <x v="1"/>
    <x v="0"/>
    <n v="144"/>
    <x v="0"/>
    <n v="10"/>
    <x v="0"/>
    <n v="1"/>
    <s v="Below College"/>
    <s v="Marketing"/>
    <n v="463"/>
    <n v="4"/>
    <x v="3"/>
    <s v="Female"/>
    <n v="39"/>
    <n v="2"/>
    <s v="Medium"/>
    <n v="2"/>
    <x v="0"/>
    <x v="0"/>
    <n v="2"/>
    <s v="Medium"/>
    <x v="2"/>
    <n v="8268"/>
    <n v="11866"/>
    <n v="1"/>
    <x v="0"/>
    <n v="14"/>
    <n v="3"/>
    <s v="Excellent"/>
    <n v="1"/>
    <s v="Low"/>
    <n v="2"/>
    <n v="7"/>
    <n v="2"/>
    <n v="3"/>
    <s v="High"/>
    <n v="7"/>
    <n v="7"/>
    <n v="1"/>
    <n v="7"/>
  </r>
  <r>
    <n v="35"/>
    <x v="2"/>
    <x v="1"/>
    <x v="0"/>
    <n v="1296"/>
    <x v="1"/>
    <n v="5"/>
    <x v="0"/>
    <n v="4"/>
    <s v="Master"/>
    <s v="Technical Degree"/>
    <n v="464"/>
    <n v="3"/>
    <x v="1"/>
    <s v="Male"/>
    <n v="62"/>
    <n v="3"/>
    <s v="High"/>
    <n v="3"/>
    <x v="2"/>
    <x v="3"/>
    <n v="2"/>
    <s v="Medium"/>
    <x v="0"/>
    <n v="8095"/>
    <n v="18264"/>
    <n v="0"/>
    <x v="1"/>
    <n v="13"/>
    <n v="3"/>
    <s v="Excellent"/>
    <n v="4"/>
    <s v="Very High"/>
    <n v="0"/>
    <n v="17"/>
    <n v="5"/>
    <n v="3"/>
    <s v="High"/>
    <n v="16"/>
    <n v="6"/>
    <n v="0"/>
    <n v="13"/>
  </r>
  <r>
    <n v="23"/>
    <x v="4"/>
    <x v="1"/>
    <x v="0"/>
    <n v="1309"/>
    <x v="1"/>
    <n v="26"/>
    <x v="1"/>
    <n v="1"/>
    <s v="Below College"/>
    <s v="Life Sciences"/>
    <n v="465"/>
    <n v="3"/>
    <x v="1"/>
    <s v="Male"/>
    <n v="83"/>
    <n v="3"/>
    <s v="High"/>
    <n v="1"/>
    <x v="1"/>
    <x v="1"/>
    <n v="4"/>
    <s v="Very High"/>
    <x v="2"/>
    <n v="2904"/>
    <n v="16092"/>
    <n v="1"/>
    <x v="1"/>
    <n v="12"/>
    <n v="3"/>
    <s v="Excellent"/>
    <n v="3"/>
    <s v="High"/>
    <n v="2"/>
    <n v="4"/>
    <n v="2"/>
    <n v="2"/>
    <s v="Medium"/>
    <n v="4"/>
    <n v="2"/>
    <n v="0"/>
    <n v="2"/>
  </r>
  <r>
    <n v="41"/>
    <x v="0"/>
    <x v="1"/>
    <x v="0"/>
    <n v="483"/>
    <x v="1"/>
    <n v="6"/>
    <x v="0"/>
    <n v="3"/>
    <s v="Bachelor"/>
    <s v="Medical"/>
    <n v="466"/>
    <n v="4"/>
    <x v="3"/>
    <s v="Male"/>
    <n v="95"/>
    <n v="2"/>
    <s v="Medium"/>
    <n v="2"/>
    <x v="0"/>
    <x v="3"/>
    <n v="2"/>
    <s v="Medium"/>
    <x v="0"/>
    <n v="6032"/>
    <n v="10110"/>
    <n v="6"/>
    <x v="0"/>
    <n v="15"/>
    <n v="3"/>
    <s v="Excellent"/>
    <n v="4"/>
    <s v="Very High"/>
    <n v="0"/>
    <n v="8"/>
    <n v="3"/>
    <n v="3"/>
    <s v="High"/>
    <n v="5"/>
    <n v="4"/>
    <n v="1"/>
    <n v="2"/>
  </r>
  <r>
    <n v="47"/>
    <x v="1"/>
    <x v="1"/>
    <x v="1"/>
    <n v="1309"/>
    <x v="0"/>
    <n v="4"/>
    <x v="0"/>
    <n v="1"/>
    <s v="Below College"/>
    <s v="Medical"/>
    <n v="467"/>
    <n v="2"/>
    <x v="0"/>
    <s v="Male"/>
    <n v="99"/>
    <n v="3"/>
    <s v="High"/>
    <n v="2"/>
    <x v="0"/>
    <x v="6"/>
    <n v="3"/>
    <s v="High"/>
    <x v="0"/>
    <n v="2976"/>
    <n v="25751"/>
    <n v="3"/>
    <x v="1"/>
    <n v="19"/>
    <n v="3"/>
    <s v="Excellent"/>
    <n v="1"/>
    <s v="Low"/>
    <n v="0"/>
    <n v="5"/>
    <n v="3"/>
    <n v="3"/>
    <s v="High"/>
    <n v="0"/>
    <n v="0"/>
    <n v="0"/>
    <n v="0"/>
  </r>
  <r>
    <n v="42"/>
    <x v="0"/>
    <x v="1"/>
    <x v="0"/>
    <n v="810"/>
    <x v="1"/>
    <n v="23"/>
    <x v="1"/>
    <n v="5"/>
    <s v="Doctor"/>
    <s v="Life Sciences"/>
    <n v="468"/>
    <n v="1"/>
    <x v="2"/>
    <s v="Female"/>
    <n v="44"/>
    <n v="3"/>
    <s v="High"/>
    <n v="4"/>
    <x v="3"/>
    <x v="7"/>
    <n v="4"/>
    <s v="Very High"/>
    <x v="0"/>
    <n v="15992"/>
    <n v="15901"/>
    <n v="2"/>
    <x v="1"/>
    <n v="14"/>
    <n v="3"/>
    <s v="Excellent"/>
    <n v="2"/>
    <s v="Medium"/>
    <n v="0"/>
    <n v="16"/>
    <n v="2"/>
    <n v="3"/>
    <s v="High"/>
    <n v="1"/>
    <n v="0"/>
    <n v="0"/>
    <n v="0"/>
  </r>
  <r>
    <n v="29"/>
    <x v="2"/>
    <x v="1"/>
    <x v="2"/>
    <n v="746"/>
    <x v="0"/>
    <n v="2"/>
    <x v="0"/>
    <n v="3"/>
    <s v="Bachelor"/>
    <s v="Life Sciences"/>
    <n v="469"/>
    <n v="4"/>
    <x v="3"/>
    <s v="Male"/>
    <n v="61"/>
    <n v="3"/>
    <s v="High"/>
    <n v="2"/>
    <x v="0"/>
    <x v="0"/>
    <n v="3"/>
    <s v="High"/>
    <x v="1"/>
    <n v="4649"/>
    <n v="16928"/>
    <n v="1"/>
    <x v="1"/>
    <n v="14"/>
    <n v="3"/>
    <s v="Excellent"/>
    <n v="1"/>
    <s v="Low"/>
    <n v="1"/>
    <n v="4"/>
    <n v="3"/>
    <n v="2"/>
    <s v="Medium"/>
    <n v="4"/>
    <n v="3"/>
    <n v="0"/>
    <n v="2"/>
  </r>
  <r>
    <n v="42"/>
    <x v="0"/>
    <x v="1"/>
    <x v="0"/>
    <n v="544"/>
    <x v="2"/>
    <n v="2"/>
    <x v="0"/>
    <n v="1"/>
    <s v="Below College"/>
    <s v="Technical Degree"/>
    <n v="470"/>
    <n v="3"/>
    <x v="1"/>
    <s v="Male"/>
    <n v="52"/>
    <n v="3"/>
    <s v="High"/>
    <n v="1"/>
    <x v="1"/>
    <x v="8"/>
    <n v="3"/>
    <s v="High"/>
    <x v="2"/>
    <n v="2696"/>
    <n v="24017"/>
    <n v="0"/>
    <x v="0"/>
    <n v="11"/>
    <n v="3"/>
    <s v="Excellent"/>
    <n v="3"/>
    <s v="High"/>
    <n v="1"/>
    <n v="4"/>
    <n v="5"/>
    <n v="3"/>
    <s v="High"/>
    <n v="3"/>
    <n v="2"/>
    <n v="1"/>
    <n v="0"/>
  </r>
  <r>
    <n v="32"/>
    <x v="2"/>
    <x v="1"/>
    <x v="0"/>
    <n v="1062"/>
    <x v="1"/>
    <n v="2"/>
    <x v="0"/>
    <n v="3"/>
    <s v="Bachelor"/>
    <s v="Medical"/>
    <n v="471"/>
    <n v="3"/>
    <x v="1"/>
    <s v="Female"/>
    <n v="75"/>
    <n v="3"/>
    <s v="High"/>
    <n v="1"/>
    <x v="1"/>
    <x v="2"/>
    <n v="2"/>
    <s v="Medium"/>
    <x v="1"/>
    <n v="2370"/>
    <n v="3956"/>
    <n v="1"/>
    <x v="1"/>
    <n v="13"/>
    <n v="3"/>
    <s v="Excellent"/>
    <n v="3"/>
    <s v="High"/>
    <n v="1"/>
    <n v="8"/>
    <n v="4"/>
    <n v="3"/>
    <s v="High"/>
    <n v="8"/>
    <n v="0"/>
    <n v="0"/>
    <n v="7"/>
  </r>
  <r>
    <n v="48"/>
    <x v="1"/>
    <x v="1"/>
    <x v="0"/>
    <n v="530"/>
    <x v="0"/>
    <n v="29"/>
    <x v="1"/>
    <n v="1"/>
    <s v="Below College"/>
    <s v="Medical"/>
    <n v="473"/>
    <n v="1"/>
    <x v="2"/>
    <s v="Female"/>
    <n v="91"/>
    <n v="3"/>
    <s v="High"/>
    <n v="3"/>
    <x v="2"/>
    <x v="5"/>
    <n v="3"/>
    <s v="High"/>
    <x v="1"/>
    <n v="12504"/>
    <n v="23978"/>
    <n v="3"/>
    <x v="1"/>
    <n v="21"/>
    <n v="4"/>
    <s v="Outstanding"/>
    <n v="2"/>
    <s v="Medium"/>
    <n v="1"/>
    <n v="15"/>
    <n v="3"/>
    <n v="1"/>
    <s v="Low"/>
    <n v="0"/>
    <n v="0"/>
    <n v="0"/>
    <n v="0"/>
  </r>
  <r>
    <n v="37"/>
    <x v="0"/>
    <x v="1"/>
    <x v="0"/>
    <n v="1319"/>
    <x v="1"/>
    <n v="6"/>
    <x v="0"/>
    <n v="3"/>
    <s v="Bachelor"/>
    <s v="Medical"/>
    <n v="474"/>
    <n v="3"/>
    <x v="1"/>
    <s v="Male"/>
    <n v="51"/>
    <n v="4"/>
    <s v="Very High"/>
    <n v="2"/>
    <x v="0"/>
    <x v="1"/>
    <n v="1"/>
    <s v="Low"/>
    <x v="2"/>
    <n v="5974"/>
    <n v="17001"/>
    <n v="4"/>
    <x v="0"/>
    <n v="13"/>
    <n v="3"/>
    <s v="Excellent"/>
    <n v="1"/>
    <s v="Low"/>
    <n v="2"/>
    <n v="13"/>
    <n v="2"/>
    <n v="3"/>
    <s v="High"/>
    <n v="7"/>
    <n v="7"/>
    <n v="6"/>
    <n v="7"/>
  </r>
  <r>
    <n v="30"/>
    <x v="2"/>
    <x v="1"/>
    <x v="2"/>
    <n v="641"/>
    <x v="0"/>
    <n v="25"/>
    <x v="1"/>
    <n v="2"/>
    <s v="College"/>
    <s v="Technical Degree"/>
    <n v="475"/>
    <n v="4"/>
    <x v="3"/>
    <s v="Female"/>
    <n v="85"/>
    <n v="3"/>
    <s v="High"/>
    <n v="2"/>
    <x v="0"/>
    <x v="0"/>
    <n v="3"/>
    <s v="High"/>
    <x v="1"/>
    <n v="4736"/>
    <n v="6069"/>
    <n v="7"/>
    <x v="0"/>
    <n v="12"/>
    <n v="3"/>
    <s v="Excellent"/>
    <n v="2"/>
    <s v="Medium"/>
    <n v="1"/>
    <n v="4"/>
    <n v="2"/>
    <n v="4"/>
    <s v="Very High"/>
    <n v="2"/>
    <n v="2"/>
    <n v="2"/>
    <n v="2"/>
  </r>
  <r>
    <n v="26"/>
    <x v="2"/>
    <x v="1"/>
    <x v="0"/>
    <n v="933"/>
    <x v="0"/>
    <n v="1"/>
    <x v="0"/>
    <n v="3"/>
    <s v="Bachelor"/>
    <s v="Life Sciences"/>
    <n v="476"/>
    <n v="3"/>
    <x v="1"/>
    <s v="Male"/>
    <n v="57"/>
    <n v="3"/>
    <s v="High"/>
    <n v="2"/>
    <x v="0"/>
    <x v="0"/>
    <n v="3"/>
    <s v="High"/>
    <x v="1"/>
    <n v="5296"/>
    <n v="20156"/>
    <n v="1"/>
    <x v="1"/>
    <n v="17"/>
    <n v="3"/>
    <s v="Excellent"/>
    <n v="2"/>
    <s v="Medium"/>
    <n v="1"/>
    <n v="8"/>
    <n v="3"/>
    <n v="3"/>
    <s v="High"/>
    <n v="8"/>
    <n v="7"/>
    <n v="7"/>
    <n v="7"/>
  </r>
  <r>
    <n v="42"/>
    <x v="0"/>
    <x v="1"/>
    <x v="0"/>
    <n v="1332"/>
    <x v="1"/>
    <n v="2"/>
    <x v="0"/>
    <n v="4"/>
    <s v="Master"/>
    <s v="Other"/>
    <n v="477"/>
    <n v="1"/>
    <x v="2"/>
    <s v="Male"/>
    <n v="98"/>
    <n v="2"/>
    <s v="Medium"/>
    <n v="2"/>
    <x v="0"/>
    <x v="4"/>
    <n v="4"/>
    <s v="Very High"/>
    <x v="0"/>
    <n v="6781"/>
    <n v="17078"/>
    <n v="3"/>
    <x v="1"/>
    <n v="23"/>
    <n v="4"/>
    <s v="Outstanding"/>
    <n v="2"/>
    <s v="Medium"/>
    <n v="0"/>
    <n v="14"/>
    <n v="6"/>
    <n v="3"/>
    <s v="High"/>
    <n v="1"/>
    <n v="0"/>
    <n v="0"/>
    <n v="0"/>
  </r>
  <r>
    <n v="21"/>
    <x v="4"/>
    <x v="0"/>
    <x v="1"/>
    <n v="756"/>
    <x v="0"/>
    <n v="1"/>
    <x v="0"/>
    <n v="1"/>
    <s v="Below College"/>
    <s v="Technical Degree"/>
    <n v="478"/>
    <n v="1"/>
    <x v="2"/>
    <s v="Female"/>
    <n v="99"/>
    <n v="2"/>
    <s v="Medium"/>
    <n v="1"/>
    <x v="1"/>
    <x v="6"/>
    <n v="2"/>
    <s v="Medium"/>
    <x v="0"/>
    <n v="2174"/>
    <n v="9150"/>
    <n v="1"/>
    <x v="0"/>
    <n v="11"/>
    <n v="3"/>
    <s v="Excellent"/>
    <n v="3"/>
    <s v="High"/>
    <n v="0"/>
    <n v="3"/>
    <n v="3"/>
    <n v="3"/>
    <s v="High"/>
    <n v="3"/>
    <n v="2"/>
    <n v="1"/>
    <n v="2"/>
  </r>
  <r>
    <n v="36"/>
    <x v="0"/>
    <x v="1"/>
    <x v="2"/>
    <n v="845"/>
    <x v="0"/>
    <n v="1"/>
    <x v="0"/>
    <n v="5"/>
    <s v="Doctor"/>
    <s v="Medical"/>
    <n v="479"/>
    <n v="4"/>
    <x v="3"/>
    <s v="Female"/>
    <n v="45"/>
    <n v="3"/>
    <s v="High"/>
    <n v="2"/>
    <x v="0"/>
    <x v="0"/>
    <n v="4"/>
    <s v="Very High"/>
    <x v="0"/>
    <n v="6653"/>
    <n v="15276"/>
    <n v="4"/>
    <x v="1"/>
    <n v="15"/>
    <n v="3"/>
    <s v="Excellent"/>
    <n v="2"/>
    <s v="Medium"/>
    <n v="0"/>
    <n v="7"/>
    <n v="6"/>
    <n v="3"/>
    <s v="High"/>
    <n v="1"/>
    <n v="0"/>
    <n v="0"/>
    <n v="0"/>
  </r>
  <r>
    <n v="36"/>
    <x v="0"/>
    <x v="1"/>
    <x v="1"/>
    <n v="541"/>
    <x v="0"/>
    <n v="3"/>
    <x v="0"/>
    <n v="4"/>
    <s v="Master"/>
    <s v="Medical"/>
    <n v="481"/>
    <n v="1"/>
    <x v="2"/>
    <s v="Male"/>
    <n v="48"/>
    <n v="2"/>
    <s v="Medium"/>
    <n v="3"/>
    <x v="2"/>
    <x v="0"/>
    <n v="4"/>
    <s v="Very High"/>
    <x v="1"/>
    <n v="9699"/>
    <n v="7246"/>
    <n v="4"/>
    <x v="1"/>
    <n v="11"/>
    <n v="3"/>
    <s v="Excellent"/>
    <n v="1"/>
    <s v="Low"/>
    <n v="1"/>
    <n v="16"/>
    <n v="2"/>
    <n v="3"/>
    <s v="High"/>
    <n v="13"/>
    <n v="9"/>
    <n v="1"/>
    <n v="12"/>
  </r>
  <r>
    <n v="57"/>
    <x v="3"/>
    <x v="1"/>
    <x v="0"/>
    <n v="593"/>
    <x v="1"/>
    <n v="1"/>
    <x v="0"/>
    <n v="4"/>
    <s v="Master"/>
    <s v="Medical"/>
    <n v="482"/>
    <n v="4"/>
    <x v="3"/>
    <s v="Male"/>
    <n v="88"/>
    <n v="3"/>
    <s v="High"/>
    <n v="2"/>
    <x v="0"/>
    <x v="4"/>
    <n v="3"/>
    <s v="High"/>
    <x v="1"/>
    <n v="6755"/>
    <n v="2967"/>
    <n v="2"/>
    <x v="1"/>
    <n v="11"/>
    <n v="3"/>
    <s v="Excellent"/>
    <n v="3"/>
    <s v="High"/>
    <n v="0"/>
    <n v="15"/>
    <n v="2"/>
    <n v="3"/>
    <s v="High"/>
    <n v="3"/>
    <n v="2"/>
    <n v="1"/>
    <n v="2"/>
  </r>
  <r>
    <n v="40"/>
    <x v="0"/>
    <x v="1"/>
    <x v="0"/>
    <n v="1171"/>
    <x v="1"/>
    <n v="10"/>
    <x v="0"/>
    <n v="4"/>
    <s v="Master"/>
    <s v="Life Sciences"/>
    <n v="483"/>
    <n v="4"/>
    <x v="3"/>
    <s v="Female"/>
    <n v="46"/>
    <n v="4"/>
    <s v="Very High"/>
    <n v="1"/>
    <x v="1"/>
    <x v="2"/>
    <n v="3"/>
    <s v="High"/>
    <x v="1"/>
    <n v="2213"/>
    <n v="22495"/>
    <n v="3"/>
    <x v="0"/>
    <n v="13"/>
    <n v="3"/>
    <s v="Excellent"/>
    <n v="3"/>
    <s v="High"/>
    <n v="1"/>
    <n v="10"/>
    <n v="3"/>
    <n v="3"/>
    <s v="High"/>
    <n v="7"/>
    <n v="7"/>
    <n v="1"/>
    <n v="7"/>
  </r>
  <r>
    <n v="21"/>
    <x v="4"/>
    <x v="1"/>
    <x v="2"/>
    <n v="895"/>
    <x v="0"/>
    <n v="9"/>
    <x v="0"/>
    <n v="2"/>
    <s v="College"/>
    <s v="Medical"/>
    <n v="484"/>
    <n v="1"/>
    <x v="2"/>
    <s v="Male"/>
    <n v="39"/>
    <n v="3"/>
    <s v="High"/>
    <n v="1"/>
    <x v="1"/>
    <x v="6"/>
    <n v="4"/>
    <s v="Very High"/>
    <x v="0"/>
    <n v="2610"/>
    <n v="2851"/>
    <n v="1"/>
    <x v="1"/>
    <n v="24"/>
    <n v="4"/>
    <s v="Outstanding"/>
    <n v="3"/>
    <s v="High"/>
    <n v="0"/>
    <n v="3"/>
    <n v="3"/>
    <n v="2"/>
    <s v="Medium"/>
    <n v="3"/>
    <n v="2"/>
    <n v="2"/>
    <n v="2"/>
  </r>
  <r>
    <n v="33"/>
    <x v="2"/>
    <x v="0"/>
    <x v="0"/>
    <n v="350"/>
    <x v="0"/>
    <n v="5"/>
    <x v="0"/>
    <n v="3"/>
    <s v="Bachelor"/>
    <s v="Marketing"/>
    <n v="485"/>
    <n v="4"/>
    <x v="3"/>
    <s v="Female"/>
    <n v="34"/>
    <n v="3"/>
    <s v="High"/>
    <n v="1"/>
    <x v="1"/>
    <x v="6"/>
    <n v="3"/>
    <s v="High"/>
    <x v="0"/>
    <n v="2851"/>
    <n v="9150"/>
    <n v="1"/>
    <x v="0"/>
    <n v="13"/>
    <n v="3"/>
    <s v="Excellent"/>
    <n v="2"/>
    <s v="Medium"/>
    <n v="0"/>
    <n v="1"/>
    <n v="2"/>
    <n v="3"/>
    <s v="High"/>
    <n v="1"/>
    <n v="0"/>
    <n v="0"/>
    <n v="0"/>
  </r>
  <r>
    <n v="37"/>
    <x v="0"/>
    <x v="1"/>
    <x v="0"/>
    <n v="921"/>
    <x v="1"/>
    <n v="10"/>
    <x v="0"/>
    <n v="3"/>
    <s v="Bachelor"/>
    <s v="Medical"/>
    <n v="486"/>
    <n v="3"/>
    <x v="1"/>
    <s v="Female"/>
    <n v="98"/>
    <n v="3"/>
    <s v="High"/>
    <n v="1"/>
    <x v="1"/>
    <x v="2"/>
    <n v="1"/>
    <s v="Low"/>
    <x v="1"/>
    <n v="3452"/>
    <n v="17663"/>
    <n v="6"/>
    <x v="1"/>
    <n v="20"/>
    <n v="4"/>
    <s v="Outstanding"/>
    <n v="2"/>
    <s v="Medium"/>
    <n v="1"/>
    <n v="17"/>
    <n v="3"/>
    <n v="3"/>
    <s v="High"/>
    <n v="5"/>
    <n v="4"/>
    <n v="0"/>
    <n v="3"/>
  </r>
  <r>
    <n v="46"/>
    <x v="1"/>
    <x v="1"/>
    <x v="2"/>
    <n v="1144"/>
    <x v="1"/>
    <n v="7"/>
    <x v="0"/>
    <n v="4"/>
    <s v="Master"/>
    <s v="Medical"/>
    <n v="487"/>
    <n v="3"/>
    <x v="1"/>
    <s v="Female"/>
    <n v="30"/>
    <n v="3"/>
    <s v="High"/>
    <n v="2"/>
    <x v="0"/>
    <x v="3"/>
    <n v="3"/>
    <s v="High"/>
    <x v="1"/>
    <n v="5258"/>
    <n v="16044"/>
    <n v="2"/>
    <x v="1"/>
    <n v="14"/>
    <n v="3"/>
    <s v="Excellent"/>
    <n v="3"/>
    <s v="High"/>
    <n v="0"/>
    <n v="7"/>
    <n v="2"/>
    <n v="4"/>
    <s v="Very High"/>
    <n v="1"/>
    <n v="0"/>
    <n v="0"/>
    <n v="0"/>
  </r>
  <r>
    <n v="41"/>
    <x v="0"/>
    <x v="0"/>
    <x v="1"/>
    <n v="143"/>
    <x v="0"/>
    <n v="4"/>
    <x v="0"/>
    <n v="3"/>
    <s v="Bachelor"/>
    <s v="Marketing"/>
    <n v="488"/>
    <n v="1"/>
    <x v="2"/>
    <s v="Male"/>
    <n v="56"/>
    <n v="3"/>
    <s v="High"/>
    <n v="2"/>
    <x v="0"/>
    <x v="0"/>
    <n v="2"/>
    <s v="Medium"/>
    <x v="0"/>
    <n v="9355"/>
    <n v="9558"/>
    <n v="1"/>
    <x v="1"/>
    <n v="18"/>
    <n v="3"/>
    <s v="Excellent"/>
    <n v="3"/>
    <s v="High"/>
    <n v="0"/>
    <n v="8"/>
    <n v="5"/>
    <n v="3"/>
    <s v="High"/>
    <n v="8"/>
    <n v="7"/>
    <n v="7"/>
    <n v="7"/>
  </r>
  <r>
    <n v="50"/>
    <x v="1"/>
    <x v="1"/>
    <x v="0"/>
    <n v="1046"/>
    <x v="1"/>
    <n v="10"/>
    <x v="0"/>
    <n v="3"/>
    <s v="Bachelor"/>
    <s v="Technical Degree"/>
    <n v="491"/>
    <n v="4"/>
    <x v="3"/>
    <s v="Male"/>
    <n v="100"/>
    <n v="2"/>
    <s v="Medium"/>
    <n v="3"/>
    <x v="2"/>
    <x v="4"/>
    <n v="4"/>
    <s v="Very High"/>
    <x v="0"/>
    <n v="10496"/>
    <n v="2755"/>
    <n v="6"/>
    <x v="1"/>
    <n v="15"/>
    <n v="3"/>
    <s v="Excellent"/>
    <n v="4"/>
    <s v="Very High"/>
    <n v="0"/>
    <n v="20"/>
    <n v="2"/>
    <n v="3"/>
    <s v="High"/>
    <n v="4"/>
    <n v="3"/>
    <n v="1"/>
    <n v="3"/>
  </r>
  <r>
    <n v="40"/>
    <x v="0"/>
    <x v="0"/>
    <x v="0"/>
    <n v="575"/>
    <x v="0"/>
    <n v="22"/>
    <x v="1"/>
    <n v="2"/>
    <s v="College"/>
    <s v="Marketing"/>
    <n v="492"/>
    <n v="3"/>
    <x v="1"/>
    <s v="Male"/>
    <n v="68"/>
    <n v="2"/>
    <s v="Medium"/>
    <n v="2"/>
    <x v="0"/>
    <x v="0"/>
    <n v="3"/>
    <s v="High"/>
    <x v="1"/>
    <n v="6380"/>
    <n v="6110"/>
    <n v="2"/>
    <x v="0"/>
    <n v="12"/>
    <n v="3"/>
    <s v="Excellent"/>
    <n v="1"/>
    <s v="Low"/>
    <n v="2"/>
    <n v="8"/>
    <n v="6"/>
    <n v="3"/>
    <s v="High"/>
    <n v="6"/>
    <n v="4"/>
    <n v="1"/>
    <n v="0"/>
  </r>
  <r>
    <n v="31"/>
    <x v="2"/>
    <x v="1"/>
    <x v="0"/>
    <n v="408"/>
    <x v="1"/>
    <n v="9"/>
    <x v="0"/>
    <n v="4"/>
    <s v="Master"/>
    <s v="Life Sciences"/>
    <n v="493"/>
    <n v="3"/>
    <x v="1"/>
    <s v="Male"/>
    <n v="42"/>
    <n v="2"/>
    <s v="Medium"/>
    <n v="1"/>
    <x v="1"/>
    <x v="1"/>
    <n v="2"/>
    <s v="Medium"/>
    <x v="0"/>
    <n v="2657"/>
    <n v="7551"/>
    <n v="0"/>
    <x v="0"/>
    <n v="16"/>
    <n v="3"/>
    <s v="Excellent"/>
    <n v="4"/>
    <s v="Very High"/>
    <n v="0"/>
    <n v="3"/>
    <n v="5"/>
    <n v="3"/>
    <s v="High"/>
    <n v="2"/>
    <n v="2"/>
    <n v="2"/>
    <n v="2"/>
  </r>
  <r>
    <n v="21"/>
    <x v="4"/>
    <x v="0"/>
    <x v="0"/>
    <n v="156"/>
    <x v="0"/>
    <n v="12"/>
    <x v="2"/>
    <n v="3"/>
    <s v="Bachelor"/>
    <s v="Life Sciences"/>
    <n v="494"/>
    <n v="3"/>
    <x v="1"/>
    <s v="Female"/>
    <n v="90"/>
    <n v="4"/>
    <s v="Very High"/>
    <n v="1"/>
    <x v="1"/>
    <x v="6"/>
    <n v="2"/>
    <s v="Medium"/>
    <x v="0"/>
    <n v="2716"/>
    <n v="25422"/>
    <n v="1"/>
    <x v="1"/>
    <n v="15"/>
    <n v="3"/>
    <s v="Excellent"/>
    <n v="4"/>
    <s v="Very High"/>
    <n v="0"/>
    <n v="1"/>
    <n v="0"/>
    <n v="3"/>
    <s v="High"/>
    <n v="1"/>
    <n v="0"/>
    <n v="0"/>
    <n v="0"/>
  </r>
  <r>
    <n v="29"/>
    <x v="2"/>
    <x v="1"/>
    <x v="0"/>
    <n v="1283"/>
    <x v="1"/>
    <n v="23"/>
    <x v="1"/>
    <n v="3"/>
    <s v="Bachelor"/>
    <s v="Life Sciences"/>
    <n v="495"/>
    <n v="4"/>
    <x v="3"/>
    <s v="Male"/>
    <n v="54"/>
    <n v="3"/>
    <s v="High"/>
    <n v="1"/>
    <x v="1"/>
    <x v="1"/>
    <n v="4"/>
    <s v="Very High"/>
    <x v="0"/>
    <n v="2201"/>
    <n v="18168"/>
    <n v="9"/>
    <x v="1"/>
    <n v="16"/>
    <n v="3"/>
    <s v="Excellent"/>
    <n v="4"/>
    <s v="Very High"/>
    <n v="0"/>
    <n v="6"/>
    <n v="4"/>
    <n v="3"/>
    <s v="High"/>
    <n v="3"/>
    <n v="2"/>
    <n v="1"/>
    <n v="2"/>
  </r>
  <r>
    <n v="35"/>
    <x v="2"/>
    <x v="1"/>
    <x v="0"/>
    <n v="755"/>
    <x v="1"/>
    <n v="9"/>
    <x v="0"/>
    <n v="4"/>
    <s v="Master"/>
    <s v="Life Sciences"/>
    <n v="496"/>
    <n v="3"/>
    <x v="1"/>
    <s v="Male"/>
    <n v="97"/>
    <n v="2"/>
    <s v="Medium"/>
    <n v="2"/>
    <x v="0"/>
    <x v="4"/>
    <n v="2"/>
    <s v="Medium"/>
    <x v="0"/>
    <n v="6540"/>
    <n v="19394"/>
    <n v="9"/>
    <x v="1"/>
    <n v="19"/>
    <n v="3"/>
    <s v="Excellent"/>
    <n v="3"/>
    <s v="High"/>
    <n v="0"/>
    <n v="10"/>
    <n v="5"/>
    <n v="3"/>
    <s v="High"/>
    <n v="1"/>
    <n v="1"/>
    <n v="0"/>
    <n v="0"/>
  </r>
  <r>
    <n v="27"/>
    <x v="2"/>
    <x v="1"/>
    <x v="0"/>
    <n v="1469"/>
    <x v="1"/>
    <n v="1"/>
    <x v="0"/>
    <n v="2"/>
    <s v="College"/>
    <s v="Medical"/>
    <n v="497"/>
    <n v="4"/>
    <x v="3"/>
    <s v="Male"/>
    <n v="82"/>
    <n v="3"/>
    <s v="High"/>
    <n v="1"/>
    <x v="1"/>
    <x v="2"/>
    <n v="2"/>
    <s v="Medium"/>
    <x v="2"/>
    <n v="3816"/>
    <n v="17881"/>
    <n v="1"/>
    <x v="1"/>
    <n v="11"/>
    <n v="3"/>
    <s v="Excellent"/>
    <n v="2"/>
    <s v="Medium"/>
    <n v="1"/>
    <n v="5"/>
    <n v="2"/>
    <n v="3"/>
    <s v="High"/>
    <n v="5"/>
    <n v="2"/>
    <n v="0"/>
    <n v="4"/>
  </r>
  <r>
    <n v="28"/>
    <x v="2"/>
    <x v="1"/>
    <x v="0"/>
    <n v="304"/>
    <x v="0"/>
    <n v="9"/>
    <x v="0"/>
    <n v="4"/>
    <s v="Master"/>
    <s v="Life Sciences"/>
    <n v="498"/>
    <n v="2"/>
    <x v="0"/>
    <s v="Male"/>
    <n v="92"/>
    <n v="3"/>
    <s v="High"/>
    <n v="2"/>
    <x v="0"/>
    <x v="0"/>
    <n v="4"/>
    <s v="Very High"/>
    <x v="0"/>
    <n v="5253"/>
    <n v="20750"/>
    <n v="1"/>
    <x v="1"/>
    <n v="16"/>
    <n v="3"/>
    <s v="Excellent"/>
    <n v="4"/>
    <s v="Very High"/>
    <n v="0"/>
    <n v="7"/>
    <n v="1"/>
    <n v="3"/>
    <s v="High"/>
    <n v="7"/>
    <n v="5"/>
    <n v="0"/>
    <n v="7"/>
  </r>
  <r>
    <n v="49"/>
    <x v="1"/>
    <x v="1"/>
    <x v="0"/>
    <n v="1261"/>
    <x v="1"/>
    <n v="7"/>
    <x v="0"/>
    <n v="3"/>
    <s v="Bachelor"/>
    <s v="Other"/>
    <n v="499"/>
    <n v="2"/>
    <x v="0"/>
    <s v="Male"/>
    <n v="31"/>
    <n v="2"/>
    <s v="Medium"/>
    <n v="3"/>
    <x v="2"/>
    <x v="4"/>
    <n v="3"/>
    <s v="High"/>
    <x v="0"/>
    <n v="10965"/>
    <n v="12066"/>
    <n v="8"/>
    <x v="1"/>
    <n v="24"/>
    <n v="4"/>
    <s v="Outstanding"/>
    <n v="3"/>
    <s v="High"/>
    <n v="0"/>
    <n v="26"/>
    <n v="2"/>
    <n v="3"/>
    <s v="High"/>
    <n v="5"/>
    <n v="2"/>
    <n v="0"/>
    <n v="0"/>
  </r>
  <r>
    <n v="51"/>
    <x v="1"/>
    <x v="1"/>
    <x v="0"/>
    <n v="1178"/>
    <x v="0"/>
    <n v="14"/>
    <x v="2"/>
    <n v="2"/>
    <s v="College"/>
    <s v="Life Sciences"/>
    <n v="500"/>
    <n v="3"/>
    <x v="1"/>
    <s v="Female"/>
    <n v="87"/>
    <n v="3"/>
    <s v="High"/>
    <n v="2"/>
    <x v="0"/>
    <x v="0"/>
    <n v="4"/>
    <s v="Very High"/>
    <x v="1"/>
    <n v="4936"/>
    <n v="14862"/>
    <n v="4"/>
    <x v="1"/>
    <n v="11"/>
    <n v="3"/>
    <s v="Excellent"/>
    <n v="3"/>
    <s v="High"/>
    <n v="1"/>
    <n v="18"/>
    <n v="2"/>
    <n v="2"/>
    <s v="Medium"/>
    <n v="7"/>
    <n v="7"/>
    <n v="0"/>
    <n v="7"/>
  </r>
  <r>
    <n v="36"/>
    <x v="0"/>
    <x v="1"/>
    <x v="0"/>
    <n v="329"/>
    <x v="1"/>
    <n v="2"/>
    <x v="0"/>
    <n v="3"/>
    <s v="Bachelor"/>
    <s v="Life Sciences"/>
    <n v="501"/>
    <n v="4"/>
    <x v="3"/>
    <s v="Female"/>
    <n v="96"/>
    <n v="3"/>
    <s v="High"/>
    <n v="1"/>
    <x v="1"/>
    <x v="1"/>
    <n v="3"/>
    <s v="High"/>
    <x v="1"/>
    <n v="2543"/>
    <n v="11868"/>
    <n v="4"/>
    <x v="1"/>
    <n v="13"/>
    <n v="3"/>
    <s v="Excellent"/>
    <n v="2"/>
    <s v="Medium"/>
    <n v="1"/>
    <n v="6"/>
    <n v="3"/>
    <n v="3"/>
    <s v="High"/>
    <n v="2"/>
    <n v="2"/>
    <n v="2"/>
    <n v="2"/>
  </r>
  <r>
    <n v="34"/>
    <x v="2"/>
    <x v="0"/>
    <x v="2"/>
    <n v="1362"/>
    <x v="0"/>
    <n v="19"/>
    <x v="2"/>
    <n v="3"/>
    <s v="Bachelor"/>
    <s v="Marketing"/>
    <n v="502"/>
    <n v="1"/>
    <x v="2"/>
    <s v="Male"/>
    <n v="67"/>
    <n v="4"/>
    <s v="Very High"/>
    <n v="2"/>
    <x v="0"/>
    <x v="0"/>
    <n v="4"/>
    <s v="Very High"/>
    <x v="0"/>
    <n v="5304"/>
    <n v="4652"/>
    <n v="8"/>
    <x v="0"/>
    <n v="13"/>
    <n v="3"/>
    <s v="Excellent"/>
    <n v="2"/>
    <s v="Medium"/>
    <n v="0"/>
    <n v="9"/>
    <n v="3"/>
    <n v="2"/>
    <s v="Medium"/>
    <n v="5"/>
    <n v="2"/>
    <n v="0"/>
    <n v="4"/>
  </r>
  <r>
    <n v="55"/>
    <x v="1"/>
    <x v="1"/>
    <x v="0"/>
    <n v="1311"/>
    <x v="1"/>
    <n v="2"/>
    <x v="0"/>
    <n v="3"/>
    <s v="Bachelor"/>
    <s v="Life Sciences"/>
    <n v="505"/>
    <n v="3"/>
    <x v="1"/>
    <s v="Female"/>
    <n v="97"/>
    <n v="3"/>
    <s v="High"/>
    <n v="4"/>
    <x v="3"/>
    <x v="5"/>
    <n v="4"/>
    <s v="Very High"/>
    <x v="0"/>
    <n v="16659"/>
    <n v="23258"/>
    <n v="2"/>
    <x v="0"/>
    <n v="13"/>
    <n v="3"/>
    <s v="Excellent"/>
    <n v="3"/>
    <s v="High"/>
    <n v="0"/>
    <n v="30"/>
    <n v="2"/>
    <n v="3"/>
    <s v="High"/>
    <n v="5"/>
    <n v="4"/>
    <n v="1"/>
    <n v="2"/>
  </r>
  <r>
    <n v="24"/>
    <x v="4"/>
    <x v="1"/>
    <x v="0"/>
    <n v="1371"/>
    <x v="0"/>
    <n v="10"/>
    <x v="0"/>
    <n v="4"/>
    <s v="Master"/>
    <s v="Marketing"/>
    <n v="507"/>
    <n v="4"/>
    <x v="3"/>
    <s v="Female"/>
    <n v="77"/>
    <n v="3"/>
    <s v="High"/>
    <n v="2"/>
    <x v="0"/>
    <x v="0"/>
    <n v="3"/>
    <s v="High"/>
    <x v="2"/>
    <n v="4260"/>
    <n v="5915"/>
    <n v="1"/>
    <x v="0"/>
    <n v="12"/>
    <n v="3"/>
    <s v="Excellent"/>
    <n v="4"/>
    <s v="Very High"/>
    <n v="1"/>
    <n v="5"/>
    <n v="2"/>
    <n v="4"/>
    <s v="Very High"/>
    <n v="5"/>
    <n v="2"/>
    <n v="0"/>
    <n v="3"/>
  </r>
  <r>
    <n v="30"/>
    <x v="2"/>
    <x v="1"/>
    <x v="0"/>
    <n v="202"/>
    <x v="0"/>
    <n v="2"/>
    <x v="0"/>
    <n v="1"/>
    <s v="Below College"/>
    <s v="Technical Degree"/>
    <n v="508"/>
    <n v="3"/>
    <x v="1"/>
    <s v="Male"/>
    <n v="72"/>
    <n v="3"/>
    <s v="High"/>
    <n v="1"/>
    <x v="1"/>
    <x v="6"/>
    <n v="2"/>
    <s v="Medium"/>
    <x v="1"/>
    <n v="2476"/>
    <n v="17434"/>
    <n v="1"/>
    <x v="1"/>
    <n v="18"/>
    <n v="3"/>
    <s v="Excellent"/>
    <n v="1"/>
    <s v="Low"/>
    <n v="1"/>
    <n v="1"/>
    <n v="3"/>
    <n v="3"/>
    <s v="High"/>
    <n v="1"/>
    <n v="0"/>
    <n v="0"/>
    <n v="0"/>
  </r>
  <r>
    <n v="26"/>
    <x v="2"/>
    <x v="0"/>
    <x v="1"/>
    <n v="575"/>
    <x v="1"/>
    <n v="3"/>
    <x v="0"/>
    <n v="1"/>
    <s v="Below College"/>
    <s v="Technical Degree"/>
    <n v="510"/>
    <n v="3"/>
    <x v="1"/>
    <s v="Male"/>
    <n v="73"/>
    <n v="3"/>
    <s v="High"/>
    <n v="1"/>
    <x v="1"/>
    <x v="1"/>
    <n v="1"/>
    <s v="Low"/>
    <x v="0"/>
    <n v="3102"/>
    <n v="6582"/>
    <n v="0"/>
    <x v="1"/>
    <n v="22"/>
    <n v="4"/>
    <s v="Outstanding"/>
    <n v="3"/>
    <s v="High"/>
    <n v="0"/>
    <n v="7"/>
    <n v="2"/>
    <n v="3"/>
    <s v="High"/>
    <n v="6"/>
    <n v="4"/>
    <n v="0"/>
    <n v="4"/>
  </r>
  <r>
    <n v="22"/>
    <x v="4"/>
    <x v="1"/>
    <x v="0"/>
    <n v="253"/>
    <x v="1"/>
    <n v="11"/>
    <x v="2"/>
    <n v="3"/>
    <s v="Bachelor"/>
    <s v="Medical"/>
    <n v="511"/>
    <n v="1"/>
    <x v="2"/>
    <s v="Female"/>
    <n v="43"/>
    <n v="3"/>
    <s v="High"/>
    <n v="1"/>
    <x v="1"/>
    <x v="1"/>
    <n v="2"/>
    <s v="Medium"/>
    <x v="1"/>
    <n v="2244"/>
    <n v="24440"/>
    <n v="1"/>
    <x v="1"/>
    <n v="13"/>
    <n v="3"/>
    <s v="Excellent"/>
    <n v="4"/>
    <s v="Very High"/>
    <n v="1"/>
    <n v="2"/>
    <n v="1"/>
    <n v="3"/>
    <s v="High"/>
    <n v="2"/>
    <n v="1"/>
    <n v="1"/>
    <n v="2"/>
  </r>
  <r>
    <n v="36"/>
    <x v="0"/>
    <x v="1"/>
    <x v="0"/>
    <n v="164"/>
    <x v="0"/>
    <n v="2"/>
    <x v="0"/>
    <n v="2"/>
    <s v="College"/>
    <s v="Medical"/>
    <n v="513"/>
    <n v="2"/>
    <x v="0"/>
    <s v="Male"/>
    <n v="61"/>
    <n v="2"/>
    <s v="Medium"/>
    <n v="3"/>
    <x v="2"/>
    <x v="0"/>
    <n v="3"/>
    <s v="High"/>
    <x v="1"/>
    <n v="7596"/>
    <n v="3809"/>
    <n v="1"/>
    <x v="1"/>
    <n v="13"/>
    <n v="3"/>
    <s v="Excellent"/>
    <n v="2"/>
    <s v="Medium"/>
    <n v="2"/>
    <n v="10"/>
    <n v="2"/>
    <n v="3"/>
    <s v="High"/>
    <n v="10"/>
    <n v="9"/>
    <n v="9"/>
    <n v="0"/>
  </r>
  <r>
    <n v="30"/>
    <x v="2"/>
    <x v="0"/>
    <x v="1"/>
    <n v="464"/>
    <x v="1"/>
    <n v="4"/>
    <x v="0"/>
    <n v="3"/>
    <s v="Bachelor"/>
    <s v="Technical Degree"/>
    <n v="514"/>
    <n v="3"/>
    <x v="1"/>
    <s v="Male"/>
    <n v="40"/>
    <n v="3"/>
    <s v="High"/>
    <n v="1"/>
    <x v="1"/>
    <x v="1"/>
    <n v="4"/>
    <s v="Very High"/>
    <x v="0"/>
    <n v="2285"/>
    <n v="3427"/>
    <n v="9"/>
    <x v="0"/>
    <n v="23"/>
    <n v="4"/>
    <s v="Outstanding"/>
    <n v="3"/>
    <s v="High"/>
    <n v="0"/>
    <n v="3"/>
    <n v="4"/>
    <n v="3"/>
    <s v="High"/>
    <n v="1"/>
    <n v="0"/>
    <n v="0"/>
    <n v="0"/>
  </r>
  <r>
    <n v="37"/>
    <x v="0"/>
    <x v="1"/>
    <x v="0"/>
    <n v="1107"/>
    <x v="1"/>
    <n v="14"/>
    <x v="2"/>
    <n v="3"/>
    <s v="Bachelor"/>
    <s v="Life Sciences"/>
    <n v="515"/>
    <n v="4"/>
    <x v="3"/>
    <s v="Female"/>
    <n v="95"/>
    <n v="3"/>
    <s v="High"/>
    <n v="1"/>
    <x v="1"/>
    <x v="2"/>
    <n v="1"/>
    <s v="Low"/>
    <x v="2"/>
    <n v="3034"/>
    <n v="26914"/>
    <n v="1"/>
    <x v="1"/>
    <n v="12"/>
    <n v="3"/>
    <s v="Excellent"/>
    <n v="3"/>
    <s v="High"/>
    <n v="1"/>
    <n v="18"/>
    <n v="2"/>
    <n v="2"/>
    <s v="Medium"/>
    <n v="18"/>
    <n v="7"/>
    <n v="12"/>
    <n v="17"/>
  </r>
  <r>
    <n v="40"/>
    <x v="0"/>
    <x v="1"/>
    <x v="0"/>
    <n v="759"/>
    <x v="0"/>
    <n v="2"/>
    <x v="0"/>
    <n v="2"/>
    <s v="College"/>
    <s v="Marketing"/>
    <n v="516"/>
    <n v="4"/>
    <x v="3"/>
    <s v="Female"/>
    <n v="46"/>
    <n v="3"/>
    <s v="High"/>
    <n v="2"/>
    <x v="0"/>
    <x v="0"/>
    <n v="2"/>
    <s v="Medium"/>
    <x v="2"/>
    <n v="5715"/>
    <n v="22553"/>
    <n v="7"/>
    <x v="1"/>
    <n v="12"/>
    <n v="3"/>
    <s v="Excellent"/>
    <n v="3"/>
    <s v="High"/>
    <n v="2"/>
    <n v="8"/>
    <n v="5"/>
    <n v="3"/>
    <s v="High"/>
    <n v="5"/>
    <n v="4"/>
    <n v="1"/>
    <n v="3"/>
  </r>
  <r>
    <n v="42"/>
    <x v="0"/>
    <x v="1"/>
    <x v="0"/>
    <n v="201"/>
    <x v="1"/>
    <n v="1"/>
    <x v="0"/>
    <n v="4"/>
    <s v="Master"/>
    <s v="Life Sciences"/>
    <n v="517"/>
    <n v="2"/>
    <x v="0"/>
    <s v="Female"/>
    <n v="95"/>
    <n v="3"/>
    <s v="High"/>
    <n v="1"/>
    <x v="1"/>
    <x v="2"/>
    <n v="1"/>
    <s v="Low"/>
    <x v="2"/>
    <n v="2576"/>
    <n v="20490"/>
    <n v="3"/>
    <x v="1"/>
    <n v="16"/>
    <n v="3"/>
    <s v="Excellent"/>
    <n v="2"/>
    <s v="Medium"/>
    <n v="1"/>
    <n v="8"/>
    <n v="5"/>
    <n v="3"/>
    <s v="High"/>
    <n v="5"/>
    <n v="2"/>
    <n v="1"/>
    <n v="2"/>
  </r>
  <r>
    <n v="37"/>
    <x v="0"/>
    <x v="1"/>
    <x v="0"/>
    <n v="1305"/>
    <x v="1"/>
    <n v="10"/>
    <x v="0"/>
    <n v="4"/>
    <s v="Master"/>
    <s v="Life Sciences"/>
    <n v="518"/>
    <n v="3"/>
    <x v="1"/>
    <s v="Male"/>
    <n v="49"/>
    <n v="3"/>
    <s v="High"/>
    <n v="2"/>
    <x v="0"/>
    <x v="3"/>
    <n v="2"/>
    <s v="Medium"/>
    <x v="0"/>
    <n v="4197"/>
    <n v="21123"/>
    <n v="2"/>
    <x v="0"/>
    <n v="12"/>
    <n v="3"/>
    <s v="Excellent"/>
    <n v="4"/>
    <s v="Very High"/>
    <n v="0"/>
    <n v="18"/>
    <n v="2"/>
    <n v="2"/>
    <s v="Medium"/>
    <n v="1"/>
    <n v="0"/>
    <n v="0"/>
    <n v="1"/>
  </r>
  <r>
    <n v="43"/>
    <x v="0"/>
    <x v="1"/>
    <x v="0"/>
    <n v="982"/>
    <x v="1"/>
    <n v="12"/>
    <x v="2"/>
    <n v="3"/>
    <s v="Bachelor"/>
    <s v="Life Sciences"/>
    <n v="520"/>
    <n v="1"/>
    <x v="2"/>
    <s v="Male"/>
    <n v="59"/>
    <n v="2"/>
    <s v="Medium"/>
    <n v="4"/>
    <x v="3"/>
    <x v="7"/>
    <n v="2"/>
    <s v="Medium"/>
    <x v="2"/>
    <n v="14336"/>
    <n v="4345"/>
    <n v="1"/>
    <x v="1"/>
    <n v="11"/>
    <n v="3"/>
    <s v="Excellent"/>
    <n v="3"/>
    <s v="High"/>
    <n v="1"/>
    <n v="25"/>
    <n v="3"/>
    <n v="3"/>
    <s v="High"/>
    <n v="25"/>
    <n v="10"/>
    <n v="3"/>
    <n v="9"/>
  </r>
  <r>
    <n v="40"/>
    <x v="0"/>
    <x v="1"/>
    <x v="0"/>
    <n v="555"/>
    <x v="1"/>
    <n v="2"/>
    <x v="0"/>
    <n v="3"/>
    <s v="Bachelor"/>
    <s v="Medical"/>
    <n v="521"/>
    <n v="2"/>
    <x v="0"/>
    <s v="Female"/>
    <n v="78"/>
    <n v="2"/>
    <s v="Medium"/>
    <n v="2"/>
    <x v="0"/>
    <x v="2"/>
    <n v="3"/>
    <s v="High"/>
    <x v="1"/>
    <n v="3448"/>
    <n v="13436"/>
    <n v="6"/>
    <x v="1"/>
    <n v="22"/>
    <n v="4"/>
    <s v="Outstanding"/>
    <n v="2"/>
    <s v="Medium"/>
    <n v="1"/>
    <n v="20"/>
    <n v="3"/>
    <n v="3"/>
    <s v="High"/>
    <n v="1"/>
    <n v="0"/>
    <n v="0"/>
    <n v="0"/>
  </r>
  <r>
    <n v="54"/>
    <x v="1"/>
    <x v="1"/>
    <x v="0"/>
    <n v="821"/>
    <x v="1"/>
    <n v="5"/>
    <x v="0"/>
    <n v="2"/>
    <s v="College"/>
    <s v="Medical"/>
    <n v="522"/>
    <n v="1"/>
    <x v="2"/>
    <s v="Male"/>
    <n v="86"/>
    <n v="3"/>
    <s v="High"/>
    <n v="5"/>
    <x v="4"/>
    <x v="7"/>
    <n v="1"/>
    <s v="Low"/>
    <x v="1"/>
    <n v="19406"/>
    <n v="8509"/>
    <n v="4"/>
    <x v="1"/>
    <n v="11"/>
    <n v="3"/>
    <s v="Excellent"/>
    <n v="3"/>
    <s v="High"/>
    <n v="1"/>
    <n v="24"/>
    <n v="4"/>
    <n v="2"/>
    <s v="Medium"/>
    <n v="4"/>
    <n v="2"/>
    <n v="1"/>
    <n v="2"/>
  </r>
  <r>
    <n v="34"/>
    <x v="2"/>
    <x v="1"/>
    <x v="2"/>
    <n v="1381"/>
    <x v="0"/>
    <n v="4"/>
    <x v="0"/>
    <n v="4"/>
    <s v="Master"/>
    <s v="Marketing"/>
    <n v="523"/>
    <n v="3"/>
    <x v="1"/>
    <s v="Female"/>
    <n v="72"/>
    <n v="3"/>
    <s v="High"/>
    <n v="2"/>
    <x v="0"/>
    <x v="0"/>
    <n v="3"/>
    <s v="High"/>
    <x v="1"/>
    <n v="6538"/>
    <n v="12740"/>
    <n v="9"/>
    <x v="1"/>
    <n v="15"/>
    <n v="3"/>
    <s v="Excellent"/>
    <n v="1"/>
    <s v="Low"/>
    <n v="1"/>
    <n v="6"/>
    <n v="3"/>
    <n v="3"/>
    <s v="High"/>
    <n v="3"/>
    <n v="2"/>
    <n v="1"/>
    <n v="2"/>
  </r>
  <r>
    <n v="31"/>
    <x v="2"/>
    <x v="1"/>
    <x v="0"/>
    <n v="480"/>
    <x v="1"/>
    <n v="7"/>
    <x v="0"/>
    <n v="2"/>
    <s v="College"/>
    <s v="Medical"/>
    <n v="524"/>
    <n v="2"/>
    <x v="0"/>
    <s v="Female"/>
    <n v="31"/>
    <n v="3"/>
    <s v="High"/>
    <n v="2"/>
    <x v="0"/>
    <x v="3"/>
    <n v="1"/>
    <s v="Low"/>
    <x v="1"/>
    <n v="4306"/>
    <n v="4156"/>
    <n v="1"/>
    <x v="1"/>
    <n v="12"/>
    <n v="3"/>
    <s v="Excellent"/>
    <n v="2"/>
    <s v="Medium"/>
    <n v="1"/>
    <n v="13"/>
    <n v="5"/>
    <n v="1"/>
    <s v="Low"/>
    <n v="13"/>
    <n v="10"/>
    <n v="3"/>
    <n v="12"/>
  </r>
  <r>
    <n v="43"/>
    <x v="0"/>
    <x v="1"/>
    <x v="1"/>
    <n v="313"/>
    <x v="1"/>
    <n v="21"/>
    <x v="1"/>
    <n v="3"/>
    <s v="Bachelor"/>
    <s v="Medical"/>
    <n v="525"/>
    <n v="4"/>
    <x v="3"/>
    <s v="Male"/>
    <n v="61"/>
    <n v="3"/>
    <s v="High"/>
    <n v="1"/>
    <x v="1"/>
    <x v="2"/>
    <n v="4"/>
    <s v="Very High"/>
    <x v="1"/>
    <n v="2258"/>
    <n v="15238"/>
    <n v="7"/>
    <x v="1"/>
    <n v="20"/>
    <n v="4"/>
    <s v="Outstanding"/>
    <n v="1"/>
    <s v="Low"/>
    <n v="1"/>
    <n v="8"/>
    <n v="1"/>
    <n v="3"/>
    <s v="High"/>
    <n v="3"/>
    <n v="2"/>
    <n v="1"/>
    <n v="2"/>
  </r>
  <r>
    <n v="43"/>
    <x v="0"/>
    <x v="1"/>
    <x v="0"/>
    <n v="1473"/>
    <x v="1"/>
    <n v="8"/>
    <x v="0"/>
    <n v="4"/>
    <s v="Master"/>
    <s v="Other"/>
    <n v="526"/>
    <n v="3"/>
    <x v="1"/>
    <s v="Female"/>
    <n v="74"/>
    <n v="3"/>
    <s v="High"/>
    <n v="2"/>
    <x v="0"/>
    <x v="4"/>
    <n v="3"/>
    <s v="High"/>
    <x v="2"/>
    <n v="4522"/>
    <n v="2227"/>
    <n v="4"/>
    <x v="0"/>
    <n v="14"/>
    <n v="3"/>
    <s v="Excellent"/>
    <n v="4"/>
    <s v="Very High"/>
    <n v="0"/>
    <n v="8"/>
    <n v="3"/>
    <n v="3"/>
    <s v="High"/>
    <n v="5"/>
    <n v="2"/>
    <n v="0"/>
    <n v="2"/>
  </r>
  <r>
    <n v="25"/>
    <x v="4"/>
    <x v="1"/>
    <x v="0"/>
    <n v="891"/>
    <x v="0"/>
    <n v="4"/>
    <x v="0"/>
    <n v="2"/>
    <s v="College"/>
    <s v="Life Sciences"/>
    <n v="527"/>
    <n v="2"/>
    <x v="0"/>
    <s v="Female"/>
    <n v="99"/>
    <n v="2"/>
    <s v="Medium"/>
    <n v="2"/>
    <x v="0"/>
    <x v="0"/>
    <n v="4"/>
    <s v="Very High"/>
    <x v="0"/>
    <n v="4487"/>
    <n v="12090"/>
    <n v="1"/>
    <x v="0"/>
    <n v="11"/>
    <n v="3"/>
    <s v="Excellent"/>
    <n v="2"/>
    <s v="Medium"/>
    <n v="0"/>
    <n v="5"/>
    <n v="3"/>
    <n v="3"/>
    <s v="High"/>
    <n v="5"/>
    <n v="4"/>
    <n v="1"/>
    <n v="3"/>
  </r>
  <r>
    <n v="37"/>
    <x v="0"/>
    <x v="1"/>
    <x v="2"/>
    <n v="1063"/>
    <x v="1"/>
    <n v="25"/>
    <x v="1"/>
    <n v="5"/>
    <s v="Doctor"/>
    <s v="Medical"/>
    <n v="529"/>
    <n v="2"/>
    <x v="0"/>
    <s v="Female"/>
    <n v="72"/>
    <n v="3"/>
    <s v="High"/>
    <n v="2"/>
    <x v="0"/>
    <x v="1"/>
    <n v="3"/>
    <s v="High"/>
    <x v="1"/>
    <n v="4449"/>
    <n v="23866"/>
    <n v="3"/>
    <x v="0"/>
    <n v="15"/>
    <n v="3"/>
    <s v="Excellent"/>
    <n v="1"/>
    <s v="Low"/>
    <n v="2"/>
    <n v="15"/>
    <n v="2"/>
    <n v="3"/>
    <s v="High"/>
    <n v="13"/>
    <n v="11"/>
    <n v="10"/>
    <n v="7"/>
  </r>
  <r>
    <n v="31"/>
    <x v="2"/>
    <x v="1"/>
    <x v="0"/>
    <n v="329"/>
    <x v="1"/>
    <n v="1"/>
    <x v="0"/>
    <n v="2"/>
    <s v="College"/>
    <s v="Life Sciences"/>
    <n v="530"/>
    <n v="4"/>
    <x v="3"/>
    <s v="Male"/>
    <n v="98"/>
    <n v="2"/>
    <s v="Medium"/>
    <n v="1"/>
    <x v="1"/>
    <x v="2"/>
    <n v="1"/>
    <s v="Low"/>
    <x v="1"/>
    <n v="2218"/>
    <n v="16193"/>
    <n v="1"/>
    <x v="1"/>
    <n v="12"/>
    <n v="3"/>
    <s v="Excellent"/>
    <n v="3"/>
    <s v="High"/>
    <n v="1"/>
    <n v="4"/>
    <n v="3"/>
    <n v="3"/>
    <s v="High"/>
    <n v="4"/>
    <n v="2"/>
    <n v="3"/>
    <n v="2"/>
  </r>
  <r>
    <n v="39"/>
    <x v="0"/>
    <x v="1"/>
    <x v="1"/>
    <n v="1218"/>
    <x v="1"/>
    <n v="1"/>
    <x v="0"/>
    <n v="1"/>
    <s v="Below College"/>
    <s v="Life Sciences"/>
    <n v="531"/>
    <n v="2"/>
    <x v="0"/>
    <s v="Male"/>
    <n v="52"/>
    <n v="3"/>
    <s v="High"/>
    <n v="5"/>
    <x v="4"/>
    <x v="5"/>
    <n v="3"/>
    <s v="High"/>
    <x v="2"/>
    <n v="19197"/>
    <n v="8213"/>
    <n v="1"/>
    <x v="0"/>
    <n v="14"/>
    <n v="3"/>
    <s v="Excellent"/>
    <n v="3"/>
    <s v="High"/>
    <n v="1"/>
    <n v="21"/>
    <n v="3"/>
    <n v="3"/>
    <s v="High"/>
    <n v="21"/>
    <n v="8"/>
    <n v="1"/>
    <n v="6"/>
  </r>
  <r>
    <n v="56"/>
    <x v="3"/>
    <x v="1"/>
    <x v="1"/>
    <n v="906"/>
    <x v="0"/>
    <n v="6"/>
    <x v="0"/>
    <n v="3"/>
    <s v="Bachelor"/>
    <s v="Life Sciences"/>
    <n v="532"/>
    <n v="3"/>
    <x v="1"/>
    <s v="Female"/>
    <n v="86"/>
    <n v="4"/>
    <s v="Very High"/>
    <n v="4"/>
    <x v="3"/>
    <x v="0"/>
    <n v="1"/>
    <s v="Low"/>
    <x v="1"/>
    <n v="13212"/>
    <n v="18256"/>
    <n v="9"/>
    <x v="1"/>
    <n v="11"/>
    <n v="3"/>
    <s v="Excellent"/>
    <n v="4"/>
    <s v="Very High"/>
    <n v="3"/>
    <n v="36"/>
    <n v="0"/>
    <n v="2"/>
    <s v="Medium"/>
    <n v="7"/>
    <n v="7"/>
    <n v="7"/>
    <n v="7"/>
  </r>
  <r>
    <n v="30"/>
    <x v="2"/>
    <x v="1"/>
    <x v="0"/>
    <n v="1082"/>
    <x v="0"/>
    <n v="12"/>
    <x v="2"/>
    <n v="3"/>
    <s v="Bachelor"/>
    <s v="Technical Degree"/>
    <n v="533"/>
    <n v="2"/>
    <x v="0"/>
    <s v="Female"/>
    <n v="83"/>
    <n v="3"/>
    <s v="High"/>
    <n v="2"/>
    <x v="0"/>
    <x v="0"/>
    <n v="3"/>
    <s v="High"/>
    <x v="0"/>
    <n v="6577"/>
    <n v="19558"/>
    <n v="0"/>
    <x v="1"/>
    <n v="11"/>
    <n v="3"/>
    <s v="Excellent"/>
    <n v="2"/>
    <s v="Medium"/>
    <n v="0"/>
    <n v="6"/>
    <n v="6"/>
    <n v="3"/>
    <s v="High"/>
    <n v="5"/>
    <n v="4"/>
    <n v="4"/>
    <n v="4"/>
  </r>
  <r>
    <n v="41"/>
    <x v="0"/>
    <x v="1"/>
    <x v="0"/>
    <n v="645"/>
    <x v="0"/>
    <n v="1"/>
    <x v="0"/>
    <n v="3"/>
    <s v="Bachelor"/>
    <s v="Marketing"/>
    <n v="534"/>
    <n v="2"/>
    <x v="0"/>
    <s v="Male"/>
    <n v="49"/>
    <n v="4"/>
    <s v="Very High"/>
    <n v="3"/>
    <x v="2"/>
    <x v="0"/>
    <n v="1"/>
    <s v="Low"/>
    <x v="1"/>
    <n v="8392"/>
    <n v="19566"/>
    <n v="1"/>
    <x v="1"/>
    <n v="16"/>
    <n v="3"/>
    <s v="Excellent"/>
    <n v="3"/>
    <s v="High"/>
    <n v="1"/>
    <n v="10"/>
    <n v="2"/>
    <n v="3"/>
    <s v="High"/>
    <n v="10"/>
    <n v="7"/>
    <n v="0"/>
    <n v="7"/>
  </r>
  <r>
    <n v="28"/>
    <x v="2"/>
    <x v="1"/>
    <x v="0"/>
    <n v="1300"/>
    <x v="1"/>
    <n v="17"/>
    <x v="2"/>
    <n v="2"/>
    <s v="College"/>
    <s v="Medical"/>
    <n v="536"/>
    <n v="3"/>
    <x v="1"/>
    <s v="Male"/>
    <n v="79"/>
    <n v="3"/>
    <s v="High"/>
    <n v="2"/>
    <x v="0"/>
    <x v="2"/>
    <n v="1"/>
    <s v="Low"/>
    <x v="2"/>
    <n v="4558"/>
    <n v="13535"/>
    <n v="1"/>
    <x v="1"/>
    <n v="12"/>
    <n v="3"/>
    <s v="Excellent"/>
    <n v="4"/>
    <s v="Very High"/>
    <n v="1"/>
    <n v="10"/>
    <n v="2"/>
    <n v="3"/>
    <s v="High"/>
    <n v="10"/>
    <n v="0"/>
    <n v="1"/>
    <n v="8"/>
  </r>
  <r>
    <n v="25"/>
    <x v="4"/>
    <x v="0"/>
    <x v="0"/>
    <n v="688"/>
    <x v="1"/>
    <n v="3"/>
    <x v="0"/>
    <n v="3"/>
    <s v="Bachelor"/>
    <s v="Medical"/>
    <n v="538"/>
    <n v="1"/>
    <x v="2"/>
    <s v="Male"/>
    <n v="91"/>
    <n v="3"/>
    <s v="High"/>
    <n v="1"/>
    <x v="1"/>
    <x v="2"/>
    <n v="1"/>
    <s v="Low"/>
    <x v="1"/>
    <n v="4031"/>
    <n v="9396"/>
    <n v="5"/>
    <x v="1"/>
    <n v="13"/>
    <n v="3"/>
    <s v="Excellent"/>
    <n v="3"/>
    <s v="High"/>
    <n v="1"/>
    <n v="6"/>
    <n v="5"/>
    <n v="3"/>
    <s v="High"/>
    <n v="2"/>
    <n v="2"/>
    <n v="0"/>
    <n v="2"/>
  </r>
  <r>
    <n v="52"/>
    <x v="1"/>
    <x v="1"/>
    <x v="0"/>
    <n v="319"/>
    <x v="1"/>
    <n v="3"/>
    <x v="0"/>
    <n v="3"/>
    <s v="Bachelor"/>
    <s v="Medical"/>
    <n v="543"/>
    <n v="4"/>
    <x v="3"/>
    <s v="Male"/>
    <n v="39"/>
    <n v="2"/>
    <s v="Medium"/>
    <n v="3"/>
    <x v="2"/>
    <x v="3"/>
    <n v="3"/>
    <s v="High"/>
    <x v="1"/>
    <n v="7969"/>
    <n v="19609"/>
    <n v="2"/>
    <x v="0"/>
    <n v="14"/>
    <n v="3"/>
    <s v="Excellent"/>
    <n v="3"/>
    <s v="High"/>
    <n v="0"/>
    <n v="28"/>
    <n v="4"/>
    <n v="3"/>
    <s v="High"/>
    <n v="5"/>
    <n v="4"/>
    <n v="0"/>
    <n v="4"/>
  </r>
  <r>
    <n v="45"/>
    <x v="0"/>
    <x v="1"/>
    <x v="0"/>
    <n v="192"/>
    <x v="1"/>
    <n v="10"/>
    <x v="0"/>
    <n v="2"/>
    <s v="College"/>
    <s v="Life Sciences"/>
    <n v="544"/>
    <n v="1"/>
    <x v="2"/>
    <s v="Male"/>
    <n v="69"/>
    <n v="3"/>
    <s v="High"/>
    <n v="1"/>
    <x v="1"/>
    <x v="1"/>
    <n v="4"/>
    <s v="Very High"/>
    <x v="1"/>
    <n v="2654"/>
    <n v="9655"/>
    <n v="3"/>
    <x v="1"/>
    <n v="21"/>
    <n v="4"/>
    <s v="Outstanding"/>
    <n v="4"/>
    <s v="Very High"/>
    <n v="2"/>
    <n v="8"/>
    <n v="3"/>
    <n v="2"/>
    <s v="Medium"/>
    <n v="2"/>
    <n v="2"/>
    <n v="0"/>
    <n v="2"/>
  </r>
  <r>
    <n v="52"/>
    <x v="1"/>
    <x v="1"/>
    <x v="0"/>
    <n v="1490"/>
    <x v="1"/>
    <n v="4"/>
    <x v="0"/>
    <n v="2"/>
    <s v="College"/>
    <s v="Life Sciences"/>
    <n v="546"/>
    <n v="4"/>
    <x v="3"/>
    <s v="Female"/>
    <n v="30"/>
    <n v="3"/>
    <s v="High"/>
    <n v="4"/>
    <x v="3"/>
    <x v="5"/>
    <n v="4"/>
    <s v="Very High"/>
    <x v="1"/>
    <n v="16555"/>
    <n v="10310"/>
    <n v="2"/>
    <x v="1"/>
    <n v="13"/>
    <n v="3"/>
    <s v="Excellent"/>
    <n v="4"/>
    <s v="Very High"/>
    <n v="0"/>
    <n v="31"/>
    <n v="2"/>
    <n v="1"/>
    <s v="Low"/>
    <n v="5"/>
    <n v="2"/>
    <n v="1"/>
    <n v="4"/>
  </r>
  <r>
    <n v="42"/>
    <x v="0"/>
    <x v="1"/>
    <x v="1"/>
    <n v="532"/>
    <x v="1"/>
    <n v="29"/>
    <x v="1"/>
    <n v="2"/>
    <s v="College"/>
    <s v="Life Sciences"/>
    <n v="547"/>
    <n v="1"/>
    <x v="2"/>
    <s v="Female"/>
    <n v="92"/>
    <n v="3"/>
    <s v="High"/>
    <n v="2"/>
    <x v="0"/>
    <x v="1"/>
    <n v="3"/>
    <s v="High"/>
    <x v="2"/>
    <n v="4556"/>
    <n v="12932"/>
    <n v="2"/>
    <x v="1"/>
    <n v="11"/>
    <n v="3"/>
    <s v="Excellent"/>
    <n v="2"/>
    <s v="Medium"/>
    <n v="1"/>
    <n v="19"/>
    <n v="3"/>
    <n v="3"/>
    <s v="High"/>
    <n v="5"/>
    <n v="4"/>
    <n v="0"/>
    <n v="2"/>
  </r>
  <r>
    <n v="30"/>
    <x v="2"/>
    <x v="1"/>
    <x v="0"/>
    <n v="317"/>
    <x v="1"/>
    <n v="2"/>
    <x v="0"/>
    <n v="3"/>
    <s v="Bachelor"/>
    <s v="Life Sciences"/>
    <n v="548"/>
    <n v="3"/>
    <x v="1"/>
    <s v="Female"/>
    <n v="43"/>
    <n v="1"/>
    <s v="Low"/>
    <n v="2"/>
    <x v="0"/>
    <x v="3"/>
    <n v="4"/>
    <s v="Very High"/>
    <x v="0"/>
    <n v="6091"/>
    <n v="24793"/>
    <n v="2"/>
    <x v="1"/>
    <n v="20"/>
    <n v="4"/>
    <s v="Outstanding"/>
    <n v="3"/>
    <s v="High"/>
    <n v="0"/>
    <n v="11"/>
    <n v="2"/>
    <n v="3"/>
    <s v="High"/>
    <n v="5"/>
    <n v="4"/>
    <n v="0"/>
    <n v="2"/>
  </r>
  <r>
    <n v="60"/>
    <x v="3"/>
    <x v="1"/>
    <x v="0"/>
    <n v="422"/>
    <x v="1"/>
    <n v="7"/>
    <x v="0"/>
    <n v="3"/>
    <s v="Bachelor"/>
    <s v="Life Sciences"/>
    <n v="549"/>
    <n v="1"/>
    <x v="2"/>
    <s v="Female"/>
    <n v="41"/>
    <n v="3"/>
    <s v="High"/>
    <n v="5"/>
    <x v="4"/>
    <x v="5"/>
    <n v="1"/>
    <s v="Low"/>
    <x v="1"/>
    <n v="19566"/>
    <n v="3854"/>
    <n v="5"/>
    <x v="1"/>
    <n v="11"/>
    <n v="3"/>
    <s v="Excellent"/>
    <n v="4"/>
    <s v="Very High"/>
    <n v="0"/>
    <n v="33"/>
    <n v="5"/>
    <n v="1"/>
    <s v="Low"/>
    <n v="29"/>
    <n v="8"/>
    <n v="11"/>
    <n v="10"/>
  </r>
  <r>
    <n v="46"/>
    <x v="1"/>
    <x v="1"/>
    <x v="0"/>
    <n v="1485"/>
    <x v="1"/>
    <n v="18"/>
    <x v="2"/>
    <n v="3"/>
    <s v="Bachelor"/>
    <s v="Medical"/>
    <n v="550"/>
    <n v="3"/>
    <x v="1"/>
    <s v="Female"/>
    <n v="87"/>
    <n v="3"/>
    <s v="High"/>
    <n v="2"/>
    <x v="0"/>
    <x v="3"/>
    <n v="3"/>
    <s v="High"/>
    <x v="2"/>
    <n v="4810"/>
    <n v="26314"/>
    <n v="2"/>
    <x v="1"/>
    <n v="14"/>
    <n v="3"/>
    <s v="Excellent"/>
    <n v="3"/>
    <s v="High"/>
    <n v="1"/>
    <n v="19"/>
    <n v="5"/>
    <n v="2"/>
    <s v="Medium"/>
    <n v="10"/>
    <n v="7"/>
    <n v="0"/>
    <n v="8"/>
  </r>
  <r>
    <n v="42"/>
    <x v="0"/>
    <x v="1"/>
    <x v="1"/>
    <n v="1368"/>
    <x v="1"/>
    <n v="28"/>
    <x v="1"/>
    <n v="4"/>
    <s v="Master"/>
    <s v="Technical Degree"/>
    <n v="551"/>
    <n v="4"/>
    <x v="3"/>
    <s v="Female"/>
    <n v="88"/>
    <n v="2"/>
    <s v="Medium"/>
    <n v="2"/>
    <x v="0"/>
    <x v="4"/>
    <n v="4"/>
    <s v="Very High"/>
    <x v="1"/>
    <n v="4523"/>
    <n v="4386"/>
    <n v="0"/>
    <x v="1"/>
    <n v="11"/>
    <n v="3"/>
    <s v="Excellent"/>
    <n v="4"/>
    <s v="Very High"/>
    <n v="3"/>
    <n v="7"/>
    <n v="4"/>
    <n v="4"/>
    <s v="Very High"/>
    <n v="6"/>
    <n v="5"/>
    <n v="0"/>
    <n v="4"/>
  </r>
  <r>
    <n v="24"/>
    <x v="4"/>
    <x v="0"/>
    <x v="0"/>
    <n v="1448"/>
    <x v="0"/>
    <n v="1"/>
    <x v="0"/>
    <n v="1"/>
    <s v="Below College"/>
    <s v="Technical Degree"/>
    <n v="554"/>
    <n v="1"/>
    <x v="2"/>
    <s v="Female"/>
    <n v="62"/>
    <n v="3"/>
    <s v="High"/>
    <n v="1"/>
    <x v="1"/>
    <x v="6"/>
    <n v="2"/>
    <s v="Medium"/>
    <x v="0"/>
    <n v="3202"/>
    <n v="21972"/>
    <n v="1"/>
    <x v="0"/>
    <n v="16"/>
    <n v="3"/>
    <s v="Excellent"/>
    <n v="2"/>
    <s v="Medium"/>
    <n v="0"/>
    <n v="6"/>
    <n v="4"/>
    <n v="3"/>
    <s v="High"/>
    <n v="5"/>
    <n v="3"/>
    <n v="1"/>
    <n v="4"/>
  </r>
  <r>
    <n v="34"/>
    <x v="2"/>
    <x v="0"/>
    <x v="1"/>
    <n v="296"/>
    <x v="0"/>
    <n v="6"/>
    <x v="0"/>
    <n v="2"/>
    <s v="College"/>
    <s v="Marketing"/>
    <n v="555"/>
    <n v="4"/>
    <x v="3"/>
    <s v="Female"/>
    <n v="33"/>
    <n v="1"/>
    <s v="Low"/>
    <n v="1"/>
    <x v="1"/>
    <x v="6"/>
    <n v="3"/>
    <s v="High"/>
    <x v="2"/>
    <n v="2351"/>
    <n v="12253"/>
    <n v="0"/>
    <x v="1"/>
    <n v="16"/>
    <n v="3"/>
    <s v="Excellent"/>
    <n v="4"/>
    <s v="Very High"/>
    <n v="1"/>
    <n v="3"/>
    <n v="3"/>
    <n v="2"/>
    <s v="Medium"/>
    <n v="2"/>
    <n v="2"/>
    <n v="1"/>
    <n v="0"/>
  </r>
  <r>
    <n v="38"/>
    <x v="0"/>
    <x v="1"/>
    <x v="1"/>
    <n v="1490"/>
    <x v="1"/>
    <n v="2"/>
    <x v="0"/>
    <n v="2"/>
    <s v="College"/>
    <s v="Life Sciences"/>
    <n v="556"/>
    <n v="4"/>
    <x v="3"/>
    <s v="Male"/>
    <n v="42"/>
    <n v="3"/>
    <s v="High"/>
    <n v="1"/>
    <x v="1"/>
    <x v="2"/>
    <n v="4"/>
    <s v="Very High"/>
    <x v="1"/>
    <n v="1702"/>
    <n v="12106"/>
    <n v="1"/>
    <x v="0"/>
    <n v="23"/>
    <n v="4"/>
    <s v="Outstanding"/>
    <n v="3"/>
    <s v="High"/>
    <n v="1"/>
    <n v="1"/>
    <n v="3"/>
    <n v="3"/>
    <s v="High"/>
    <n v="1"/>
    <n v="0"/>
    <n v="0"/>
    <n v="0"/>
  </r>
  <r>
    <n v="40"/>
    <x v="0"/>
    <x v="1"/>
    <x v="0"/>
    <n v="1398"/>
    <x v="0"/>
    <n v="2"/>
    <x v="0"/>
    <n v="4"/>
    <s v="Master"/>
    <s v="Life Sciences"/>
    <n v="558"/>
    <n v="3"/>
    <x v="1"/>
    <s v="Female"/>
    <n v="79"/>
    <n v="3"/>
    <s v="High"/>
    <n v="5"/>
    <x v="4"/>
    <x v="5"/>
    <n v="3"/>
    <s v="High"/>
    <x v="1"/>
    <n v="18041"/>
    <n v="13022"/>
    <n v="0"/>
    <x v="1"/>
    <n v="14"/>
    <n v="3"/>
    <s v="Excellent"/>
    <n v="4"/>
    <s v="Very High"/>
    <n v="0"/>
    <n v="21"/>
    <n v="2"/>
    <n v="3"/>
    <s v="High"/>
    <n v="20"/>
    <n v="15"/>
    <n v="1"/>
    <n v="12"/>
  </r>
  <r>
    <n v="26"/>
    <x v="2"/>
    <x v="1"/>
    <x v="0"/>
    <n v="1349"/>
    <x v="1"/>
    <n v="23"/>
    <x v="1"/>
    <n v="3"/>
    <s v="Bachelor"/>
    <s v="Life Sciences"/>
    <n v="560"/>
    <n v="1"/>
    <x v="2"/>
    <s v="Female"/>
    <n v="90"/>
    <n v="3"/>
    <s v="High"/>
    <n v="1"/>
    <x v="1"/>
    <x v="1"/>
    <n v="4"/>
    <s v="Very High"/>
    <x v="2"/>
    <n v="2886"/>
    <n v="3032"/>
    <n v="1"/>
    <x v="1"/>
    <n v="22"/>
    <n v="4"/>
    <s v="Outstanding"/>
    <n v="2"/>
    <s v="Medium"/>
    <n v="2"/>
    <n v="3"/>
    <n v="3"/>
    <n v="1"/>
    <s v="Low"/>
    <n v="3"/>
    <n v="2"/>
    <n v="0"/>
    <n v="2"/>
  </r>
  <r>
    <n v="30"/>
    <x v="2"/>
    <x v="1"/>
    <x v="2"/>
    <n v="1400"/>
    <x v="1"/>
    <n v="3"/>
    <x v="0"/>
    <n v="3"/>
    <s v="Bachelor"/>
    <s v="Life Sciences"/>
    <n v="562"/>
    <n v="3"/>
    <x v="1"/>
    <s v="Male"/>
    <n v="53"/>
    <n v="3"/>
    <s v="High"/>
    <n v="1"/>
    <x v="1"/>
    <x v="2"/>
    <n v="4"/>
    <s v="Very High"/>
    <x v="1"/>
    <n v="2097"/>
    <n v="16734"/>
    <n v="4"/>
    <x v="1"/>
    <n v="15"/>
    <n v="3"/>
    <s v="Excellent"/>
    <n v="3"/>
    <s v="High"/>
    <n v="1"/>
    <n v="9"/>
    <n v="3"/>
    <n v="1"/>
    <s v="Low"/>
    <n v="5"/>
    <n v="3"/>
    <n v="1"/>
    <n v="4"/>
  </r>
  <r>
    <n v="29"/>
    <x v="2"/>
    <x v="1"/>
    <x v="0"/>
    <n v="986"/>
    <x v="1"/>
    <n v="3"/>
    <x v="0"/>
    <n v="4"/>
    <s v="Master"/>
    <s v="Medical"/>
    <n v="564"/>
    <n v="2"/>
    <x v="0"/>
    <s v="Male"/>
    <n v="93"/>
    <n v="2"/>
    <s v="Medium"/>
    <n v="3"/>
    <x v="2"/>
    <x v="7"/>
    <n v="3"/>
    <s v="High"/>
    <x v="1"/>
    <n v="11935"/>
    <n v="21526"/>
    <n v="1"/>
    <x v="1"/>
    <n v="18"/>
    <n v="3"/>
    <s v="Excellent"/>
    <n v="3"/>
    <s v="High"/>
    <n v="0"/>
    <n v="10"/>
    <n v="2"/>
    <n v="3"/>
    <s v="High"/>
    <n v="10"/>
    <n v="2"/>
    <n v="0"/>
    <n v="7"/>
  </r>
  <r>
    <n v="29"/>
    <x v="2"/>
    <x v="0"/>
    <x v="0"/>
    <n v="408"/>
    <x v="1"/>
    <n v="25"/>
    <x v="1"/>
    <n v="5"/>
    <s v="Doctor"/>
    <s v="Technical Degree"/>
    <n v="565"/>
    <n v="3"/>
    <x v="1"/>
    <s v="Female"/>
    <n v="71"/>
    <n v="2"/>
    <s v="Medium"/>
    <n v="1"/>
    <x v="1"/>
    <x v="1"/>
    <n v="2"/>
    <s v="Medium"/>
    <x v="1"/>
    <n v="2546"/>
    <n v="18300"/>
    <n v="5"/>
    <x v="1"/>
    <n v="16"/>
    <n v="3"/>
    <s v="Excellent"/>
    <n v="2"/>
    <s v="Medium"/>
    <n v="0"/>
    <n v="6"/>
    <n v="2"/>
    <n v="4"/>
    <s v="Very High"/>
    <n v="2"/>
    <n v="2"/>
    <n v="1"/>
    <n v="1"/>
  </r>
  <r>
    <n v="19"/>
    <x v="4"/>
    <x v="0"/>
    <x v="0"/>
    <n v="489"/>
    <x v="2"/>
    <n v="2"/>
    <x v="0"/>
    <n v="2"/>
    <s v="College"/>
    <s v="Technical Degree"/>
    <n v="566"/>
    <n v="1"/>
    <x v="2"/>
    <s v="Male"/>
    <n v="52"/>
    <n v="2"/>
    <s v="Medium"/>
    <n v="1"/>
    <x v="1"/>
    <x v="8"/>
    <n v="4"/>
    <s v="Very High"/>
    <x v="0"/>
    <n v="2564"/>
    <n v="18437"/>
    <n v="1"/>
    <x v="1"/>
    <n v="12"/>
    <n v="3"/>
    <s v="Excellent"/>
    <n v="3"/>
    <s v="High"/>
    <n v="0"/>
    <n v="1"/>
    <n v="3"/>
    <n v="4"/>
    <s v="Very High"/>
    <n v="1"/>
    <n v="0"/>
    <n v="0"/>
    <n v="0"/>
  </r>
  <r>
    <n v="30"/>
    <x v="2"/>
    <x v="1"/>
    <x v="2"/>
    <n v="1398"/>
    <x v="0"/>
    <n v="22"/>
    <x v="1"/>
    <n v="4"/>
    <s v="Master"/>
    <s v="Other"/>
    <n v="567"/>
    <n v="3"/>
    <x v="1"/>
    <s v="Female"/>
    <n v="69"/>
    <n v="3"/>
    <s v="High"/>
    <n v="3"/>
    <x v="2"/>
    <x v="0"/>
    <n v="1"/>
    <s v="Low"/>
    <x v="1"/>
    <n v="8412"/>
    <n v="2890"/>
    <n v="0"/>
    <x v="1"/>
    <n v="11"/>
    <n v="3"/>
    <s v="Excellent"/>
    <n v="3"/>
    <s v="High"/>
    <n v="0"/>
    <n v="10"/>
    <n v="3"/>
    <n v="3"/>
    <s v="High"/>
    <n v="9"/>
    <n v="8"/>
    <n v="7"/>
    <n v="8"/>
  </r>
  <r>
    <n v="57"/>
    <x v="3"/>
    <x v="1"/>
    <x v="0"/>
    <n v="210"/>
    <x v="0"/>
    <n v="29"/>
    <x v="1"/>
    <n v="3"/>
    <s v="Bachelor"/>
    <s v="Marketing"/>
    <n v="568"/>
    <n v="1"/>
    <x v="2"/>
    <s v="Male"/>
    <n v="56"/>
    <n v="2"/>
    <s v="Medium"/>
    <n v="4"/>
    <x v="3"/>
    <x v="5"/>
    <n v="4"/>
    <s v="Very High"/>
    <x v="2"/>
    <n v="14118"/>
    <n v="22102"/>
    <n v="3"/>
    <x v="1"/>
    <n v="12"/>
    <n v="3"/>
    <s v="Excellent"/>
    <n v="3"/>
    <s v="High"/>
    <n v="1"/>
    <n v="32"/>
    <n v="3"/>
    <n v="2"/>
    <s v="Medium"/>
    <n v="1"/>
    <n v="0"/>
    <n v="0"/>
    <n v="0"/>
  </r>
  <r>
    <n v="50"/>
    <x v="1"/>
    <x v="1"/>
    <x v="0"/>
    <n v="1099"/>
    <x v="1"/>
    <n v="29"/>
    <x v="1"/>
    <n v="4"/>
    <s v="Master"/>
    <s v="Life Sciences"/>
    <n v="569"/>
    <n v="2"/>
    <x v="0"/>
    <s v="Male"/>
    <n v="88"/>
    <n v="2"/>
    <s v="Medium"/>
    <n v="4"/>
    <x v="3"/>
    <x v="5"/>
    <n v="3"/>
    <s v="High"/>
    <x v="1"/>
    <n v="17046"/>
    <n v="9314"/>
    <n v="0"/>
    <x v="1"/>
    <n v="15"/>
    <n v="3"/>
    <s v="Excellent"/>
    <n v="2"/>
    <s v="Medium"/>
    <n v="1"/>
    <n v="28"/>
    <n v="2"/>
    <n v="3"/>
    <s v="High"/>
    <n v="27"/>
    <n v="10"/>
    <n v="15"/>
    <n v="7"/>
  </r>
  <r>
    <n v="30"/>
    <x v="2"/>
    <x v="1"/>
    <x v="2"/>
    <n v="1116"/>
    <x v="1"/>
    <n v="2"/>
    <x v="0"/>
    <n v="3"/>
    <s v="Bachelor"/>
    <s v="Medical"/>
    <n v="571"/>
    <n v="3"/>
    <x v="1"/>
    <s v="Female"/>
    <n v="49"/>
    <n v="3"/>
    <s v="High"/>
    <n v="1"/>
    <x v="1"/>
    <x v="2"/>
    <n v="4"/>
    <s v="Very High"/>
    <x v="0"/>
    <n v="2564"/>
    <n v="7181"/>
    <n v="0"/>
    <x v="1"/>
    <n v="14"/>
    <n v="3"/>
    <s v="Excellent"/>
    <n v="3"/>
    <s v="High"/>
    <n v="0"/>
    <n v="12"/>
    <n v="2"/>
    <n v="2"/>
    <s v="Medium"/>
    <n v="11"/>
    <n v="7"/>
    <n v="6"/>
    <n v="7"/>
  </r>
  <r>
    <n v="60"/>
    <x v="3"/>
    <x v="1"/>
    <x v="1"/>
    <n v="1499"/>
    <x v="0"/>
    <n v="28"/>
    <x v="1"/>
    <n v="3"/>
    <s v="Bachelor"/>
    <s v="Marketing"/>
    <n v="573"/>
    <n v="3"/>
    <x v="1"/>
    <s v="Female"/>
    <n v="80"/>
    <n v="2"/>
    <s v="Medium"/>
    <n v="3"/>
    <x v="2"/>
    <x v="0"/>
    <n v="1"/>
    <s v="Low"/>
    <x v="1"/>
    <n v="10266"/>
    <n v="2845"/>
    <n v="4"/>
    <x v="1"/>
    <n v="19"/>
    <n v="3"/>
    <s v="Excellent"/>
    <n v="4"/>
    <s v="Very High"/>
    <n v="0"/>
    <n v="22"/>
    <n v="5"/>
    <n v="4"/>
    <s v="Very High"/>
    <n v="18"/>
    <n v="13"/>
    <n v="13"/>
    <n v="11"/>
  </r>
  <r>
    <n v="47"/>
    <x v="1"/>
    <x v="1"/>
    <x v="0"/>
    <n v="983"/>
    <x v="1"/>
    <n v="2"/>
    <x v="0"/>
    <n v="2"/>
    <s v="College"/>
    <s v="Medical"/>
    <n v="574"/>
    <n v="1"/>
    <x v="2"/>
    <s v="Female"/>
    <n v="65"/>
    <n v="3"/>
    <s v="High"/>
    <n v="2"/>
    <x v="0"/>
    <x v="3"/>
    <n v="4"/>
    <s v="Very High"/>
    <x v="2"/>
    <n v="5070"/>
    <n v="7389"/>
    <n v="5"/>
    <x v="1"/>
    <n v="13"/>
    <n v="3"/>
    <s v="Excellent"/>
    <n v="3"/>
    <s v="High"/>
    <n v="3"/>
    <n v="20"/>
    <n v="2"/>
    <n v="3"/>
    <s v="High"/>
    <n v="5"/>
    <n v="0"/>
    <n v="0"/>
    <n v="4"/>
  </r>
  <r>
    <n v="46"/>
    <x v="1"/>
    <x v="1"/>
    <x v="0"/>
    <n v="1009"/>
    <x v="1"/>
    <n v="2"/>
    <x v="0"/>
    <n v="3"/>
    <s v="Bachelor"/>
    <s v="Life Sciences"/>
    <n v="575"/>
    <n v="1"/>
    <x v="2"/>
    <s v="Male"/>
    <n v="51"/>
    <n v="3"/>
    <s v="High"/>
    <n v="4"/>
    <x v="3"/>
    <x v="7"/>
    <n v="3"/>
    <s v="High"/>
    <x v="1"/>
    <n v="17861"/>
    <n v="2288"/>
    <n v="6"/>
    <x v="1"/>
    <n v="13"/>
    <n v="3"/>
    <s v="Excellent"/>
    <n v="3"/>
    <s v="High"/>
    <n v="0"/>
    <n v="26"/>
    <n v="2"/>
    <n v="1"/>
    <s v="Low"/>
    <n v="3"/>
    <n v="2"/>
    <n v="0"/>
    <n v="1"/>
  </r>
  <r>
    <n v="35"/>
    <x v="2"/>
    <x v="1"/>
    <x v="0"/>
    <n v="144"/>
    <x v="1"/>
    <n v="22"/>
    <x v="1"/>
    <n v="3"/>
    <s v="Bachelor"/>
    <s v="Life Sciences"/>
    <n v="577"/>
    <n v="4"/>
    <x v="3"/>
    <s v="Male"/>
    <n v="46"/>
    <n v="1"/>
    <s v="Low"/>
    <n v="1"/>
    <x v="1"/>
    <x v="2"/>
    <n v="3"/>
    <s v="High"/>
    <x v="0"/>
    <n v="4230"/>
    <n v="19225"/>
    <n v="0"/>
    <x v="1"/>
    <n v="15"/>
    <n v="3"/>
    <s v="Excellent"/>
    <n v="3"/>
    <s v="High"/>
    <n v="0"/>
    <n v="6"/>
    <n v="2"/>
    <n v="3"/>
    <s v="High"/>
    <n v="5"/>
    <n v="4"/>
    <n v="4"/>
    <n v="3"/>
  </r>
  <r>
    <n v="54"/>
    <x v="1"/>
    <x v="1"/>
    <x v="0"/>
    <n v="548"/>
    <x v="1"/>
    <n v="8"/>
    <x v="0"/>
    <n v="4"/>
    <s v="Master"/>
    <s v="Life Sciences"/>
    <n v="578"/>
    <n v="3"/>
    <x v="1"/>
    <s v="Female"/>
    <n v="42"/>
    <n v="3"/>
    <s v="High"/>
    <n v="2"/>
    <x v="0"/>
    <x v="2"/>
    <n v="3"/>
    <s v="High"/>
    <x v="0"/>
    <n v="3780"/>
    <n v="23428"/>
    <n v="7"/>
    <x v="1"/>
    <n v="11"/>
    <n v="3"/>
    <s v="Excellent"/>
    <n v="3"/>
    <s v="High"/>
    <n v="0"/>
    <n v="19"/>
    <n v="3"/>
    <n v="3"/>
    <s v="High"/>
    <n v="1"/>
    <n v="0"/>
    <n v="0"/>
    <n v="0"/>
  </r>
  <r>
    <n v="34"/>
    <x v="2"/>
    <x v="1"/>
    <x v="0"/>
    <n v="1303"/>
    <x v="1"/>
    <n v="2"/>
    <x v="0"/>
    <n v="4"/>
    <s v="Master"/>
    <s v="Life Sciences"/>
    <n v="579"/>
    <n v="4"/>
    <x v="3"/>
    <s v="Male"/>
    <n v="62"/>
    <n v="2"/>
    <s v="Medium"/>
    <n v="1"/>
    <x v="1"/>
    <x v="1"/>
    <n v="3"/>
    <s v="High"/>
    <x v="2"/>
    <n v="2768"/>
    <n v="8416"/>
    <n v="3"/>
    <x v="1"/>
    <n v="12"/>
    <n v="3"/>
    <s v="Excellent"/>
    <n v="3"/>
    <s v="High"/>
    <n v="1"/>
    <n v="14"/>
    <n v="3"/>
    <n v="3"/>
    <s v="High"/>
    <n v="7"/>
    <n v="3"/>
    <n v="5"/>
    <n v="7"/>
  </r>
  <r>
    <n v="46"/>
    <x v="1"/>
    <x v="1"/>
    <x v="0"/>
    <n v="1125"/>
    <x v="0"/>
    <n v="10"/>
    <x v="0"/>
    <n v="3"/>
    <s v="Bachelor"/>
    <s v="Marketing"/>
    <n v="580"/>
    <n v="3"/>
    <x v="1"/>
    <s v="Female"/>
    <n v="94"/>
    <n v="2"/>
    <s v="Medium"/>
    <n v="3"/>
    <x v="2"/>
    <x v="0"/>
    <n v="4"/>
    <s v="Very High"/>
    <x v="1"/>
    <n v="9071"/>
    <n v="11563"/>
    <n v="2"/>
    <x v="0"/>
    <n v="19"/>
    <n v="3"/>
    <s v="Excellent"/>
    <n v="3"/>
    <s v="High"/>
    <n v="1"/>
    <n v="15"/>
    <n v="3"/>
    <n v="3"/>
    <s v="High"/>
    <n v="3"/>
    <n v="2"/>
    <n v="1"/>
    <n v="2"/>
  </r>
  <r>
    <n v="31"/>
    <x v="2"/>
    <x v="1"/>
    <x v="0"/>
    <n v="1274"/>
    <x v="1"/>
    <n v="9"/>
    <x v="0"/>
    <n v="1"/>
    <s v="Below College"/>
    <s v="Life Sciences"/>
    <n v="581"/>
    <n v="3"/>
    <x v="1"/>
    <s v="Male"/>
    <n v="33"/>
    <n v="3"/>
    <s v="High"/>
    <n v="3"/>
    <x v="2"/>
    <x v="3"/>
    <n v="2"/>
    <s v="Medium"/>
    <x v="2"/>
    <n v="10648"/>
    <n v="14394"/>
    <n v="1"/>
    <x v="1"/>
    <n v="25"/>
    <n v="4"/>
    <s v="Outstanding"/>
    <n v="4"/>
    <s v="Very High"/>
    <n v="1"/>
    <n v="13"/>
    <n v="6"/>
    <n v="4"/>
    <s v="Very High"/>
    <n v="13"/>
    <n v="8"/>
    <n v="0"/>
    <n v="8"/>
  </r>
  <r>
    <n v="33"/>
    <x v="2"/>
    <x v="0"/>
    <x v="0"/>
    <n v="1277"/>
    <x v="1"/>
    <n v="15"/>
    <x v="2"/>
    <n v="1"/>
    <s v="Below College"/>
    <s v="Medical"/>
    <n v="582"/>
    <n v="2"/>
    <x v="0"/>
    <s v="Male"/>
    <n v="56"/>
    <n v="3"/>
    <s v="High"/>
    <n v="3"/>
    <x v="2"/>
    <x v="5"/>
    <n v="3"/>
    <s v="High"/>
    <x v="1"/>
    <n v="13610"/>
    <n v="24619"/>
    <n v="7"/>
    <x v="0"/>
    <n v="12"/>
    <n v="3"/>
    <s v="Excellent"/>
    <n v="4"/>
    <s v="Very High"/>
    <n v="0"/>
    <n v="15"/>
    <n v="2"/>
    <n v="4"/>
    <s v="Very High"/>
    <n v="7"/>
    <n v="6"/>
    <n v="7"/>
    <n v="7"/>
  </r>
  <r>
    <n v="33"/>
    <x v="2"/>
    <x v="0"/>
    <x v="0"/>
    <n v="587"/>
    <x v="1"/>
    <n v="10"/>
    <x v="0"/>
    <n v="1"/>
    <s v="Below College"/>
    <s v="Medical"/>
    <n v="584"/>
    <n v="1"/>
    <x v="2"/>
    <s v="Male"/>
    <n v="38"/>
    <n v="1"/>
    <s v="Low"/>
    <n v="1"/>
    <x v="1"/>
    <x v="2"/>
    <n v="4"/>
    <s v="Very High"/>
    <x v="2"/>
    <n v="3408"/>
    <n v="6705"/>
    <n v="7"/>
    <x v="1"/>
    <n v="13"/>
    <n v="3"/>
    <s v="Excellent"/>
    <n v="1"/>
    <s v="Low"/>
    <n v="3"/>
    <n v="8"/>
    <n v="2"/>
    <n v="3"/>
    <s v="High"/>
    <n v="4"/>
    <n v="3"/>
    <n v="1"/>
    <n v="3"/>
  </r>
  <r>
    <n v="30"/>
    <x v="2"/>
    <x v="1"/>
    <x v="0"/>
    <n v="413"/>
    <x v="0"/>
    <n v="7"/>
    <x v="0"/>
    <n v="1"/>
    <s v="Below College"/>
    <s v="Marketing"/>
    <n v="585"/>
    <n v="4"/>
    <x v="3"/>
    <s v="Male"/>
    <n v="57"/>
    <n v="3"/>
    <s v="High"/>
    <n v="1"/>
    <x v="1"/>
    <x v="6"/>
    <n v="2"/>
    <s v="Medium"/>
    <x v="0"/>
    <n v="2983"/>
    <n v="18398"/>
    <n v="0"/>
    <x v="1"/>
    <n v="14"/>
    <n v="3"/>
    <s v="Excellent"/>
    <n v="1"/>
    <s v="Low"/>
    <n v="0"/>
    <n v="4"/>
    <n v="3"/>
    <n v="3"/>
    <s v="High"/>
    <n v="3"/>
    <n v="2"/>
    <n v="1"/>
    <n v="2"/>
  </r>
  <r>
    <n v="35"/>
    <x v="2"/>
    <x v="1"/>
    <x v="0"/>
    <n v="1276"/>
    <x v="1"/>
    <n v="16"/>
    <x v="2"/>
    <n v="3"/>
    <s v="Bachelor"/>
    <s v="Life Sciences"/>
    <n v="586"/>
    <n v="4"/>
    <x v="3"/>
    <s v="Male"/>
    <n v="72"/>
    <n v="3"/>
    <s v="High"/>
    <n v="3"/>
    <x v="2"/>
    <x v="4"/>
    <n v="3"/>
    <s v="High"/>
    <x v="1"/>
    <n v="7632"/>
    <n v="14295"/>
    <n v="4"/>
    <x v="0"/>
    <n v="12"/>
    <n v="3"/>
    <s v="Excellent"/>
    <n v="3"/>
    <s v="High"/>
    <n v="0"/>
    <n v="10"/>
    <n v="2"/>
    <n v="3"/>
    <s v="High"/>
    <n v="8"/>
    <n v="7"/>
    <n v="0"/>
    <n v="0"/>
  </r>
  <r>
    <n v="31"/>
    <x v="2"/>
    <x v="0"/>
    <x v="1"/>
    <n v="534"/>
    <x v="1"/>
    <n v="20"/>
    <x v="2"/>
    <n v="3"/>
    <s v="Bachelor"/>
    <s v="Life Sciences"/>
    <n v="587"/>
    <n v="1"/>
    <x v="2"/>
    <s v="Male"/>
    <n v="66"/>
    <n v="3"/>
    <s v="High"/>
    <n v="3"/>
    <x v="2"/>
    <x v="4"/>
    <n v="3"/>
    <s v="High"/>
    <x v="1"/>
    <n v="9824"/>
    <n v="22908"/>
    <n v="3"/>
    <x v="1"/>
    <n v="12"/>
    <n v="3"/>
    <s v="Excellent"/>
    <n v="1"/>
    <s v="Low"/>
    <n v="0"/>
    <n v="12"/>
    <n v="2"/>
    <n v="3"/>
    <s v="High"/>
    <n v="1"/>
    <n v="0"/>
    <n v="0"/>
    <n v="0"/>
  </r>
  <r>
    <n v="34"/>
    <x v="2"/>
    <x v="0"/>
    <x v="1"/>
    <n v="988"/>
    <x v="2"/>
    <n v="23"/>
    <x v="1"/>
    <n v="3"/>
    <s v="Bachelor"/>
    <s v="Human Resources"/>
    <n v="590"/>
    <n v="2"/>
    <x v="0"/>
    <s v="Female"/>
    <n v="43"/>
    <n v="3"/>
    <s v="High"/>
    <n v="3"/>
    <x v="2"/>
    <x v="8"/>
    <n v="1"/>
    <s v="Low"/>
    <x v="2"/>
    <n v="9950"/>
    <n v="11533"/>
    <n v="9"/>
    <x v="0"/>
    <n v="15"/>
    <n v="3"/>
    <s v="Excellent"/>
    <n v="3"/>
    <s v="High"/>
    <n v="3"/>
    <n v="11"/>
    <n v="2"/>
    <n v="3"/>
    <s v="High"/>
    <n v="3"/>
    <n v="2"/>
    <n v="0"/>
    <n v="2"/>
  </r>
  <r>
    <n v="42"/>
    <x v="0"/>
    <x v="1"/>
    <x v="1"/>
    <n v="1474"/>
    <x v="1"/>
    <n v="5"/>
    <x v="0"/>
    <n v="2"/>
    <s v="College"/>
    <s v="Other"/>
    <n v="591"/>
    <n v="2"/>
    <x v="0"/>
    <s v="Male"/>
    <n v="97"/>
    <n v="3"/>
    <s v="High"/>
    <n v="1"/>
    <x v="1"/>
    <x v="2"/>
    <n v="3"/>
    <s v="High"/>
    <x v="1"/>
    <n v="2093"/>
    <n v="9260"/>
    <n v="4"/>
    <x v="1"/>
    <n v="17"/>
    <n v="3"/>
    <s v="Excellent"/>
    <n v="4"/>
    <s v="Very High"/>
    <n v="1"/>
    <n v="8"/>
    <n v="4"/>
    <n v="3"/>
    <s v="High"/>
    <n v="2"/>
    <n v="2"/>
    <n v="2"/>
    <n v="0"/>
  </r>
  <r>
    <n v="36"/>
    <x v="0"/>
    <x v="1"/>
    <x v="2"/>
    <n v="635"/>
    <x v="0"/>
    <n v="10"/>
    <x v="0"/>
    <n v="4"/>
    <s v="Master"/>
    <s v="Medical"/>
    <n v="592"/>
    <n v="2"/>
    <x v="0"/>
    <s v="Male"/>
    <n v="32"/>
    <n v="3"/>
    <s v="High"/>
    <n v="3"/>
    <x v="2"/>
    <x v="0"/>
    <n v="4"/>
    <s v="Very High"/>
    <x v="0"/>
    <n v="9980"/>
    <n v="15318"/>
    <n v="1"/>
    <x v="1"/>
    <n v="14"/>
    <n v="3"/>
    <s v="Excellent"/>
    <n v="4"/>
    <s v="Very High"/>
    <n v="0"/>
    <n v="10"/>
    <n v="3"/>
    <n v="2"/>
    <s v="Medium"/>
    <n v="10"/>
    <n v="3"/>
    <n v="9"/>
    <n v="7"/>
  </r>
  <r>
    <n v="22"/>
    <x v="4"/>
    <x v="0"/>
    <x v="1"/>
    <n v="1368"/>
    <x v="1"/>
    <n v="4"/>
    <x v="0"/>
    <n v="1"/>
    <s v="Below College"/>
    <s v="Technical Degree"/>
    <n v="593"/>
    <n v="3"/>
    <x v="1"/>
    <s v="Male"/>
    <n v="99"/>
    <n v="2"/>
    <s v="Medium"/>
    <n v="1"/>
    <x v="1"/>
    <x v="2"/>
    <n v="3"/>
    <s v="High"/>
    <x v="0"/>
    <n v="3894"/>
    <n v="9129"/>
    <n v="5"/>
    <x v="1"/>
    <n v="16"/>
    <n v="3"/>
    <s v="Excellent"/>
    <n v="3"/>
    <s v="High"/>
    <n v="0"/>
    <n v="4"/>
    <n v="3"/>
    <n v="3"/>
    <s v="High"/>
    <n v="2"/>
    <n v="2"/>
    <n v="1"/>
    <n v="2"/>
  </r>
  <r>
    <n v="48"/>
    <x v="1"/>
    <x v="1"/>
    <x v="0"/>
    <n v="163"/>
    <x v="0"/>
    <n v="2"/>
    <x v="0"/>
    <n v="5"/>
    <s v="Doctor"/>
    <s v="Marketing"/>
    <n v="595"/>
    <n v="2"/>
    <x v="0"/>
    <s v="Female"/>
    <n v="37"/>
    <n v="3"/>
    <s v="High"/>
    <n v="2"/>
    <x v="0"/>
    <x v="0"/>
    <n v="4"/>
    <s v="Very High"/>
    <x v="1"/>
    <n v="4051"/>
    <n v="19658"/>
    <n v="2"/>
    <x v="1"/>
    <n v="14"/>
    <n v="3"/>
    <s v="Excellent"/>
    <n v="1"/>
    <s v="Low"/>
    <n v="1"/>
    <n v="14"/>
    <n v="2"/>
    <n v="3"/>
    <s v="High"/>
    <n v="9"/>
    <n v="7"/>
    <n v="6"/>
    <n v="7"/>
  </r>
  <r>
    <n v="55"/>
    <x v="1"/>
    <x v="1"/>
    <x v="0"/>
    <n v="1117"/>
    <x v="0"/>
    <n v="18"/>
    <x v="2"/>
    <n v="5"/>
    <s v="Doctor"/>
    <s v="Life Sciences"/>
    <n v="597"/>
    <n v="1"/>
    <x v="2"/>
    <s v="Female"/>
    <n v="83"/>
    <n v="3"/>
    <s v="High"/>
    <n v="4"/>
    <x v="3"/>
    <x v="5"/>
    <n v="2"/>
    <s v="Medium"/>
    <x v="0"/>
    <n v="16835"/>
    <n v="9873"/>
    <n v="3"/>
    <x v="1"/>
    <n v="23"/>
    <n v="4"/>
    <s v="Outstanding"/>
    <n v="4"/>
    <s v="Very High"/>
    <n v="0"/>
    <n v="37"/>
    <n v="2"/>
    <n v="3"/>
    <s v="High"/>
    <n v="10"/>
    <n v="9"/>
    <n v="7"/>
    <n v="7"/>
  </r>
  <r>
    <n v="41"/>
    <x v="0"/>
    <x v="1"/>
    <x v="2"/>
    <n v="267"/>
    <x v="0"/>
    <n v="10"/>
    <x v="0"/>
    <n v="2"/>
    <s v="College"/>
    <s v="Life Sciences"/>
    <n v="599"/>
    <n v="4"/>
    <x v="3"/>
    <s v="Male"/>
    <n v="56"/>
    <n v="3"/>
    <s v="High"/>
    <n v="2"/>
    <x v="0"/>
    <x v="0"/>
    <n v="4"/>
    <s v="Very High"/>
    <x v="0"/>
    <n v="6230"/>
    <n v="13430"/>
    <n v="7"/>
    <x v="1"/>
    <n v="14"/>
    <n v="3"/>
    <s v="Excellent"/>
    <n v="4"/>
    <s v="Very High"/>
    <n v="0"/>
    <n v="16"/>
    <n v="3"/>
    <n v="3"/>
    <s v="High"/>
    <n v="14"/>
    <n v="3"/>
    <n v="1"/>
    <n v="10"/>
  </r>
  <r>
    <n v="35"/>
    <x v="2"/>
    <x v="1"/>
    <x v="0"/>
    <n v="619"/>
    <x v="0"/>
    <n v="1"/>
    <x v="0"/>
    <n v="3"/>
    <s v="Bachelor"/>
    <s v="Marketing"/>
    <n v="600"/>
    <n v="2"/>
    <x v="0"/>
    <s v="Male"/>
    <n v="85"/>
    <n v="3"/>
    <s v="High"/>
    <n v="2"/>
    <x v="0"/>
    <x v="0"/>
    <n v="3"/>
    <s v="High"/>
    <x v="1"/>
    <n v="4717"/>
    <n v="18659"/>
    <n v="9"/>
    <x v="1"/>
    <n v="11"/>
    <n v="3"/>
    <s v="Excellent"/>
    <n v="3"/>
    <s v="High"/>
    <n v="0"/>
    <n v="15"/>
    <n v="2"/>
    <n v="3"/>
    <s v="High"/>
    <n v="11"/>
    <n v="9"/>
    <n v="6"/>
    <n v="9"/>
  </r>
  <r>
    <n v="40"/>
    <x v="0"/>
    <x v="1"/>
    <x v="0"/>
    <n v="302"/>
    <x v="1"/>
    <n v="6"/>
    <x v="0"/>
    <n v="3"/>
    <s v="Bachelor"/>
    <s v="Life Sciences"/>
    <n v="601"/>
    <n v="2"/>
    <x v="0"/>
    <s v="Female"/>
    <n v="75"/>
    <n v="3"/>
    <s v="High"/>
    <n v="4"/>
    <x v="3"/>
    <x v="3"/>
    <n v="3"/>
    <s v="High"/>
    <x v="0"/>
    <n v="13237"/>
    <n v="20364"/>
    <n v="7"/>
    <x v="1"/>
    <n v="15"/>
    <n v="3"/>
    <s v="Excellent"/>
    <n v="3"/>
    <s v="High"/>
    <n v="0"/>
    <n v="22"/>
    <n v="3"/>
    <n v="3"/>
    <s v="High"/>
    <n v="20"/>
    <n v="6"/>
    <n v="5"/>
    <n v="13"/>
  </r>
  <r>
    <n v="39"/>
    <x v="0"/>
    <x v="1"/>
    <x v="1"/>
    <n v="443"/>
    <x v="1"/>
    <n v="8"/>
    <x v="0"/>
    <n v="1"/>
    <s v="Below College"/>
    <s v="Life Sciences"/>
    <n v="602"/>
    <n v="3"/>
    <x v="1"/>
    <s v="Female"/>
    <n v="48"/>
    <n v="3"/>
    <s v="High"/>
    <n v="1"/>
    <x v="1"/>
    <x v="2"/>
    <n v="3"/>
    <s v="High"/>
    <x v="1"/>
    <n v="3755"/>
    <n v="17872"/>
    <n v="1"/>
    <x v="1"/>
    <n v="11"/>
    <n v="3"/>
    <s v="Excellent"/>
    <n v="1"/>
    <s v="Low"/>
    <n v="1"/>
    <n v="8"/>
    <n v="3"/>
    <n v="3"/>
    <s v="High"/>
    <n v="8"/>
    <n v="3"/>
    <n v="0"/>
    <n v="7"/>
  </r>
  <r>
    <n v="31"/>
    <x v="2"/>
    <x v="1"/>
    <x v="0"/>
    <n v="828"/>
    <x v="0"/>
    <n v="2"/>
    <x v="0"/>
    <n v="1"/>
    <s v="Below College"/>
    <s v="Life Sciences"/>
    <n v="604"/>
    <n v="2"/>
    <x v="0"/>
    <s v="Male"/>
    <n v="77"/>
    <n v="3"/>
    <s v="High"/>
    <n v="2"/>
    <x v="0"/>
    <x v="0"/>
    <n v="4"/>
    <s v="Very High"/>
    <x v="0"/>
    <n v="6582"/>
    <n v="8346"/>
    <n v="4"/>
    <x v="0"/>
    <n v="13"/>
    <n v="3"/>
    <s v="Excellent"/>
    <n v="3"/>
    <s v="High"/>
    <n v="0"/>
    <n v="10"/>
    <n v="2"/>
    <n v="4"/>
    <s v="Very High"/>
    <n v="6"/>
    <n v="5"/>
    <n v="0"/>
    <n v="5"/>
  </r>
  <r>
    <n v="42"/>
    <x v="0"/>
    <x v="1"/>
    <x v="0"/>
    <n v="319"/>
    <x v="1"/>
    <n v="24"/>
    <x v="1"/>
    <n v="3"/>
    <s v="Bachelor"/>
    <s v="Medical"/>
    <n v="605"/>
    <n v="4"/>
    <x v="3"/>
    <s v="Male"/>
    <n v="56"/>
    <n v="3"/>
    <s v="High"/>
    <n v="3"/>
    <x v="2"/>
    <x v="3"/>
    <n v="1"/>
    <s v="Low"/>
    <x v="1"/>
    <n v="7406"/>
    <n v="6950"/>
    <n v="1"/>
    <x v="0"/>
    <n v="21"/>
    <n v="4"/>
    <s v="Outstanding"/>
    <n v="4"/>
    <s v="Very High"/>
    <n v="1"/>
    <n v="10"/>
    <n v="5"/>
    <n v="2"/>
    <s v="Medium"/>
    <n v="10"/>
    <n v="9"/>
    <n v="5"/>
    <n v="8"/>
  </r>
  <r>
    <n v="45"/>
    <x v="0"/>
    <x v="1"/>
    <x v="0"/>
    <n v="561"/>
    <x v="0"/>
    <n v="2"/>
    <x v="0"/>
    <n v="3"/>
    <s v="Bachelor"/>
    <s v="Other"/>
    <n v="606"/>
    <n v="4"/>
    <x v="3"/>
    <s v="Male"/>
    <n v="61"/>
    <n v="3"/>
    <s v="High"/>
    <n v="2"/>
    <x v="0"/>
    <x v="0"/>
    <n v="2"/>
    <s v="Medium"/>
    <x v="1"/>
    <n v="4805"/>
    <n v="16177"/>
    <n v="0"/>
    <x v="1"/>
    <n v="19"/>
    <n v="3"/>
    <s v="Excellent"/>
    <n v="2"/>
    <s v="Medium"/>
    <n v="1"/>
    <n v="9"/>
    <n v="3"/>
    <n v="4"/>
    <s v="Very High"/>
    <n v="8"/>
    <n v="7"/>
    <n v="3"/>
    <n v="7"/>
  </r>
  <r>
    <n v="26"/>
    <x v="2"/>
    <x v="0"/>
    <x v="1"/>
    <n v="426"/>
    <x v="2"/>
    <n v="17"/>
    <x v="2"/>
    <n v="4"/>
    <s v="Master"/>
    <s v="Life Sciences"/>
    <n v="608"/>
    <n v="2"/>
    <x v="0"/>
    <s v="Female"/>
    <n v="58"/>
    <n v="3"/>
    <s v="High"/>
    <n v="1"/>
    <x v="1"/>
    <x v="8"/>
    <n v="3"/>
    <s v="High"/>
    <x v="2"/>
    <n v="2741"/>
    <n v="22808"/>
    <n v="0"/>
    <x v="0"/>
    <n v="11"/>
    <n v="3"/>
    <s v="Excellent"/>
    <n v="2"/>
    <s v="Medium"/>
    <n v="1"/>
    <n v="8"/>
    <n v="2"/>
    <n v="2"/>
    <s v="Medium"/>
    <n v="7"/>
    <n v="7"/>
    <n v="1"/>
    <n v="0"/>
  </r>
  <r>
    <n v="29"/>
    <x v="2"/>
    <x v="1"/>
    <x v="0"/>
    <n v="232"/>
    <x v="1"/>
    <n v="19"/>
    <x v="2"/>
    <n v="3"/>
    <s v="Bachelor"/>
    <s v="Technical Degree"/>
    <n v="611"/>
    <n v="4"/>
    <x v="3"/>
    <s v="Male"/>
    <n v="34"/>
    <n v="3"/>
    <s v="High"/>
    <n v="2"/>
    <x v="0"/>
    <x v="3"/>
    <n v="4"/>
    <s v="Very High"/>
    <x v="2"/>
    <n v="4262"/>
    <n v="22645"/>
    <n v="4"/>
    <x v="1"/>
    <n v="12"/>
    <n v="3"/>
    <s v="Excellent"/>
    <n v="2"/>
    <s v="Medium"/>
    <n v="2"/>
    <n v="8"/>
    <n v="2"/>
    <n v="4"/>
    <s v="Very High"/>
    <n v="3"/>
    <n v="2"/>
    <n v="1"/>
    <n v="2"/>
  </r>
  <r>
    <n v="33"/>
    <x v="2"/>
    <x v="1"/>
    <x v="0"/>
    <n v="922"/>
    <x v="1"/>
    <n v="1"/>
    <x v="0"/>
    <n v="5"/>
    <s v="Doctor"/>
    <s v="Medical"/>
    <n v="612"/>
    <n v="1"/>
    <x v="2"/>
    <s v="Female"/>
    <n v="95"/>
    <n v="4"/>
    <s v="Very High"/>
    <n v="4"/>
    <x v="3"/>
    <x v="7"/>
    <n v="3"/>
    <s v="High"/>
    <x v="2"/>
    <n v="16184"/>
    <n v="22578"/>
    <n v="4"/>
    <x v="1"/>
    <n v="19"/>
    <n v="3"/>
    <s v="Excellent"/>
    <n v="3"/>
    <s v="High"/>
    <n v="1"/>
    <n v="10"/>
    <n v="2"/>
    <n v="3"/>
    <s v="High"/>
    <n v="6"/>
    <n v="1"/>
    <n v="0"/>
    <n v="5"/>
  </r>
  <r>
    <n v="31"/>
    <x v="2"/>
    <x v="1"/>
    <x v="0"/>
    <n v="688"/>
    <x v="0"/>
    <n v="7"/>
    <x v="0"/>
    <n v="3"/>
    <s v="Bachelor"/>
    <s v="Life Sciences"/>
    <n v="613"/>
    <n v="3"/>
    <x v="1"/>
    <s v="Male"/>
    <n v="44"/>
    <n v="2"/>
    <s v="Medium"/>
    <n v="3"/>
    <x v="2"/>
    <x v="5"/>
    <n v="4"/>
    <s v="Very High"/>
    <x v="2"/>
    <n v="11557"/>
    <n v="25291"/>
    <n v="9"/>
    <x v="1"/>
    <n v="21"/>
    <n v="4"/>
    <s v="Outstanding"/>
    <n v="3"/>
    <s v="High"/>
    <n v="1"/>
    <n v="10"/>
    <n v="3"/>
    <n v="2"/>
    <s v="Medium"/>
    <n v="5"/>
    <n v="4"/>
    <n v="0"/>
    <n v="1"/>
  </r>
  <r>
    <n v="18"/>
    <x v="4"/>
    <x v="0"/>
    <x v="1"/>
    <n v="1306"/>
    <x v="0"/>
    <n v="5"/>
    <x v="0"/>
    <n v="3"/>
    <s v="Bachelor"/>
    <s v="Marketing"/>
    <n v="614"/>
    <n v="2"/>
    <x v="0"/>
    <s v="Male"/>
    <n v="69"/>
    <n v="3"/>
    <s v="High"/>
    <n v="1"/>
    <x v="1"/>
    <x v="6"/>
    <n v="2"/>
    <s v="Medium"/>
    <x v="0"/>
    <n v="1878"/>
    <n v="8059"/>
    <n v="1"/>
    <x v="0"/>
    <n v="14"/>
    <n v="3"/>
    <s v="Excellent"/>
    <n v="4"/>
    <s v="Very High"/>
    <n v="0"/>
    <n v="0"/>
    <n v="3"/>
    <n v="3"/>
    <s v="High"/>
    <n v="0"/>
    <n v="0"/>
    <n v="0"/>
    <n v="0"/>
  </r>
  <r>
    <n v="40"/>
    <x v="0"/>
    <x v="1"/>
    <x v="2"/>
    <n v="1094"/>
    <x v="0"/>
    <n v="28"/>
    <x v="1"/>
    <n v="3"/>
    <s v="Bachelor"/>
    <s v="Other"/>
    <n v="615"/>
    <n v="3"/>
    <x v="1"/>
    <s v="Male"/>
    <n v="58"/>
    <n v="1"/>
    <s v="Low"/>
    <n v="3"/>
    <x v="2"/>
    <x v="0"/>
    <n v="1"/>
    <s v="Low"/>
    <x v="2"/>
    <n v="10932"/>
    <n v="11373"/>
    <n v="3"/>
    <x v="1"/>
    <n v="15"/>
    <n v="3"/>
    <s v="Excellent"/>
    <n v="3"/>
    <s v="High"/>
    <n v="1"/>
    <n v="20"/>
    <n v="2"/>
    <n v="3"/>
    <s v="High"/>
    <n v="1"/>
    <n v="0"/>
    <n v="0"/>
    <n v="1"/>
  </r>
  <r>
    <n v="41"/>
    <x v="0"/>
    <x v="1"/>
    <x v="2"/>
    <n v="509"/>
    <x v="1"/>
    <n v="2"/>
    <x v="0"/>
    <n v="4"/>
    <s v="Master"/>
    <s v="Other"/>
    <n v="616"/>
    <n v="1"/>
    <x v="2"/>
    <s v="Female"/>
    <n v="62"/>
    <n v="2"/>
    <s v="Medium"/>
    <n v="2"/>
    <x v="0"/>
    <x v="4"/>
    <n v="3"/>
    <s v="High"/>
    <x v="0"/>
    <n v="6811"/>
    <n v="2112"/>
    <n v="2"/>
    <x v="0"/>
    <n v="17"/>
    <n v="3"/>
    <s v="Excellent"/>
    <n v="1"/>
    <s v="Low"/>
    <n v="0"/>
    <n v="10"/>
    <n v="3"/>
    <n v="3"/>
    <s v="High"/>
    <n v="8"/>
    <n v="7"/>
    <n v="0"/>
    <n v="7"/>
  </r>
  <r>
    <n v="26"/>
    <x v="2"/>
    <x v="1"/>
    <x v="0"/>
    <n v="775"/>
    <x v="0"/>
    <n v="29"/>
    <x v="1"/>
    <n v="2"/>
    <s v="College"/>
    <s v="Medical"/>
    <n v="618"/>
    <n v="1"/>
    <x v="2"/>
    <s v="Male"/>
    <n v="45"/>
    <n v="3"/>
    <s v="High"/>
    <n v="2"/>
    <x v="0"/>
    <x v="0"/>
    <n v="3"/>
    <s v="High"/>
    <x v="2"/>
    <n v="4306"/>
    <n v="4267"/>
    <n v="5"/>
    <x v="1"/>
    <n v="12"/>
    <n v="3"/>
    <s v="Excellent"/>
    <n v="1"/>
    <s v="Low"/>
    <n v="2"/>
    <n v="8"/>
    <n v="5"/>
    <n v="3"/>
    <s v="High"/>
    <n v="0"/>
    <n v="0"/>
    <n v="0"/>
    <n v="0"/>
  </r>
  <r>
    <n v="35"/>
    <x v="2"/>
    <x v="1"/>
    <x v="0"/>
    <n v="195"/>
    <x v="0"/>
    <n v="1"/>
    <x v="0"/>
    <n v="3"/>
    <s v="Bachelor"/>
    <s v="Medical"/>
    <n v="620"/>
    <n v="1"/>
    <x v="2"/>
    <s v="Female"/>
    <n v="80"/>
    <n v="3"/>
    <s v="High"/>
    <n v="2"/>
    <x v="0"/>
    <x v="0"/>
    <n v="3"/>
    <s v="High"/>
    <x v="0"/>
    <n v="4859"/>
    <n v="6698"/>
    <n v="1"/>
    <x v="1"/>
    <n v="16"/>
    <n v="3"/>
    <s v="Excellent"/>
    <n v="4"/>
    <s v="Very High"/>
    <n v="0"/>
    <n v="5"/>
    <n v="3"/>
    <n v="3"/>
    <s v="High"/>
    <n v="5"/>
    <n v="4"/>
    <n v="0"/>
    <n v="3"/>
  </r>
  <r>
    <n v="34"/>
    <x v="2"/>
    <x v="1"/>
    <x v="0"/>
    <n v="258"/>
    <x v="0"/>
    <n v="21"/>
    <x v="1"/>
    <n v="4"/>
    <s v="Master"/>
    <s v="Life Sciences"/>
    <n v="621"/>
    <n v="4"/>
    <x v="3"/>
    <s v="Male"/>
    <n v="74"/>
    <n v="4"/>
    <s v="Very High"/>
    <n v="2"/>
    <x v="0"/>
    <x v="0"/>
    <n v="4"/>
    <s v="Very High"/>
    <x v="0"/>
    <n v="5337"/>
    <n v="19921"/>
    <n v="1"/>
    <x v="1"/>
    <n v="12"/>
    <n v="3"/>
    <s v="Excellent"/>
    <n v="4"/>
    <s v="Very High"/>
    <n v="0"/>
    <n v="10"/>
    <n v="3"/>
    <n v="3"/>
    <s v="High"/>
    <n v="10"/>
    <n v="7"/>
    <n v="5"/>
    <n v="7"/>
  </r>
  <r>
    <n v="26"/>
    <x v="2"/>
    <x v="0"/>
    <x v="0"/>
    <n v="471"/>
    <x v="1"/>
    <n v="24"/>
    <x v="1"/>
    <n v="3"/>
    <s v="Bachelor"/>
    <s v="Technical Degree"/>
    <n v="622"/>
    <n v="3"/>
    <x v="1"/>
    <s v="Male"/>
    <n v="66"/>
    <n v="1"/>
    <s v="Low"/>
    <n v="1"/>
    <x v="1"/>
    <x v="2"/>
    <n v="4"/>
    <s v="Very High"/>
    <x v="0"/>
    <n v="2340"/>
    <n v="23213"/>
    <n v="1"/>
    <x v="0"/>
    <n v="18"/>
    <n v="3"/>
    <s v="Excellent"/>
    <n v="2"/>
    <s v="Medium"/>
    <n v="0"/>
    <n v="1"/>
    <n v="3"/>
    <n v="1"/>
    <s v="Low"/>
    <n v="1"/>
    <n v="0"/>
    <n v="0"/>
    <n v="0"/>
  </r>
  <r>
    <n v="37"/>
    <x v="0"/>
    <x v="1"/>
    <x v="0"/>
    <n v="799"/>
    <x v="1"/>
    <n v="1"/>
    <x v="0"/>
    <n v="3"/>
    <s v="Bachelor"/>
    <s v="Technical Degree"/>
    <n v="623"/>
    <n v="2"/>
    <x v="0"/>
    <s v="Female"/>
    <n v="59"/>
    <n v="3"/>
    <s v="High"/>
    <n v="3"/>
    <x v="2"/>
    <x v="3"/>
    <n v="4"/>
    <s v="Very High"/>
    <x v="0"/>
    <n v="7491"/>
    <n v="23848"/>
    <n v="4"/>
    <x v="1"/>
    <n v="17"/>
    <n v="3"/>
    <s v="Excellent"/>
    <n v="4"/>
    <s v="Very High"/>
    <n v="0"/>
    <n v="12"/>
    <n v="3"/>
    <n v="4"/>
    <s v="Very High"/>
    <n v="6"/>
    <n v="5"/>
    <n v="1"/>
    <n v="2"/>
  </r>
  <r>
    <n v="46"/>
    <x v="1"/>
    <x v="1"/>
    <x v="1"/>
    <n v="1034"/>
    <x v="1"/>
    <n v="18"/>
    <x v="2"/>
    <n v="1"/>
    <s v="Below College"/>
    <s v="Medical"/>
    <n v="624"/>
    <n v="1"/>
    <x v="2"/>
    <s v="Female"/>
    <n v="86"/>
    <n v="3"/>
    <s v="High"/>
    <n v="3"/>
    <x v="2"/>
    <x v="4"/>
    <n v="3"/>
    <s v="High"/>
    <x v="1"/>
    <n v="10527"/>
    <n v="8984"/>
    <n v="5"/>
    <x v="1"/>
    <n v="11"/>
    <n v="3"/>
    <s v="Excellent"/>
    <n v="4"/>
    <s v="Very High"/>
    <n v="0"/>
    <n v="28"/>
    <n v="3"/>
    <n v="2"/>
    <s v="Medium"/>
    <n v="2"/>
    <n v="2"/>
    <n v="1"/>
    <n v="2"/>
  </r>
  <r>
    <n v="41"/>
    <x v="0"/>
    <x v="1"/>
    <x v="0"/>
    <n v="1276"/>
    <x v="0"/>
    <n v="2"/>
    <x v="0"/>
    <n v="5"/>
    <s v="Doctor"/>
    <s v="Life Sciences"/>
    <n v="625"/>
    <n v="2"/>
    <x v="0"/>
    <s v="Female"/>
    <n v="91"/>
    <n v="3"/>
    <s v="High"/>
    <n v="4"/>
    <x v="3"/>
    <x v="5"/>
    <n v="1"/>
    <s v="Low"/>
    <x v="1"/>
    <n v="16595"/>
    <n v="5626"/>
    <n v="7"/>
    <x v="1"/>
    <n v="16"/>
    <n v="3"/>
    <s v="Excellent"/>
    <n v="2"/>
    <s v="Medium"/>
    <n v="1"/>
    <n v="22"/>
    <n v="2"/>
    <n v="3"/>
    <s v="High"/>
    <n v="18"/>
    <n v="16"/>
    <n v="11"/>
    <n v="8"/>
  </r>
  <r>
    <n v="37"/>
    <x v="0"/>
    <x v="1"/>
    <x v="2"/>
    <n v="142"/>
    <x v="0"/>
    <n v="9"/>
    <x v="0"/>
    <n v="4"/>
    <s v="Master"/>
    <s v="Medical"/>
    <n v="626"/>
    <n v="1"/>
    <x v="2"/>
    <s v="Male"/>
    <n v="69"/>
    <n v="3"/>
    <s v="High"/>
    <n v="3"/>
    <x v="2"/>
    <x v="0"/>
    <n v="2"/>
    <s v="Medium"/>
    <x v="2"/>
    <n v="8834"/>
    <n v="24666"/>
    <n v="1"/>
    <x v="1"/>
    <n v="13"/>
    <n v="3"/>
    <s v="Excellent"/>
    <n v="4"/>
    <s v="Very High"/>
    <n v="1"/>
    <n v="9"/>
    <n v="6"/>
    <n v="3"/>
    <s v="High"/>
    <n v="9"/>
    <n v="5"/>
    <n v="7"/>
    <n v="7"/>
  </r>
  <r>
    <n v="52"/>
    <x v="1"/>
    <x v="1"/>
    <x v="0"/>
    <n v="956"/>
    <x v="1"/>
    <n v="6"/>
    <x v="0"/>
    <n v="2"/>
    <s v="College"/>
    <s v="Technical Degree"/>
    <n v="630"/>
    <n v="4"/>
    <x v="3"/>
    <s v="Male"/>
    <n v="78"/>
    <n v="3"/>
    <s v="High"/>
    <n v="2"/>
    <x v="0"/>
    <x v="1"/>
    <n v="1"/>
    <s v="Low"/>
    <x v="2"/>
    <n v="5577"/>
    <n v="22087"/>
    <n v="3"/>
    <x v="0"/>
    <n v="12"/>
    <n v="3"/>
    <s v="Excellent"/>
    <n v="2"/>
    <s v="Medium"/>
    <n v="2"/>
    <n v="18"/>
    <n v="3"/>
    <n v="3"/>
    <s v="High"/>
    <n v="10"/>
    <n v="9"/>
    <n v="6"/>
    <n v="9"/>
  </r>
  <r>
    <n v="32"/>
    <x v="2"/>
    <x v="0"/>
    <x v="2"/>
    <n v="1474"/>
    <x v="0"/>
    <n v="11"/>
    <x v="2"/>
    <n v="4"/>
    <s v="Master"/>
    <s v="Other"/>
    <n v="631"/>
    <n v="4"/>
    <x v="3"/>
    <s v="Male"/>
    <n v="60"/>
    <n v="4"/>
    <s v="Very High"/>
    <n v="2"/>
    <x v="0"/>
    <x v="0"/>
    <n v="3"/>
    <s v="High"/>
    <x v="1"/>
    <n v="4707"/>
    <n v="23914"/>
    <n v="8"/>
    <x v="1"/>
    <n v="12"/>
    <n v="3"/>
    <s v="Excellent"/>
    <n v="4"/>
    <s v="Very High"/>
    <n v="0"/>
    <n v="6"/>
    <n v="2"/>
    <n v="3"/>
    <s v="High"/>
    <n v="4"/>
    <n v="2"/>
    <n v="1"/>
    <n v="2"/>
  </r>
  <r>
    <n v="24"/>
    <x v="4"/>
    <x v="1"/>
    <x v="1"/>
    <n v="535"/>
    <x v="0"/>
    <n v="24"/>
    <x v="1"/>
    <n v="3"/>
    <s v="Bachelor"/>
    <s v="Medical"/>
    <n v="632"/>
    <n v="4"/>
    <x v="3"/>
    <s v="Male"/>
    <n v="38"/>
    <n v="3"/>
    <s v="High"/>
    <n v="1"/>
    <x v="1"/>
    <x v="6"/>
    <n v="4"/>
    <s v="Very High"/>
    <x v="1"/>
    <n v="2400"/>
    <n v="5530"/>
    <n v="0"/>
    <x v="1"/>
    <n v="13"/>
    <n v="3"/>
    <s v="Excellent"/>
    <n v="3"/>
    <s v="High"/>
    <n v="2"/>
    <n v="3"/>
    <n v="3"/>
    <n v="3"/>
    <s v="High"/>
    <n v="2"/>
    <n v="2"/>
    <n v="2"/>
    <n v="1"/>
  </r>
  <r>
    <n v="38"/>
    <x v="0"/>
    <x v="1"/>
    <x v="0"/>
    <n v="1495"/>
    <x v="1"/>
    <n v="10"/>
    <x v="0"/>
    <n v="3"/>
    <s v="Bachelor"/>
    <s v="Medical"/>
    <n v="634"/>
    <n v="3"/>
    <x v="1"/>
    <s v="Female"/>
    <n v="76"/>
    <n v="3"/>
    <s v="High"/>
    <n v="2"/>
    <x v="0"/>
    <x v="4"/>
    <n v="3"/>
    <s v="High"/>
    <x v="1"/>
    <n v="9824"/>
    <n v="22174"/>
    <n v="3"/>
    <x v="1"/>
    <n v="19"/>
    <n v="3"/>
    <s v="Excellent"/>
    <n v="3"/>
    <s v="High"/>
    <n v="1"/>
    <n v="18"/>
    <n v="4"/>
    <n v="3"/>
    <s v="High"/>
    <n v="1"/>
    <n v="0"/>
    <n v="0"/>
    <n v="0"/>
  </r>
  <r>
    <n v="37"/>
    <x v="0"/>
    <x v="1"/>
    <x v="0"/>
    <n v="446"/>
    <x v="1"/>
    <n v="1"/>
    <x v="0"/>
    <n v="4"/>
    <s v="Master"/>
    <s v="Life Sciences"/>
    <n v="635"/>
    <n v="2"/>
    <x v="0"/>
    <s v="Female"/>
    <n v="65"/>
    <n v="3"/>
    <s v="High"/>
    <n v="2"/>
    <x v="0"/>
    <x v="3"/>
    <n v="2"/>
    <s v="Medium"/>
    <x v="1"/>
    <n v="6447"/>
    <n v="15701"/>
    <n v="6"/>
    <x v="1"/>
    <n v="12"/>
    <n v="3"/>
    <s v="Excellent"/>
    <n v="2"/>
    <s v="Medium"/>
    <n v="1"/>
    <n v="8"/>
    <n v="2"/>
    <n v="2"/>
    <s v="Medium"/>
    <n v="6"/>
    <n v="5"/>
    <n v="4"/>
    <n v="3"/>
  </r>
  <r>
    <n v="49"/>
    <x v="1"/>
    <x v="1"/>
    <x v="0"/>
    <n v="1245"/>
    <x v="1"/>
    <n v="18"/>
    <x v="2"/>
    <n v="4"/>
    <s v="Master"/>
    <s v="Life Sciences"/>
    <n v="638"/>
    <n v="4"/>
    <x v="3"/>
    <s v="Male"/>
    <n v="58"/>
    <n v="2"/>
    <s v="Medium"/>
    <n v="5"/>
    <x v="4"/>
    <x v="7"/>
    <n v="3"/>
    <s v="High"/>
    <x v="2"/>
    <n v="19502"/>
    <n v="2125"/>
    <n v="1"/>
    <x v="0"/>
    <n v="17"/>
    <n v="3"/>
    <s v="Excellent"/>
    <n v="3"/>
    <s v="High"/>
    <n v="1"/>
    <n v="31"/>
    <n v="5"/>
    <n v="3"/>
    <s v="High"/>
    <n v="31"/>
    <n v="9"/>
    <n v="0"/>
    <n v="9"/>
  </r>
  <r>
    <n v="24"/>
    <x v="4"/>
    <x v="1"/>
    <x v="0"/>
    <n v="691"/>
    <x v="1"/>
    <n v="23"/>
    <x v="1"/>
    <n v="3"/>
    <s v="Bachelor"/>
    <s v="Medical"/>
    <n v="639"/>
    <n v="2"/>
    <x v="0"/>
    <s v="Male"/>
    <n v="89"/>
    <n v="4"/>
    <s v="Very High"/>
    <n v="1"/>
    <x v="1"/>
    <x v="1"/>
    <n v="4"/>
    <s v="Very High"/>
    <x v="1"/>
    <n v="2725"/>
    <n v="21630"/>
    <n v="1"/>
    <x v="0"/>
    <n v="11"/>
    <n v="3"/>
    <s v="Excellent"/>
    <n v="2"/>
    <s v="Medium"/>
    <n v="2"/>
    <n v="6"/>
    <n v="3"/>
    <n v="3"/>
    <s v="High"/>
    <n v="6"/>
    <n v="5"/>
    <n v="1"/>
    <n v="4"/>
  </r>
  <r>
    <n v="26"/>
    <x v="2"/>
    <x v="1"/>
    <x v="0"/>
    <n v="703"/>
    <x v="0"/>
    <n v="28"/>
    <x v="1"/>
    <n v="2"/>
    <s v="College"/>
    <s v="Marketing"/>
    <n v="641"/>
    <n v="1"/>
    <x v="2"/>
    <s v="Male"/>
    <n v="66"/>
    <n v="3"/>
    <s v="High"/>
    <n v="2"/>
    <x v="0"/>
    <x v="0"/>
    <n v="2"/>
    <s v="Medium"/>
    <x v="1"/>
    <n v="6272"/>
    <n v="7428"/>
    <n v="1"/>
    <x v="1"/>
    <n v="20"/>
    <n v="4"/>
    <s v="Outstanding"/>
    <n v="4"/>
    <s v="Very High"/>
    <n v="2"/>
    <n v="6"/>
    <n v="5"/>
    <n v="4"/>
    <s v="Very High"/>
    <n v="5"/>
    <n v="3"/>
    <n v="1"/>
    <n v="4"/>
  </r>
  <r>
    <n v="24"/>
    <x v="4"/>
    <x v="1"/>
    <x v="0"/>
    <n v="823"/>
    <x v="1"/>
    <n v="17"/>
    <x v="2"/>
    <n v="2"/>
    <s v="College"/>
    <s v="Other"/>
    <n v="643"/>
    <n v="4"/>
    <x v="3"/>
    <s v="Male"/>
    <n v="94"/>
    <n v="2"/>
    <s v="Medium"/>
    <n v="1"/>
    <x v="1"/>
    <x v="2"/>
    <n v="2"/>
    <s v="Medium"/>
    <x v="1"/>
    <n v="2127"/>
    <n v="9100"/>
    <n v="1"/>
    <x v="1"/>
    <n v="21"/>
    <n v="4"/>
    <s v="Outstanding"/>
    <n v="4"/>
    <s v="Very High"/>
    <n v="1"/>
    <n v="1"/>
    <n v="2"/>
    <n v="3"/>
    <s v="High"/>
    <n v="1"/>
    <n v="0"/>
    <n v="0"/>
    <n v="0"/>
  </r>
  <r>
    <n v="50"/>
    <x v="1"/>
    <x v="1"/>
    <x v="1"/>
    <n v="1246"/>
    <x v="2"/>
    <n v="3"/>
    <x v="0"/>
    <n v="3"/>
    <s v="Bachelor"/>
    <s v="Medical"/>
    <n v="644"/>
    <n v="1"/>
    <x v="2"/>
    <s v="Male"/>
    <n v="99"/>
    <n v="3"/>
    <s v="High"/>
    <n v="5"/>
    <x v="4"/>
    <x v="5"/>
    <n v="2"/>
    <s v="Medium"/>
    <x v="1"/>
    <n v="18200"/>
    <n v="7999"/>
    <n v="1"/>
    <x v="1"/>
    <n v="11"/>
    <n v="3"/>
    <s v="Excellent"/>
    <n v="3"/>
    <s v="High"/>
    <n v="1"/>
    <n v="32"/>
    <n v="2"/>
    <n v="3"/>
    <s v="High"/>
    <n v="32"/>
    <n v="5"/>
    <n v="10"/>
    <n v="7"/>
  </r>
  <r>
    <n v="25"/>
    <x v="4"/>
    <x v="1"/>
    <x v="0"/>
    <n v="622"/>
    <x v="0"/>
    <n v="13"/>
    <x v="2"/>
    <n v="1"/>
    <s v="Below College"/>
    <s v="Medical"/>
    <n v="645"/>
    <n v="2"/>
    <x v="0"/>
    <s v="Male"/>
    <n v="40"/>
    <n v="3"/>
    <s v="High"/>
    <n v="1"/>
    <x v="1"/>
    <x v="6"/>
    <n v="3"/>
    <s v="High"/>
    <x v="1"/>
    <n v="2096"/>
    <n v="26376"/>
    <n v="1"/>
    <x v="1"/>
    <n v="11"/>
    <n v="3"/>
    <s v="Excellent"/>
    <n v="3"/>
    <s v="High"/>
    <n v="0"/>
    <n v="7"/>
    <n v="1"/>
    <n v="3"/>
    <s v="High"/>
    <n v="7"/>
    <n v="4"/>
    <n v="0"/>
    <n v="6"/>
  </r>
  <r>
    <n v="24"/>
    <x v="4"/>
    <x v="0"/>
    <x v="1"/>
    <n v="1287"/>
    <x v="1"/>
    <n v="7"/>
    <x v="0"/>
    <n v="3"/>
    <s v="Bachelor"/>
    <s v="Life Sciences"/>
    <n v="647"/>
    <n v="1"/>
    <x v="2"/>
    <s v="Female"/>
    <n v="55"/>
    <n v="3"/>
    <s v="High"/>
    <n v="1"/>
    <x v="1"/>
    <x v="2"/>
    <n v="3"/>
    <s v="High"/>
    <x v="1"/>
    <n v="2886"/>
    <n v="14168"/>
    <n v="1"/>
    <x v="0"/>
    <n v="16"/>
    <n v="3"/>
    <s v="Excellent"/>
    <n v="4"/>
    <s v="Very High"/>
    <n v="1"/>
    <n v="6"/>
    <n v="4"/>
    <n v="3"/>
    <s v="High"/>
    <n v="6"/>
    <n v="3"/>
    <n v="1"/>
    <n v="2"/>
  </r>
  <r>
    <n v="30"/>
    <x v="2"/>
    <x v="0"/>
    <x v="1"/>
    <n v="448"/>
    <x v="0"/>
    <n v="12"/>
    <x v="2"/>
    <n v="4"/>
    <s v="Master"/>
    <s v="Life Sciences"/>
    <n v="648"/>
    <n v="2"/>
    <x v="0"/>
    <s v="Male"/>
    <n v="74"/>
    <n v="2"/>
    <s v="Medium"/>
    <n v="1"/>
    <x v="1"/>
    <x v="6"/>
    <n v="1"/>
    <s v="Low"/>
    <x v="1"/>
    <n v="2033"/>
    <n v="14470"/>
    <n v="1"/>
    <x v="1"/>
    <n v="18"/>
    <n v="3"/>
    <s v="Excellent"/>
    <n v="3"/>
    <s v="High"/>
    <n v="1"/>
    <n v="1"/>
    <n v="2"/>
    <n v="4"/>
    <s v="Very High"/>
    <n v="1"/>
    <n v="0"/>
    <n v="0"/>
    <n v="0"/>
  </r>
  <r>
    <n v="34"/>
    <x v="2"/>
    <x v="1"/>
    <x v="0"/>
    <n v="254"/>
    <x v="1"/>
    <n v="1"/>
    <x v="0"/>
    <n v="2"/>
    <s v="College"/>
    <s v="Life Sciences"/>
    <n v="649"/>
    <n v="2"/>
    <x v="0"/>
    <s v="Male"/>
    <n v="83"/>
    <n v="2"/>
    <s v="Medium"/>
    <n v="1"/>
    <x v="1"/>
    <x v="1"/>
    <n v="4"/>
    <s v="Very High"/>
    <x v="1"/>
    <n v="3622"/>
    <n v="22794"/>
    <n v="1"/>
    <x v="0"/>
    <n v="13"/>
    <n v="3"/>
    <s v="Excellent"/>
    <n v="4"/>
    <s v="Very High"/>
    <n v="1"/>
    <n v="6"/>
    <n v="3"/>
    <n v="3"/>
    <s v="High"/>
    <n v="6"/>
    <n v="5"/>
    <n v="1"/>
    <n v="3"/>
  </r>
  <r>
    <n v="31"/>
    <x v="2"/>
    <x v="0"/>
    <x v="0"/>
    <n v="1365"/>
    <x v="0"/>
    <n v="13"/>
    <x v="2"/>
    <n v="4"/>
    <s v="Master"/>
    <s v="Medical"/>
    <n v="650"/>
    <n v="2"/>
    <x v="0"/>
    <s v="Male"/>
    <n v="46"/>
    <n v="3"/>
    <s v="High"/>
    <n v="2"/>
    <x v="0"/>
    <x v="0"/>
    <n v="1"/>
    <s v="Low"/>
    <x v="2"/>
    <n v="4233"/>
    <n v="11512"/>
    <n v="2"/>
    <x v="1"/>
    <n v="17"/>
    <n v="3"/>
    <s v="Excellent"/>
    <n v="3"/>
    <s v="High"/>
    <n v="0"/>
    <n v="9"/>
    <n v="2"/>
    <n v="1"/>
    <s v="Low"/>
    <n v="3"/>
    <n v="1"/>
    <n v="1"/>
    <n v="2"/>
  </r>
  <r>
    <n v="35"/>
    <x v="2"/>
    <x v="1"/>
    <x v="0"/>
    <n v="538"/>
    <x v="1"/>
    <n v="25"/>
    <x v="1"/>
    <n v="2"/>
    <s v="College"/>
    <s v="Other"/>
    <n v="652"/>
    <n v="1"/>
    <x v="2"/>
    <s v="Male"/>
    <n v="54"/>
    <n v="2"/>
    <s v="Medium"/>
    <n v="2"/>
    <x v="0"/>
    <x v="2"/>
    <n v="4"/>
    <s v="Very High"/>
    <x v="0"/>
    <n v="3681"/>
    <n v="14004"/>
    <n v="4"/>
    <x v="1"/>
    <n v="14"/>
    <n v="3"/>
    <s v="Excellent"/>
    <n v="4"/>
    <s v="Very High"/>
    <n v="0"/>
    <n v="9"/>
    <n v="3"/>
    <n v="3"/>
    <s v="High"/>
    <n v="3"/>
    <n v="2"/>
    <n v="0"/>
    <n v="2"/>
  </r>
  <r>
    <n v="31"/>
    <x v="2"/>
    <x v="1"/>
    <x v="0"/>
    <n v="525"/>
    <x v="0"/>
    <n v="6"/>
    <x v="0"/>
    <n v="4"/>
    <s v="Master"/>
    <s v="Medical"/>
    <n v="653"/>
    <n v="1"/>
    <x v="2"/>
    <s v="Male"/>
    <n v="66"/>
    <n v="4"/>
    <s v="Very High"/>
    <n v="2"/>
    <x v="0"/>
    <x v="0"/>
    <n v="4"/>
    <s v="Very High"/>
    <x v="2"/>
    <n v="5460"/>
    <n v="6219"/>
    <n v="4"/>
    <x v="1"/>
    <n v="22"/>
    <n v="4"/>
    <s v="Outstanding"/>
    <n v="4"/>
    <s v="Very High"/>
    <n v="2"/>
    <n v="13"/>
    <n v="4"/>
    <n v="4"/>
    <s v="Very High"/>
    <n v="7"/>
    <n v="7"/>
    <n v="5"/>
    <n v="7"/>
  </r>
  <r>
    <n v="27"/>
    <x v="2"/>
    <x v="1"/>
    <x v="0"/>
    <n v="798"/>
    <x v="1"/>
    <n v="6"/>
    <x v="0"/>
    <n v="4"/>
    <s v="Master"/>
    <s v="Medical"/>
    <n v="655"/>
    <n v="1"/>
    <x v="2"/>
    <s v="Female"/>
    <n v="66"/>
    <n v="2"/>
    <s v="Medium"/>
    <n v="1"/>
    <x v="1"/>
    <x v="1"/>
    <n v="3"/>
    <s v="High"/>
    <x v="2"/>
    <n v="2187"/>
    <n v="5013"/>
    <n v="0"/>
    <x v="1"/>
    <n v="12"/>
    <n v="3"/>
    <s v="Excellent"/>
    <n v="3"/>
    <s v="High"/>
    <n v="2"/>
    <n v="6"/>
    <n v="5"/>
    <n v="2"/>
    <s v="Medium"/>
    <n v="5"/>
    <n v="3"/>
    <n v="0"/>
    <n v="3"/>
  </r>
  <r>
    <n v="37"/>
    <x v="0"/>
    <x v="1"/>
    <x v="0"/>
    <n v="558"/>
    <x v="0"/>
    <n v="2"/>
    <x v="0"/>
    <n v="3"/>
    <s v="Bachelor"/>
    <s v="Marketing"/>
    <n v="656"/>
    <n v="4"/>
    <x v="3"/>
    <s v="Male"/>
    <n v="75"/>
    <n v="3"/>
    <s v="High"/>
    <n v="2"/>
    <x v="0"/>
    <x v="0"/>
    <n v="3"/>
    <s v="High"/>
    <x v="1"/>
    <n v="9602"/>
    <n v="3010"/>
    <n v="4"/>
    <x v="0"/>
    <n v="11"/>
    <n v="3"/>
    <s v="Excellent"/>
    <n v="3"/>
    <s v="High"/>
    <n v="1"/>
    <n v="17"/>
    <n v="3"/>
    <n v="2"/>
    <s v="Medium"/>
    <n v="3"/>
    <n v="0"/>
    <n v="1"/>
    <n v="0"/>
  </r>
  <r>
    <n v="20"/>
    <x v="4"/>
    <x v="1"/>
    <x v="0"/>
    <n v="959"/>
    <x v="1"/>
    <n v="1"/>
    <x v="0"/>
    <n v="3"/>
    <s v="Bachelor"/>
    <s v="Life Sciences"/>
    <n v="657"/>
    <n v="4"/>
    <x v="3"/>
    <s v="Female"/>
    <n v="83"/>
    <n v="2"/>
    <s v="Medium"/>
    <n v="1"/>
    <x v="1"/>
    <x v="1"/>
    <n v="2"/>
    <s v="Medium"/>
    <x v="0"/>
    <n v="2836"/>
    <n v="11757"/>
    <n v="1"/>
    <x v="1"/>
    <n v="13"/>
    <n v="3"/>
    <s v="Excellent"/>
    <n v="4"/>
    <s v="Very High"/>
    <n v="0"/>
    <n v="1"/>
    <n v="0"/>
    <n v="4"/>
    <s v="Very High"/>
    <n v="1"/>
    <n v="0"/>
    <n v="0"/>
    <n v="0"/>
  </r>
  <r>
    <n v="42"/>
    <x v="0"/>
    <x v="1"/>
    <x v="0"/>
    <n v="622"/>
    <x v="1"/>
    <n v="2"/>
    <x v="0"/>
    <n v="4"/>
    <s v="Master"/>
    <s v="Life Sciences"/>
    <n v="659"/>
    <n v="3"/>
    <x v="1"/>
    <s v="Female"/>
    <n v="81"/>
    <n v="3"/>
    <s v="High"/>
    <n v="2"/>
    <x v="0"/>
    <x v="4"/>
    <n v="4"/>
    <s v="Very High"/>
    <x v="1"/>
    <n v="4089"/>
    <n v="5718"/>
    <n v="1"/>
    <x v="1"/>
    <n v="13"/>
    <n v="3"/>
    <s v="Excellent"/>
    <n v="2"/>
    <s v="Medium"/>
    <n v="2"/>
    <n v="10"/>
    <n v="4"/>
    <n v="3"/>
    <s v="High"/>
    <n v="10"/>
    <n v="2"/>
    <n v="2"/>
    <n v="2"/>
  </r>
  <r>
    <n v="43"/>
    <x v="0"/>
    <x v="1"/>
    <x v="0"/>
    <n v="782"/>
    <x v="1"/>
    <n v="6"/>
    <x v="0"/>
    <n v="4"/>
    <s v="Master"/>
    <s v="Other"/>
    <n v="661"/>
    <n v="2"/>
    <x v="0"/>
    <s v="Male"/>
    <n v="50"/>
    <n v="2"/>
    <s v="Medium"/>
    <n v="4"/>
    <x v="3"/>
    <x v="7"/>
    <n v="4"/>
    <s v="Very High"/>
    <x v="2"/>
    <n v="16627"/>
    <n v="2671"/>
    <n v="4"/>
    <x v="0"/>
    <n v="14"/>
    <n v="3"/>
    <s v="Excellent"/>
    <n v="3"/>
    <s v="High"/>
    <n v="1"/>
    <n v="21"/>
    <n v="3"/>
    <n v="2"/>
    <s v="Medium"/>
    <n v="1"/>
    <n v="0"/>
    <n v="0"/>
    <n v="0"/>
  </r>
  <r>
    <n v="38"/>
    <x v="0"/>
    <x v="1"/>
    <x v="0"/>
    <n v="362"/>
    <x v="1"/>
    <n v="1"/>
    <x v="0"/>
    <n v="1"/>
    <s v="Below College"/>
    <s v="Life Sciences"/>
    <n v="662"/>
    <n v="3"/>
    <x v="1"/>
    <s v="Female"/>
    <n v="43"/>
    <n v="3"/>
    <s v="High"/>
    <n v="1"/>
    <x v="1"/>
    <x v="1"/>
    <n v="1"/>
    <s v="Low"/>
    <x v="0"/>
    <n v="2619"/>
    <n v="14561"/>
    <n v="3"/>
    <x v="1"/>
    <n v="17"/>
    <n v="3"/>
    <s v="Excellent"/>
    <n v="4"/>
    <s v="Very High"/>
    <n v="0"/>
    <n v="8"/>
    <n v="3"/>
    <n v="2"/>
    <s v="Medium"/>
    <n v="0"/>
    <n v="0"/>
    <n v="0"/>
    <n v="0"/>
  </r>
  <r>
    <n v="43"/>
    <x v="0"/>
    <x v="1"/>
    <x v="1"/>
    <n v="1001"/>
    <x v="1"/>
    <n v="9"/>
    <x v="0"/>
    <n v="5"/>
    <s v="Doctor"/>
    <s v="Medical"/>
    <n v="663"/>
    <n v="4"/>
    <x v="3"/>
    <s v="Male"/>
    <n v="72"/>
    <n v="3"/>
    <s v="High"/>
    <n v="2"/>
    <x v="0"/>
    <x v="2"/>
    <n v="3"/>
    <s v="High"/>
    <x v="2"/>
    <n v="5679"/>
    <n v="19627"/>
    <n v="3"/>
    <x v="0"/>
    <n v="13"/>
    <n v="3"/>
    <s v="Excellent"/>
    <n v="2"/>
    <s v="Medium"/>
    <n v="1"/>
    <n v="10"/>
    <n v="3"/>
    <n v="3"/>
    <s v="High"/>
    <n v="8"/>
    <n v="7"/>
    <n v="4"/>
    <n v="7"/>
  </r>
  <r>
    <n v="48"/>
    <x v="1"/>
    <x v="1"/>
    <x v="0"/>
    <n v="1236"/>
    <x v="1"/>
    <n v="1"/>
    <x v="0"/>
    <n v="4"/>
    <s v="Master"/>
    <s v="Life Sciences"/>
    <n v="664"/>
    <n v="4"/>
    <x v="3"/>
    <s v="Female"/>
    <n v="40"/>
    <n v="2"/>
    <s v="Medium"/>
    <n v="4"/>
    <x v="3"/>
    <x v="5"/>
    <n v="1"/>
    <s v="Low"/>
    <x v="1"/>
    <n v="15402"/>
    <n v="17997"/>
    <n v="7"/>
    <x v="1"/>
    <n v="11"/>
    <n v="3"/>
    <s v="Excellent"/>
    <n v="1"/>
    <s v="Low"/>
    <n v="1"/>
    <n v="21"/>
    <n v="3"/>
    <n v="1"/>
    <s v="Low"/>
    <n v="3"/>
    <n v="2"/>
    <n v="0"/>
    <n v="2"/>
  </r>
  <r>
    <n v="44"/>
    <x v="0"/>
    <x v="1"/>
    <x v="0"/>
    <n v="1112"/>
    <x v="2"/>
    <n v="1"/>
    <x v="0"/>
    <n v="4"/>
    <s v="Master"/>
    <s v="Life Sciences"/>
    <n v="665"/>
    <n v="1"/>
    <x v="2"/>
    <s v="Female"/>
    <n v="50"/>
    <n v="2"/>
    <s v="Medium"/>
    <n v="2"/>
    <x v="0"/>
    <x v="8"/>
    <n v="3"/>
    <s v="High"/>
    <x v="0"/>
    <n v="5985"/>
    <n v="26894"/>
    <n v="4"/>
    <x v="1"/>
    <n v="11"/>
    <n v="3"/>
    <s v="Excellent"/>
    <n v="2"/>
    <s v="Medium"/>
    <n v="0"/>
    <n v="10"/>
    <n v="1"/>
    <n v="4"/>
    <s v="Very High"/>
    <n v="2"/>
    <n v="2"/>
    <n v="0"/>
    <n v="2"/>
  </r>
  <r>
    <n v="34"/>
    <x v="2"/>
    <x v="1"/>
    <x v="0"/>
    <n v="204"/>
    <x v="0"/>
    <n v="14"/>
    <x v="2"/>
    <n v="3"/>
    <s v="Bachelor"/>
    <s v="Technical Degree"/>
    <n v="666"/>
    <n v="3"/>
    <x v="1"/>
    <s v="Female"/>
    <n v="31"/>
    <n v="3"/>
    <s v="High"/>
    <n v="1"/>
    <x v="1"/>
    <x v="6"/>
    <n v="3"/>
    <s v="High"/>
    <x v="2"/>
    <n v="2579"/>
    <n v="2912"/>
    <n v="1"/>
    <x v="0"/>
    <n v="18"/>
    <n v="3"/>
    <s v="Excellent"/>
    <n v="4"/>
    <s v="Very High"/>
    <n v="2"/>
    <n v="8"/>
    <n v="3"/>
    <n v="3"/>
    <s v="High"/>
    <n v="8"/>
    <n v="2"/>
    <n v="0"/>
    <n v="6"/>
  </r>
  <r>
    <n v="27"/>
    <x v="2"/>
    <x v="0"/>
    <x v="0"/>
    <n v="1420"/>
    <x v="0"/>
    <n v="2"/>
    <x v="0"/>
    <n v="1"/>
    <s v="Below College"/>
    <s v="Marketing"/>
    <n v="667"/>
    <n v="3"/>
    <x v="1"/>
    <s v="Male"/>
    <n v="85"/>
    <n v="3"/>
    <s v="High"/>
    <n v="1"/>
    <x v="1"/>
    <x v="6"/>
    <n v="1"/>
    <s v="Low"/>
    <x v="2"/>
    <n v="3041"/>
    <n v="16346"/>
    <n v="0"/>
    <x v="1"/>
    <n v="11"/>
    <n v="3"/>
    <s v="Excellent"/>
    <n v="2"/>
    <s v="Medium"/>
    <n v="1"/>
    <n v="5"/>
    <n v="3"/>
    <n v="3"/>
    <s v="High"/>
    <n v="4"/>
    <n v="3"/>
    <n v="0"/>
    <n v="2"/>
  </r>
  <r>
    <n v="21"/>
    <x v="4"/>
    <x v="1"/>
    <x v="0"/>
    <n v="1343"/>
    <x v="0"/>
    <n v="22"/>
    <x v="1"/>
    <n v="1"/>
    <s v="Below College"/>
    <s v="Technical Degree"/>
    <n v="669"/>
    <n v="3"/>
    <x v="1"/>
    <s v="Male"/>
    <n v="49"/>
    <n v="3"/>
    <s v="High"/>
    <n v="1"/>
    <x v="1"/>
    <x v="6"/>
    <n v="3"/>
    <s v="High"/>
    <x v="0"/>
    <n v="3447"/>
    <n v="24444"/>
    <n v="1"/>
    <x v="1"/>
    <n v="11"/>
    <n v="3"/>
    <s v="Excellent"/>
    <n v="3"/>
    <s v="High"/>
    <n v="0"/>
    <n v="3"/>
    <n v="2"/>
    <n v="3"/>
    <s v="High"/>
    <n v="3"/>
    <n v="2"/>
    <n v="1"/>
    <n v="2"/>
  </r>
  <r>
    <n v="44"/>
    <x v="0"/>
    <x v="1"/>
    <x v="0"/>
    <n v="1315"/>
    <x v="1"/>
    <n v="3"/>
    <x v="0"/>
    <n v="4"/>
    <s v="Master"/>
    <s v="Other"/>
    <n v="671"/>
    <n v="4"/>
    <x v="3"/>
    <s v="Male"/>
    <n v="35"/>
    <n v="3"/>
    <s v="High"/>
    <n v="5"/>
    <x v="4"/>
    <x v="5"/>
    <n v="4"/>
    <s v="Very High"/>
    <x v="1"/>
    <n v="19513"/>
    <n v="9358"/>
    <n v="4"/>
    <x v="0"/>
    <n v="12"/>
    <n v="3"/>
    <s v="Excellent"/>
    <n v="1"/>
    <s v="Low"/>
    <n v="1"/>
    <n v="26"/>
    <n v="2"/>
    <n v="4"/>
    <s v="Very High"/>
    <n v="2"/>
    <n v="2"/>
    <n v="0"/>
    <n v="1"/>
  </r>
  <r>
    <n v="22"/>
    <x v="4"/>
    <x v="1"/>
    <x v="0"/>
    <n v="604"/>
    <x v="1"/>
    <n v="6"/>
    <x v="0"/>
    <n v="1"/>
    <s v="Below College"/>
    <s v="Medical"/>
    <n v="675"/>
    <n v="1"/>
    <x v="2"/>
    <s v="Male"/>
    <n v="69"/>
    <n v="3"/>
    <s v="High"/>
    <n v="1"/>
    <x v="1"/>
    <x v="1"/>
    <n v="3"/>
    <s v="High"/>
    <x v="1"/>
    <n v="2773"/>
    <n v="12145"/>
    <n v="0"/>
    <x v="1"/>
    <n v="20"/>
    <n v="4"/>
    <s v="Outstanding"/>
    <n v="4"/>
    <s v="Very High"/>
    <n v="0"/>
    <n v="3"/>
    <n v="3"/>
    <n v="3"/>
    <s v="High"/>
    <n v="2"/>
    <n v="2"/>
    <n v="2"/>
    <n v="2"/>
  </r>
  <r>
    <n v="33"/>
    <x v="2"/>
    <x v="1"/>
    <x v="0"/>
    <n v="1216"/>
    <x v="0"/>
    <n v="8"/>
    <x v="0"/>
    <n v="4"/>
    <s v="Master"/>
    <s v="Marketing"/>
    <n v="677"/>
    <n v="3"/>
    <x v="1"/>
    <s v="Male"/>
    <n v="39"/>
    <n v="3"/>
    <s v="High"/>
    <n v="2"/>
    <x v="0"/>
    <x v="0"/>
    <n v="3"/>
    <s v="High"/>
    <x v="2"/>
    <n v="7104"/>
    <n v="20431"/>
    <n v="0"/>
    <x v="1"/>
    <n v="12"/>
    <n v="3"/>
    <s v="Excellent"/>
    <n v="4"/>
    <s v="Very High"/>
    <n v="0"/>
    <n v="6"/>
    <n v="3"/>
    <n v="3"/>
    <s v="High"/>
    <n v="5"/>
    <n v="0"/>
    <n v="1"/>
    <n v="2"/>
  </r>
  <r>
    <n v="32"/>
    <x v="2"/>
    <x v="1"/>
    <x v="0"/>
    <n v="646"/>
    <x v="1"/>
    <n v="9"/>
    <x v="0"/>
    <n v="4"/>
    <s v="Master"/>
    <s v="Life Sciences"/>
    <n v="679"/>
    <n v="1"/>
    <x v="2"/>
    <s v="Female"/>
    <n v="92"/>
    <n v="3"/>
    <s v="High"/>
    <n v="2"/>
    <x v="0"/>
    <x v="1"/>
    <n v="4"/>
    <s v="Very High"/>
    <x v="1"/>
    <n v="6322"/>
    <n v="18089"/>
    <n v="1"/>
    <x v="0"/>
    <n v="12"/>
    <n v="3"/>
    <s v="Excellent"/>
    <n v="4"/>
    <s v="Very High"/>
    <n v="1"/>
    <n v="6"/>
    <n v="2"/>
    <n v="2"/>
    <s v="Medium"/>
    <n v="6"/>
    <n v="4"/>
    <n v="0"/>
    <n v="5"/>
  </r>
  <r>
    <n v="30"/>
    <x v="2"/>
    <x v="1"/>
    <x v="1"/>
    <n v="160"/>
    <x v="1"/>
    <n v="3"/>
    <x v="0"/>
    <n v="3"/>
    <s v="Bachelor"/>
    <s v="Medical"/>
    <n v="680"/>
    <n v="3"/>
    <x v="1"/>
    <s v="Female"/>
    <n v="71"/>
    <n v="3"/>
    <s v="High"/>
    <n v="1"/>
    <x v="1"/>
    <x v="1"/>
    <n v="3"/>
    <s v="High"/>
    <x v="2"/>
    <n v="2083"/>
    <n v="22653"/>
    <n v="1"/>
    <x v="1"/>
    <n v="20"/>
    <n v="4"/>
    <s v="Outstanding"/>
    <n v="3"/>
    <s v="High"/>
    <n v="1"/>
    <n v="1"/>
    <n v="2"/>
    <n v="3"/>
    <s v="High"/>
    <n v="1"/>
    <n v="0"/>
    <n v="0"/>
    <n v="0"/>
  </r>
  <r>
    <n v="53"/>
    <x v="1"/>
    <x v="1"/>
    <x v="0"/>
    <n v="238"/>
    <x v="0"/>
    <n v="1"/>
    <x v="0"/>
    <n v="1"/>
    <s v="Below College"/>
    <s v="Medical"/>
    <n v="682"/>
    <n v="4"/>
    <x v="3"/>
    <s v="Female"/>
    <n v="34"/>
    <n v="3"/>
    <s v="High"/>
    <n v="2"/>
    <x v="0"/>
    <x v="0"/>
    <n v="1"/>
    <s v="Low"/>
    <x v="0"/>
    <n v="8381"/>
    <n v="7507"/>
    <n v="7"/>
    <x v="1"/>
    <n v="20"/>
    <n v="4"/>
    <s v="Outstanding"/>
    <n v="4"/>
    <s v="Very High"/>
    <n v="0"/>
    <n v="18"/>
    <n v="2"/>
    <n v="4"/>
    <s v="Very High"/>
    <n v="14"/>
    <n v="7"/>
    <n v="8"/>
    <n v="10"/>
  </r>
  <r>
    <n v="34"/>
    <x v="2"/>
    <x v="1"/>
    <x v="0"/>
    <n v="1397"/>
    <x v="1"/>
    <n v="1"/>
    <x v="0"/>
    <n v="5"/>
    <s v="Doctor"/>
    <s v="Life Sciences"/>
    <n v="683"/>
    <n v="2"/>
    <x v="0"/>
    <s v="Male"/>
    <n v="42"/>
    <n v="3"/>
    <s v="High"/>
    <n v="1"/>
    <x v="1"/>
    <x v="1"/>
    <n v="4"/>
    <s v="Very High"/>
    <x v="1"/>
    <n v="2691"/>
    <n v="7660"/>
    <n v="1"/>
    <x v="1"/>
    <n v="12"/>
    <n v="3"/>
    <s v="Excellent"/>
    <n v="4"/>
    <s v="Very High"/>
    <n v="1"/>
    <n v="10"/>
    <n v="4"/>
    <n v="2"/>
    <s v="Medium"/>
    <n v="10"/>
    <n v="9"/>
    <n v="8"/>
    <n v="8"/>
  </r>
  <r>
    <n v="45"/>
    <x v="0"/>
    <x v="0"/>
    <x v="1"/>
    <n v="306"/>
    <x v="0"/>
    <n v="26"/>
    <x v="1"/>
    <n v="4"/>
    <s v="Master"/>
    <s v="Life Sciences"/>
    <n v="684"/>
    <n v="1"/>
    <x v="2"/>
    <s v="Female"/>
    <n v="100"/>
    <n v="3"/>
    <s v="High"/>
    <n v="2"/>
    <x v="0"/>
    <x v="0"/>
    <n v="1"/>
    <s v="Low"/>
    <x v="1"/>
    <n v="4286"/>
    <n v="5630"/>
    <n v="2"/>
    <x v="1"/>
    <n v="14"/>
    <n v="3"/>
    <s v="Excellent"/>
    <n v="4"/>
    <s v="Very High"/>
    <n v="2"/>
    <n v="5"/>
    <n v="4"/>
    <n v="3"/>
    <s v="High"/>
    <n v="1"/>
    <n v="1"/>
    <n v="0"/>
    <n v="0"/>
  </r>
  <r>
    <n v="26"/>
    <x v="2"/>
    <x v="1"/>
    <x v="0"/>
    <n v="991"/>
    <x v="1"/>
    <n v="6"/>
    <x v="0"/>
    <n v="3"/>
    <s v="Bachelor"/>
    <s v="Life Sciences"/>
    <n v="686"/>
    <n v="3"/>
    <x v="1"/>
    <s v="Female"/>
    <n v="71"/>
    <n v="3"/>
    <s v="High"/>
    <n v="1"/>
    <x v="1"/>
    <x v="2"/>
    <n v="4"/>
    <s v="Very High"/>
    <x v="1"/>
    <n v="2659"/>
    <n v="17759"/>
    <n v="1"/>
    <x v="0"/>
    <n v="13"/>
    <n v="3"/>
    <s v="Excellent"/>
    <n v="3"/>
    <s v="High"/>
    <n v="1"/>
    <n v="3"/>
    <n v="2"/>
    <n v="3"/>
    <s v="High"/>
    <n v="3"/>
    <n v="2"/>
    <n v="0"/>
    <n v="2"/>
  </r>
  <r>
    <n v="37"/>
    <x v="0"/>
    <x v="1"/>
    <x v="0"/>
    <n v="482"/>
    <x v="1"/>
    <n v="3"/>
    <x v="0"/>
    <n v="3"/>
    <s v="Bachelor"/>
    <s v="Other"/>
    <n v="689"/>
    <n v="3"/>
    <x v="1"/>
    <s v="Male"/>
    <n v="36"/>
    <n v="3"/>
    <s v="High"/>
    <n v="3"/>
    <x v="2"/>
    <x v="3"/>
    <n v="3"/>
    <s v="High"/>
    <x v="1"/>
    <n v="9434"/>
    <n v="9606"/>
    <n v="1"/>
    <x v="1"/>
    <n v="15"/>
    <n v="3"/>
    <s v="Excellent"/>
    <n v="3"/>
    <s v="High"/>
    <n v="1"/>
    <n v="10"/>
    <n v="2"/>
    <n v="3"/>
    <s v="High"/>
    <n v="10"/>
    <n v="7"/>
    <n v="7"/>
    <n v="8"/>
  </r>
  <r>
    <n v="29"/>
    <x v="2"/>
    <x v="1"/>
    <x v="0"/>
    <n v="1176"/>
    <x v="0"/>
    <n v="3"/>
    <x v="0"/>
    <n v="2"/>
    <s v="College"/>
    <s v="Medical"/>
    <n v="690"/>
    <n v="2"/>
    <x v="0"/>
    <s v="Female"/>
    <n v="62"/>
    <n v="3"/>
    <s v="High"/>
    <n v="2"/>
    <x v="0"/>
    <x v="0"/>
    <n v="3"/>
    <s v="High"/>
    <x v="1"/>
    <n v="5561"/>
    <n v="3487"/>
    <n v="1"/>
    <x v="1"/>
    <n v="14"/>
    <n v="3"/>
    <s v="Excellent"/>
    <n v="1"/>
    <s v="Low"/>
    <n v="1"/>
    <n v="6"/>
    <n v="5"/>
    <n v="2"/>
    <s v="Medium"/>
    <n v="6"/>
    <n v="0"/>
    <n v="1"/>
    <n v="2"/>
  </r>
  <r>
    <n v="35"/>
    <x v="2"/>
    <x v="1"/>
    <x v="0"/>
    <n v="1017"/>
    <x v="1"/>
    <n v="6"/>
    <x v="0"/>
    <n v="4"/>
    <s v="Master"/>
    <s v="Life Sciences"/>
    <n v="691"/>
    <n v="2"/>
    <x v="0"/>
    <s v="Male"/>
    <n v="82"/>
    <n v="1"/>
    <s v="Low"/>
    <n v="2"/>
    <x v="0"/>
    <x v="1"/>
    <n v="4"/>
    <s v="Very High"/>
    <x v="0"/>
    <n v="6646"/>
    <n v="19368"/>
    <n v="1"/>
    <x v="1"/>
    <n v="13"/>
    <n v="3"/>
    <s v="Excellent"/>
    <n v="2"/>
    <s v="Medium"/>
    <n v="0"/>
    <n v="17"/>
    <n v="3"/>
    <n v="3"/>
    <s v="High"/>
    <n v="17"/>
    <n v="11"/>
    <n v="11"/>
    <n v="8"/>
  </r>
  <r>
    <n v="33"/>
    <x v="2"/>
    <x v="1"/>
    <x v="1"/>
    <n v="1296"/>
    <x v="1"/>
    <n v="6"/>
    <x v="0"/>
    <n v="3"/>
    <s v="Bachelor"/>
    <s v="Life Sciences"/>
    <n v="692"/>
    <n v="3"/>
    <x v="1"/>
    <s v="Male"/>
    <n v="30"/>
    <n v="3"/>
    <s v="High"/>
    <n v="2"/>
    <x v="0"/>
    <x v="4"/>
    <n v="4"/>
    <s v="Very High"/>
    <x v="2"/>
    <n v="7725"/>
    <n v="5335"/>
    <n v="3"/>
    <x v="1"/>
    <n v="23"/>
    <n v="4"/>
    <s v="Outstanding"/>
    <n v="3"/>
    <s v="High"/>
    <n v="1"/>
    <n v="15"/>
    <n v="2"/>
    <n v="1"/>
    <s v="Low"/>
    <n v="13"/>
    <n v="11"/>
    <n v="4"/>
    <n v="7"/>
  </r>
  <r>
    <n v="54"/>
    <x v="1"/>
    <x v="1"/>
    <x v="0"/>
    <n v="397"/>
    <x v="2"/>
    <n v="19"/>
    <x v="2"/>
    <n v="4"/>
    <s v="Master"/>
    <s v="Medical"/>
    <n v="698"/>
    <n v="3"/>
    <x v="1"/>
    <s v="Male"/>
    <n v="88"/>
    <n v="3"/>
    <s v="High"/>
    <n v="3"/>
    <x v="2"/>
    <x v="8"/>
    <n v="2"/>
    <s v="Medium"/>
    <x v="1"/>
    <n v="10725"/>
    <n v="6729"/>
    <n v="2"/>
    <x v="1"/>
    <n v="15"/>
    <n v="3"/>
    <s v="Excellent"/>
    <n v="3"/>
    <s v="High"/>
    <n v="1"/>
    <n v="16"/>
    <n v="1"/>
    <n v="4"/>
    <s v="Very High"/>
    <n v="9"/>
    <n v="7"/>
    <n v="7"/>
    <n v="1"/>
  </r>
  <r>
    <n v="36"/>
    <x v="0"/>
    <x v="1"/>
    <x v="0"/>
    <n v="913"/>
    <x v="1"/>
    <n v="9"/>
    <x v="0"/>
    <n v="2"/>
    <s v="College"/>
    <s v="Medical"/>
    <n v="699"/>
    <n v="2"/>
    <x v="0"/>
    <s v="Male"/>
    <n v="48"/>
    <n v="2"/>
    <s v="Medium"/>
    <n v="2"/>
    <x v="0"/>
    <x v="3"/>
    <n v="2"/>
    <s v="Medium"/>
    <x v="2"/>
    <n v="8847"/>
    <n v="13934"/>
    <n v="2"/>
    <x v="0"/>
    <n v="11"/>
    <n v="3"/>
    <s v="Excellent"/>
    <n v="3"/>
    <s v="High"/>
    <n v="1"/>
    <n v="13"/>
    <n v="2"/>
    <n v="3"/>
    <s v="High"/>
    <n v="3"/>
    <n v="2"/>
    <n v="0"/>
    <n v="2"/>
  </r>
  <r>
    <n v="27"/>
    <x v="2"/>
    <x v="1"/>
    <x v="0"/>
    <n v="1115"/>
    <x v="1"/>
    <n v="3"/>
    <x v="0"/>
    <n v="4"/>
    <s v="Master"/>
    <s v="Medical"/>
    <n v="700"/>
    <n v="1"/>
    <x v="2"/>
    <s v="Male"/>
    <n v="54"/>
    <n v="2"/>
    <s v="Medium"/>
    <n v="1"/>
    <x v="1"/>
    <x v="1"/>
    <n v="4"/>
    <s v="Very High"/>
    <x v="0"/>
    <n v="2045"/>
    <n v="15174"/>
    <n v="0"/>
    <x v="1"/>
    <n v="13"/>
    <n v="3"/>
    <s v="Excellent"/>
    <n v="4"/>
    <s v="Very High"/>
    <n v="0"/>
    <n v="5"/>
    <n v="0"/>
    <n v="3"/>
    <s v="High"/>
    <n v="4"/>
    <n v="2"/>
    <n v="1"/>
    <n v="1"/>
  </r>
  <r>
    <n v="20"/>
    <x v="4"/>
    <x v="0"/>
    <x v="0"/>
    <n v="1362"/>
    <x v="1"/>
    <n v="10"/>
    <x v="0"/>
    <n v="1"/>
    <s v="Below College"/>
    <s v="Medical"/>
    <n v="701"/>
    <n v="4"/>
    <x v="3"/>
    <s v="Male"/>
    <n v="32"/>
    <n v="3"/>
    <s v="High"/>
    <n v="1"/>
    <x v="1"/>
    <x v="1"/>
    <n v="3"/>
    <s v="High"/>
    <x v="0"/>
    <n v="1009"/>
    <n v="26999"/>
    <n v="1"/>
    <x v="0"/>
    <n v="11"/>
    <n v="3"/>
    <s v="Excellent"/>
    <n v="4"/>
    <s v="Very High"/>
    <n v="0"/>
    <n v="1"/>
    <n v="5"/>
    <n v="3"/>
    <s v="High"/>
    <n v="1"/>
    <n v="0"/>
    <n v="1"/>
    <n v="1"/>
  </r>
  <r>
    <n v="33"/>
    <x v="2"/>
    <x v="0"/>
    <x v="1"/>
    <n v="1076"/>
    <x v="1"/>
    <n v="3"/>
    <x v="0"/>
    <n v="3"/>
    <s v="Bachelor"/>
    <s v="Life Sciences"/>
    <n v="702"/>
    <n v="1"/>
    <x v="2"/>
    <s v="Male"/>
    <n v="70"/>
    <n v="3"/>
    <s v="High"/>
    <n v="1"/>
    <x v="1"/>
    <x v="1"/>
    <n v="1"/>
    <s v="Low"/>
    <x v="0"/>
    <n v="3348"/>
    <n v="3164"/>
    <n v="1"/>
    <x v="0"/>
    <n v="11"/>
    <n v="3"/>
    <s v="Excellent"/>
    <n v="1"/>
    <s v="Low"/>
    <n v="0"/>
    <n v="10"/>
    <n v="3"/>
    <n v="3"/>
    <s v="High"/>
    <n v="10"/>
    <n v="8"/>
    <n v="9"/>
    <n v="7"/>
  </r>
  <r>
    <n v="35"/>
    <x v="2"/>
    <x v="1"/>
    <x v="2"/>
    <n v="727"/>
    <x v="1"/>
    <n v="3"/>
    <x v="0"/>
    <n v="3"/>
    <s v="Bachelor"/>
    <s v="Life Sciences"/>
    <n v="704"/>
    <n v="3"/>
    <x v="1"/>
    <s v="Male"/>
    <n v="41"/>
    <n v="2"/>
    <s v="Medium"/>
    <n v="1"/>
    <x v="1"/>
    <x v="2"/>
    <n v="3"/>
    <s v="High"/>
    <x v="1"/>
    <n v="1281"/>
    <n v="16900"/>
    <n v="1"/>
    <x v="1"/>
    <n v="18"/>
    <n v="3"/>
    <s v="Excellent"/>
    <n v="3"/>
    <s v="High"/>
    <n v="2"/>
    <n v="1"/>
    <n v="3"/>
    <n v="3"/>
    <s v="High"/>
    <n v="1"/>
    <n v="0"/>
    <n v="0"/>
    <n v="0"/>
  </r>
  <r>
    <n v="23"/>
    <x v="4"/>
    <x v="1"/>
    <x v="0"/>
    <n v="885"/>
    <x v="1"/>
    <n v="4"/>
    <x v="0"/>
    <n v="3"/>
    <s v="Bachelor"/>
    <s v="Medical"/>
    <n v="705"/>
    <n v="1"/>
    <x v="2"/>
    <s v="Male"/>
    <n v="58"/>
    <n v="4"/>
    <s v="Very High"/>
    <n v="1"/>
    <x v="1"/>
    <x v="1"/>
    <n v="1"/>
    <s v="Low"/>
    <x v="1"/>
    <n v="2819"/>
    <n v="8544"/>
    <n v="2"/>
    <x v="1"/>
    <n v="16"/>
    <n v="3"/>
    <s v="Excellent"/>
    <n v="1"/>
    <s v="Low"/>
    <n v="1"/>
    <n v="5"/>
    <n v="3"/>
    <n v="4"/>
    <s v="Very High"/>
    <n v="3"/>
    <n v="2"/>
    <n v="0"/>
    <n v="2"/>
  </r>
  <r>
    <n v="25"/>
    <x v="4"/>
    <x v="1"/>
    <x v="0"/>
    <n v="810"/>
    <x v="0"/>
    <n v="8"/>
    <x v="0"/>
    <n v="3"/>
    <s v="Bachelor"/>
    <s v="Life Sciences"/>
    <n v="707"/>
    <n v="4"/>
    <x v="3"/>
    <s v="Male"/>
    <n v="57"/>
    <n v="4"/>
    <s v="Very High"/>
    <n v="2"/>
    <x v="0"/>
    <x v="0"/>
    <n v="2"/>
    <s v="Medium"/>
    <x v="1"/>
    <n v="4851"/>
    <n v="15678"/>
    <n v="0"/>
    <x v="1"/>
    <n v="22"/>
    <n v="4"/>
    <s v="Outstanding"/>
    <n v="3"/>
    <s v="High"/>
    <n v="1"/>
    <n v="4"/>
    <n v="4"/>
    <n v="3"/>
    <s v="High"/>
    <n v="3"/>
    <n v="2"/>
    <n v="1"/>
    <n v="2"/>
  </r>
  <r>
    <n v="38"/>
    <x v="0"/>
    <x v="1"/>
    <x v="0"/>
    <n v="243"/>
    <x v="0"/>
    <n v="7"/>
    <x v="0"/>
    <n v="4"/>
    <s v="Master"/>
    <s v="Marketing"/>
    <n v="709"/>
    <n v="4"/>
    <x v="3"/>
    <s v="Female"/>
    <n v="46"/>
    <n v="2"/>
    <s v="Medium"/>
    <n v="2"/>
    <x v="0"/>
    <x v="0"/>
    <n v="4"/>
    <s v="Very High"/>
    <x v="0"/>
    <n v="4028"/>
    <n v="7791"/>
    <n v="0"/>
    <x v="1"/>
    <n v="20"/>
    <n v="4"/>
    <s v="Outstanding"/>
    <n v="1"/>
    <s v="Low"/>
    <n v="0"/>
    <n v="8"/>
    <n v="2"/>
    <n v="3"/>
    <s v="High"/>
    <n v="7"/>
    <n v="7"/>
    <n v="0"/>
    <n v="5"/>
  </r>
  <r>
    <n v="29"/>
    <x v="2"/>
    <x v="1"/>
    <x v="1"/>
    <n v="806"/>
    <x v="1"/>
    <n v="1"/>
    <x v="0"/>
    <n v="4"/>
    <s v="Master"/>
    <s v="Life Sciences"/>
    <n v="710"/>
    <n v="2"/>
    <x v="0"/>
    <s v="Male"/>
    <n v="76"/>
    <n v="1"/>
    <s v="Low"/>
    <n v="1"/>
    <x v="1"/>
    <x v="1"/>
    <n v="4"/>
    <s v="Very High"/>
    <x v="2"/>
    <n v="2720"/>
    <n v="18959"/>
    <n v="1"/>
    <x v="1"/>
    <n v="18"/>
    <n v="3"/>
    <s v="Excellent"/>
    <n v="4"/>
    <s v="Very High"/>
    <n v="1"/>
    <n v="10"/>
    <n v="5"/>
    <n v="3"/>
    <s v="High"/>
    <n v="10"/>
    <n v="7"/>
    <n v="2"/>
    <n v="8"/>
  </r>
  <r>
    <n v="48"/>
    <x v="1"/>
    <x v="1"/>
    <x v="0"/>
    <n v="817"/>
    <x v="0"/>
    <n v="2"/>
    <x v="0"/>
    <n v="1"/>
    <s v="Below College"/>
    <s v="Marketing"/>
    <n v="712"/>
    <n v="2"/>
    <x v="0"/>
    <s v="Male"/>
    <n v="56"/>
    <n v="4"/>
    <s v="Very High"/>
    <n v="2"/>
    <x v="0"/>
    <x v="0"/>
    <n v="2"/>
    <s v="Medium"/>
    <x v="1"/>
    <n v="8120"/>
    <n v="18597"/>
    <n v="3"/>
    <x v="1"/>
    <n v="12"/>
    <n v="3"/>
    <s v="Excellent"/>
    <n v="4"/>
    <s v="Very High"/>
    <n v="0"/>
    <n v="12"/>
    <n v="3"/>
    <n v="3"/>
    <s v="High"/>
    <n v="2"/>
    <n v="2"/>
    <n v="2"/>
    <n v="2"/>
  </r>
  <r>
    <n v="27"/>
    <x v="2"/>
    <x v="1"/>
    <x v="1"/>
    <n v="1410"/>
    <x v="0"/>
    <n v="3"/>
    <x v="0"/>
    <n v="1"/>
    <s v="Below College"/>
    <s v="Medical"/>
    <n v="714"/>
    <n v="4"/>
    <x v="3"/>
    <s v="Female"/>
    <n v="71"/>
    <n v="4"/>
    <s v="Very High"/>
    <n v="2"/>
    <x v="0"/>
    <x v="0"/>
    <n v="4"/>
    <s v="Very High"/>
    <x v="2"/>
    <n v="4647"/>
    <n v="16673"/>
    <n v="1"/>
    <x v="0"/>
    <n v="20"/>
    <n v="4"/>
    <s v="Outstanding"/>
    <n v="2"/>
    <s v="Medium"/>
    <n v="2"/>
    <n v="6"/>
    <n v="3"/>
    <n v="3"/>
    <s v="High"/>
    <n v="6"/>
    <n v="5"/>
    <n v="0"/>
    <n v="4"/>
  </r>
  <r>
    <n v="37"/>
    <x v="0"/>
    <x v="1"/>
    <x v="0"/>
    <n v="1225"/>
    <x v="1"/>
    <n v="10"/>
    <x v="0"/>
    <n v="2"/>
    <s v="College"/>
    <s v="Life Sciences"/>
    <n v="715"/>
    <n v="4"/>
    <x v="3"/>
    <s v="Male"/>
    <n v="80"/>
    <n v="4"/>
    <s v="Very High"/>
    <n v="1"/>
    <x v="1"/>
    <x v="1"/>
    <n v="4"/>
    <s v="Very High"/>
    <x v="0"/>
    <n v="4680"/>
    <n v="15232"/>
    <n v="3"/>
    <x v="1"/>
    <n v="17"/>
    <n v="3"/>
    <s v="Excellent"/>
    <n v="1"/>
    <s v="Low"/>
    <n v="0"/>
    <n v="4"/>
    <n v="2"/>
    <n v="3"/>
    <s v="High"/>
    <n v="1"/>
    <n v="0"/>
    <n v="0"/>
    <n v="0"/>
  </r>
  <r>
    <n v="50"/>
    <x v="1"/>
    <x v="1"/>
    <x v="0"/>
    <n v="1207"/>
    <x v="1"/>
    <n v="28"/>
    <x v="1"/>
    <n v="1"/>
    <s v="Below College"/>
    <s v="Medical"/>
    <n v="716"/>
    <n v="4"/>
    <x v="3"/>
    <s v="Male"/>
    <n v="74"/>
    <n v="4"/>
    <s v="Very High"/>
    <n v="1"/>
    <x v="1"/>
    <x v="2"/>
    <n v="3"/>
    <s v="High"/>
    <x v="1"/>
    <n v="3221"/>
    <n v="3297"/>
    <n v="1"/>
    <x v="0"/>
    <n v="11"/>
    <n v="3"/>
    <s v="Excellent"/>
    <n v="3"/>
    <s v="High"/>
    <n v="3"/>
    <n v="20"/>
    <n v="3"/>
    <n v="3"/>
    <s v="High"/>
    <n v="20"/>
    <n v="8"/>
    <n v="3"/>
    <n v="8"/>
  </r>
  <r>
    <n v="34"/>
    <x v="2"/>
    <x v="1"/>
    <x v="0"/>
    <n v="1442"/>
    <x v="1"/>
    <n v="9"/>
    <x v="0"/>
    <n v="3"/>
    <s v="Bachelor"/>
    <s v="Medical"/>
    <n v="717"/>
    <n v="4"/>
    <x v="3"/>
    <s v="Female"/>
    <n v="46"/>
    <n v="2"/>
    <s v="Medium"/>
    <n v="3"/>
    <x v="2"/>
    <x v="4"/>
    <n v="2"/>
    <s v="Medium"/>
    <x v="0"/>
    <n v="8621"/>
    <n v="17654"/>
    <n v="1"/>
    <x v="1"/>
    <n v="14"/>
    <n v="3"/>
    <s v="Excellent"/>
    <n v="2"/>
    <s v="Medium"/>
    <n v="0"/>
    <n v="9"/>
    <n v="3"/>
    <n v="4"/>
    <s v="Very High"/>
    <n v="8"/>
    <n v="7"/>
    <n v="7"/>
    <n v="7"/>
  </r>
  <r>
    <n v="24"/>
    <x v="4"/>
    <x v="0"/>
    <x v="0"/>
    <n v="693"/>
    <x v="0"/>
    <n v="3"/>
    <x v="0"/>
    <n v="2"/>
    <s v="College"/>
    <s v="Life Sciences"/>
    <n v="720"/>
    <n v="1"/>
    <x v="2"/>
    <s v="Female"/>
    <n v="65"/>
    <n v="3"/>
    <s v="High"/>
    <n v="2"/>
    <x v="0"/>
    <x v="0"/>
    <n v="3"/>
    <s v="High"/>
    <x v="0"/>
    <n v="4577"/>
    <n v="24785"/>
    <n v="9"/>
    <x v="1"/>
    <n v="14"/>
    <n v="3"/>
    <s v="Excellent"/>
    <n v="1"/>
    <s v="Low"/>
    <n v="0"/>
    <n v="4"/>
    <n v="3"/>
    <n v="3"/>
    <s v="High"/>
    <n v="2"/>
    <n v="2"/>
    <n v="2"/>
    <n v="0"/>
  </r>
  <r>
    <n v="39"/>
    <x v="0"/>
    <x v="1"/>
    <x v="0"/>
    <n v="408"/>
    <x v="1"/>
    <n v="2"/>
    <x v="0"/>
    <n v="4"/>
    <s v="Master"/>
    <s v="Technical Degree"/>
    <n v="721"/>
    <n v="4"/>
    <x v="3"/>
    <s v="Female"/>
    <n v="80"/>
    <n v="2"/>
    <s v="Medium"/>
    <n v="2"/>
    <x v="0"/>
    <x v="4"/>
    <n v="3"/>
    <s v="High"/>
    <x v="0"/>
    <n v="4553"/>
    <n v="20978"/>
    <n v="1"/>
    <x v="1"/>
    <n v="11"/>
    <n v="3"/>
    <s v="Excellent"/>
    <n v="1"/>
    <s v="Low"/>
    <n v="0"/>
    <n v="20"/>
    <n v="4"/>
    <n v="3"/>
    <s v="High"/>
    <n v="20"/>
    <n v="7"/>
    <n v="11"/>
    <n v="10"/>
  </r>
  <r>
    <n v="32"/>
    <x v="2"/>
    <x v="1"/>
    <x v="0"/>
    <n v="929"/>
    <x v="0"/>
    <n v="10"/>
    <x v="0"/>
    <n v="3"/>
    <s v="Bachelor"/>
    <s v="Marketing"/>
    <n v="722"/>
    <n v="4"/>
    <x v="3"/>
    <s v="Male"/>
    <n v="55"/>
    <n v="3"/>
    <s v="High"/>
    <n v="2"/>
    <x v="0"/>
    <x v="0"/>
    <n v="4"/>
    <s v="Very High"/>
    <x v="0"/>
    <n v="5396"/>
    <n v="21703"/>
    <n v="1"/>
    <x v="1"/>
    <n v="12"/>
    <n v="3"/>
    <s v="Excellent"/>
    <n v="4"/>
    <s v="Very High"/>
    <n v="0"/>
    <n v="10"/>
    <n v="2"/>
    <n v="2"/>
    <s v="Medium"/>
    <n v="10"/>
    <n v="7"/>
    <n v="0"/>
    <n v="8"/>
  </r>
  <r>
    <n v="50"/>
    <x v="1"/>
    <x v="0"/>
    <x v="1"/>
    <n v="562"/>
    <x v="0"/>
    <n v="8"/>
    <x v="0"/>
    <n v="2"/>
    <s v="College"/>
    <s v="Technical Degree"/>
    <n v="723"/>
    <n v="2"/>
    <x v="0"/>
    <s v="Male"/>
    <n v="50"/>
    <n v="3"/>
    <s v="High"/>
    <n v="2"/>
    <x v="0"/>
    <x v="0"/>
    <n v="3"/>
    <s v="High"/>
    <x v="1"/>
    <n v="6796"/>
    <n v="23452"/>
    <n v="3"/>
    <x v="0"/>
    <n v="14"/>
    <n v="3"/>
    <s v="Excellent"/>
    <n v="1"/>
    <s v="Low"/>
    <n v="1"/>
    <n v="18"/>
    <n v="4"/>
    <n v="3"/>
    <s v="High"/>
    <n v="4"/>
    <n v="3"/>
    <n v="1"/>
    <n v="3"/>
  </r>
  <r>
    <n v="38"/>
    <x v="0"/>
    <x v="1"/>
    <x v="0"/>
    <n v="827"/>
    <x v="1"/>
    <n v="1"/>
    <x v="0"/>
    <n v="4"/>
    <s v="Master"/>
    <s v="Life Sciences"/>
    <n v="724"/>
    <n v="2"/>
    <x v="0"/>
    <s v="Female"/>
    <n v="33"/>
    <n v="4"/>
    <s v="Very High"/>
    <n v="2"/>
    <x v="0"/>
    <x v="4"/>
    <n v="4"/>
    <s v="Very High"/>
    <x v="0"/>
    <n v="7625"/>
    <n v="19383"/>
    <n v="0"/>
    <x v="1"/>
    <n v="13"/>
    <n v="3"/>
    <s v="Excellent"/>
    <n v="3"/>
    <s v="High"/>
    <n v="0"/>
    <n v="10"/>
    <n v="4"/>
    <n v="2"/>
    <s v="Medium"/>
    <n v="9"/>
    <n v="7"/>
    <n v="1"/>
    <n v="8"/>
  </r>
  <r>
    <n v="27"/>
    <x v="2"/>
    <x v="1"/>
    <x v="0"/>
    <n v="608"/>
    <x v="1"/>
    <n v="1"/>
    <x v="0"/>
    <n v="2"/>
    <s v="College"/>
    <s v="Life Sciences"/>
    <n v="725"/>
    <n v="3"/>
    <x v="1"/>
    <s v="Female"/>
    <n v="68"/>
    <n v="3"/>
    <s v="High"/>
    <n v="3"/>
    <x v="2"/>
    <x v="3"/>
    <n v="1"/>
    <s v="Low"/>
    <x v="1"/>
    <n v="7412"/>
    <n v="6009"/>
    <n v="1"/>
    <x v="1"/>
    <n v="11"/>
    <n v="3"/>
    <s v="Excellent"/>
    <n v="4"/>
    <s v="Very High"/>
    <n v="0"/>
    <n v="9"/>
    <n v="3"/>
    <n v="3"/>
    <s v="High"/>
    <n v="9"/>
    <n v="7"/>
    <n v="0"/>
    <n v="7"/>
  </r>
  <r>
    <n v="32"/>
    <x v="2"/>
    <x v="1"/>
    <x v="0"/>
    <n v="1018"/>
    <x v="1"/>
    <n v="3"/>
    <x v="0"/>
    <n v="2"/>
    <s v="College"/>
    <s v="Life Sciences"/>
    <n v="727"/>
    <n v="3"/>
    <x v="1"/>
    <s v="Female"/>
    <n v="39"/>
    <n v="3"/>
    <s v="High"/>
    <n v="3"/>
    <x v="2"/>
    <x v="7"/>
    <n v="4"/>
    <s v="Very High"/>
    <x v="0"/>
    <n v="11159"/>
    <n v="19373"/>
    <n v="3"/>
    <x v="1"/>
    <n v="15"/>
    <n v="3"/>
    <s v="Excellent"/>
    <n v="4"/>
    <s v="Very High"/>
    <n v="0"/>
    <n v="10"/>
    <n v="6"/>
    <n v="3"/>
    <s v="High"/>
    <n v="7"/>
    <n v="7"/>
    <n v="7"/>
    <n v="7"/>
  </r>
  <r>
    <n v="47"/>
    <x v="1"/>
    <x v="1"/>
    <x v="0"/>
    <n v="703"/>
    <x v="0"/>
    <n v="14"/>
    <x v="2"/>
    <n v="4"/>
    <s v="Master"/>
    <s v="Marketing"/>
    <n v="728"/>
    <n v="4"/>
    <x v="3"/>
    <s v="Male"/>
    <n v="42"/>
    <n v="3"/>
    <s v="High"/>
    <n v="2"/>
    <x v="0"/>
    <x v="0"/>
    <n v="1"/>
    <s v="Low"/>
    <x v="0"/>
    <n v="4960"/>
    <n v="11825"/>
    <n v="2"/>
    <x v="1"/>
    <n v="12"/>
    <n v="3"/>
    <s v="Excellent"/>
    <n v="4"/>
    <s v="Very High"/>
    <n v="0"/>
    <n v="20"/>
    <n v="2"/>
    <n v="3"/>
    <s v="High"/>
    <n v="7"/>
    <n v="7"/>
    <n v="1"/>
    <n v="7"/>
  </r>
  <r>
    <n v="40"/>
    <x v="0"/>
    <x v="1"/>
    <x v="1"/>
    <n v="580"/>
    <x v="0"/>
    <n v="5"/>
    <x v="0"/>
    <n v="4"/>
    <s v="Master"/>
    <s v="Life Sciences"/>
    <n v="729"/>
    <n v="4"/>
    <x v="3"/>
    <s v="Male"/>
    <n v="48"/>
    <n v="2"/>
    <s v="Medium"/>
    <n v="3"/>
    <x v="2"/>
    <x v="0"/>
    <n v="1"/>
    <s v="Low"/>
    <x v="1"/>
    <n v="10475"/>
    <n v="23772"/>
    <n v="5"/>
    <x v="0"/>
    <n v="21"/>
    <n v="4"/>
    <s v="Outstanding"/>
    <n v="3"/>
    <s v="High"/>
    <n v="1"/>
    <n v="20"/>
    <n v="2"/>
    <n v="3"/>
    <s v="High"/>
    <n v="18"/>
    <n v="13"/>
    <n v="1"/>
    <n v="12"/>
  </r>
  <r>
    <n v="53"/>
    <x v="1"/>
    <x v="1"/>
    <x v="0"/>
    <n v="970"/>
    <x v="1"/>
    <n v="7"/>
    <x v="0"/>
    <n v="3"/>
    <s v="Bachelor"/>
    <s v="Life Sciences"/>
    <n v="730"/>
    <n v="3"/>
    <x v="1"/>
    <s v="Male"/>
    <n v="59"/>
    <n v="4"/>
    <s v="Very High"/>
    <n v="4"/>
    <x v="3"/>
    <x v="7"/>
    <n v="3"/>
    <s v="High"/>
    <x v="1"/>
    <n v="14814"/>
    <n v="13514"/>
    <n v="3"/>
    <x v="1"/>
    <n v="19"/>
    <n v="3"/>
    <s v="Excellent"/>
    <n v="3"/>
    <s v="High"/>
    <n v="0"/>
    <n v="32"/>
    <n v="3"/>
    <n v="3"/>
    <s v="High"/>
    <n v="5"/>
    <n v="1"/>
    <n v="1"/>
    <n v="3"/>
  </r>
  <r>
    <n v="41"/>
    <x v="0"/>
    <x v="1"/>
    <x v="0"/>
    <n v="427"/>
    <x v="2"/>
    <n v="10"/>
    <x v="0"/>
    <n v="4"/>
    <s v="Master"/>
    <s v="Human Resources"/>
    <n v="731"/>
    <n v="2"/>
    <x v="0"/>
    <s v="Male"/>
    <n v="73"/>
    <n v="2"/>
    <s v="Medium"/>
    <n v="5"/>
    <x v="4"/>
    <x v="5"/>
    <n v="4"/>
    <s v="Very High"/>
    <x v="2"/>
    <n v="19141"/>
    <n v="8861"/>
    <n v="3"/>
    <x v="1"/>
    <n v="15"/>
    <n v="3"/>
    <s v="Excellent"/>
    <n v="2"/>
    <s v="Medium"/>
    <n v="3"/>
    <n v="23"/>
    <n v="2"/>
    <n v="2"/>
    <s v="Medium"/>
    <n v="21"/>
    <n v="6"/>
    <n v="12"/>
    <n v="6"/>
  </r>
  <r>
    <n v="60"/>
    <x v="3"/>
    <x v="1"/>
    <x v="0"/>
    <n v="1179"/>
    <x v="0"/>
    <n v="16"/>
    <x v="2"/>
    <n v="4"/>
    <s v="Master"/>
    <s v="Marketing"/>
    <n v="732"/>
    <n v="1"/>
    <x v="2"/>
    <s v="Male"/>
    <n v="84"/>
    <n v="3"/>
    <s v="High"/>
    <n v="2"/>
    <x v="0"/>
    <x v="0"/>
    <n v="1"/>
    <s v="Low"/>
    <x v="0"/>
    <n v="5405"/>
    <n v="11924"/>
    <n v="8"/>
    <x v="1"/>
    <n v="14"/>
    <n v="3"/>
    <s v="Excellent"/>
    <n v="4"/>
    <s v="Very High"/>
    <n v="0"/>
    <n v="10"/>
    <n v="1"/>
    <n v="3"/>
    <s v="High"/>
    <n v="2"/>
    <n v="2"/>
    <n v="2"/>
    <n v="2"/>
  </r>
  <r>
    <n v="27"/>
    <x v="2"/>
    <x v="1"/>
    <x v="1"/>
    <n v="294"/>
    <x v="1"/>
    <n v="10"/>
    <x v="0"/>
    <n v="2"/>
    <s v="College"/>
    <s v="Life Sciences"/>
    <n v="733"/>
    <n v="4"/>
    <x v="3"/>
    <s v="Male"/>
    <n v="32"/>
    <n v="3"/>
    <s v="High"/>
    <n v="3"/>
    <x v="2"/>
    <x v="3"/>
    <n v="1"/>
    <s v="Low"/>
    <x v="2"/>
    <n v="8793"/>
    <n v="4809"/>
    <n v="1"/>
    <x v="1"/>
    <n v="21"/>
    <n v="4"/>
    <s v="Outstanding"/>
    <n v="3"/>
    <s v="High"/>
    <n v="2"/>
    <n v="9"/>
    <n v="4"/>
    <n v="2"/>
    <s v="Medium"/>
    <n v="9"/>
    <n v="7"/>
    <n v="1"/>
    <n v="7"/>
  </r>
  <r>
    <n v="41"/>
    <x v="0"/>
    <x v="1"/>
    <x v="0"/>
    <n v="314"/>
    <x v="2"/>
    <n v="1"/>
    <x v="0"/>
    <n v="3"/>
    <s v="Bachelor"/>
    <s v="Human Resources"/>
    <n v="734"/>
    <n v="4"/>
    <x v="3"/>
    <s v="Male"/>
    <n v="59"/>
    <n v="2"/>
    <s v="Medium"/>
    <n v="5"/>
    <x v="4"/>
    <x v="5"/>
    <n v="3"/>
    <s v="High"/>
    <x v="1"/>
    <n v="19189"/>
    <n v="19562"/>
    <n v="1"/>
    <x v="1"/>
    <n v="12"/>
    <n v="3"/>
    <s v="Excellent"/>
    <n v="2"/>
    <s v="Medium"/>
    <n v="1"/>
    <n v="22"/>
    <n v="3"/>
    <n v="3"/>
    <s v="High"/>
    <n v="22"/>
    <n v="7"/>
    <n v="2"/>
    <n v="10"/>
  </r>
  <r>
    <n v="50"/>
    <x v="1"/>
    <x v="1"/>
    <x v="0"/>
    <n v="316"/>
    <x v="0"/>
    <n v="8"/>
    <x v="0"/>
    <n v="4"/>
    <s v="Master"/>
    <s v="Marketing"/>
    <n v="738"/>
    <n v="4"/>
    <x v="3"/>
    <s v="Male"/>
    <n v="54"/>
    <n v="3"/>
    <s v="High"/>
    <n v="1"/>
    <x v="1"/>
    <x v="6"/>
    <n v="2"/>
    <s v="Medium"/>
    <x v="1"/>
    <n v="3875"/>
    <n v="9983"/>
    <n v="7"/>
    <x v="1"/>
    <n v="15"/>
    <n v="3"/>
    <s v="Excellent"/>
    <n v="4"/>
    <s v="Very High"/>
    <n v="1"/>
    <n v="4"/>
    <n v="2"/>
    <n v="3"/>
    <s v="High"/>
    <n v="2"/>
    <n v="2"/>
    <n v="2"/>
    <n v="2"/>
  </r>
  <r>
    <n v="28"/>
    <x v="2"/>
    <x v="0"/>
    <x v="0"/>
    <n v="654"/>
    <x v="1"/>
    <n v="1"/>
    <x v="0"/>
    <n v="2"/>
    <s v="College"/>
    <s v="Life Sciences"/>
    <n v="741"/>
    <n v="1"/>
    <x v="2"/>
    <s v="Female"/>
    <n v="67"/>
    <n v="1"/>
    <s v="Low"/>
    <n v="1"/>
    <x v="1"/>
    <x v="1"/>
    <n v="2"/>
    <s v="Medium"/>
    <x v="0"/>
    <n v="2216"/>
    <n v="3872"/>
    <n v="7"/>
    <x v="0"/>
    <n v="13"/>
    <n v="3"/>
    <s v="Excellent"/>
    <n v="4"/>
    <s v="Very High"/>
    <n v="0"/>
    <n v="10"/>
    <n v="4"/>
    <n v="3"/>
    <s v="High"/>
    <n v="7"/>
    <n v="7"/>
    <n v="3"/>
    <n v="7"/>
  </r>
  <r>
    <n v="36"/>
    <x v="0"/>
    <x v="1"/>
    <x v="2"/>
    <n v="427"/>
    <x v="1"/>
    <n v="8"/>
    <x v="0"/>
    <n v="3"/>
    <s v="Bachelor"/>
    <s v="Life Sciences"/>
    <n v="742"/>
    <n v="1"/>
    <x v="2"/>
    <s v="Female"/>
    <n v="63"/>
    <n v="4"/>
    <s v="Very High"/>
    <n v="3"/>
    <x v="2"/>
    <x v="7"/>
    <n v="1"/>
    <s v="Low"/>
    <x v="1"/>
    <n v="11713"/>
    <n v="20335"/>
    <n v="9"/>
    <x v="1"/>
    <n v="14"/>
    <n v="3"/>
    <s v="Excellent"/>
    <n v="1"/>
    <s v="Low"/>
    <n v="1"/>
    <n v="10"/>
    <n v="2"/>
    <n v="3"/>
    <s v="High"/>
    <n v="8"/>
    <n v="7"/>
    <n v="0"/>
    <n v="5"/>
  </r>
  <r>
    <n v="38"/>
    <x v="0"/>
    <x v="1"/>
    <x v="0"/>
    <n v="168"/>
    <x v="1"/>
    <n v="1"/>
    <x v="0"/>
    <n v="3"/>
    <s v="Bachelor"/>
    <s v="Life Sciences"/>
    <n v="743"/>
    <n v="3"/>
    <x v="1"/>
    <s v="Female"/>
    <n v="81"/>
    <n v="3"/>
    <s v="High"/>
    <n v="3"/>
    <x v="2"/>
    <x v="3"/>
    <n v="3"/>
    <s v="High"/>
    <x v="0"/>
    <n v="7861"/>
    <n v="15397"/>
    <n v="4"/>
    <x v="0"/>
    <n v="14"/>
    <n v="3"/>
    <s v="Excellent"/>
    <n v="4"/>
    <s v="Very High"/>
    <n v="0"/>
    <n v="10"/>
    <n v="4"/>
    <n v="4"/>
    <s v="Very High"/>
    <n v="1"/>
    <n v="0"/>
    <n v="0"/>
    <n v="0"/>
  </r>
  <r>
    <n v="44"/>
    <x v="0"/>
    <x v="1"/>
    <x v="2"/>
    <n v="381"/>
    <x v="1"/>
    <n v="24"/>
    <x v="1"/>
    <n v="3"/>
    <s v="Bachelor"/>
    <s v="Medical"/>
    <n v="744"/>
    <n v="1"/>
    <x v="2"/>
    <s v="Male"/>
    <n v="49"/>
    <n v="1"/>
    <s v="Low"/>
    <n v="1"/>
    <x v="1"/>
    <x v="2"/>
    <n v="3"/>
    <s v="High"/>
    <x v="0"/>
    <n v="3708"/>
    <n v="2104"/>
    <n v="2"/>
    <x v="1"/>
    <n v="14"/>
    <n v="3"/>
    <s v="Excellent"/>
    <n v="3"/>
    <s v="High"/>
    <n v="0"/>
    <n v="9"/>
    <n v="5"/>
    <n v="3"/>
    <s v="High"/>
    <n v="5"/>
    <n v="2"/>
    <n v="1"/>
    <n v="4"/>
  </r>
  <r>
    <n v="47"/>
    <x v="1"/>
    <x v="1"/>
    <x v="1"/>
    <n v="217"/>
    <x v="0"/>
    <n v="3"/>
    <x v="0"/>
    <n v="3"/>
    <s v="Bachelor"/>
    <s v="Medical"/>
    <n v="746"/>
    <n v="4"/>
    <x v="3"/>
    <s v="Female"/>
    <n v="49"/>
    <n v="3"/>
    <s v="High"/>
    <n v="4"/>
    <x v="3"/>
    <x v="0"/>
    <n v="3"/>
    <s v="High"/>
    <x v="2"/>
    <n v="13770"/>
    <n v="10225"/>
    <n v="9"/>
    <x v="0"/>
    <n v="12"/>
    <n v="3"/>
    <s v="Excellent"/>
    <n v="4"/>
    <s v="Very High"/>
    <n v="2"/>
    <n v="28"/>
    <n v="2"/>
    <n v="2"/>
    <s v="Medium"/>
    <n v="22"/>
    <n v="2"/>
    <n v="11"/>
    <n v="13"/>
  </r>
  <r>
    <n v="30"/>
    <x v="2"/>
    <x v="1"/>
    <x v="0"/>
    <n v="501"/>
    <x v="0"/>
    <n v="27"/>
    <x v="1"/>
    <n v="5"/>
    <s v="Doctor"/>
    <s v="Marketing"/>
    <n v="747"/>
    <n v="3"/>
    <x v="1"/>
    <s v="Male"/>
    <n v="99"/>
    <n v="3"/>
    <s v="High"/>
    <n v="2"/>
    <x v="0"/>
    <x v="0"/>
    <n v="4"/>
    <s v="Very High"/>
    <x v="2"/>
    <n v="5304"/>
    <n v="25275"/>
    <n v="7"/>
    <x v="1"/>
    <n v="23"/>
    <n v="4"/>
    <s v="Outstanding"/>
    <n v="4"/>
    <s v="Very High"/>
    <n v="1"/>
    <n v="10"/>
    <n v="2"/>
    <n v="2"/>
    <s v="Medium"/>
    <n v="8"/>
    <n v="7"/>
    <n v="7"/>
    <n v="7"/>
  </r>
  <r>
    <n v="29"/>
    <x v="2"/>
    <x v="1"/>
    <x v="0"/>
    <n v="1396"/>
    <x v="0"/>
    <n v="10"/>
    <x v="0"/>
    <n v="3"/>
    <s v="Bachelor"/>
    <s v="Life Sciences"/>
    <n v="749"/>
    <n v="3"/>
    <x v="1"/>
    <s v="Male"/>
    <n v="99"/>
    <n v="3"/>
    <s v="High"/>
    <n v="1"/>
    <x v="1"/>
    <x v="6"/>
    <n v="3"/>
    <s v="High"/>
    <x v="0"/>
    <n v="2642"/>
    <n v="2755"/>
    <n v="1"/>
    <x v="1"/>
    <n v="11"/>
    <n v="3"/>
    <s v="Excellent"/>
    <n v="3"/>
    <s v="High"/>
    <n v="0"/>
    <n v="1"/>
    <n v="6"/>
    <n v="3"/>
    <s v="High"/>
    <n v="1"/>
    <n v="0"/>
    <n v="0"/>
    <n v="0"/>
  </r>
  <r>
    <n v="42"/>
    <x v="0"/>
    <x v="0"/>
    <x v="1"/>
    <n v="933"/>
    <x v="1"/>
    <n v="19"/>
    <x v="2"/>
    <n v="3"/>
    <s v="Bachelor"/>
    <s v="Medical"/>
    <n v="752"/>
    <n v="3"/>
    <x v="1"/>
    <s v="Male"/>
    <n v="57"/>
    <n v="4"/>
    <s v="Very High"/>
    <n v="1"/>
    <x v="1"/>
    <x v="1"/>
    <n v="3"/>
    <s v="High"/>
    <x v="2"/>
    <n v="2759"/>
    <n v="20366"/>
    <n v="6"/>
    <x v="0"/>
    <n v="12"/>
    <n v="3"/>
    <s v="Excellent"/>
    <n v="4"/>
    <s v="Very High"/>
    <n v="0"/>
    <n v="7"/>
    <n v="2"/>
    <n v="3"/>
    <s v="High"/>
    <n v="2"/>
    <n v="2"/>
    <n v="2"/>
    <n v="2"/>
  </r>
  <r>
    <n v="43"/>
    <x v="0"/>
    <x v="1"/>
    <x v="1"/>
    <n v="775"/>
    <x v="0"/>
    <n v="15"/>
    <x v="2"/>
    <n v="3"/>
    <s v="Bachelor"/>
    <s v="Life Sciences"/>
    <n v="754"/>
    <n v="4"/>
    <x v="3"/>
    <s v="Male"/>
    <n v="47"/>
    <n v="2"/>
    <s v="Medium"/>
    <n v="2"/>
    <x v="0"/>
    <x v="0"/>
    <n v="4"/>
    <s v="Very High"/>
    <x v="1"/>
    <n v="6804"/>
    <n v="23683"/>
    <n v="3"/>
    <x v="1"/>
    <n v="18"/>
    <n v="3"/>
    <s v="Excellent"/>
    <n v="3"/>
    <s v="High"/>
    <n v="1"/>
    <n v="7"/>
    <n v="5"/>
    <n v="3"/>
    <s v="High"/>
    <n v="2"/>
    <n v="2"/>
    <n v="2"/>
    <n v="2"/>
  </r>
  <r>
    <n v="34"/>
    <x v="2"/>
    <x v="1"/>
    <x v="0"/>
    <n v="970"/>
    <x v="1"/>
    <n v="8"/>
    <x v="0"/>
    <n v="2"/>
    <s v="College"/>
    <s v="Medical"/>
    <n v="757"/>
    <n v="2"/>
    <x v="0"/>
    <s v="Female"/>
    <n v="96"/>
    <n v="3"/>
    <s v="High"/>
    <n v="2"/>
    <x v="0"/>
    <x v="4"/>
    <n v="3"/>
    <s v="High"/>
    <x v="0"/>
    <n v="6142"/>
    <n v="7360"/>
    <n v="3"/>
    <x v="1"/>
    <n v="11"/>
    <n v="3"/>
    <s v="Excellent"/>
    <n v="4"/>
    <s v="Very High"/>
    <n v="0"/>
    <n v="10"/>
    <n v="2"/>
    <n v="3"/>
    <s v="High"/>
    <n v="5"/>
    <n v="1"/>
    <n v="4"/>
    <n v="3"/>
  </r>
  <r>
    <n v="23"/>
    <x v="4"/>
    <x v="1"/>
    <x v="0"/>
    <n v="650"/>
    <x v="1"/>
    <n v="9"/>
    <x v="0"/>
    <n v="1"/>
    <s v="Below College"/>
    <s v="Medical"/>
    <n v="758"/>
    <n v="2"/>
    <x v="0"/>
    <s v="Male"/>
    <n v="37"/>
    <n v="3"/>
    <s v="High"/>
    <n v="1"/>
    <x v="1"/>
    <x v="2"/>
    <n v="1"/>
    <s v="Low"/>
    <x v="1"/>
    <n v="2500"/>
    <n v="4344"/>
    <n v="1"/>
    <x v="1"/>
    <n v="14"/>
    <n v="3"/>
    <s v="Excellent"/>
    <n v="4"/>
    <s v="Very High"/>
    <n v="1"/>
    <n v="5"/>
    <n v="2"/>
    <n v="4"/>
    <s v="Very High"/>
    <n v="4"/>
    <n v="3"/>
    <n v="0"/>
    <n v="2"/>
  </r>
  <r>
    <n v="39"/>
    <x v="0"/>
    <x v="1"/>
    <x v="0"/>
    <n v="141"/>
    <x v="2"/>
    <n v="3"/>
    <x v="0"/>
    <n v="3"/>
    <s v="Bachelor"/>
    <s v="Human Resources"/>
    <n v="760"/>
    <n v="3"/>
    <x v="1"/>
    <s v="Female"/>
    <n v="44"/>
    <n v="4"/>
    <s v="Very High"/>
    <n v="2"/>
    <x v="0"/>
    <x v="8"/>
    <n v="2"/>
    <s v="Medium"/>
    <x v="1"/>
    <n v="6389"/>
    <n v="18767"/>
    <n v="9"/>
    <x v="1"/>
    <n v="15"/>
    <n v="3"/>
    <s v="Excellent"/>
    <n v="3"/>
    <s v="High"/>
    <n v="1"/>
    <n v="12"/>
    <n v="3"/>
    <n v="1"/>
    <s v="Low"/>
    <n v="8"/>
    <n v="3"/>
    <n v="3"/>
    <n v="6"/>
  </r>
  <r>
    <n v="56"/>
    <x v="3"/>
    <x v="1"/>
    <x v="0"/>
    <n v="832"/>
    <x v="1"/>
    <n v="9"/>
    <x v="0"/>
    <n v="3"/>
    <s v="Bachelor"/>
    <s v="Medical"/>
    <n v="762"/>
    <n v="3"/>
    <x v="1"/>
    <s v="Male"/>
    <n v="81"/>
    <n v="3"/>
    <s v="High"/>
    <n v="4"/>
    <x v="3"/>
    <x v="4"/>
    <n v="4"/>
    <s v="Very High"/>
    <x v="1"/>
    <n v="11103"/>
    <n v="20420"/>
    <n v="7"/>
    <x v="1"/>
    <n v="11"/>
    <n v="3"/>
    <s v="Excellent"/>
    <n v="3"/>
    <s v="High"/>
    <n v="0"/>
    <n v="30"/>
    <n v="1"/>
    <n v="2"/>
    <s v="Medium"/>
    <n v="10"/>
    <n v="7"/>
    <n v="1"/>
    <n v="1"/>
  </r>
  <r>
    <n v="40"/>
    <x v="0"/>
    <x v="1"/>
    <x v="0"/>
    <n v="804"/>
    <x v="1"/>
    <n v="2"/>
    <x v="0"/>
    <n v="1"/>
    <s v="Below College"/>
    <s v="Medical"/>
    <n v="763"/>
    <n v="4"/>
    <x v="3"/>
    <s v="Female"/>
    <n v="86"/>
    <n v="2"/>
    <s v="Medium"/>
    <n v="1"/>
    <x v="1"/>
    <x v="1"/>
    <n v="4"/>
    <s v="Very High"/>
    <x v="0"/>
    <n v="2342"/>
    <n v="22929"/>
    <n v="0"/>
    <x v="0"/>
    <n v="20"/>
    <n v="4"/>
    <s v="Outstanding"/>
    <n v="4"/>
    <s v="Very High"/>
    <n v="0"/>
    <n v="5"/>
    <n v="2"/>
    <n v="2"/>
    <s v="Medium"/>
    <n v="4"/>
    <n v="2"/>
    <n v="2"/>
    <n v="3"/>
  </r>
  <r>
    <n v="27"/>
    <x v="2"/>
    <x v="1"/>
    <x v="0"/>
    <n v="975"/>
    <x v="1"/>
    <n v="7"/>
    <x v="0"/>
    <n v="3"/>
    <s v="Bachelor"/>
    <s v="Medical"/>
    <n v="764"/>
    <n v="4"/>
    <x v="3"/>
    <s v="Female"/>
    <n v="55"/>
    <n v="2"/>
    <s v="Medium"/>
    <n v="2"/>
    <x v="0"/>
    <x v="4"/>
    <n v="1"/>
    <s v="Low"/>
    <x v="0"/>
    <n v="6811"/>
    <n v="23398"/>
    <n v="8"/>
    <x v="1"/>
    <n v="19"/>
    <n v="3"/>
    <s v="Excellent"/>
    <n v="1"/>
    <s v="Low"/>
    <n v="0"/>
    <n v="9"/>
    <n v="2"/>
    <n v="1"/>
    <s v="Low"/>
    <n v="7"/>
    <n v="6"/>
    <n v="0"/>
    <n v="7"/>
  </r>
  <r>
    <n v="29"/>
    <x v="2"/>
    <x v="1"/>
    <x v="0"/>
    <n v="1090"/>
    <x v="0"/>
    <n v="10"/>
    <x v="0"/>
    <n v="3"/>
    <s v="Bachelor"/>
    <s v="Marketing"/>
    <n v="766"/>
    <n v="4"/>
    <x v="3"/>
    <s v="Male"/>
    <n v="83"/>
    <n v="3"/>
    <s v="High"/>
    <n v="1"/>
    <x v="1"/>
    <x v="6"/>
    <n v="2"/>
    <s v="Medium"/>
    <x v="2"/>
    <n v="2297"/>
    <n v="17967"/>
    <n v="1"/>
    <x v="1"/>
    <n v="14"/>
    <n v="3"/>
    <s v="Excellent"/>
    <n v="4"/>
    <s v="Very High"/>
    <n v="2"/>
    <n v="2"/>
    <n v="2"/>
    <n v="3"/>
    <s v="High"/>
    <n v="2"/>
    <n v="2"/>
    <n v="2"/>
    <n v="2"/>
  </r>
  <r>
    <n v="53"/>
    <x v="1"/>
    <x v="1"/>
    <x v="0"/>
    <n v="346"/>
    <x v="1"/>
    <n v="6"/>
    <x v="0"/>
    <n v="3"/>
    <s v="Bachelor"/>
    <s v="Life Sciences"/>
    <n v="769"/>
    <n v="4"/>
    <x v="3"/>
    <s v="Male"/>
    <n v="86"/>
    <n v="3"/>
    <s v="High"/>
    <n v="2"/>
    <x v="0"/>
    <x v="2"/>
    <n v="4"/>
    <s v="Very High"/>
    <x v="0"/>
    <n v="2450"/>
    <n v="10919"/>
    <n v="2"/>
    <x v="1"/>
    <n v="17"/>
    <n v="3"/>
    <s v="Excellent"/>
    <n v="4"/>
    <s v="Very High"/>
    <n v="0"/>
    <n v="19"/>
    <n v="4"/>
    <n v="3"/>
    <s v="High"/>
    <n v="2"/>
    <n v="2"/>
    <n v="2"/>
    <n v="2"/>
  </r>
  <r>
    <n v="35"/>
    <x v="2"/>
    <x v="1"/>
    <x v="2"/>
    <n v="1225"/>
    <x v="1"/>
    <n v="2"/>
    <x v="0"/>
    <n v="4"/>
    <s v="Master"/>
    <s v="Life Sciences"/>
    <n v="771"/>
    <n v="4"/>
    <x v="3"/>
    <s v="Female"/>
    <n v="61"/>
    <n v="3"/>
    <s v="High"/>
    <n v="2"/>
    <x v="0"/>
    <x v="4"/>
    <n v="1"/>
    <s v="Low"/>
    <x v="2"/>
    <n v="5093"/>
    <n v="4761"/>
    <n v="2"/>
    <x v="1"/>
    <n v="11"/>
    <n v="3"/>
    <s v="Excellent"/>
    <n v="1"/>
    <s v="Low"/>
    <n v="1"/>
    <n v="16"/>
    <n v="2"/>
    <n v="4"/>
    <s v="Very High"/>
    <n v="1"/>
    <n v="0"/>
    <n v="0"/>
    <n v="0"/>
  </r>
  <r>
    <n v="32"/>
    <x v="2"/>
    <x v="1"/>
    <x v="1"/>
    <n v="430"/>
    <x v="1"/>
    <n v="24"/>
    <x v="1"/>
    <n v="4"/>
    <s v="Master"/>
    <s v="Life Sciences"/>
    <n v="772"/>
    <n v="1"/>
    <x v="2"/>
    <s v="Male"/>
    <n v="80"/>
    <n v="3"/>
    <s v="High"/>
    <n v="2"/>
    <x v="0"/>
    <x v="2"/>
    <n v="4"/>
    <s v="Very High"/>
    <x v="1"/>
    <n v="5309"/>
    <n v="21146"/>
    <n v="1"/>
    <x v="1"/>
    <n v="15"/>
    <n v="3"/>
    <s v="Excellent"/>
    <n v="4"/>
    <s v="Very High"/>
    <n v="2"/>
    <n v="10"/>
    <n v="2"/>
    <n v="3"/>
    <s v="High"/>
    <n v="10"/>
    <n v="8"/>
    <n v="4"/>
    <n v="7"/>
  </r>
  <r>
    <n v="38"/>
    <x v="0"/>
    <x v="1"/>
    <x v="0"/>
    <n v="268"/>
    <x v="1"/>
    <n v="2"/>
    <x v="0"/>
    <n v="5"/>
    <s v="Doctor"/>
    <s v="Medical"/>
    <n v="773"/>
    <n v="4"/>
    <x v="3"/>
    <s v="Male"/>
    <n v="92"/>
    <n v="3"/>
    <s v="High"/>
    <n v="1"/>
    <x v="1"/>
    <x v="1"/>
    <n v="3"/>
    <s v="High"/>
    <x v="1"/>
    <n v="3057"/>
    <n v="20471"/>
    <n v="6"/>
    <x v="0"/>
    <n v="13"/>
    <n v="3"/>
    <s v="Excellent"/>
    <n v="2"/>
    <s v="Medium"/>
    <n v="1"/>
    <n v="6"/>
    <n v="0"/>
    <n v="1"/>
    <s v="Low"/>
    <n v="1"/>
    <n v="0"/>
    <n v="0"/>
    <n v="1"/>
  </r>
  <r>
    <n v="34"/>
    <x v="2"/>
    <x v="1"/>
    <x v="0"/>
    <n v="167"/>
    <x v="1"/>
    <n v="8"/>
    <x v="0"/>
    <n v="5"/>
    <s v="Doctor"/>
    <s v="Life Sciences"/>
    <n v="775"/>
    <n v="2"/>
    <x v="0"/>
    <s v="Female"/>
    <n v="32"/>
    <n v="3"/>
    <s v="High"/>
    <n v="2"/>
    <x v="0"/>
    <x v="3"/>
    <n v="1"/>
    <s v="Low"/>
    <x v="2"/>
    <n v="5121"/>
    <n v="4187"/>
    <n v="3"/>
    <x v="1"/>
    <n v="14"/>
    <n v="3"/>
    <s v="Excellent"/>
    <n v="3"/>
    <s v="High"/>
    <n v="1"/>
    <n v="7"/>
    <n v="3"/>
    <n v="3"/>
    <s v="High"/>
    <n v="0"/>
    <n v="0"/>
    <n v="0"/>
    <n v="0"/>
  </r>
  <r>
    <n v="52"/>
    <x v="1"/>
    <x v="1"/>
    <x v="0"/>
    <n v="621"/>
    <x v="0"/>
    <n v="3"/>
    <x v="0"/>
    <n v="4"/>
    <s v="Master"/>
    <s v="Marketing"/>
    <n v="776"/>
    <n v="3"/>
    <x v="1"/>
    <s v="Male"/>
    <n v="31"/>
    <n v="2"/>
    <s v="Medium"/>
    <n v="4"/>
    <x v="3"/>
    <x v="5"/>
    <n v="1"/>
    <s v="Low"/>
    <x v="1"/>
    <n v="16856"/>
    <n v="10084"/>
    <n v="1"/>
    <x v="1"/>
    <n v="11"/>
    <n v="3"/>
    <s v="Excellent"/>
    <n v="1"/>
    <s v="Low"/>
    <n v="0"/>
    <n v="34"/>
    <n v="3"/>
    <n v="4"/>
    <s v="Very High"/>
    <n v="34"/>
    <n v="6"/>
    <n v="1"/>
    <n v="16"/>
  </r>
  <r>
    <n v="33"/>
    <x v="2"/>
    <x v="0"/>
    <x v="0"/>
    <n v="527"/>
    <x v="1"/>
    <n v="1"/>
    <x v="0"/>
    <n v="4"/>
    <s v="Master"/>
    <s v="Other"/>
    <n v="780"/>
    <n v="4"/>
    <x v="3"/>
    <s v="Male"/>
    <n v="63"/>
    <n v="3"/>
    <s v="High"/>
    <n v="1"/>
    <x v="1"/>
    <x v="1"/>
    <n v="4"/>
    <s v="Very High"/>
    <x v="0"/>
    <n v="2686"/>
    <n v="5207"/>
    <n v="1"/>
    <x v="0"/>
    <n v="13"/>
    <n v="3"/>
    <s v="Excellent"/>
    <n v="3"/>
    <s v="High"/>
    <n v="0"/>
    <n v="10"/>
    <n v="2"/>
    <n v="2"/>
    <s v="Medium"/>
    <n v="10"/>
    <n v="9"/>
    <n v="7"/>
    <n v="8"/>
  </r>
  <r>
    <n v="25"/>
    <x v="4"/>
    <x v="1"/>
    <x v="0"/>
    <n v="883"/>
    <x v="0"/>
    <n v="26"/>
    <x v="1"/>
    <n v="1"/>
    <s v="Below College"/>
    <s v="Medical"/>
    <n v="781"/>
    <n v="3"/>
    <x v="1"/>
    <s v="Female"/>
    <n v="32"/>
    <n v="3"/>
    <s v="High"/>
    <n v="2"/>
    <x v="0"/>
    <x v="0"/>
    <n v="4"/>
    <s v="Very High"/>
    <x v="0"/>
    <n v="6180"/>
    <n v="22807"/>
    <n v="1"/>
    <x v="1"/>
    <n v="23"/>
    <n v="4"/>
    <s v="Outstanding"/>
    <n v="2"/>
    <s v="Medium"/>
    <n v="0"/>
    <n v="6"/>
    <n v="5"/>
    <n v="2"/>
    <s v="Medium"/>
    <n v="6"/>
    <n v="5"/>
    <n v="1"/>
    <n v="4"/>
  </r>
  <r>
    <n v="45"/>
    <x v="0"/>
    <x v="1"/>
    <x v="0"/>
    <n v="954"/>
    <x v="0"/>
    <n v="2"/>
    <x v="0"/>
    <n v="2"/>
    <s v="College"/>
    <s v="Technical Degree"/>
    <n v="783"/>
    <n v="2"/>
    <x v="0"/>
    <s v="Male"/>
    <n v="46"/>
    <n v="1"/>
    <s v="Low"/>
    <n v="2"/>
    <x v="0"/>
    <x v="6"/>
    <n v="3"/>
    <s v="High"/>
    <x v="0"/>
    <n v="6632"/>
    <n v="12388"/>
    <n v="0"/>
    <x v="1"/>
    <n v="13"/>
    <n v="3"/>
    <s v="Excellent"/>
    <n v="1"/>
    <s v="Low"/>
    <n v="0"/>
    <n v="9"/>
    <n v="3"/>
    <n v="3"/>
    <s v="High"/>
    <n v="8"/>
    <n v="7"/>
    <n v="3"/>
    <n v="1"/>
  </r>
  <r>
    <n v="23"/>
    <x v="4"/>
    <x v="1"/>
    <x v="0"/>
    <n v="310"/>
    <x v="1"/>
    <n v="10"/>
    <x v="0"/>
    <n v="1"/>
    <s v="Below College"/>
    <s v="Medical"/>
    <n v="784"/>
    <n v="1"/>
    <x v="2"/>
    <s v="Male"/>
    <n v="79"/>
    <n v="4"/>
    <s v="Very High"/>
    <n v="1"/>
    <x v="1"/>
    <x v="1"/>
    <n v="3"/>
    <s v="High"/>
    <x v="0"/>
    <n v="3505"/>
    <n v="19630"/>
    <n v="1"/>
    <x v="1"/>
    <n v="18"/>
    <n v="3"/>
    <s v="Excellent"/>
    <n v="4"/>
    <s v="Very High"/>
    <n v="0"/>
    <n v="2"/>
    <n v="3"/>
    <n v="3"/>
    <s v="High"/>
    <n v="2"/>
    <n v="2"/>
    <n v="0"/>
    <n v="2"/>
  </r>
  <r>
    <n v="47"/>
    <x v="1"/>
    <x v="0"/>
    <x v="1"/>
    <n v="719"/>
    <x v="0"/>
    <n v="27"/>
    <x v="1"/>
    <n v="2"/>
    <s v="College"/>
    <s v="Life Sciences"/>
    <n v="785"/>
    <n v="2"/>
    <x v="0"/>
    <s v="Female"/>
    <n v="77"/>
    <n v="4"/>
    <s v="Very High"/>
    <n v="2"/>
    <x v="0"/>
    <x v="0"/>
    <n v="3"/>
    <s v="High"/>
    <x v="0"/>
    <n v="6397"/>
    <n v="10339"/>
    <n v="4"/>
    <x v="0"/>
    <n v="12"/>
    <n v="3"/>
    <s v="Excellent"/>
    <n v="4"/>
    <s v="Very High"/>
    <n v="0"/>
    <n v="8"/>
    <n v="2"/>
    <n v="3"/>
    <s v="High"/>
    <n v="5"/>
    <n v="4"/>
    <n v="1"/>
    <n v="3"/>
  </r>
  <r>
    <n v="34"/>
    <x v="2"/>
    <x v="1"/>
    <x v="0"/>
    <n v="304"/>
    <x v="0"/>
    <n v="2"/>
    <x v="0"/>
    <n v="3"/>
    <s v="Bachelor"/>
    <s v="Other"/>
    <n v="786"/>
    <n v="4"/>
    <x v="3"/>
    <s v="Male"/>
    <n v="60"/>
    <n v="3"/>
    <s v="High"/>
    <n v="2"/>
    <x v="0"/>
    <x v="0"/>
    <n v="4"/>
    <s v="Very High"/>
    <x v="0"/>
    <n v="6274"/>
    <n v="18686"/>
    <n v="1"/>
    <x v="1"/>
    <n v="22"/>
    <n v="4"/>
    <s v="Outstanding"/>
    <n v="3"/>
    <s v="High"/>
    <n v="0"/>
    <n v="6"/>
    <n v="5"/>
    <n v="3"/>
    <s v="High"/>
    <n v="6"/>
    <n v="5"/>
    <n v="1"/>
    <n v="4"/>
  </r>
  <r>
    <n v="55"/>
    <x v="1"/>
    <x v="0"/>
    <x v="0"/>
    <n v="725"/>
    <x v="1"/>
    <n v="2"/>
    <x v="0"/>
    <n v="3"/>
    <s v="Bachelor"/>
    <s v="Medical"/>
    <n v="787"/>
    <n v="4"/>
    <x v="3"/>
    <s v="Male"/>
    <n v="78"/>
    <n v="3"/>
    <s v="High"/>
    <n v="5"/>
    <x v="4"/>
    <x v="5"/>
    <n v="1"/>
    <s v="Low"/>
    <x v="1"/>
    <n v="19859"/>
    <n v="21199"/>
    <n v="5"/>
    <x v="0"/>
    <n v="13"/>
    <n v="3"/>
    <s v="Excellent"/>
    <n v="4"/>
    <s v="Very High"/>
    <n v="1"/>
    <n v="24"/>
    <n v="2"/>
    <n v="3"/>
    <s v="High"/>
    <n v="5"/>
    <n v="2"/>
    <n v="1"/>
    <n v="4"/>
  </r>
  <r>
    <n v="36"/>
    <x v="0"/>
    <x v="1"/>
    <x v="2"/>
    <n v="1434"/>
    <x v="0"/>
    <n v="8"/>
    <x v="0"/>
    <n v="4"/>
    <s v="Master"/>
    <s v="Life Sciences"/>
    <n v="789"/>
    <n v="1"/>
    <x v="2"/>
    <s v="Male"/>
    <n v="76"/>
    <n v="2"/>
    <s v="Medium"/>
    <n v="3"/>
    <x v="2"/>
    <x v="0"/>
    <n v="1"/>
    <s v="Low"/>
    <x v="0"/>
    <n v="7587"/>
    <n v="14229"/>
    <n v="1"/>
    <x v="1"/>
    <n v="15"/>
    <n v="3"/>
    <s v="Excellent"/>
    <n v="2"/>
    <s v="Medium"/>
    <n v="0"/>
    <n v="10"/>
    <n v="1"/>
    <n v="3"/>
    <s v="High"/>
    <n v="10"/>
    <n v="7"/>
    <n v="0"/>
    <n v="9"/>
  </r>
  <r>
    <n v="52"/>
    <x v="1"/>
    <x v="1"/>
    <x v="2"/>
    <n v="715"/>
    <x v="1"/>
    <n v="19"/>
    <x v="2"/>
    <n v="4"/>
    <s v="Master"/>
    <s v="Medical"/>
    <n v="791"/>
    <n v="4"/>
    <x v="3"/>
    <s v="Male"/>
    <n v="41"/>
    <n v="3"/>
    <s v="High"/>
    <n v="1"/>
    <x v="1"/>
    <x v="1"/>
    <n v="4"/>
    <s v="Very High"/>
    <x v="1"/>
    <n v="4258"/>
    <n v="26589"/>
    <n v="0"/>
    <x v="1"/>
    <n v="18"/>
    <n v="3"/>
    <s v="Excellent"/>
    <n v="1"/>
    <s v="Low"/>
    <n v="1"/>
    <n v="5"/>
    <n v="3"/>
    <n v="3"/>
    <s v="High"/>
    <n v="4"/>
    <n v="3"/>
    <n v="1"/>
    <n v="2"/>
  </r>
  <r>
    <n v="26"/>
    <x v="2"/>
    <x v="1"/>
    <x v="1"/>
    <n v="575"/>
    <x v="1"/>
    <n v="1"/>
    <x v="0"/>
    <n v="2"/>
    <s v="College"/>
    <s v="Life Sciences"/>
    <n v="792"/>
    <n v="1"/>
    <x v="2"/>
    <s v="Female"/>
    <n v="71"/>
    <n v="1"/>
    <s v="Low"/>
    <n v="1"/>
    <x v="1"/>
    <x v="2"/>
    <n v="4"/>
    <s v="Very High"/>
    <x v="2"/>
    <n v="4364"/>
    <n v="5288"/>
    <n v="3"/>
    <x v="1"/>
    <n v="14"/>
    <n v="3"/>
    <s v="Excellent"/>
    <n v="1"/>
    <s v="Low"/>
    <n v="1"/>
    <n v="5"/>
    <n v="2"/>
    <n v="3"/>
    <s v="High"/>
    <n v="2"/>
    <n v="2"/>
    <n v="2"/>
    <n v="0"/>
  </r>
  <r>
    <n v="29"/>
    <x v="2"/>
    <x v="1"/>
    <x v="0"/>
    <n v="657"/>
    <x v="1"/>
    <n v="27"/>
    <x v="1"/>
    <n v="3"/>
    <s v="Bachelor"/>
    <s v="Medical"/>
    <n v="793"/>
    <n v="2"/>
    <x v="0"/>
    <s v="Female"/>
    <n v="66"/>
    <n v="3"/>
    <s v="High"/>
    <n v="2"/>
    <x v="0"/>
    <x v="4"/>
    <n v="3"/>
    <s v="High"/>
    <x v="1"/>
    <n v="4335"/>
    <n v="25549"/>
    <n v="4"/>
    <x v="1"/>
    <n v="12"/>
    <n v="3"/>
    <s v="Excellent"/>
    <n v="1"/>
    <s v="Low"/>
    <n v="1"/>
    <n v="11"/>
    <n v="3"/>
    <n v="2"/>
    <s v="Medium"/>
    <n v="8"/>
    <n v="7"/>
    <n v="1"/>
    <n v="1"/>
  </r>
  <r>
    <n v="26"/>
    <x v="2"/>
    <x v="0"/>
    <x v="0"/>
    <n v="1146"/>
    <x v="0"/>
    <n v="8"/>
    <x v="0"/>
    <n v="3"/>
    <s v="Bachelor"/>
    <s v="Technical Degree"/>
    <n v="796"/>
    <n v="4"/>
    <x v="3"/>
    <s v="Male"/>
    <n v="38"/>
    <n v="2"/>
    <s v="Medium"/>
    <n v="2"/>
    <x v="0"/>
    <x v="0"/>
    <n v="1"/>
    <s v="Low"/>
    <x v="0"/>
    <n v="5326"/>
    <n v="3064"/>
    <n v="6"/>
    <x v="1"/>
    <n v="17"/>
    <n v="3"/>
    <s v="Excellent"/>
    <n v="3"/>
    <s v="High"/>
    <n v="0"/>
    <n v="6"/>
    <n v="2"/>
    <n v="2"/>
    <s v="Medium"/>
    <n v="4"/>
    <n v="3"/>
    <n v="1"/>
    <n v="2"/>
  </r>
  <r>
    <n v="34"/>
    <x v="2"/>
    <x v="1"/>
    <x v="0"/>
    <n v="182"/>
    <x v="1"/>
    <n v="1"/>
    <x v="0"/>
    <n v="4"/>
    <s v="Master"/>
    <s v="Life Sciences"/>
    <n v="797"/>
    <n v="2"/>
    <x v="0"/>
    <s v="Female"/>
    <n v="72"/>
    <n v="4"/>
    <s v="Very High"/>
    <n v="1"/>
    <x v="1"/>
    <x v="1"/>
    <n v="4"/>
    <s v="Very High"/>
    <x v="0"/>
    <n v="3280"/>
    <n v="13551"/>
    <n v="2"/>
    <x v="1"/>
    <n v="16"/>
    <n v="3"/>
    <s v="Excellent"/>
    <n v="3"/>
    <s v="High"/>
    <n v="0"/>
    <n v="10"/>
    <n v="2"/>
    <n v="3"/>
    <s v="High"/>
    <n v="4"/>
    <n v="2"/>
    <n v="1"/>
    <n v="3"/>
  </r>
  <r>
    <n v="54"/>
    <x v="1"/>
    <x v="1"/>
    <x v="0"/>
    <n v="376"/>
    <x v="1"/>
    <n v="19"/>
    <x v="2"/>
    <n v="4"/>
    <s v="Master"/>
    <s v="Medical"/>
    <n v="799"/>
    <n v="4"/>
    <x v="3"/>
    <s v="Female"/>
    <n v="95"/>
    <n v="3"/>
    <s v="High"/>
    <n v="2"/>
    <x v="0"/>
    <x v="3"/>
    <n v="1"/>
    <s v="Low"/>
    <x v="2"/>
    <n v="5485"/>
    <n v="22670"/>
    <n v="9"/>
    <x v="0"/>
    <n v="11"/>
    <n v="3"/>
    <s v="Excellent"/>
    <n v="2"/>
    <s v="Medium"/>
    <n v="2"/>
    <n v="9"/>
    <n v="4"/>
    <n v="3"/>
    <s v="High"/>
    <n v="5"/>
    <n v="3"/>
    <n v="1"/>
    <n v="4"/>
  </r>
  <r>
    <n v="27"/>
    <x v="2"/>
    <x v="1"/>
    <x v="1"/>
    <n v="829"/>
    <x v="0"/>
    <n v="8"/>
    <x v="0"/>
    <n v="1"/>
    <s v="Below College"/>
    <s v="Marketing"/>
    <n v="800"/>
    <n v="3"/>
    <x v="1"/>
    <s v="Male"/>
    <n v="84"/>
    <n v="3"/>
    <s v="High"/>
    <n v="2"/>
    <x v="0"/>
    <x v="0"/>
    <n v="4"/>
    <s v="Very High"/>
    <x v="1"/>
    <n v="4342"/>
    <n v="24008"/>
    <n v="0"/>
    <x v="1"/>
    <n v="19"/>
    <n v="3"/>
    <s v="Excellent"/>
    <n v="2"/>
    <s v="Medium"/>
    <n v="1"/>
    <n v="5"/>
    <n v="3"/>
    <n v="3"/>
    <s v="High"/>
    <n v="4"/>
    <n v="2"/>
    <n v="1"/>
    <n v="1"/>
  </r>
  <r>
    <n v="37"/>
    <x v="0"/>
    <x v="1"/>
    <x v="0"/>
    <n v="571"/>
    <x v="1"/>
    <n v="10"/>
    <x v="0"/>
    <n v="1"/>
    <s v="Below College"/>
    <s v="Life Sciences"/>
    <n v="802"/>
    <n v="4"/>
    <x v="3"/>
    <s v="Female"/>
    <n v="82"/>
    <n v="3"/>
    <s v="High"/>
    <n v="1"/>
    <x v="1"/>
    <x v="1"/>
    <n v="1"/>
    <s v="Low"/>
    <x v="2"/>
    <n v="2782"/>
    <n v="19905"/>
    <n v="0"/>
    <x v="0"/>
    <n v="13"/>
    <n v="3"/>
    <s v="Excellent"/>
    <n v="2"/>
    <s v="Medium"/>
    <n v="2"/>
    <n v="6"/>
    <n v="3"/>
    <n v="2"/>
    <s v="Medium"/>
    <n v="5"/>
    <n v="3"/>
    <n v="4"/>
    <n v="3"/>
  </r>
  <r>
    <n v="38"/>
    <x v="0"/>
    <x v="1"/>
    <x v="1"/>
    <n v="240"/>
    <x v="1"/>
    <n v="2"/>
    <x v="0"/>
    <n v="4"/>
    <s v="Master"/>
    <s v="Life Sciences"/>
    <n v="803"/>
    <n v="1"/>
    <x v="2"/>
    <s v="Female"/>
    <n v="75"/>
    <n v="4"/>
    <s v="Very High"/>
    <n v="2"/>
    <x v="0"/>
    <x v="3"/>
    <n v="1"/>
    <s v="Low"/>
    <x v="0"/>
    <n v="5980"/>
    <n v="26085"/>
    <n v="6"/>
    <x v="0"/>
    <n v="12"/>
    <n v="3"/>
    <s v="Excellent"/>
    <n v="4"/>
    <s v="Very High"/>
    <n v="0"/>
    <n v="17"/>
    <n v="2"/>
    <n v="3"/>
    <s v="High"/>
    <n v="15"/>
    <n v="7"/>
    <n v="4"/>
    <n v="12"/>
  </r>
  <r>
    <n v="34"/>
    <x v="2"/>
    <x v="1"/>
    <x v="0"/>
    <n v="121"/>
    <x v="1"/>
    <n v="2"/>
    <x v="0"/>
    <n v="4"/>
    <s v="Master"/>
    <s v="Medical"/>
    <n v="804"/>
    <n v="3"/>
    <x v="1"/>
    <s v="Female"/>
    <n v="86"/>
    <n v="2"/>
    <s v="Medium"/>
    <n v="1"/>
    <x v="1"/>
    <x v="1"/>
    <n v="1"/>
    <s v="Low"/>
    <x v="0"/>
    <n v="4381"/>
    <n v="7530"/>
    <n v="1"/>
    <x v="1"/>
    <n v="11"/>
    <n v="3"/>
    <s v="Excellent"/>
    <n v="3"/>
    <s v="High"/>
    <n v="0"/>
    <n v="6"/>
    <n v="3"/>
    <n v="3"/>
    <s v="High"/>
    <n v="6"/>
    <n v="5"/>
    <n v="1"/>
    <n v="3"/>
  </r>
  <r>
    <n v="35"/>
    <x v="2"/>
    <x v="1"/>
    <x v="0"/>
    <n v="384"/>
    <x v="0"/>
    <n v="8"/>
    <x v="0"/>
    <n v="4"/>
    <s v="Master"/>
    <s v="Life Sciences"/>
    <n v="805"/>
    <n v="1"/>
    <x v="2"/>
    <s v="Female"/>
    <n v="72"/>
    <n v="3"/>
    <s v="High"/>
    <n v="1"/>
    <x v="1"/>
    <x v="6"/>
    <n v="4"/>
    <s v="Very High"/>
    <x v="1"/>
    <n v="2572"/>
    <n v="20317"/>
    <n v="1"/>
    <x v="1"/>
    <n v="16"/>
    <n v="3"/>
    <s v="Excellent"/>
    <n v="2"/>
    <s v="Medium"/>
    <n v="1"/>
    <n v="3"/>
    <n v="1"/>
    <n v="2"/>
    <s v="Medium"/>
    <n v="3"/>
    <n v="2"/>
    <n v="0"/>
    <n v="2"/>
  </r>
  <r>
    <n v="30"/>
    <x v="2"/>
    <x v="1"/>
    <x v="0"/>
    <n v="921"/>
    <x v="1"/>
    <n v="1"/>
    <x v="0"/>
    <n v="3"/>
    <s v="Bachelor"/>
    <s v="Life Sciences"/>
    <n v="806"/>
    <n v="4"/>
    <x v="3"/>
    <s v="Male"/>
    <n v="38"/>
    <n v="1"/>
    <s v="Low"/>
    <n v="1"/>
    <x v="1"/>
    <x v="2"/>
    <n v="3"/>
    <s v="High"/>
    <x v="1"/>
    <n v="3833"/>
    <n v="24375"/>
    <n v="3"/>
    <x v="1"/>
    <n v="21"/>
    <n v="4"/>
    <s v="Outstanding"/>
    <n v="3"/>
    <s v="High"/>
    <n v="2"/>
    <n v="7"/>
    <n v="2"/>
    <n v="3"/>
    <s v="High"/>
    <n v="2"/>
    <n v="2"/>
    <n v="0"/>
    <n v="2"/>
  </r>
  <r>
    <n v="40"/>
    <x v="0"/>
    <x v="1"/>
    <x v="1"/>
    <n v="791"/>
    <x v="1"/>
    <n v="2"/>
    <x v="0"/>
    <n v="2"/>
    <s v="College"/>
    <s v="Medical"/>
    <n v="807"/>
    <n v="3"/>
    <x v="1"/>
    <s v="Female"/>
    <n v="38"/>
    <n v="4"/>
    <s v="Very High"/>
    <n v="2"/>
    <x v="0"/>
    <x v="4"/>
    <n v="2"/>
    <s v="Medium"/>
    <x v="1"/>
    <n v="4244"/>
    <n v="9931"/>
    <n v="1"/>
    <x v="1"/>
    <n v="24"/>
    <n v="4"/>
    <s v="Outstanding"/>
    <n v="4"/>
    <s v="Very High"/>
    <n v="1"/>
    <n v="8"/>
    <n v="2"/>
    <n v="3"/>
    <s v="High"/>
    <n v="8"/>
    <n v="7"/>
    <n v="3"/>
    <n v="7"/>
  </r>
  <r>
    <n v="34"/>
    <x v="2"/>
    <x v="1"/>
    <x v="0"/>
    <n v="1111"/>
    <x v="0"/>
    <n v="8"/>
    <x v="0"/>
    <n v="2"/>
    <s v="College"/>
    <s v="Life Sciences"/>
    <n v="808"/>
    <n v="3"/>
    <x v="1"/>
    <s v="Female"/>
    <n v="93"/>
    <n v="3"/>
    <s v="High"/>
    <n v="2"/>
    <x v="0"/>
    <x v="0"/>
    <n v="1"/>
    <s v="Low"/>
    <x v="1"/>
    <n v="6500"/>
    <n v="13305"/>
    <n v="5"/>
    <x v="1"/>
    <n v="17"/>
    <n v="3"/>
    <s v="Excellent"/>
    <n v="2"/>
    <s v="Medium"/>
    <n v="1"/>
    <n v="6"/>
    <n v="1"/>
    <n v="3"/>
    <s v="High"/>
    <n v="3"/>
    <n v="2"/>
    <n v="1"/>
    <n v="2"/>
  </r>
  <r>
    <n v="42"/>
    <x v="0"/>
    <x v="1"/>
    <x v="1"/>
    <n v="570"/>
    <x v="1"/>
    <n v="8"/>
    <x v="0"/>
    <n v="3"/>
    <s v="Bachelor"/>
    <s v="Life Sciences"/>
    <n v="809"/>
    <n v="2"/>
    <x v="0"/>
    <s v="Male"/>
    <n v="66"/>
    <n v="3"/>
    <s v="High"/>
    <n v="5"/>
    <x v="4"/>
    <x v="5"/>
    <n v="4"/>
    <s v="Very High"/>
    <x v="2"/>
    <n v="18430"/>
    <n v="16225"/>
    <n v="1"/>
    <x v="1"/>
    <n v="13"/>
    <n v="3"/>
    <s v="Excellent"/>
    <n v="2"/>
    <s v="Medium"/>
    <n v="1"/>
    <n v="24"/>
    <n v="4"/>
    <n v="2"/>
    <s v="Medium"/>
    <n v="24"/>
    <n v="7"/>
    <n v="14"/>
    <n v="9"/>
  </r>
  <r>
    <n v="23"/>
    <x v="4"/>
    <x v="0"/>
    <x v="0"/>
    <n v="1243"/>
    <x v="1"/>
    <n v="6"/>
    <x v="0"/>
    <n v="3"/>
    <s v="Bachelor"/>
    <s v="Life Sciences"/>
    <n v="811"/>
    <n v="3"/>
    <x v="1"/>
    <s v="Male"/>
    <n v="63"/>
    <n v="4"/>
    <s v="Very High"/>
    <n v="1"/>
    <x v="1"/>
    <x v="2"/>
    <n v="1"/>
    <s v="Low"/>
    <x v="1"/>
    <n v="1601"/>
    <n v="3445"/>
    <n v="1"/>
    <x v="0"/>
    <n v="21"/>
    <n v="4"/>
    <s v="Outstanding"/>
    <n v="3"/>
    <s v="High"/>
    <n v="2"/>
    <n v="1"/>
    <n v="2"/>
    <n v="3"/>
    <s v="High"/>
    <n v="0"/>
    <n v="0"/>
    <n v="0"/>
    <n v="0"/>
  </r>
  <r>
    <n v="24"/>
    <x v="4"/>
    <x v="1"/>
    <x v="2"/>
    <n v="1092"/>
    <x v="1"/>
    <n v="9"/>
    <x v="0"/>
    <n v="3"/>
    <s v="Bachelor"/>
    <s v="Life Sciences"/>
    <n v="812"/>
    <n v="3"/>
    <x v="1"/>
    <s v="Male"/>
    <n v="60"/>
    <n v="2"/>
    <s v="Medium"/>
    <n v="1"/>
    <x v="1"/>
    <x v="2"/>
    <n v="2"/>
    <s v="Medium"/>
    <x v="2"/>
    <n v="2694"/>
    <n v="26551"/>
    <n v="1"/>
    <x v="1"/>
    <n v="11"/>
    <n v="3"/>
    <s v="Excellent"/>
    <n v="3"/>
    <s v="High"/>
    <n v="3"/>
    <n v="1"/>
    <n v="4"/>
    <n v="3"/>
    <s v="High"/>
    <n v="1"/>
    <n v="0"/>
    <n v="0"/>
    <n v="0"/>
  </r>
  <r>
    <n v="52"/>
    <x v="1"/>
    <x v="1"/>
    <x v="0"/>
    <n v="1325"/>
    <x v="1"/>
    <n v="11"/>
    <x v="2"/>
    <n v="4"/>
    <s v="Master"/>
    <s v="Life Sciences"/>
    <n v="813"/>
    <n v="4"/>
    <x v="3"/>
    <s v="Female"/>
    <n v="82"/>
    <n v="3"/>
    <s v="High"/>
    <n v="2"/>
    <x v="0"/>
    <x v="2"/>
    <n v="3"/>
    <s v="High"/>
    <x v="1"/>
    <n v="3149"/>
    <n v="21821"/>
    <n v="8"/>
    <x v="1"/>
    <n v="20"/>
    <n v="4"/>
    <s v="Outstanding"/>
    <n v="2"/>
    <s v="Medium"/>
    <n v="1"/>
    <n v="9"/>
    <n v="3"/>
    <n v="3"/>
    <s v="High"/>
    <n v="5"/>
    <n v="2"/>
    <n v="1"/>
    <n v="4"/>
  </r>
  <r>
    <n v="50"/>
    <x v="1"/>
    <x v="1"/>
    <x v="0"/>
    <n v="691"/>
    <x v="1"/>
    <n v="2"/>
    <x v="0"/>
    <n v="3"/>
    <s v="Bachelor"/>
    <s v="Medical"/>
    <n v="815"/>
    <n v="3"/>
    <x v="1"/>
    <s v="Male"/>
    <n v="64"/>
    <n v="3"/>
    <s v="High"/>
    <n v="4"/>
    <x v="3"/>
    <x v="7"/>
    <n v="3"/>
    <s v="High"/>
    <x v="1"/>
    <n v="17639"/>
    <n v="6881"/>
    <n v="5"/>
    <x v="1"/>
    <n v="16"/>
    <n v="3"/>
    <s v="Excellent"/>
    <n v="4"/>
    <s v="Very High"/>
    <n v="0"/>
    <n v="30"/>
    <n v="3"/>
    <n v="3"/>
    <s v="High"/>
    <n v="4"/>
    <n v="3"/>
    <n v="0"/>
    <n v="3"/>
  </r>
  <r>
    <n v="29"/>
    <x v="2"/>
    <x v="0"/>
    <x v="0"/>
    <n v="805"/>
    <x v="1"/>
    <n v="1"/>
    <x v="0"/>
    <n v="2"/>
    <s v="College"/>
    <s v="Life Sciences"/>
    <n v="816"/>
    <n v="2"/>
    <x v="0"/>
    <s v="Female"/>
    <n v="36"/>
    <n v="2"/>
    <s v="Medium"/>
    <n v="1"/>
    <x v="1"/>
    <x v="2"/>
    <n v="1"/>
    <s v="Low"/>
    <x v="1"/>
    <n v="2319"/>
    <n v="6689"/>
    <n v="1"/>
    <x v="0"/>
    <n v="11"/>
    <n v="3"/>
    <s v="Excellent"/>
    <n v="4"/>
    <s v="Very High"/>
    <n v="1"/>
    <n v="1"/>
    <n v="1"/>
    <n v="3"/>
    <s v="High"/>
    <n v="1"/>
    <n v="0"/>
    <n v="0"/>
    <n v="0"/>
  </r>
  <r>
    <n v="33"/>
    <x v="2"/>
    <x v="1"/>
    <x v="0"/>
    <n v="213"/>
    <x v="1"/>
    <n v="7"/>
    <x v="0"/>
    <n v="3"/>
    <s v="Bachelor"/>
    <s v="Medical"/>
    <n v="817"/>
    <n v="3"/>
    <x v="1"/>
    <s v="Male"/>
    <n v="49"/>
    <n v="3"/>
    <s v="High"/>
    <n v="3"/>
    <x v="2"/>
    <x v="7"/>
    <n v="3"/>
    <s v="High"/>
    <x v="1"/>
    <n v="11691"/>
    <n v="25995"/>
    <n v="0"/>
    <x v="1"/>
    <n v="11"/>
    <n v="3"/>
    <s v="Excellent"/>
    <n v="4"/>
    <s v="Very High"/>
    <n v="0"/>
    <n v="14"/>
    <n v="3"/>
    <n v="4"/>
    <s v="Very High"/>
    <n v="13"/>
    <n v="9"/>
    <n v="3"/>
    <n v="7"/>
  </r>
  <r>
    <n v="33"/>
    <x v="2"/>
    <x v="0"/>
    <x v="0"/>
    <n v="118"/>
    <x v="0"/>
    <n v="16"/>
    <x v="2"/>
    <n v="3"/>
    <s v="Bachelor"/>
    <s v="Marketing"/>
    <n v="819"/>
    <n v="1"/>
    <x v="2"/>
    <s v="Female"/>
    <n v="69"/>
    <n v="3"/>
    <s v="High"/>
    <n v="2"/>
    <x v="0"/>
    <x v="0"/>
    <n v="1"/>
    <s v="Low"/>
    <x v="0"/>
    <n v="5324"/>
    <n v="26507"/>
    <n v="5"/>
    <x v="1"/>
    <n v="15"/>
    <n v="3"/>
    <s v="Excellent"/>
    <n v="3"/>
    <s v="High"/>
    <n v="0"/>
    <n v="6"/>
    <n v="3"/>
    <n v="3"/>
    <s v="High"/>
    <n v="3"/>
    <n v="2"/>
    <n v="0"/>
    <n v="2"/>
  </r>
  <r>
    <n v="47"/>
    <x v="1"/>
    <x v="1"/>
    <x v="0"/>
    <n v="202"/>
    <x v="1"/>
    <n v="2"/>
    <x v="0"/>
    <n v="2"/>
    <s v="College"/>
    <s v="Other"/>
    <n v="820"/>
    <n v="3"/>
    <x v="1"/>
    <s v="Female"/>
    <n v="33"/>
    <n v="3"/>
    <s v="High"/>
    <n v="4"/>
    <x v="3"/>
    <x v="5"/>
    <n v="4"/>
    <s v="Very High"/>
    <x v="1"/>
    <n v="16752"/>
    <n v="12982"/>
    <n v="1"/>
    <x v="0"/>
    <n v="11"/>
    <n v="3"/>
    <s v="Excellent"/>
    <n v="3"/>
    <s v="High"/>
    <n v="1"/>
    <n v="26"/>
    <n v="3"/>
    <n v="2"/>
    <s v="Medium"/>
    <n v="26"/>
    <n v="14"/>
    <n v="3"/>
    <n v="0"/>
  </r>
  <r>
    <n v="36"/>
    <x v="0"/>
    <x v="1"/>
    <x v="0"/>
    <n v="676"/>
    <x v="1"/>
    <n v="1"/>
    <x v="0"/>
    <n v="3"/>
    <s v="Bachelor"/>
    <s v="Other"/>
    <n v="823"/>
    <n v="3"/>
    <x v="1"/>
    <s v="Female"/>
    <n v="35"/>
    <n v="3"/>
    <s v="High"/>
    <n v="2"/>
    <x v="0"/>
    <x v="3"/>
    <n v="2"/>
    <s v="Medium"/>
    <x v="1"/>
    <n v="5228"/>
    <n v="23361"/>
    <n v="0"/>
    <x v="1"/>
    <n v="15"/>
    <n v="3"/>
    <s v="Excellent"/>
    <n v="1"/>
    <s v="Low"/>
    <n v="1"/>
    <n v="10"/>
    <n v="2"/>
    <n v="3"/>
    <s v="High"/>
    <n v="9"/>
    <n v="7"/>
    <n v="0"/>
    <n v="5"/>
  </r>
  <r>
    <n v="29"/>
    <x v="2"/>
    <x v="1"/>
    <x v="0"/>
    <n v="1252"/>
    <x v="1"/>
    <n v="23"/>
    <x v="1"/>
    <n v="2"/>
    <s v="College"/>
    <s v="Life Sciences"/>
    <n v="824"/>
    <n v="3"/>
    <x v="1"/>
    <s v="Male"/>
    <n v="81"/>
    <n v="4"/>
    <s v="Very High"/>
    <n v="1"/>
    <x v="1"/>
    <x v="1"/>
    <n v="3"/>
    <s v="High"/>
    <x v="1"/>
    <n v="2700"/>
    <n v="23779"/>
    <n v="1"/>
    <x v="1"/>
    <n v="24"/>
    <n v="4"/>
    <s v="Outstanding"/>
    <n v="3"/>
    <s v="High"/>
    <n v="1"/>
    <n v="10"/>
    <n v="3"/>
    <n v="3"/>
    <s v="High"/>
    <n v="10"/>
    <n v="7"/>
    <n v="0"/>
    <n v="7"/>
  </r>
  <r>
    <n v="58"/>
    <x v="3"/>
    <x v="0"/>
    <x v="0"/>
    <n v="286"/>
    <x v="1"/>
    <n v="2"/>
    <x v="0"/>
    <n v="4"/>
    <s v="Master"/>
    <s v="Life Sciences"/>
    <n v="825"/>
    <n v="4"/>
    <x v="3"/>
    <s v="Male"/>
    <n v="31"/>
    <n v="3"/>
    <s v="High"/>
    <n v="5"/>
    <x v="4"/>
    <x v="7"/>
    <n v="2"/>
    <s v="Medium"/>
    <x v="0"/>
    <n v="19246"/>
    <n v="25761"/>
    <n v="7"/>
    <x v="0"/>
    <n v="12"/>
    <n v="3"/>
    <s v="Excellent"/>
    <n v="4"/>
    <s v="Very High"/>
    <n v="0"/>
    <n v="40"/>
    <n v="2"/>
    <n v="3"/>
    <s v="High"/>
    <n v="31"/>
    <n v="15"/>
    <n v="13"/>
    <n v="8"/>
  </r>
  <r>
    <n v="35"/>
    <x v="2"/>
    <x v="1"/>
    <x v="0"/>
    <n v="1258"/>
    <x v="1"/>
    <n v="1"/>
    <x v="0"/>
    <n v="4"/>
    <s v="Master"/>
    <s v="Life Sciences"/>
    <n v="826"/>
    <n v="4"/>
    <x v="3"/>
    <s v="Female"/>
    <n v="40"/>
    <n v="4"/>
    <s v="Very High"/>
    <n v="1"/>
    <x v="1"/>
    <x v="1"/>
    <n v="3"/>
    <s v="High"/>
    <x v="0"/>
    <n v="2506"/>
    <n v="13301"/>
    <n v="3"/>
    <x v="1"/>
    <n v="13"/>
    <n v="3"/>
    <s v="Excellent"/>
    <n v="3"/>
    <s v="High"/>
    <n v="0"/>
    <n v="7"/>
    <n v="0"/>
    <n v="3"/>
    <s v="High"/>
    <n v="2"/>
    <n v="2"/>
    <n v="2"/>
    <n v="2"/>
  </r>
  <r>
    <n v="42"/>
    <x v="0"/>
    <x v="1"/>
    <x v="0"/>
    <n v="932"/>
    <x v="1"/>
    <n v="1"/>
    <x v="0"/>
    <n v="2"/>
    <s v="College"/>
    <s v="Life Sciences"/>
    <n v="827"/>
    <n v="4"/>
    <x v="3"/>
    <s v="Female"/>
    <n v="43"/>
    <n v="2"/>
    <s v="Medium"/>
    <n v="2"/>
    <x v="0"/>
    <x v="3"/>
    <n v="4"/>
    <s v="Very High"/>
    <x v="1"/>
    <n v="6062"/>
    <n v="4051"/>
    <n v="9"/>
    <x v="0"/>
    <n v="13"/>
    <n v="3"/>
    <s v="Excellent"/>
    <n v="4"/>
    <s v="Very High"/>
    <n v="1"/>
    <n v="8"/>
    <n v="4"/>
    <n v="3"/>
    <s v="High"/>
    <n v="4"/>
    <n v="3"/>
    <n v="0"/>
    <n v="2"/>
  </r>
  <r>
    <n v="28"/>
    <x v="2"/>
    <x v="0"/>
    <x v="0"/>
    <n v="890"/>
    <x v="1"/>
    <n v="2"/>
    <x v="0"/>
    <n v="4"/>
    <s v="Master"/>
    <s v="Medical"/>
    <n v="828"/>
    <n v="3"/>
    <x v="1"/>
    <s v="Male"/>
    <n v="46"/>
    <n v="3"/>
    <s v="High"/>
    <n v="1"/>
    <x v="1"/>
    <x v="1"/>
    <n v="3"/>
    <s v="High"/>
    <x v="0"/>
    <n v="4382"/>
    <n v="16374"/>
    <n v="6"/>
    <x v="1"/>
    <n v="17"/>
    <n v="3"/>
    <s v="Excellent"/>
    <n v="4"/>
    <s v="Very High"/>
    <n v="0"/>
    <n v="5"/>
    <n v="3"/>
    <n v="2"/>
    <s v="Medium"/>
    <n v="2"/>
    <n v="2"/>
    <n v="2"/>
    <n v="1"/>
  </r>
  <r>
    <n v="36"/>
    <x v="0"/>
    <x v="1"/>
    <x v="0"/>
    <n v="1041"/>
    <x v="2"/>
    <n v="13"/>
    <x v="2"/>
    <n v="3"/>
    <s v="Bachelor"/>
    <s v="Human Resources"/>
    <n v="829"/>
    <n v="3"/>
    <x v="1"/>
    <s v="Male"/>
    <n v="36"/>
    <n v="3"/>
    <s v="High"/>
    <n v="1"/>
    <x v="1"/>
    <x v="8"/>
    <n v="2"/>
    <s v="Medium"/>
    <x v="1"/>
    <n v="2143"/>
    <n v="25527"/>
    <n v="4"/>
    <x v="1"/>
    <n v="13"/>
    <n v="3"/>
    <s v="Excellent"/>
    <n v="2"/>
    <s v="Medium"/>
    <n v="1"/>
    <n v="8"/>
    <n v="2"/>
    <n v="3"/>
    <s v="High"/>
    <n v="5"/>
    <n v="2"/>
    <n v="0"/>
    <n v="4"/>
  </r>
  <r>
    <n v="32"/>
    <x v="2"/>
    <x v="1"/>
    <x v="0"/>
    <n v="859"/>
    <x v="1"/>
    <n v="4"/>
    <x v="0"/>
    <n v="3"/>
    <s v="Bachelor"/>
    <s v="Life Sciences"/>
    <n v="830"/>
    <n v="3"/>
    <x v="1"/>
    <s v="Female"/>
    <n v="98"/>
    <n v="2"/>
    <s v="Medium"/>
    <n v="2"/>
    <x v="0"/>
    <x v="3"/>
    <n v="3"/>
    <s v="High"/>
    <x v="1"/>
    <n v="6162"/>
    <n v="19124"/>
    <n v="1"/>
    <x v="1"/>
    <n v="12"/>
    <n v="3"/>
    <s v="Excellent"/>
    <n v="3"/>
    <s v="High"/>
    <n v="1"/>
    <n v="14"/>
    <n v="3"/>
    <n v="3"/>
    <s v="High"/>
    <n v="14"/>
    <n v="13"/>
    <n v="6"/>
    <n v="8"/>
  </r>
  <r>
    <n v="40"/>
    <x v="0"/>
    <x v="1"/>
    <x v="1"/>
    <n v="720"/>
    <x v="1"/>
    <n v="16"/>
    <x v="2"/>
    <n v="4"/>
    <s v="Master"/>
    <s v="Medical"/>
    <n v="832"/>
    <n v="1"/>
    <x v="2"/>
    <s v="Male"/>
    <n v="51"/>
    <n v="2"/>
    <s v="Medium"/>
    <n v="2"/>
    <x v="0"/>
    <x v="2"/>
    <n v="3"/>
    <s v="High"/>
    <x v="0"/>
    <n v="5094"/>
    <n v="11983"/>
    <n v="6"/>
    <x v="1"/>
    <n v="14"/>
    <n v="3"/>
    <s v="Excellent"/>
    <n v="4"/>
    <s v="Very High"/>
    <n v="0"/>
    <n v="10"/>
    <n v="6"/>
    <n v="3"/>
    <s v="High"/>
    <n v="1"/>
    <n v="0"/>
    <n v="0"/>
    <n v="0"/>
  </r>
  <r>
    <n v="30"/>
    <x v="2"/>
    <x v="1"/>
    <x v="0"/>
    <n v="946"/>
    <x v="1"/>
    <n v="2"/>
    <x v="0"/>
    <n v="3"/>
    <s v="Bachelor"/>
    <s v="Medical"/>
    <n v="833"/>
    <n v="3"/>
    <x v="1"/>
    <s v="Female"/>
    <n v="52"/>
    <n v="2"/>
    <s v="Medium"/>
    <n v="2"/>
    <x v="0"/>
    <x v="3"/>
    <n v="4"/>
    <s v="Very High"/>
    <x v="0"/>
    <n v="6877"/>
    <n v="20234"/>
    <n v="5"/>
    <x v="0"/>
    <n v="24"/>
    <n v="4"/>
    <s v="Outstanding"/>
    <n v="2"/>
    <s v="Medium"/>
    <n v="0"/>
    <n v="12"/>
    <n v="4"/>
    <n v="2"/>
    <s v="Medium"/>
    <n v="0"/>
    <n v="0"/>
    <n v="0"/>
    <n v="0"/>
  </r>
  <r>
    <n v="45"/>
    <x v="0"/>
    <x v="1"/>
    <x v="0"/>
    <n v="252"/>
    <x v="1"/>
    <n v="2"/>
    <x v="0"/>
    <n v="3"/>
    <s v="Bachelor"/>
    <s v="Life Sciences"/>
    <n v="834"/>
    <n v="2"/>
    <x v="0"/>
    <s v="Female"/>
    <n v="95"/>
    <n v="2"/>
    <s v="Medium"/>
    <n v="1"/>
    <x v="1"/>
    <x v="1"/>
    <n v="3"/>
    <s v="High"/>
    <x v="0"/>
    <n v="2274"/>
    <n v="6153"/>
    <n v="1"/>
    <x v="1"/>
    <n v="14"/>
    <n v="3"/>
    <s v="Excellent"/>
    <n v="4"/>
    <s v="Very High"/>
    <n v="0"/>
    <n v="1"/>
    <n v="3"/>
    <n v="3"/>
    <s v="High"/>
    <n v="1"/>
    <n v="0"/>
    <n v="0"/>
    <n v="0"/>
  </r>
  <r>
    <n v="42"/>
    <x v="0"/>
    <x v="1"/>
    <x v="0"/>
    <n v="933"/>
    <x v="1"/>
    <n v="29"/>
    <x v="1"/>
    <n v="3"/>
    <s v="Bachelor"/>
    <s v="Life Sciences"/>
    <n v="836"/>
    <n v="2"/>
    <x v="0"/>
    <s v="Male"/>
    <n v="98"/>
    <n v="3"/>
    <s v="High"/>
    <n v="2"/>
    <x v="0"/>
    <x v="3"/>
    <n v="2"/>
    <s v="Medium"/>
    <x v="1"/>
    <n v="4434"/>
    <n v="11806"/>
    <n v="1"/>
    <x v="1"/>
    <n v="13"/>
    <n v="3"/>
    <s v="Excellent"/>
    <n v="4"/>
    <s v="Very High"/>
    <n v="1"/>
    <n v="10"/>
    <n v="3"/>
    <n v="2"/>
    <s v="Medium"/>
    <n v="9"/>
    <n v="8"/>
    <n v="7"/>
    <n v="8"/>
  </r>
  <r>
    <n v="38"/>
    <x v="0"/>
    <x v="1"/>
    <x v="1"/>
    <n v="471"/>
    <x v="1"/>
    <n v="12"/>
    <x v="2"/>
    <n v="3"/>
    <s v="Bachelor"/>
    <s v="Life Sciences"/>
    <n v="837"/>
    <n v="1"/>
    <x v="2"/>
    <s v="Male"/>
    <n v="45"/>
    <n v="2"/>
    <s v="Medium"/>
    <n v="2"/>
    <x v="0"/>
    <x v="4"/>
    <n v="1"/>
    <s v="Low"/>
    <x v="2"/>
    <n v="6288"/>
    <n v="4284"/>
    <n v="2"/>
    <x v="1"/>
    <n v="15"/>
    <n v="3"/>
    <s v="Excellent"/>
    <n v="3"/>
    <s v="High"/>
    <n v="1"/>
    <n v="13"/>
    <n v="3"/>
    <n v="2"/>
    <s v="Medium"/>
    <n v="4"/>
    <n v="3"/>
    <n v="1"/>
    <n v="2"/>
  </r>
  <r>
    <n v="34"/>
    <x v="2"/>
    <x v="1"/>
    <x v="1"/>
    <n v="702"/>
    <x v="1"/>
    <n v="16"/>
    <x v="2"/>
    <n v="4"/>
    <s v="Master"/>
    <s v="Life Sciences"/>
    <n v="838"/>
    <n v="3"/>
    <x v="1"/>
    <s v="Female"/>
    <n v="100"/>
    <n v="2"/>
    <s v="Medium"/>
    <n v="1"/>
    <x v="1"/>
    <x v="1"/>
    <n v="4"/>
    <s v="Very High"/>
    <x v="0"/>
    <n v="2553"/>
    <n v="8306"/>
    <n v="1"/>
    <x v="1"/>
    <n v="16"/>
    <n v="3"/>
    <s v="Excellent"/>
    <n v="3"/>
    <s v="High"/>
    <n v="0"/>
    <n v="6"/>
    <n v="3"/>
    <n v="3"/>
    <s v="High"/>
    <n v="5"/>
    <n v="2"/>
    <n v="1"/>
    <n v="3"/>
  </r>
  <r>
    <n v="49"/>
    <x v="1"/>
    <x v="0"/>
    <x v="0"/>
    <n v="1184"/>
    <x v="0"/>
    <n v="11"/>
    <x v="2"/>
    <n v="3"/>
    <s v="Bachelor"/>
    <s v="Marketing"/>
    <n v="840"/>
    <n v="3"/>
    <x v="1"/>
    <s v="Female"/>
    <n v="43"/>
    <n v="3"/>
    <s v="High"/>
    <n v="3"/>
    <x v="2"/>
    <x v="0"/>
    <n v="4"/>
    <s v="Very High"/>
    <x v="1"/>
    <n v="7654"/>
    <n v="5860"/>
    <n v="1"/>
    <x v="1"/>
    <n v="18"/>
    <n v="3"/>
    <s v="Excellent"/>
    <n v="1"/>
    <s v="Low"/>
    <n v="2"/>
    <n v="9"/>
    <n v="3"/>
    <n v="4"/>
    <s v="Very High"/>
    <n v="9"/>
    <n v="8"/>
    <n v="7"/>
    <n v="7"/>
  </r>
  <r>
    <n v="55"/>
    <x v="1"/>
    <x v="0"/>
    <x v="0"/>
    <n v="436"/>
    <x v="0"/>
    <n v="2"/>
    <x v="0"/>
    <n v="1"/>
    <s v="Below College"/>
    <s v="Medical"/>
    <n v="842"/>
    <n v="3"/>
    <x v="1"/>
    <s v="Male"/>
    <n v="37"/>
    <n v="3"/>
    <s v="High"/>
    <n v="2"/>
    <x v="0"/>
    <x v="0"/>
    <n v="4"/>
    <s v="Very High"/>
    <x v="0"/>
    <n v="5160"/>
    <n v="21519"/>
    <n v="4"/>
    <x v="1"/>
    <n v="16"/>
    <n v="3"/>
    <s v="Excellent"/>
    <n v="3"/>
    <s v="High"/>
    <n v="0"/>
    <n v="12"/>
    <n v="3"/>
    <n v="2"/>
    <s v="Medium"/>
    <n v="9"/>
    <n v="7"/>
    <n v="7"/>
    <n v="3"/>
  </r>
  <r>
    <n v="43"/>
    <x v="0"/>
    <x v="1"/>
    <x v="0"/>
    <n v="589"/>
    <x v="1"/>
    <n v="14"/>
    <x v="2"/>
    <n v="2"/>
    <s v="College"/>
    <s v="Life Sciences"/>
    <n v="843"/>
    <n v="2"/>
    <x v="0"/>
    <s v="Male"/>
    <n v="94"/>
    <n v="3"/>
    <s v="High"/>
    <n v="4"/>
    <x v="3"/>
    <x v="7"/>
    <n v="1"/>
    <s v="Low"/>
    <x v="1"/>
    <n v="17159"/>
    <n v="5200"/>
    <n v="6"/>
    <x v="1"/>
    <n v="24"/>
    <n v="4"/>
    <s v="Outstanding"/>
    <n v="3"/>
    <s v="High"/>
    <n v="1"/>
    <n v="22"/>
    <n v="3"/>
    <n v="3"/>
    <s v="High"/>
    <n v="4"/>
    <n v="1"/>
    <n v="1"/>
    <n v="0"/>
  </r>
  <r>
    <n v="27"/>
    <x v="2"/>
    <x v="1"/>
    <x v="0"/>
    <n v="269"/>
    <x v="1"/>
    <n v="5"/>
    <x v="0"/>
    <n v="1"/>
    <s v="Below College"/>
    <s v="Technical Degree"/>
    <n v="844"/>
    <n v="3"/>
    <x v="1"/>
    <s v="Male"/>
    <n v="42"/>
    <n v="2"/>
    <s v="Medium"/>
    <n v="3"/>
    <x v="2"/>
    <x v="7"/>
    <n v="4"/>
    <s v="Very High"/>
    <x v="2"/>
    <n v="12808"/>
    <n v="8842"/>
    <n v="1"/>
    <x v="0"/>
    <n v="16"/>
    <n v="3"/>
    <s v="Excellent"/>
    <n v="2"/>
    <s v="Medium"/>
    <n v="1"/>
    <n v="9"/>
    <n v="3"/>
    <n v="3"/>
    <s v="High"/>
    <n v="9"/>
    <n v="8"/>
    <n v="0"/>
    <n v="8"/>
  </r>
  <r>
    <n v="35"/>
    <x v="2"/>
    <x v="1"/>
    <x v="0"/>
    <n v="950"/>
    <x v="1"/>
    <n v="7"/>
    <x v="0"/>
    <n v="3"/>
    <s v="Bachelor"/>
    <s v="Other"/>
    <n v="845"/>
    <n v="3"/>
    <x v="1"/>
    <s v="Male"/>
    <n v="59"/>
    <n v="3"/>
    <s v="High"/>
    <n v="3"/>
    <x v="2"/>
    <x v="3"/>
    <n v="3"/>
    <s v="High"/>
    <x v="0"/>
    <n v="10221"/>
    <n v="18869"/>
    <n v="3"/>
    <x v="1"/>
    <n v="21"/>
    <n v="4"/>
    <s v="Outstanding"/>
    <n v="2"/>
    <s v="Medium"/>
    <n v="0"/>
    <n v="17"/>
    <n v="3"/>
    <n v="4"/>
    <s v="Very High"/>
    <n v="8"/>
    <n v="5"/>
    <n v="1"/>
    <n v="6"/>
  </r>
  <r>
    <n v="28"/>
    <x v="2"/>
    <x v="1"/>
    <x v="0"/>
    <n v="760"/>
    <x v="0"/>
    <n v="2"/>
    <x v="0"/>
    <n v="4"/>
    <s v="Master"/>
    <s v="Marketing"/>
    <n v="846"/>
    <n v="2"/>
    <x v="0"/>
    <s v="Female"/>
    <n v="81"/>
    <n v="3"/>
    <s v="High"/>
    <n v="2"/>
    <x v="0"/>
    <x v="0"/>
    <n v="2"/>
    <s v="Medium"/>
    <x v="1"/>
    <n v="4779"/>
    <n v="3698"/>
    <n v="1"/>
    <x v="0"/>
    <n v="20"/>
    <n v="4"/>
    <s v="Outstanding"/>
    <n v="1"/>
    <s v="Low"/>
    <n v="0"/>
    <n v="8"/>
    <n v="2"/>
    <n v="3"/>
    <s v="High"/>
    <n v="8"/>
    <n v="7"/>
    <n v="7"/>
    <n v="5"/>
  </r>
  <r>
    <n v="34"/>
    <x v="2"/>
    <x v="1"/>
    <x v="0"/>
    <n v="829"/>
    <x v="2"/>
    <n v="3"/>
    <x v="0"/>
    <n v="2"/>
    <s v="College"/>
    <s v="Human Resources"/>
    <n v="847"/>
    <n v="3"/>
    <x v="1"/>
    <s v="Male"/>
    <n v="88"/>
    <n v="3"/>
    <s v="High"/>
    <n v="1"/>
    <x v="1"/>
    <x v="8"/>
    <n v="4"/>
    <s v="Very High"/>
    <x v="1"/>
    <n v="3737"/>
    <n v="2243"/>
    <n v="0"/>
    <x v="1"/>
    <n v="19"/>
    <n v="3"/>
    <s v="Excellent"/>
    <n v="3"/>
    <s v="High"/>
    <n v="1"/>
    <n v="4"/>
    <n v="1"/>
    <n v="1"/>
    <s v="Low"/>
    <n v="3"/>
    <n v="2"/>
    <n v="0"/>
    <n v="2"/>
  </r>
  <r>
    <n v="26"/>
    <x v="2"/>
    <x v="0"/>
    <x v="1"/>
    <n v="887"/>
    <x v="1"/>
    <n v="5"/>
    <x v="0"/>
    <n v="2"/>
    <s v="College"/>
    <s v="Medical"/>
    <n v="848"/>
    <n v="3"/>
    <x v="1"/>
    <s v="Female"/>
    <n v="88"/>
    <n v="2"/>
    <s v="Medium"/>
    <n v="1"/>
    <x v="1"/>
    <x v="1"/>
    <n v="3"/>
    <s v="High"/>
    <x v="1"/>
    <n v="2366"/>
    <n v="20898"/>
    <n v="1"/>
    <x v="0"/>
    <n v="14"/>
    <n v="3"/>
    <s v="Excellent"/>
    <n v="1"/>
    <s v="Low"/>
    <n v="1"/>
    <n v="8"/>
    <n v="2"/>
    <n v="3"/>
    <s v="High"/>
    <n v="8"/>
    <n v="7"/>
    <n v="1"/>
    <n v="7"/>
  </r>
  <r>
    <n v="27"/>
    <x v="2"/>
    <x v="1"/>
    <x v="2"/>
    <n v="443"/>
    <x v="1"/>
    <n v="3"/>
    <x v="0"/>
    <n v="3"/>
    <s v="Bachelor"/>
    <s v="Medical"/>
    <n v="850"/>
    <n v="4"/>
    <x v="3"/>
    <s v="Male"/>
    <n v="50"/>
    <n v="3"/>
    <s v="High"/>
    <n v="1"/>
    <x v="1"/>
    <x v="1"/>
    <n v="4"/>
    <s v="Very High"/>
    <x v="1"/>
    <n v="1706"/>
    <n v="16571"/>
    <n v="1"/>
    <x v="1"/>
    <n v="11"/>
    <n v="3"/>
    <s v="Excellent"/>
    <n v="3"/>
    <s v="High"/>
    <n v="3"/>
    <n v="0"/>
    <n v="6"/>
    <n v="2"/>
    <s v="Medium"/>
    <n v="0"/>
    <n v="0"/>
    <n v="0"/>
    <n v="0"/>
  </r>
  <r>
    <n v="51"/>
    <x v="1"/>
    <x v="1"/>
    <x v="0"/>
    <n v="1318"/>
    <x v="0"/>
    <n v="26"/>
    <x v="1"/>
    <n v="4"/>
    <s v="Master"/>
    <s v="Marketing"/>
    <n v="851"/>
    <n v="1"/>
    <x v="2"/>
    <s v="Female"/>
    <n v="66"/>
    <n v="3"/>
    <s v="High"/>
    <n v="4"/>
    <x v="3"/>
    <x v="5"/>
    <n v="3"/>
    <s v="High"/>
    <x v="1"/>
    <n v="16307"/>
    <n v="5594"/>
    <n v="2"/>
    <x v="1"/>
    <n v="14"/>
    <n v="3"/>
    <s v="Excellent"/>
    <n v="3"/>
    <s v="High"/>
    <n v="1"/>
    <n v="29"/>
    <n v="2"/>
    <n v="2"/>
    <s v="Medium"/>
    <n v="20"/>
    <n v="6"/>
    <n v="4"/>
    <n v="17"/>
  </r>
  <r>
    <n v="44"/>
    <x v="0"/>
    <x v="1"/>
    <x v="0"/>
    <n v="625"/>
    <x v="1"/>
    <n v="4"/>
    <x v="0"/>
    <n v="3"/>
    <s v="Bachelor"/>
    <s v="Medical"/>
    <n v="852"/>
    <n v="4"/>
    <x v="3"/>
    <s v="Male"/>
    <n v="50"/>
    <n v="3"/>
    <s v="High"/>
    <n v="2"/>
    <x v="0"/>
    <x v="4"/>
    <n v="2"/>
    <s v="Medium"/>
    <x v="0"/>
    <n v="5933"/>
    <n v="5197"/>
    <n v="9"/>
    <x v="1"/>
    <n v="12"/>
    <n v="3"/>
    <s v="Excellent"/>
    <n v="4"/>
    <s v="Very High"/>
    <n v="0"/>
    <n v="10"/>
    <n v="2"/>
    <n v="2"/>
    <s v="Medium"/>
    <n v="5"/>
    <n v="2"/>
    <n v="2"/>
    <n v="3"/>
  </r>
  <r>
    <n v="25"/>
    <x v="4"/>
    <x v="1"/>
    <x v="0"/>
    <n v="180"/>
    <x v="1"/>
    <n v="2"/>
    <x v="0"/>
    <n v="1"/>
    <s v="Below College"/>
    <s v="Medical"/>
    <n v="854"/>
    <n v="1"/>
    <x v="2"/>
    <s v="Male"/>
    <n v="65"/>
    <n v="4"/>
    <s v="Very High"/>
    <n v="1"/>
    <x v="1"/>
    <x v="1"/>
    <n v="1"/>
    <s v="Low"/>
    <x v="0"/>
    <n v="3424"/>
    <n v="21632"/>
    <n v="7"/>
    <x v="1"/>
    <n v="13"/>
    <n v="3"/>
    <s v="Excellent"/>
    <n v="3"/>
    <s v="High"/>
    <n v="0"/>
    <n v="6"/>
    <n v="3"/>
    <n v="2"/>
    <s v="Medium"/>
    <n v="4"/>
    <n v="3"/>
    <n v="0"/>
    <n v="1"/>
  </r>
  <r>
    <n v="33"/>
    <x v="2"/>
    <x v="1"/>
    <x v="0"/>
    <n v="586"/>
    <x v="0"/>
    <n v="1"/>
    <x v="0"/>
    <n v="3"/>
    <s v="Bachelor"/>
    <s v="Medical"/>
    <n v="855"/>
    <n v="1"/>
    <x v="2"/>
    <s v="Male"/>
    <n v="48"/>
    <n v="4"/>
    <s v="Very High"/>
    <n v="2"/>
    <x v="0"/>
    <x v="0"/>
    <n v="1"/>
    <s v="Low"/>
    <x v="2"/>
    <n v="4037"/>
    <n v="21816"/>
    <n v="1"/>
    <x v="1"/>
    <n v="22"/>
    <n v="4"/>
    <s v="Outstanding"/>
    <n v="1"/>
    <s v="Low"/>
    <n v="1"/>
    <n v="9"/>
    <n v="5"/>
    <n v="3"/>
    <s v="High"/>
    <n v="9"/>
    <n v="8"/>
    <n v="0"/>
    <n v="8"/>
  </r>
  <r>
    <n v="35"/>
    <x v="2"/>
    <x v="1"/>
    <x v="0"/>
    <n v="1343"/>
    <x v="1"/>
    <n v="27"/>
    <x v="1"/>
    <n v="1"/>
    <s v="Below College"/>
    <s v="Medical"/>
    <n v="856"/>
    <n v="3"/>
    <x v="1"/>
    <s v="Female"/>
    <n v="53"/>
    <n v="2"/>
    <s v="Medium"/>
    <n v="1"/>
    <x v="1"/>
    <x v="1"/>
    <n v="1"/>
    <s v="Low"/>
    <x v="0"/>
    <n v="2559"/>
    <n v="17852"/>
    <n v="1"/>
    <x v="1"/>
    <n v="11"/>
    <n v="3"/>
    <s v="Excellent"/>
    <n v="4"/>
    <s v="Very High"/>
    <n v="0"/>
    <n v="6"/>
    <n v="3"/>
    <n v="2"/>
    <s v="Medium"/>
    <n v="6"/>
    <n v="5"/>
    <n v="1"/>
    <n v="1"/>
  </r>
  <r>
    <n v="36"/>
    <x v="0"/>
    <x v="1"/>
    <x v="0"/>
    <n v="928"/>
    <x v="0"/>
    <n v="1"/>
    <x v="0"/>
    <n v="2"/>
    <s v="College"/>
    <s v="Life Sciences"/>
    <n v="857"/>
    <n v="2"/>
    <x v="0"/>
    <s v="Male"/>
    <n v="56"/>
    <n v="3"/>
    <s v="High"/>
    <n v="2"/>
    <x v="0"/>
    <x v="0"/>
    <n v="4"/>
    <s v="Very High"/>
    <x v="1"/>
    <n v="6201"/>
    <n v="2823"/>
    <n v="1"/>
    <x v="0"/>
    <n v="14"/>
    <n v="3"/>
    <s v="Excellent"/>
    <n v="4"/>
    <s v="Very High"/>
    <n v="1"/>
    <n v="18"/>
    <n v="1"/>
    <n v="2"/>
    <s v="Medium"/>
    <n v="18"/>
    <n v="14"/>
    <n v="4"/>
    <n v="11"/>
  </r>
  <r>
    <n v="32"/>
    <x v="2"/>
    <x v="1"/>
    <x v="0"/>
    <n v="117"/>
    <x v="0"/>
    <n v="13"/>
    <x v="2"/>
    <n v="4"/>
    <s v="Master"/>
    <s v="Life Sciences"/>
    <n v="859"/>
    <n v="2"/>
    <x v="0"/>
    <s v="Male"/>
    <n v="73"/>
    <n v="3"/>
    <s v="High"/>
    <n v="2"/>
    <x v="0"/>
    <x v="0"/>
    <n v="4"/>
    <s v="Very High"/>
    <x v="2"/>
    <n v="4403"/>
    <n v="9250"/>
    <n v="2"/>
    <x v="1"/>
    <n v="11"/>
    <n v="3"/>
    <s v="Excellent"/>
    <n v="3"/>
    <s v="High"/>
    <n v="1"/>
    <n v="8"/>
    <n v="3"/>
    <n v="2"/>
    <s v="Medium"/>
    <n v="5"/>
    <n v="2"/>
    <n v="0"/>
    <n v="3"/>
  </r>
  <r>
    <n v="30"/>
    <x v="2"/>
    <x v="1"/>
    <x v="1"/>
    <n v="1012"/>
    <x v="1"/>
    <n v="5"/>
    <x v="0"/>
    <n v="4"/>
    <s v="Master"/>
    <s v="Life Sciences"/>
    <n v="861"/>
    <n v="2"/>
    <x v="0"/>
    <s v="Male"/>
    <n v="75"/>
    <n v="2"/>
    <s v="Medium"/>
    <n v="1"/>
    <x v="1"/>
    <x v="1"/>
    <n v="4"/>
    <s v="Very High"/>
    <x v="2"/>
    <n v="3761"/>
    <n v="2373"/>
    <n v="9"/>
    <x v="1"/>
    <n v="12"/>
    <n v="3"/>
    <s v="Excellent"/>
    <n v="2"/>
    <s v="Medium"/>
    <n v="1"/>
    <n v="10"/>
    <n v="3"/>
    <n v="2"/>
    <s v="Medium"/>
    <n v="5"/>
    <n v="4"/>
    <n v="0"/>
    <n v="3"/>
  </r>
  <r>
    <n v="53"/>
    <x v="1"/>
    <x v="1"/>
    <x v="0"/>
    <n v="661"/>
    <x v="0"/>
    <n v="7"/>
    <x v="0"/>
    <n v="2"/>
    <s v="College"/>
    <s v="Marketing"/>
    <n v="862"/>
    <n v="1"/>
    <x v="2"/>
    <s v="Female"/>
    <n v="78"/>
    <n v="2"/>
    <s v="Medium"/>
    <n v="3"/>
    <x v="2"/>
    <x v="0"/>
    <n v="4"/>
    <s v="Very High"/>
    <x v="1"/>
    <n v="10934"/>
    <n v="20715"/>
    <n v="7"/>
    <x v="0"/>
    <n v="18"/>
    <n v="3"/>
    <s v="Excellent"/>
    <n v="4"/>
    <s v="Very High"/>
    <n v="1"/>
    <n v="35"/>
    <n v="3"/>
    <n v="3"/>
    <s v="High"/>
    <n v="5"/>
    <n v="2"/>
    <n v="0"/>
    <n v="4"/>
  </r>
  <r>
    <n v="45"/>
    <x v="0"/>
    <x v="1"/>
    <x v="0"/>
    <n v="930"/>
    <x v="0"/>
    <n v="9"/>
    <x v="0"/>
    <n v="3"/>
    <s v="Bachelor"/>
    <s v="Marketing"/>
    <n v="864"/>
    <n v="4"/>
    <x v="3"/>
    <s v="Male"/>
    <n v="74"/>
    <n v="3"/>
    <s v="High"/>
    <n v="3"/>
    <x v="2"/>
    <x v="0"/>
    <n v="1"/>
    <s v="Low"/>
    <x v="2"/>
    <n v="10761"/>
    <n v="19239"/>
    <n v="4"/>
    <x v="0"/>
    <n v="12"/>
    <n v="3"/>
    <s v="Excellent"/>
    <n v="3"/>
    <s v="High"/>
    <n v="1"/>
    <n v="18"/>
    <n v="2"/>
    <n v="3"/>
    <s v="High"/>
    <n v="5"/>
    <n v="4"/>
    <n v="0"/>
    <n v="2"/>
  </r>
  <r>
    <n v="32"/>
    <x v="2"/>
    <x v="1"/>
    <x v="0"/>
    <n v="638"/>
    <x v="1"/>
    <n v="8"/>
    <x v="0"/>
    <n v="2"/>
    <s v="College"/>
    <s v="Medical"/>
    <n v="865"/>
    <n v="3"/>
    <x v="1"/>
    <s v="Female"/>
    <n v="91"/>
    <n v="4"/>
    <s v="Very High"/>
    <n v="2"/>
    <x v="0"/>
    <x v="1"/>
    <n v="3"/>
    <s v="High"/>
    <x v="1"/>
    <n v="5175"/>
    <n v="22162"/>
    <n v="5"/>
    <x v="1"/>
    <n v="12"/>
    <n v="3"/>
    <s v="Excellent"/>
    <n v="3"/>
    <s v="High"/>
    <n v="1"/>
    <n v="9"/>
    <n v="3"/>
    <n v="2"/>
    <s v="Medium"/>
    <n v="5"/>
    <n v="3"/>
    <n v="1"/>
    <n v="3"/>
  </r>
  <r>
    <n v="52"/>
    <x v="1"/>
    <x v="1"/>
    <x v="1"/>
    <n v="890"/>
    <x v="1"/>
    <n v="25"/>
    <x v="1"/>
    <n v="4"/>
    <s v="Master"/>
    <s v="Medical"/>
    <n v="867"/>
    <n v="3"/>
    <x v="1"/>
    <s v="Female"/>
    <n v="81"/>
    <n v="2"/>
    <s v="Medium"/>
    <n v="4"/>
    <x v="3"/>
    <x v="3"/>
    <n v="4"/>
    <s v="Very High"/>
    <x v="1"/>
    <n v="13826"/>
    <n v="19028"/>
    <n v="3"/>
    <x v="1"/>
    <n v="22"/>
    <n v="4"/>
    <s v="Outstanding"/>
    <n v="3"/>
    <s v="High"/>
    <n v="0"/>
    <n v="31"/>
    <n v="3"/>
    <n v="3"/>
    <s v="High"/>
    <n v="9"/>
    <n v="8"/>
    <n v="0"/>
    <n v="0"/>
  </r>
  <r>
    <n v="37"/>
    <x v="0"/>
    <x v="1"/>
    <x v="0"/>
    <n v="342"/>
    <x v="0"/>
    <n v="16"/>
    <x v="2"/>
    <n v="4"/>
    <s v="Master"/>
    <s v="Marketing"/>
    <n v="868"/>
    <n v="4"/>
    <x v="3"/>
    <s v="Male"/>
    <n v="66"/>
    <n v="2"/>
    <s v="Medium"/>
    <n v="2"/>
    <x v="0"/>
    <x v="0"/>
    <n v="3"/>
    <s v="High"/>
    <x v="2"/>
    <n v="6334"/>
    <n v="24558"/>
    <n v="4"/>
    <x v="1"/>
    <n v="19"/>
    <n v="3"/>
    <s v="Excellent"/>
    <n v="4"/>
    <s v="Very High"/>
    <n v="2"/>
    <n v="9"/>
    <n v="2"/>
    <n v="3"/>
    <s v="High"/>
    <n v="1"/>
    <n v="0"/>
    <n v="0"/>
    <n v="0"/>
  </r>
  <r>
    <n v="28"/>
    <x v="2"/>
    <x v="1"/>
    <x v="0"/>
    <n v="1169"/>
    <x v="2"/>
    <n v="8"/>
    <x v="0"/>
    <n v="2"/>
    <s v="College"/>
    <s v="Medical"/>
    <n v="869"/>
    <n v="2"/>
    <x v="0"/>
    <s v="Male"/>
    <n v="63"/>
    <n v="2"/>
    <s v="Medium"/>
    <n v="1"/>
    <x v="1"/>
    <x v="8"/>
    <n v="4"/>
    <s v="Very High"/>
    <x v="2"/>
    <n v="4936"/>
    <n v="23965"/>
    <n v="1"/>
    <x v="1"/>
    <n v="13"/>
    <n v="3"/>
    <s v="Excellent"/>
    <n v="4"/>
    <s v="Very High"/>
    <n v="1"/>
    <n v="6"/>
    <n v="6"/>
    <n v="3"/>
    <s v="High"/>
    <n v="5"/>
    <n v="1"/>
    <n v="0"/>
    <n v="4"/>
  </r>
  <r>
    <n v="22"/>
    <x v="4"/>
    <x v="1"/>
    <x v="0"/>
    <n v="1230"/>
    <x v="1"/>
    <n v="1"/>
    <x v="0"/>
    <n v="2"/>
    <s v="College"/>
    <s v="Life Sciences"/>
    <n v="872"/>
    <n v="4"/>
    <x v="3"/>
    <s v="Male"/>
    <n v="33"/>
    <n v="2"/>
    <s v="Medium"/>
    <n v="2"/>
    <x v="0"/>
    <x v="3"/>
    <n v="4"/>
    <s v="Very High"/>
    <x v="1"/>
    <n v="4775"/>
    <n v="19146"/>
    <n v="6"/>
    <x v="1"/>
    <n v="22"/>
    <n v="4"/>
    <s v="Outstanding"/>
    <n v="1"/>
    <s v="Low"/>
    <n v="2"/>
    <n v="4"/>
    <n v="2"/>
    <n v="1"/>
    <s v="Low"/>
    <n v="2"/>
    <n v="2"/>
    <n v="2"/>
    <n v="2"/>
  </r>
  <r>
    <n v="44"/>
    <x v="0"/>
    <x v="1"/>
    <x v="0"/>
    <n v="986"/>
    <x v="1"/>
    <n v="8"/>
    <x v="0"/>
    <n v="4"/>
    <s v="Master"/>
    <s v="Life Sciences"/>
    <n v="874"/>
    <n v="1"/>
    <x v="2"/>
    <s v="Male"/>
    <n v="62"/>
    <n v="4"/>
    <s v="Very High"/>
    <n v="1"/>
    <x v="1"/>
    <x v="2"/>
    <n v="4"/>
    <s v="Very High"/>
    <x v="1"/>
    <n v="2818"/>
    <n v="5044"/>
    <n v="2"/>
    <x v="0"/>
    <n v="24"/>
    <n v="4"/>
    <s v="Outstanding"/>
    <n v="3"/>
    <s v="High"/>
    <n v="1"/>
    <n v="10"/>
    <n v="2"/>
    <n v="2"/>
    <s v="Medium"/>
    <n v="3"/>
    <n v="2"/>
    <n v="0"/>
    <n v="2"/>
  </r>
  <r>
    <n v="42"/>
    <x v="0"/>
    <x v="1"/>
    <x v="1"/>
    <n v="1271"/>
    <x v="1"/>
    <n v="2"/>
    <x v="0"/>
    <n v="1"/>
    <s v="Below College"/>
    <s v="Medical"/>
    <n v="875"/>
    <n v="2"/>
    <x v="0"/>
    <s v="Male"/>
    <n v="35"/>
    <n v="3"/>
    <s v="High"/>
    <n v="1"/>
    <x v="1"/>
    <x v="1"/>
    <n v="4"/>
    <s v="Very High"/>
    <x v="0"/>
    <n v="2515"/>
    <n v="9068"/>
    <n v="5"/>
    <x v="0"/>
    <n v="14"/>
    <n v="3"/>
    <s v="Excellent"/>
    <n v="4"/>
    <s v="Very High"/>
    <n v="0"/>
    <n v="8"/>
    <n v="2"/>
    <n v="3"/>
    <s v="High"/>
    <n v="2"/>
    <n v="1"/>
    <n v="2"/>
    <n v="2"/>
  </r>
  <r>
    <n v="36"/>
    <x v="0"/>
    <x v="1"/>
    <x v="0"/>
    <n v="1278"/>
    <x v="2"/>
    <n v="8"/>
    <x v="0"/>
    <n v="3"/>
    <s v="Bachelor"/>
    <s v="Life Sciences"/>
    <n v="878"/>
    <n v="1"/>
    <x v="2"/>
    <s v="Male"/>
    <n v="77"/>
    <n v="2"/>
    <s v="Medium"/>
    <n v="1"/>
    <x v="1"/>
    <x v="8"/>
    <n v="1"/>
    <s v="Low"/>
    <x v="1"/>
    <n v="2342"/>
    <n v="8635"/>
    <n v="0"/>
    <x v="1"/>
    <n v="21"/>
    <n v="4"/>
    <s v="Outstanding"/>
    <n v="3"/>
    <s v="High"/>
    <n v="0"/>
    <n v="6"/>
    <n v="3"/>
    <n v="3"/>
    <s v="High"/>
    <n v="5"/>
    <n v="4"/>
    <n v="0"/>
    <n v="3"/>
  </r>
  <r>
    <n v="25"/>
    <x v="4"/>
    <x v="1"/>
    <x v="0"/>
    <n v="141"/>
    <x v="0"/>
    <n v="3"/>
    <x v="0"/>
    <n v="1"/>
    <s v="Below College"/>
    <s v="Other"/>
    <n v="879"/>
    <n v="3"/>
    <x v="1"/>
    <s v="Male"/>
    <n v="98"/>
    <n v="3"/>
    <s v="High"/>
    <n v="2"/>
    <x v="0"/>
    <x v="0"/>
    <n v="1"/>
    <s v="Low"/>
    <x v="1"/>
    <n v="4194"/>
    <n v="14363"/>
    <n v="1"/>
    <x v="0"/>
    <n v="18"/>
    <n v="3"/>
    <s v="Excellent"/>
    <n v="4"/>
    <s v="Very High"/>
    <n v="0"/>
    <n v="5"/>
    <n v="3"/>
    <n v="3"/>
    <s v="High"/>
    <n v="5"/>
    <n v="3"/>
    <n v="0"/>
    <n v="3"/>
  </r>
  <r>
    <n v="35"/>
    <x v="2"/>
    <x v="1"/>
    <x v="0"/>
    <n v="607"/>
    <x v="1"/>
    <n v="9"/>
    <x v="0"/>
    <n v="3"/>
    <s v="Bachelor"/>
    <s v="Life Sciences"/>
    <n v="880"/>
    <n v="4"/>
    <x v="3"/>
    <s v="Female"/>
    <n v="66"/>
    <n v="2"/>
    <s v="Medium"/>
    <n v="3"/>
    <x v="2"/>
    <x v="3"/>
    <n v="3"/>
    <s v="High"/>
    <x v="1"/>
    <n v="10685"/>
    <n v="23457"/>
    <n v="1"/>
    <x v="0"/>
    <n v="20"/>
    <n v="4"/>
    <s v="Outstanding"/>
    <n v="2"/>
    <s v="Medium"/>
    <n v="1"/>
    <n v="17"/>
    <n v="2"/>
    <n v="3"/>
    <s v="High"/>
    <n v="17"/>
    <n v="14"/>
    <n v="5"/>
    <n v="15"/>
  </r>
  <r>
    <n v="35"/>
    <x v="2"/>
    <x v="0"/>
    <x v="1"/>
    <n v="130"/>
    <x v="1"/>
    <n v="25"/>
    <x v="1"/>
    <n v="4"/>
    <s v="Master"/>
    <s v="Life Sciences"/>
    <n v="881"/>
    <n v="4"/>
    <x v="3"/>
    <s v="Female"/>
    <n v="96"/>
    <n v="3"/>
    <s v="High"/>
    <n v="1"/>
    <x v="1"/>
    <x v="1"/>
    <n v="2"/>
    <s v="Medium"/>
    <x v="2"/>
    <n v="2022"/>
    <n v="16612"/>
    <n v="1"/>
    <x v="0"/>
    <n v="19"/>
    <n v="3"/>
    <s v="Excellent"/>
    <n v="1"/>
    <s v="Low"/>
    <n v="1"/>
    <n v="10"/>
    <n v="3"/>
    <n v="2"/>
    <s v="Medium"/>
    <n v="10"/>
    <n v="2"/>
    <n v="7"/>
    <n v="8"/>
  </r>
  <r>
    <n v="32"/>
    <x v="2"/>
    <x v="1"/>
    <x v="2"/>
    <n v="300"/>
    <x v="1"/>
    <n v="1"/>
    <x v="0"/>
    <n v="3"/>
    <s v="Bachelor"/>
    <s v="Life Sciences"/>
    <n v="882"/>
    <n v="4"/>
    <x v="3"/>
    <s v="Male"/>
    <n v="61"/>
    <n v="3"/>
    <s v="High"/>
    <n v="1"/>
    <x v="1"/>
    <x v="2"/>
    <n v="4"/>
    <s v="Very High"/>
    <x v="2"/>
    <n v="2314"/>
    <n v="9148"/>
    <n v="0"/>
    <x v="1"/>
    <n v="12"/>
    <n v="3"/>
    <s v="Excellent"/>
    <n v="2"/>
    <s v="Medium"/>
    <n v="1"/>
    <n v="4"/>
    <n v="2"/>
    <n v="3"/>
    <s v="High"/>
    <n v="3"/>
    <n v="0"/>
    <n v="0"/>
    <n v="2"/>
  </r>
  <r>
    <n v="25"/>
    <x v="4"/>
    <x v="1"/>
    <x v="0"/>
    <n v="583"/>
    <x v="0"/>
    <n v="4"/>
    <x v="0"/>
    <n v="1"/>
    <s v="Below College"/>
    <s v="Marketing"/>
    <n v="885"/>
    <n v="3"/>
    <x v="1"/>
    <s v="Male"/>
    <n v="87"/>
    <n v="2"/>
    <s v="Medium"/>
    <n v="2"/>
    <x v="0"/>
    <x v="0"/>
    <n v="1"/>
    <s v="Low"/>
    <x v="1"/>
    <n v="4256"/>
    <n v="18154"/>
    <n v="1"/>
    <x v="1"/>
    <n v="12"/>
    <n v="3"/>
    <s v="Excellent"/>
    <n v="1"/>
    <s v="Low"/>
    <n v="0"/>
    <n v="5"/>
    <n v="1"/>
    <n v="4"/>
    <s v="Very High"/>
    <n v="5"/>
    <n v="2"/>
    <n v="0"/>
    <n v="3"/>
  </r>
  <r>
    <n v="49"/>
    <x v="1"/>
    <x v="1"/>
    <x v="0"/>
    <n v="1418"/>
    <x v="1"/>
    <n v="1"/>
    <x v="0"/>
    <n v="3"/>
    <s v="Bachelor"/>
    <s v="Technical Degree"/>
    <n v="887"/>
    <n v="3"/>
    <x v="1"/>
    <s v="Female"/>
    <n v="36"/>
    <n v="3"/>
    <s v="High"/>
    <n v="1"/>
    <x v="1"/>
    <x v="1"/>
    <n v="1"/>
    <s v="Low"/>
    <x v="1"/>
    <n v="3580"/>
    <n v="10554"/>
    <n v="2"/>
    <x v="1"/>
    <n v="16"/>
    <n v="3"/>
    <s v="Excellent"/>
    <n v="2"/>
    <s v="Medium"/>
    <n v="1"/>
    <n v="7"/>
    <n v="2"/>
    <n v="3"/>
    <s v="High"/>
    <n v="4"/>
    <n v="2"/>
    <n v="0"/>
    <n v="2"/>
  </r>
  <r>
    <n v="24"/>
    <x v="4"/>
    <x v="1"/>
    <x v="2"/>
    <n v="1269"/>
    <x v="1"/>
    <n v="4"/>
    <x v="0"/>
    <n v="1"/>
    <s v="Below College"/>
    <s v="Life Sciences"/>
    <n v="888"/>
    <n v="1"/>
    <x v="2"/>
    <s v="Male"/>
    <n v="46"/>
    <n v="2"/>
    <s v="Medium"/>
    <n v="1"/>
    <x v="1"/>
    <x v="2"/>
    <n v="4"/>
    <s v="Very High"/>
    <x v="1"/>
    <n v="3162"/>
    <n v="10778"/>
    <n v="0"/>
    <x v="1"/>
    <n v="17"/>
    <n v="3"/>
    <s v="Excellent"/>
    <n v="4"/>
    <s v="Very High"/>
    <n v="0"/>
    <n v="6"/>
    <n v="2"/>
    <n v="2"/>
    <s v="Medium"/>
    <n v="5"/>
    <n v="2"/>
    <n v="3"/>
    <n v="4"/>
  </r>
  <r>
    <n v="32"/>
    <x v="2"/>
    <x v="1"/>
    <x v="1"/>
    <n v="379"/>
    <x v="0"/>
    <n v="5"/>
    <x v="0"/>
    <n v="2"/>
    <s v="College"/>
    <s v="Life Sciences"/>
    <n v="889"/>
    <n v="2"/>
    <x v="0"/>
    <s v="Male"/>
    <n v="48"/>
    <n v="3"/>
    <s v="High"/>
    <n v="2"/>
    <x v="0"/>
    <x v="0"/>
    <n v="2"/>
    <s v="Medium"/>
    <x v="1"/>
    <n v="6524"/>
    <n v="8891"/>
    <n v="1"/>
    <x v="1"/>
    <n v="14"/>
    <n v="3"/>
    <s v="Excellent"/>
    <n v="4"/>
    <s v="Very High"/>
    <n v="1"/>
    <n v="10"/>
    <n v="3"/>
    <n v="3"/>
    <s v="High"/>
    <n v="10"/>
    <n v="8"/>
    <n v="5"/>
    <n v="3"/>
  </r>
  <r>
    <n v="38"/>
    <x v="0"/>
    <x v="1"/>
    <x v="0"/>
    <n v="395"/>
    <x v="0"/>
    <n v="9"/>
    <x v="0"/>
    <n v="3"/>
    <s v="Bachelor"/>
    <s v="Marketing"/>
    <n v="893"/>
    <n v="2"/>
    <x v="0"/>
    <s v="Male"/>
    <n v="98"/>
    <n v="2"/>
    <s v="Medium"/>
    <n v="1"/>
    <x v="1"/>
    <x v="6"/>
    <n v="2"/>
    <s v="Medium"/>
    <x v="1"/>
    <n v="2899"/>
    <n v="12102"/>
    <n v="0"/>
    <x v="1"/>
    <n v="19"/>
    <n v="3"/>
    <s v="Excellent"/>
    <n v="4"/>
    <s v="Very High"/>
    <n v="1"/>
    <n v="3"/>
    <n v="3"/>
    <n v="3"/>
    <s v="High"/>
    <n v="2"/>
    <n v="2"/>
    <n v="1"/>
    <n v="2"/>
  </r>
  <r>
    <n v="42"/>
    <x v="0"/>
    <x v="1"/>
    <x v="0"/>
    <n v="1265"/>
    <x v="1"/>
    <n v="3"/>
    <x v="0"/>
    <n v="3"/>
    <s v="Bachelor"/>
    <s v="Life Sciences"/>
    <n v="894"/>
    <n v="3"/>
    <x v="1"/>
    <s v="Female"/>
    <n v="95"/>
    <n v="4"/>
    <s v="Very High"/>
    <n v="2"/>
    <x v="0"/>
    <x v="2"/>
    <n v="4"/>
    <s v="Very High"/>
    <x v="1"/>
    <n v="5231"/>
    <n v="23726"/>
    <n v="2"/>
    <x v="0"/>
    <n v="13"/>
    <n v="3"/>
    <s v="Excellent"/>
    <n v="2"/>
    <s v="Medium"/>
    <n v="1"/>
    <n v="17"/>
    <n v="1"/>
    <n v="2"/>
    <s v="Medium"/>
    <n v="5"/>
    <n v="3"/>
    <n v="1"/>
    <n v="3"/>
  </r>
  <r>
    <n v="31"/>
    <x v="2"/>
    <x v="1"/>
    <x v="0"/>
    <n v="1222"/>
    <x v="1"/>
    <n v="11"/>
    <x v="2"/>
    <n v="4"/>
    <s v="Master"/>
    <s v="Life Sciences"/>
    <n v="895"/>
    <n v="4"/>
    <x v="3"/>
    <s v="Male"/>
    <n v="48"/>
    <n v="3"/>
    <s v="High"/>
    <n v="1"/>
    <x v="1"/>
    <x v="1"/>
    <n v="4"/>
    <s v="Very High"/>
    <x v="1"/>
    <n v="2356"/>
    <n v="14871"/>
    <n v="3"/>
    <x v="0"/>
    <n v="19"/>
    <n v="3"/>
    <s v="Excellent"/>
    <n v="2"/>
    <s v="Medium"/>
    <n v="1"/>
    <n v="8"/>
    <n v="2"/>
    <n v="3"/>
    <s v="High"/>
    <n v="6"/>
    <n v="4"/>
    <n v="0"/>
    <n v="2"/>
  </r>
  <r>
    <n v="29"/>
    <x v="2"/>
    <x v="0"/>
    <x v="0"/>
    <n v="341"/>
    <x v="0"/>
    <n v="1"/>
    <x v="0"/>
    <n v="3"/>
    <s v="Bachelor"/>
    <s v="Medical"/>
    <n v="896"/>
    <n v="2"/>
    <x v="0"/>
    <s v="Female"/>
    <n v="48"/>
    <n v="2"/>
    <s v="Medium"/>
    <n v="1"/>
    <x v="1"/>
    <x v="6"/>
    <n v="3"/>
    <s v="High"/>
    <x v="2"/>
    <n v="2800"/>
    <n v="23522"/>
    <n v="6"/>
    <x v="0"/>
    <n v="19"/>
    <n v="3"/>
    <s v="Excellent"/>
    <n v="3"/>
    <s v="High"/>
    <n v="3"/>
    <n v="5"/>
    <n v="3"/>
    <n v="3"/>
    <s v="High"/>
    <n v="3"/>
    <n v="2"/>
    <n v="0"/>
    <n v="2"/>
  </r>
  <r>
    <n v="53"/>
    <x v="1"/>
    <x v="1"/>
    <x v="0"/>
    <n v="868"/>
    <x v="0"/>
    <n v="8"/>
    <x v="0"/>
    <n v="3"/>
    <s v="Bachelor"/>
    <s v="Marketing"/>
    <n v="897"/>
    <n v="1"/>
    <x v="2"/>
    <s v="Male"/>
    <n v="73"/>
    <n v="3"/>
    <s v="High"/>
    <n v="4"/>
    <x v="3"/>
    <x v="0"/>
    <n v="4"/>
    <s v="Very High"/>
    <x v="1"/>
    <n v="11836"/>
    <n v="22789"/>
    <n v="5"/>
    <x v="1"/>
    <n v="14"/>
    <n v="3"/>
    <s v="Excellent"/>
    <n v="3"/>
    <s v="High"/>
    <n v="1"/>
    <n v="28"/>
    <n v="3"/>
    <n v="3"/>
    <s v="High"/>
    <n v="2"/>
    <n v="0"/>
    <n v="2"/>
    <n v="2"/>
  </r>
  <r>
    <n v="35"/>
    <x v="2"/>
    <x v="1"/>
    <x v="0"/>
    <n v="672"/>
    <x v="1"/>
    <n v="25"/>
    <x v="1"/>
    <n v="3"/>
    <s v="Bachelor"/>
    <s v="Technical Degree"/>
    <n v="899"/>
    <n v="4"/>
    <x v="3"/>
    <s v="Male"/>
    <n v="78"/>
    <n v="2"/>
    <s v="Medium"/>
    <n v="3"/>
    <x v="2"/>
    <x v="3"/>
    <n v="2"/>
    <s v="Medium"/>
    <x v="1"/>
    <n v="10903"/>
    <n v="9129"/>
    <n v="3"/>
    <x v="1"/>
    <n v="16"/>
    <n v="3"/>
    <s v="Excellent"/>
    <n v="1"/>
    <s v="Low"/>
    <n v="0"/>
    <n v="16"/>
    <n v="2"/>
    <n v="3"/>
    <s v="High"/>
    <n v="13"/>
    <n v="10"/>
    <n v="4"/>
    <n v="8"/>
  </r>
  <r>
    <n v="37"/>
    <x v="0"/>
    <x v="1"/>
    <x v="1"/>
    <n v="1231"/>
    <x v="0"/>
    <n v="21"/>
    <x v="1"/>
    <n v="2"/>
    <s v="College"/>
    <s v="Medical"/>
    <n v="900"/>
    <n v="3"/>
    <x v="1"/>
    <s v="Female"/>
    <n v="54"/>
    <n v="3"/>
    <s v="High"/>
    <n v="1"/>
    <x v="1"/>
    <x v="6"/>
    <n v="4"/>
    <s v="Very High"/>
    <x v="1"/>
    <n v="2973"/>
    <n v="21222"/>
    <n v="5"/>
    <x v="1"/>
    <n v="15"/>
    <n v="3"/>
    <s v="Excellent"/>
    <n v="2"/>
    <s v="Medium"/>
    <n v="1"/>
    <n v="10"/>
    <n v="3"/>
    <n v="3"/>
    <s v="High"/>
    <n v="5"/>
    <n v="4"/>
    <n v="0"/>
    <n v="0"/>
  </r>
  <r>
    <n v="53"/>
    <x v="1"/>
    <x v="1"/>
    <x v="0"/>
    <n v="102"/>
    <x v="1"/>
    <n v="23"/>
    <x v="1"/>
    <n v="4"/>
    <s v="Master"/>
    <s v="Life Sciences"/>
    <n v="901"/>
    <n v="4"/>
    <x v="3"/>
    <s v="Female"/>
    <n v="72"/>
    <n v="3"/>
    <s v="High"/>
    <n v="4"/>
    <x v="3"/>
    <x v="7"/>
    <n v="4"/>
    <s v="Very High"/>
    <x v="0"/>
    <n v="14275"/>
    <n v="20206"/>
    <n v="6"/>
    <x v="1"/>
    <n v="18"/>
    <n v="3"/>
    <s v="Excellent"/>
    <n v="3"/>
    <s v="High"/>
    <n v="0"/>
    <n v="33"/>
    <n v="0"/>
    <n v="3"/>
    <s v="High"/>
    <n v="12"/>
    <n v="9"/>
    <n v="3"/>
    <n v="8"/>
  </r>
  <r>
    <n v="43"/>
    <x v="0"/>
    <x v="1"/>
    <x v="1"/>
    <n v="422"/>
    <x v="1"/>
    <n v="1"/>
    <x v="0"/>
    <n v="3"/>
    <s v="Bachelor"/>
    <s v="Life Sciences"/>
    <n v="902"/>
    <n v="4"/>
    <x v="3"/>
    <s v="Female"/>
    <n v="33"/>
    <n v="3"/>
    <s v="High"/>
    <n v="2"/>
    <x v="0"/>
    <x v="4"/>
    <n v="4"/>
    <s v="Very High"/>
    <x v="1"/>
    <n v="5562"/>
    <n v="21782"/>
    <n v="4"/>
    <x v="1"/>
    <n v="13"/>
    <n v="3"/>
    <s v="Excellent"/>
    <n v="2"/>
    <s v="Medium"/>
    <n v="1"/>
    <n v="12"/>
    <n v="2"/>
    <n v="2"/>
    <s v="Medium"/>
    <n v="5"/>
    <n v="2"/>
    <n v="2"/>
    <n v="2"/>
  </r>
  <r>
    <n v="47"/>
    <x v="1"/>
    <x v="1"/>
    <x v="0"/>
    <n v="249"/>
    <x v="0"/>
    <n v="2"/>
    <x v="0"/>
    <n v="2"/>
    <s v="College"/>
    <s v="Marketing"/>
    <n v="903"/>
    <n v="3"/>
    <x v="1"/>
    <s v="Female"/>
    <n v="35"/>
    <n v="3"/>
    <s v="High"/>
    <n v="2"/>
    <x v="0"/>
    <x v="0"/>
    <n v="4"/>
    <s v="Very High"/>
    <x v="1"/>
    <n v="4537"/>
    <n v="17783"/>
    <n v="0"/>
    <x v="0"/>
    <n v="22"/>
    <n v="4"/>
    <s v="Outstanding"/>
    <n v="1"/>
    <s v="Low"/>
    <n v="1"/>
    <n v="8"/>
    <n v="2"/>
    <n v="3"/>
    <s v="High"/>
    <n v="7"/>
    <n v="6"/>
    <n v="7"/>
    <n v="7"/>
  </r>
  <r>
    <n v="37"/>
    <x v="0"/>
    <x v="1"/>
    <x v="2"/>
    <n v="1252"/>
    <x v="0"/>
    <n v="19"/>
    <x v="2"/>
    <n v="2"/>
    <s v="College"/>
    <s v="Medical"/>
    <n v="904"/>
    <n v="1"/>
    <x v="2"/>
    <s v="Male"/>
    <n v="32"/>
    <n v="3"/>
    <s v="High"/>
    <n v="3"/>
    <x v="2"/>
    <x v="0"/>
    <n v="2"/>
    <s v="Medium"/>
    <x v="0"/>
    <n v="7642"/>
    <n v="4814"/>
    <n v="1"/>
    <x v="0"/>
    <n v="13"/>
    <n v="3"/>
    <s v="Excellent"/>
    <n v="4"/>
    <s v="Very High"/>
    <n v="0"/>
    <n v="10"/>
    <n v="2"/>
    <n v="3"/>
    <s v="High"/>
    <n v="10"/>
    <n v="0"/>
    <n v="0"/>
    <n v="9"/>
  </r>
  <r>
    <n v="50"/>
    <x v="1"/>
    <x v="1"/>
    <x v="2"/>
    <n v="881"/>
    <x v="1"/>
    <n v="2"/>
    <x v="0"/>
    <n v="4"/>
    <s v="Master"/>
    <s v="Life Sciences"/>
    <n v="905"/>
    <n v="1"/>
    <x v="2"/>
    <s v="Male"/>
    <n v="98"/>
    <n v="3"/>
    <s v="High"/>
    <n v="4"/>
    <x v="3"/>
    <x v="5"/>
    <n v="1"/>
    <s v="Low"/>
    <x v="2"/>
    <n v="17924"/>
    <n v="4544"/>
    <n v="1"/>
    <x v="1"/>
    <n v="11"/>
    <n v="3"/>
    <s v="Excellent"/>
    <n v="4"/>
    <s v="Very High"/>
    <n v="1"/>
    <n v="31"/>
    <n v="3"/>
    <n v="3"/>
    <s v="High"/>
    <n v="31"/>
    <n v="6"/>
    <n v="14"/>
    <n v="7"/>
  </r>
  <r>
    <n v="39"/>
    <x v="0"/>
    <x v="1"/>
    <x v="0"/>
    <n v="1383"/>
    <x v="2"/>
    <n v="2"/>
    <x v="0"/>
    <n v="3"/>
    <s v="Bachelor"/>
    <s v="Life Sciences"/>
    <n v="909"/>
    <n v="4"/>
    <x v="3"/>
    <s v="Female"/>
    <n v="42"/>
    <n v="2"/>
    <s v="Medium"/>
    <n v="2"/>
    <x v="0"/>
    <x v="8"/>
    <n v="4"/>
    <s v="Very High"/>
    <x v="1"/>
    <n v="5204"/>
    <n v="7790"/>
    <n v="8"/>
    <x v="1"/>
    <n v="11"/>
    <n v="3"/>
    <s v="Excellent"/>
    <n v="3"/>
    <s v="High"/>
    <n v="2"/>
    <n v="13"/>
    <n v="2"/>
    <n v="3"/>
    <s v="High"/>
    <n v="5"/>
    <n v="4"/>
    <n v="0"/>
    <n v="4"/>
  </r>
  <r>
    <n v="33"/>
    <x v="2"/>
    <x v="1"/>
    <x v="0"/>
    <n v="1075"/>
    <x v="2"/>
    <n v="3"/>
    <x v="0"/>
    <n v="2"/>
    <s v="College"/>
    <s v="Human Resources"/>
    <n v="910"/>
    <n v="4"/>
    <x v="3"/>
    <s v="Male"/>
    <n v="57"/>
    <n v="3"/>
    <s v="High"/>
    <n v="1"/>
    <x v="1"/>
    <x v="8"/>
    <n v="2"/>
    <s v="Medium"/>
    <x v="2"/>
    <n v="2277"/>
    <n v="22650"/>
    <n v="3"/>
    <x v="0"/>
    <n v="11"/>
    <n v="3"/>
    <s v="Excellent"/>
    <n v="3"/>
    <s v="High"/>
    <n v="1"/>
    <n v="7"/>
    <n v="4"/>
    <n v="4"/>
    <s v="Very High"/>
    <n v="4"/>
    <n v="3"/>
    <n v="0"/>
    <n v="3"/>
  </r>
  <r>
    <n v="32"/>
    <x v="2"/>
    <x v="0"/>
    <x v="0"/>
    <n v="374"/>
    <x v="1"/>
    <n v="25"/>
    <x v="1"/>
    <n v="4"/>
    <s v="Master"/>
    <s v="Life Sciences"/>
    <n v="911"/>
    <n v="1"/>
    <x v="2"/>
    <s v="Male"/>
    <n v="87"/>
    <n v="3"/>
    <s v="High"/>
    <n v="1"/>
    <x v="1"/>
    <x v="2"/>
    <n v="4"/>
    <s v="Very High"/>
    <x v="0"/>
    <n v="2795"/>
    <n v="18016"/>
    <n v="1"/>
    <x v="0"/>
    <n v="24"/>
    <n v="4"/>
    <s v="Outstanding"/>
    <n v="3"/>
    <s v="High"/>
    <n v="0"/>
    <n v="1"/>
    <n v="2"/>
    <n v="1"/>
    <s v="Low"/>
    <n v="1"/>
    <n v="0"/>
    <n v="0"/>
    <n v="1"/>
  </r>
  <r>
    <n v="29"/>
    <x v="2"/>
    <x v="1"/>
    <x v="0"/>
    <n v="1086"/>
    <x v="1"/>
    <n v="7"/>
    <x v="0"/>
    <n v="1"/>
    <s v="Below College"/>
    <s v="Medical"/>
    <n v="912"/>
    <n v="1"/>
    <x v="2"/>
    <s v="Female"/>
    <n v="62"/>
    <n v="2"/>
    <s v="Medium"/>
    <n v="1"/>
    <x v="1"/>
    <x v="2"/>
    <n v="4"/>
    <s v="Very High"/>
    <x v="2"/>
    <n v="2532"/>
    <n v="6054"/>
    <n v="6"/>
    <x v="1"/>
    <n v="14"/>
    <n v="3"/>
    <s v="Excellent"/>
    <n v="3"/>
    <s v="High"/>
    <n v="3"/>
    <n v="8"/>
    <n v="5"/>
    <n v="3"/>
    <s v="High"/>
    <n v="4"/>
    <n v="3"/>
    <n v="0"/>
    <n v="3"/>
  </r>
  <r>
    <n v="44"/>
    <x v="0"/>
    <x v="1"/>
    <x v="0"/>
    <n v="661"/>
    <x v="1"/>
    <n v="9"/>
    <x v="0"/>
    <n v="2"/>
    <s v="College"/>
    <s v="Life Sciences"/>
    <n v="913"/>
    <n v="2"/>
    <x v="0"/>
    <s v="Male"/>
    <n v="61"/>
    <n v="3"/>
    <s v="High"/>
    <n v="1"/>
    <x v="1"/>
    <x v="1"/>
    <n v="1"/>
    <s v="Low"/>
    <x v="1"/>
    <n v="2559"/>
    <n v="7508"/>
    <n v="1"/>
    <x v="0"/>
    <n v="13"/>
    <n v="3"/>
    <s v="Excellent"/>
    <n v="4"/>
    <s v="Very High"/>
    <n v="0"/>
    <n v="8"/>
    <n v="0"/>
    <n v="3"/>
    <s v="High"/>
    <n v="8"/>
    <n v="7"/>
    <n v="7"/>
    <n v="1"/>
  </r>
  <r>
    <n v="28"/>
    <x v="2"/>
    <x v="1"/>
    <x v="0"/>
    <n v="821"/>
    <x v="0"/>
    <n v="5"/>
    <x v="0"/>
    <n v="4"/>
    <s v="Master"/>
    <s v="Medical"/>
    <n v="916"/>
    <n v="1"/>
    <x v="2"/>
    <s v="Male"/>
    <n v="98"/>
    <n v="3"/>
    <s v="High"/>
    <n v="2"/>
    <x v="0"/>
    <x v="0"/>
    <n v="4"/>
    <s v="Very High"/>
    <x v="0"/>
    <n v="4908"/>
    <n v="24252"/>
    <n v="1"/>
    <x v="1"/>
    <n v="14"/>
    <n v="3"/>
    <s v="Excellent"/>
    <n v="2"/>
    <s v="Medium"/>
    <n v="0"/>
    <n v="4"/>
    <n v="3"/>
    <n v="3"/>
    <s v="High"/>
    <n v="4"/>
    <n v="2"/>
    <n v="0"/>
    <n v="2"/>
  </r>
  <r>
    <n v="58"/>
    <x v="3"/>
    <x v="0"/>
    <x v="1"/>
    <n v="781"/>
    <x v="1"/>
    <n v="2"/>
    <x v="0"/>
    <n v="1"/>
    <s v="Below College"/>
    <s v="Life Sciences"/>
    <n v="918"/>
    <n v="4"/>
    <x v="3"/>
    <s v="Male"/>
    <n v="57"/>
    <n v="2"/>
    <s v="Medium"/>
    <n v="1"/>
    <x v="1"/>
    <x v="2"/>
    <n v="4"/>
    <s v="Very High"/>
    <x v="2"/>
    <n v="2380"/>
    <n v="13384"/>
    <n v="9"/>
    <x v="0"/>
    <n v="14"/>
    <n v="3"/>
    <s v="Excellent"/>
    <n v="4"/>
    <s v="Very High"/>
    <n v="1"/>
    <n v="3"/>
    <n v="3"/>
    <n v="2"/>
    <s v="Medium"/>
    <n v="1"/>
    <n v="0"/>
    <n v="0"/>
    <n v="0"/>
  </r>
  <r>
    <n v="43"/>
    <x v="0"/>
    <x v="1"/>
    <x v="0"/>
    <n v="177"/>
    <x v="1"/>
    <n v="8"/>
    <x v="0"/>
    <n v="3"/>
    <s v="Bachelor"/>
    <s v="Life Sciences"/>
    <n v="920"/>
    <n v="1"/>
    <x v="2"/>
    <s v="Female"/>
    <n v="55"/>
    <n v="3"/>
    <s v="High"/>
    <n v="2"/>
    <x v="0"/>
    <x v="3"/>
    <n v="2"/>
    <s v="Medium"/>
    <x v="2"/>
    <n v="4765"/>
    <n v="23814"/>
    <n v="4"/>
    <x v="1"/>
    <n v="21"/>
    <n v="4"/>
    <s v="Outstanding"/>
    <n v="3"/>
    <s v="High"/>
    <n v="1"/>
    <n v="4"/>
    <n v="2"/>
    <n v="4"/>
    <s v="Very High"/>
    <n v="1"/>
    <n v="0"/>
    <n v="0"/>
    <n v="0"/>
  </r>
  <r>
    <n v="20"/>
    <x v="4"/>
    <x v="0"/>
    <x v="0"/>
    <n v="500"/>
    <x v="0"/>
    <n v="2"/>
    <x v="0"/>
    <n v="3"/>
    <s v="Bachelor"/>
    <s v="Medical"/>
    <n v="922"/>
    <n v="3"/>
    <x v="1"/>
    <s v="Female"/>
    <n v="49"/>
    <n v="2"/>
    <s v="Medium"/>
    <n v="1"/>
    <x v="1"/>
    <x v="6"/>
    <n v="3"/>
    <s v="High"/>
    <x v="0"/>
    <n v="2044"/>
    <n v="22052"/>
    <n v="1"/>
    <x v="1"/>
    <n v="13"/>
    <n v="3"/>
    <s v="Excellent"/>
    <n v="4"/>
    <s v="Very High"/>
    <n v="0"/>
    <n v="2"/>
    <n v="3"/>
    <n v="2"/>
    <s v="Medium"/>
    <n v="2"/>
    <n v="2"/>
    <n v="0"/>
    <n v="2"/>
  </r>
  <r>
    <n v="21"/>
    <x v="4"/>
    <x v="0"/>
    <x v="0"/>
    <n v="1427"/>
    <x v="1"/>
    <n v="18"/>
    <x v="2"/>
    <n v="1"/>
    <s v="Below College"/>
    <s v="Other"/>
    <n v="923"/>
    <n v="4"/>
    <x v="3"/>
    <s v="Female"/>
    <n v="65"/>
    <n v="3"/>
    <s v="High"/>
    <n v="1"/>
    <x v="1"/>
    <x v="1"/>
    <n v="4"/>
    <s v="Very High"/>
    <x v="0"/>
    <n v="2693"/>
    <n v="8870"/>
    <n v="1"/>
    <x v="1"/>
    <n v="19"/>
    <n v="3"/>
    <s v="Excellent"/>
    <n v="1"/>
    <s v="Low"/>
    <n v="0"/>
    <n v="1"/>
    <n v="3"/>
    <n v="2"/>
    <s v="Medium"/>
    <n v="1"/>
    <n v="0"/>
    <n v="0"/>
    <n v="0"/>
  </r>
  <r>
    <n v="36"/>
    <x v="0"/>
    <x v="1"/>
    <x v="0"/>
    <n v="1425"/>
    <x v="1"/>
    <n v="14"/>
    <x v="2"/>
    <n v="1"/>
    <s v="Below College"/>
    <s v="Life Sciences"/>
    <n v="924"/>
    <n v="3"/>
    <x v="1"/>
    <s v="Male"/>
    <n v="68"/>
    <n v="3"/>
    <s v="High"/>
    <n v="2"/>
    <x v="0"/>
    <x v="4"/>
    <n v="4"/>
    <s v="Very High"/>
    <x v="1"/>
    <n v="6586"/>
    <n v="4821"/>
    <n v="0"/>
    <x v="0"/>
    <n v="17"/>
    <n v="3"/>
    <s v="Excellent"/>
    <n v="1"/>
    <s v="Low"/>
    <n v="1"/>
    <n v="17"/>
    <n v="2"/>
    <n v="2"/>
    <s v="Medium"/>
    <n v="16"/>
    <n v="8"/>
    <n v="4"/>
    <n v="11"/>
  </r>
  <r>
    <n v="47"/>
    <x v="1"/>
    <x v="1"/>
    <x v="0"/>
    <n v="1454"/>
    <x v="0"/>
    <n v="2"/>
    <x v="0"/>
    <n v="4"/>
    <s v="Master"/>
    <s v="Life Sciences"/>
    <n v="925"/>
    <n v="4"/>
    <x v="3"/>
    <s v="Female"/>
    <n v="65"/>
    <n v="2"/>
    <s v="Medium"/>
    <n v="1"/>
    <x v="1"/>
    <x v="6"/>
    <n v="4"/>
    <s v="Very High"/>
    <x v="0"/>
    <n v="3294"/>
    <n v="13137"/>
    <n v="1"/>
    <x v="0"/>
    <n v="18"/>
    <n v="3"/>
    <s v="Excellent"/>
    <n v="1"/>
    <s v="Low"/>
    <n v="0"/>
    <n v="3"/>
    <n v="3"/>
    <n v="2"/>
    <s v="Medium"/>
    <n v="3"/>
    <n v="2"/>
    <n v="1"/>
    <n v="2"/>
  </r>
  <r>
    <n v="22"/>
    <x v="4"/>
    <x v="0"/>
    <x v="0"/>
    <n v="617"/>
    <x v="1"/>
    <n v="3"/>
    <x v="0"/>
    <n v="1"/>
    <s v="Below College"/>
    <s v="Life Sciences"/>
    <n v="926"/>
    <n v="2"/>
    <x v="0"/>
    <s v="Female"/>
    <n v="34"/>
    <n v="3"/>
    <s v="High"/>
    <n v="2"/>
    <x v="0"/>
    <x v="3"/>
    <n v="3"/>
    <s v="High"/>
    <x v="1"/>
    <n v="4171"/>
    <n v="10022"/>
    <n v="0"/>
    <x v="0"/>
    <n v="19"/>
    <n v="3"/>
    <s v="Excellent"/>
    <n v="1"/>
    <s v="Low"/>
    <n v="1"/>
    <n v="4"/>
    <n v="3"/>
    <n v="4"/>
    <s v="Very High"/>
    <n v="3"/>
    <n v="2"/>
    <n v="0"/>
    <n v="2"/>
  </r>
  <r>
    <n v="41"/>
    <x v="0"/>
    <x v="0"/>
    <x v="0"/>
    <n v="1085"/>
    <x v="1"/>
    <n v="2"/>
    <x v="0"/>
    <n v="4"/>
    <s v="Master"/>
    <s v="Life Sciences"/>
    <n v="927"/>
    <n v="2"/>
    <x v="0"/>
    <s v="Female"/>
    <n v="57"/>
    <n v="1"/>
    <s v="Low"/>
    <n v="1"/>
    <x v="1"/>
    <x v="2"/>
    <n v="4"/>
    <s v="Very High"/>
    <x v="2"/>
    <n v="2778"/>
    <n v="17725"/>
    <n v="4"/>
    <x v="0"/>
    <n v="13"/>
    <n v="3"/>
    <s v="Excellent"/>
    <n v="3"/>
    <s v="High"/>
    <n v="1"/>
    <n v="10"/>
    <n v="1"/>
    <n v="2"/>
    <s v="Medium"/>
    <n v="7"/>
    <n v="7"/>
    <n v="1"/>
    <n v="0"/>
  </r>
  <r>
    <n v="28"/>
    <x v="2"/>
    <x v="1"/>
    <x v="0"/>
    <n v="995"/>
    <x v="1"/>
    <n v="9"/>
    <x v="0"/>
    <n v="3"/>
    <s v="Bachelor"/>
    <s v="Medical"/>
    <n v="930"/>
    <n v="3"/>
    <x v="1"/>
    <s v="Female"/>
    <n v="77"/>
    <n v="3"/>
    <s v="High"/>
    <n v="1"/>
    <x v="1"/>
    <x v="1"/>
    <n v="3"/>
    <s v="High"/>
    <x v="2"/>
    <n v="2377"/>
    <n v="9834"/>
    <n v="5"/>
    <x v="1"/>
    <n v="18"/>
    <n v="3"/>
    <s v="Excellent"/>
    <n v="2"/>
    <s v="Medium"/>
    <n v="1"/>
    <n v="6"/>
    <n v="2"/>
    <n v="3"/>
    <s v="High"/>
    <n v="2"/>
    <n v="2"/>
    <n v="2"/>
    <n v="2"/>
  </r>
  <r>
    <n v="39"/>
    <x v="0"/>
    <x v="0"/>
    <x v="0"/>
    <n v="1122"/>
    <x v="1"/>
    <n v="6"/>
    <x v="0"/>
    <n v="3"/>
    <s v="Bachelor"/>
    <s v="Medical"/>
    <n v="932"/>
    <n v="4"/>
    <x v="3"/>
    <s v="Male"/>
    <n v="70"/>
    <n v="3"/>
    <s v="High"/>
    <n v="1"/>
    <x v="1"/>
    <x v="2"/>
    <n v="1"/>
    <s v="Low"/>
    <x v="1"/>
    <n v="2404"/>
    <n v="4303"/>
    <n v="7"/>
    <x v="0"/>
    <n v="21"/>
    <n v="4"/>
    <s v="Outstanding"/>
    <n v="4"/>
    <s v="Very High"/>
    <n v="0"/>
    <n v="8"/>
    <n v="2"/>
    <n v="1"/>
    <s v="Low"/>
    <n v="2"/>
    <n v="2"/>
    <n v="2"/>
    <n v="2"/>
  </r>
  <r>
    <n v="27"/>
    <x v="2"/>
    <x v="1"/>
    <x v="0"/>
    <n v="618"/>
    <x v="1"/>
    <n v="4"/>
    <x v="0"/>
    <n v="3"/>
    <s v="Bachelor"/>
    <s v="Life Sciences"/>
    <n v="933"/>
    <n v="2"/>
    <x v="0"/>
    <s v="Female"/>
    <n v="76"/>
    <n v="3"/>
    <s v="High"/>
    <n v="1"/>
    <x v="1"/>
    <x v="1"/>
    <n v="3"/>
    <s v="High"/>
    <x v="0"/>
    <n v="2318"/>
    <n v="17808"/>
    <n v="1"/>
    <x v="1"/>
    <n v="19"/>
    <n v="3"/>
    <s v="Excellent"/>
    <n v="3"/>
    <s v="High"/>
    <n v="0"/>
    <n v="1"/>
    <n v="2"/>
    <n v="3"/>
    <s v="High"/>
    <n v="1"/>
    <n v="1"/>
    <n v="0"/>
    <n v="0"/>
  </r>
  <r>
    <n v="34"/>
    <x v="2"/>
    <x v="1"/>
    <x v="0"/>
    <n v="546"/>
    <x v="1"/>
    <n v="10"/>
    <x v="0"/>
    <n v="3"/>
    <s v="Bachelor"/>
    <s v="Life Sciences"/>
    <n v="934"/>
    <n v="2"/>
    <x v="0"/>
    <s v="Male"/>
    <n v="83"/>
    <n v="3"/>
    <s v="High"/>
    <n v="1"/>
    <x v="1"/>
    <x v="2"/>
    <n v="2"/>
    <s v="Medium"/>
    <x v="2"/>
    <n v="2008"/>
    <n v="6896"/>
    <n v="1"/>
    <x v="1"/>
    <n v="14"/>
    <n v="3"/>
    <s v="Excellent"/>
    <n v="2"/>
    <s v="Medium"/>
    <n v="2"/>
    <n v="1"/>
    <n v="3"/>
    <n v="3"/>
    <s v="High"/>
    <n v="1"/>
    <n v="0"/>
    <n v="1"/>
    <n v="0"/>
  </r>
  <r>
    <n v="42"/>
    <x v="0"/>
    <x v="1"/>
    <x v="0"/>
    <n v="462"/>
    <x v="0"/>
    <n v="14"/>
    <x v="2"/>
    <n v="2"/>
    <s v="College"/>
    <s v="Medical"/>
    <n v="936"/>
    <n v="3"/>
    <x v="1"/>
    <s v="Female"/>
    <n v="68"/>
    <n v="2"/>
    <s v="Medium"/>
    <n v="2"/>
    <x v="0"/>
    <x v="0"/>
    <n v="3"/>
    <s v="High"/>
    <x v="0"/>
    <n v="6244"/>
    <n v="7824"/>
    <n v="7"/>
    <x v="1"/>
    <n v="17"/>
    <n v="3"/>
    <s v="Excellent"/>
    <n v="1"/>
    <s v="Low"/>
    <n v="0"/>
    <n v="10"/>
    <n v="6"/>
    <n v="3"/>
    <s v="High"/>
    <n v="5"/>
    <n v="4"/>
    <n v="0"/>
    <n v="3"/>
  </r>
  <r>
    <n v="33"/>
    <x v="2"/>
    <x v="1"/>
    <x v="0"/>
    <n v="1198"/>
    <x v="1"/>
    <n v="1"/>
    <x v="0"/>
    <n v="4"/>
    <s v="Master"/>
    <s v="Other"/>
    <n v="939"/>
    <n v="3"/>
    <x v="1"/>
    <s v="Male"/>
    <n v="100"/>
    <n v="2"/>
    <s v="Medium"/>
    <n v="1"/>
    <x v="1"/>
    <x v="1"/>
    <n v="1"/>
    <s v="Low"/>
    <x v="0"/>
    <n v="2799"/>
    <n v="3339"/>
    <n v="3"/>
    <x v="0"/>
    <n v="11"/>
    <n v="3"/>
    <s v="Excellent"/>
    <n v="2"/>
    <s v="Medium"/>
    <n v="0"/>
    <n v="6"/>
    <n v="1"/>
    <n v="3"/>
    <s v="High"/>
    <n v="3"/>
    <n v="2"/>
    <n v="0"/>
    <n v="2"/>
  </r>
  <r>
    <n v="58"/>
    <x v="3"/>
    <x v="1"/>
    <x v="0"/>
    <n v="1272"/>
    <x v="1"/>
    <n v="5"/>
    <x v="0"/>
    <n v="3"/>
    <s v="Bachelor"/>
    <s v="Technical Degree"/>
    <n v="940"/>
    <n v="3"/>
    <x v="1"/>
    <s v="Female"/>
    <n v="37"/>
    <n v="2"/>
    <s v="Medium"/>
    <n v="3"/>
    <x v="2"/>
    <x v="4"/>
    <n v="2"/>
    <s v="Medium"/>
    <x v="2"/>
    <n v="10552"/>
    <n v="9255"/>
    <n v="2"/>
    <x v="0"/>
    <n v="13"/>
    <n v="3"/>
    <s v="Excellent"/>
    <n v="4"/>
    <s v="Very High"/>
    <n v="1"/>
    <n v="24"/>
    <n v="3"/>
    <n v="3"/>
    <s v="High"/>
    <n v="6"/>
    <n v="0"/>
    <n v="0"/>
    <n v="4"/>
  </r>
  <r>
    <n v="31"/>
    <x v="2"/>
    <x v="1"/>
    <x v="0"/>
    <n v="154"/>
    <x v="0"/>
    <n v="7"/>
    <x v="0"/>
    <n v="4"/>
    <s v="Master"/>
    <s v="Life Sciences"/>
    <n v="941"/>
    <n v="2"/>
    <x v="0"/>
    <s v="Male"/>
    <n v="41"/>
    <n v="2"/>
    <s v="Medium"/>
    <n v="1"/>
    <x v="1"/>
    <x v="6"/>
    <n v="3"/>
    <s v="High"/>
    <x v="1"/>
    <n v="2329"/>
    <n v="11737"/>
    <n v="3"/>
    <x v="1"/>
    <n v="15"/>
    <n v="3"/>
    <s v="Excellent"/>
    <n v="2"/>
    <s v="Medium"/>
    <n v="0"/>
    <n v="13"/>
    <n v="2"/>
    <n v="4"/>
    <s v="Very High"/>
    <n v="7"/>
    <n v="7"/>
    <n v="5"/>
    <n v="2"/>
  </r>
  <r>
    <n v="35"/>
    <x v="2"/>
    <x v="1"/>
    <x v="0"/>
    <n v="1137"/>
    <x v="1"/>
    <n v="21"/>
    <x v="1"/>
    <n v="1"/>
    <s v="Below College"/>
    <s v="Life Sciences"/>
    <n v="942"/>
    <n v="4"/>
    <x v="3"/>
    <s v="Female"/>
    <n v="51"/>
    <n v="3"/>
    <s v="High"/>
    <n v="2"/>
    <x v="0"/>
    <x v="4"/>
    <n v="4"/>
    <s v="Very High"/>
    <x v="1"/>
    <n v="4014"/>
    <n v="19170"/>
    <n v="1"/>
    <x v="0"/>
    <n v="25"/>
    <n v="4"/>
    <s v="Outstanding"/>
    <n v="4"/>
    <s v="Very High"/>
    <n v="1"/>
    <n v="10"/>
    <n v="2"/>
    <n v="1"/>
    <s v="Low"/>
    <n v="10"/>
    <n v="6"/>
    <n v="0"/>
    <n v="7"/>
  </r>
  <r>
    <n v="49"/>
    <x v="1"/>
    <x v="1"/>
    <x v="0"/>
    <n v="527"/>
    <x v="1"/>
    <n v="8"/>
    <x v="0"/>
    <n v="2"/>
    <s v="College"/>
    <s v="Other"/>
    <n v="944"/>
    <n v="1"/>
    <x v="2"/>
    <s v="Female"/>
    <n v="51"/>
    <n v="3"/>
    <s v="High"/>
    <n v="3"/>
    <x v="2"/>
    <x v="2"/>
    <n v="2"/>
    <s v="Medium"/>
    <x v="1"/>
    <n v="7403"/>
    <n v="22477"/>
    <n v="4"/>
    <x v="1"/>
    <n v="11"/>
    <n v="3"/>
    <s v="Excellent"/>
    <n v="3"/>
    <s v="High"/>
    <n v="1"/>
    <n v="29"/>
    <n v="3"/>
    <n v="2"/>
    <s v="Medium"/>
    <n v="26"/>
    <n v="9"/>
    <n v="1"/>
    <n v="7"/>
  </r>
  <r>
    <n v="48"/>
    <x v="1"/>
    <x v="1"/>
    <x v="0"/>
    <n v="1469"/>
    <x v="1"/>
    <n v="20"/>
    <x v="2"/>
    <n v="4"/>
    <s v="Master"/>
    <s v="Medical"/>
    <n v="945"/>
    <n v="4"/>
    <x v="3"/>
    <s v="Male"/>
    <n v="51"/>
    <n v="3"/>
    <s v="High"/>
    <n v="1"/>
    <x v="1"/>
    <x v="1"/>
    <n v="3"/>
    <s v="High"/>
    <x v="1"/>
    <n v="2259"/>
    <n v="5543"/>
    <n v="4"/>
    <x v="1"/>
    <n v="17"/>
    <n v="3"/>
    <s v="Excellent"/>
    <n v="1"/>
    <s v="Low"/>
    <n v="2"/>
    <n v="13"/>
    <n v="2"/>
    <n v="2"/>
    <s v="Medium"/>
    <n v="0"/>
    <n v="0"/>
    <n v="0"/>
    <n v="0"/>
  </r>
  <r>
    <n v="31"/>
    <x v="2"/>
    <x v="1"/>
    <x v="2"/>
    <n v="1188"/>
    <x v="0"/>
    <n v="20"/>
    <x v="2"/>
    <n v="2"/>
    <s v="College"/>
    <s v="Marketing"/>
    <n v="947"/>
    <n v="4"/>
    <x v="3"/>
    <s v="Female"/>
    <n v="45"/>
    <n v="3"/>
    <s v="High"/>
    <n v="2"/>
    <x v="0"/>
    <x v="0"/>
    <n v="3"/>
    <s v="High"/>
    <x v="1"/>
    <n v="6932"/>
    <n v="24406"/>
    <n v="1"/>
    <x v="1"/>
    <n v="13"/>
    <n v="3"/>
    <s v="Excellent"/>
    <n v="4"/>
    <s v="Very High"/>
    <n v="1"/>
    <n v="9"/>
    <n v="2"/>
    <n v="2"/>
    <s v="Medium"/>
    <n v="9"/>
    <n v="8"/>
    <n v="0"/>
    <n v="0"/>
  </r>
  <r>
    <n v="36"/>
    <x v="0"/>
    <x v="1"/>
    <x v="0"/>
    <n v="188"/>
    <x v="1"/>
    <n v="7"/>
    <x v="0"/>
    <n v="4"/>
    <s v="Master"/>
    <s v="Other"/>
    <n v="949"/>
    <n v="2"/>
    <x v="0"/>
    <s v="Male"/>
    <n v="65"/>
    <n v="3"/>
    <s v="High"/>
    <n v="1"/>
    <x v="1"/>
    <x v="1"/>
    <n v="4"/>
    <s v="Very High"/>
    <x v="0"/>
    <n v="4678"/>
    <n v="23293"/>
    <n v="2"/>
    <x v="1"/>
    <n v="18"/>
    <n v="3"/>
    <s v="Excellent"/>
    <n v="3"/>
    <s v="High"/>
    <n v="0"/>
    <n v="8"/>
    <n v="6"/>
    <n v="3"/>
    <s v="High"/>
    <n v="6"/>
    <n v="2"/>
    <n v="0"/>
    <n v="1"/>
  </r>
  <r>
    <n v="38"/>
    <x v="0"/>
    <x v="1"/>
    <x v="0"/>
    <n v="1333"/>
    <x v="1"/>
    <n v="1"/>
    <x v="0"/>
    <n v="3"/>
    <s v="Bachelor"/>
    <s v="Technical Degree"/>
    <n v="950"/>
    <n v="4"/>
    <x v="3"/>
    <s v="Female"/>
    <n v="80"/>
    <n v="3"/>
    <s v="High"/>
    <n v="3"/>
    <x v="2"/>
    <x v="7"/>
    <n v="1"/>
    <s v="Low"/>
    <x v="1"/>
    <n v="13582"/>
    <n v="16292"/>
    <n v="1"/>
    <x v="1"/>
    <n v="13"/>
    <n v="3"/>
    <s v="Excellent"/>
    <n v="2"/>
    <s v="Medium"/>
    <n v="1"/>
    <n v="15"/>
    <n v="3"/>
    <n v="3"/>
    <s v="High"/>
    <n v="15"/>
    <n v="12"/>
    <n v="5"/>
    <n v="11"/>
  </r>
  <r>
    <n v="32"/>
    <x v="2"/>
    <x v="1"/>
    <x v="2"/>
    <n v="1184"/>
    <x v="1"/>
    <n v="1"/>
    <x v="0"/>
    <n v="3"/>
    <s v="Bachelor"/>
    <s v="Life Sciences"/>
    <n v="951"/>
    <n v="3"/>
    <x v="1"/>
    <s v="Female"/>
    <n v="70"/>
    <n v="2"/>
    <s v="Medium"/>
    <n v="1"/>
    <x v="1"/>
    <x v="2"/>
    <n v="2"/>
    <s v="Medium"/>
    <x v="1"/>
    <n v="2332"/>
    <n v="3974"/>
    <n v="6"/>
    <x v="1"/>
    <n v="20"/>
    <n v="4"/>
    <s v="Outstanding"/>
    <n v="3"/>
    <s v="High"/>
    <n v="0"/>
    <n v="5"/>
    <n v="3"/>
    <n v="3"/>
    <s v="High"/>
    <n v="3"/>
    <n v="0"/>
    <n v="0"/>
    <n v="2"/>
  </r>
  <r>
    <n v="25"/>
    <x v="4"/>
    <x v="0"/>
    <x v="0"/>
    <n v="867"/>
    <x v="0"/>
    <n v="19"/>
    <x v="2"/>
    <n v="2"/>
    <s v="College"/>
    <s v="Marketing"/>
    <n v="952"/>
    <n v="3"/>
    <x v="1"/>
    <s v="Male"/>
    <n v="36"/>
    <n v="2"/>
    <s v="Medium"/>
    <n v="1"/>
    <x v="1"/>
    <x v="6"/>
    <n v="2"/>
    <s v="Medium"/>
    <x v="1"/>
    <n v="2413"/>
    <n v="18798"/>
    <n v="1"/>
    <x v="0"/>
    <n v="18"/>
    <n v="3"/>
    <s v="Excellent"/>
    <n v="3"/>
    <s v="High"/>
    <n v="3"/>
    <n v="1"/>
    <n v="2"/>
    <n v="3"/>
    <s v="High"/>
    <n v="1"/>
    <n v="0"/>
    <n v="0"/>
    <n v="0"/>
  </r>
  <r>
    <n v="40"/>
    <x v="0"/>
    <x v="1"/>
    <x v="0"/>
    <n v="658"/>
    <x v="0"/>
    <n v="10"/>
    <x v="0"/>
    <n v="4"/>
    <s v="Master"/>
    <s v="Marketing"/>
    <n v="954"/>
    <n v="1"/>
    <x v="2"/>
    <s v="Male"/>
    <n v="67"/>
    <n v="2"/>
    <s v="Medium"/>
    <n v="3"/>
    <x v="2"/>
    <x v="0"/>
    <n v="2"/>
    <s v="Medium"/>
    <x v="2"/>
    <n v="9705"/>
    <n v="20652"/>
    <n v="2"/>
    <x v="1"/>
    <n v="12"/>
    <n v="3"/>
    <s v="Excellent"/>
    <n v="2"/>
    <s v="Medium"/>
    <n v="1"/>
    <n v="11"/>
    <n v="2"/>
    <n v="2"/>
    <s v="Medium"/>
    <n v="1"/>
    <n v="0"/>
    <n v="0"/>
    <n v="0"/>
  </r>
  <r>
    <n v="26"/>
    <x v="2"/>
    <x v="1"/>
    <x v="1"/>
    <n v="1283"/>
    <x v="0"/>
    <n v="1"/>
    <x v="0"/>
    <n v="3"/>
    <s v="Bachelor"/>
    <s v="Medical"/>
    <n v="956"/>
    <n v="3"/>
    <x v="1"/>
    <s v="Male"/>
    <n v="52"/>
    <n v="2"/>
    <s v="Medium"/>
    <n v="2"/>
    <x v="0"/>
    <x v="0"/>
    <n v="1"/>
    <s v="Low"/>
    <x v="0"/>
    <n v="4294"/>
    <n v="11148"/>
    <n v="1"/>
    <x v="1"/>
    <n v="12"/>
    <n v="3"/>
    <s v="Excellent"/>
    <n v="2"/>
    <s v="Medium"/>
    <n v="0"/>
    <n v="7"/>
    <n v="2"/>
    <n v="3"/>
    <s v="High"/>
    <n v="7"/>
    <n v="7"/>
    <n v="0"/>
    <n v="7"/>
  </r>
  <r>
    <n v="41"/>
    <x v="0"/>
    <x v="1"/>
    <x v="0"/>
    <n v="263"/>
    <x v="1"/>
    <n v="6"/>
    <x v="0"/>
    <n v="3"/>
    <s v="Bachelor"/>
    <s v="Medical"/>
    <n v="957"/>
    <n v="4"/>
    <x v="3"/>
    <s v="Male"/>
    <n v="59"/>
    <n v="3"/>
    <s v="High"/>
    <n v="1"/>
    <x v="1"/>
    <x v="2"/>
    <n v="1"/>
    <s v="Low"/>
    <x v="0"/>
    <n v="4721"/>
    <n v="3119"/>
    <n v="2"/>
    <x v="0"/>
    <n v="13"/>
    <n v="3"/>
    <s v="Excellent"/>
    <n v="3"/>
    <s v="High"/>
    <n v="0"/>
    <n v="20"/>
    <n v="3"/>
    <n v="3"/>
    <s v="High"/>
    <n v="18"/>
    <n v="13"/>
    <n v="2"/>
    <n v="17"/>
  </r>
  <r>
    <n v="36"/>
    <x v="0"/>
    <x v="1"/>
    <x v="0"/>
    <n v="938"/>
    <x v="1"/>
    <n v="2"/>
    <x v="0"/>
    <n v="4"/>
    <s v="Master"/>
    <s v="Medical"/>
    <n v="958"/>
    <n v="3"/>
    <x v="1"/>
    <s v="Male"/>
    <n v="79"/>
    <n v="3"/>
    <s v="High"/>
    <n v="1"/>
    <x v="1"/>
    <x v="2"/>
    <n v="3"/>
    <s v="High"/>
    <x v="0"/>
    <n v="2519"/>
    <n v="12287"/>
    <n v="4"/>
    <x v="1"/>
    <n v="21"/>
    <n v="4"/>
    <s v="Outstanding"/>
    <n v="3"/>
    <s v="High"/>
    <n v="0"/>
    <n v="16"/>
    <n v="6"/>
    <n v="3"/>
    <s v="High"/>
    <n v="11"/>
    <n v="8"/>
    <n v="3"/>
    <n v="9"/>
  </r>
  <r>
    <n v="19"/>
    <x v="4"/>
    <x v="0"/>
    <x v="0"/>
    <n v="419"/>
    <x v="0"/>
    <n v="21"/>
    <x v="1"/>
    <n v="3"/>
    <s v="Bachelor"/>
    <s v="Other"/>
    <n v="959"/>
    <n v="4"/>
    <x v="3"/>
    <s v="Male"/>
    <n v="37"/>
    <n v="2"/>
    <s v="Medium"/>
    <n v="1"/>
    <x v="1"/>
    <x v="6"/>
    <n v="2"/>
    <s v="Medium"/>
    <x v="0"/>
    <n v="2121"/>
    <n v="9947"/>
    <n v="1"/>
    <x v="0"/>
    <n v="13"/>
    <n v="3"/>
    <s v="Excellent"/>
    <n v="2"/>
    <s v="Medium"/>
    <n v="0"/>
    <n v="1"/>
    <n v="3"/>
    <n v="4"/>
    <s v="Very High"/>
    <n v="1"/>
    <n v="0"/>
    <n v="0"/>
    <n v="0"/>
  </r>
  <r>
    <n v="20"/>
    <x v="4"/>
    <x v="0"/>
    <x v="0"/>
    <n v="129"/>
    <x v="1"/>
    <n v="4"/>
    <x v="0"/>
    <n v="3"/>
    <s v="Bachelor"/>
    <s v="Technical Degree"/>
    <n v="960"/>
    <n v="1"/>
    <x v="2"/>
    <s v="Male"/>
    <n v="84"/>
    <n v="3"/>
    <s v="High"/>
    <n v="1"/>
    <x v="1"/>
    <x v="2"/>
    <n v="1"/>
    <s v="Low"/>
    <x v="0"/>
    <n v="2973"/>
    <n v="13008"/>
    <n v="1"/>
    <x v="1"/>
    <n v="19"/>
    <n v="3"/>
    <s v="Excellent"/>
    <n v="2"/>
    <s v="Medium"/>
    <n v="0"/>
    <n v="1"/>
    <n v="2"/>
    <n v="3"/>
    <s v="High"/>
    <n v="1"/>
    <n v="0"/>
    <n v="0"/>
    <n v="0"/>
  </r>
  <r>
    <n v="31"/>
    <x v="2"/>
    <x v="1"/>
    <x v="0"/>
    <n v="616"/>
    <x v="1"/>
    <n v="12"/>
    <x v="2"/>
    <n v="3"/>
    <s v="Bachelor"/>
    <s v="Medical"/>
    <n v="961"/>
    <n v="4"/>
    <x v="3"/>
    <s v="Female"/>
    <n v="41"/>
    <n v="3"/>
    <s v="High"/>
    <n v="2"/>
    <x v="0"/>
    <x v="4"/>
    <n v="4"/>
    <s v="Very High"/>
    <x v="1"/>
    <n v="5855"/>
    <n v="17369"/>
    <n v="0"/>
    <x v="0"/>
    <n v="11"/>
    <n v="3"/>
    <s v="Excellent"/>
    <n v="3"/>
    <s v="High"/>
    <n v="2"/>
    <n v="10"/>
    <n v="2"/>
    <n v="1"/>
    <s v="Low"/>
    <n v="9"/>
    <n v="7"/>
    <n v="8"/>
    <n v="5"/>
  </r>
  <r>
    <n v="40"/>
    <x v="0"/>
    <x v="1"/>
    <x v="1"/>
    <n v="1469"/>
    <x v="1"/>
    <n v="9"/>
    <x v="0"/>
    <n v="4"/>
    <s v="Master"/>
    <s v="Medical"/>
    <n v="964"/>
    <n v="4"/>
    <x v="3"/>
    <s v="Male"/>
    <n v="35"/>
    <n v="3"/>
    <s v="High"/>
    <n v="1"/>
    <x v="1"/>
    <x v="1"/>
    <n v="2"/>
    <s v="Medium"/>
    <x v="2"/>
    <n v="3617"/>
    <n v="25063"/>
    <n v="8"/>
    <x v="0"/>
    <n v="14"/>
    <n v="3"/>
    <s v="Excellent"/>
    <n v="4"/>
    <s v="Very High"/>
    <n v="1"/>
    <n v="3"/>
    <n v="2"/>
    <n v="3"/>
    <s v="High"/>
    <n v="1"/>
    <n v="1"/>
    <n v="0"/>
    <n v="0"/>
  </r>
  <r>
    <n v="32"/>
    <x v="2"/>
    <x v="1"/>
    <x v="0"/>
    <n v="498"/>
    <x v="1"/>
    <n v="3"/>
    <x v="0"/>
    <n v="4"/>
    <s v="Master"/>
    <s v="Medical"/>
    <n v="966"/>
    <n v="3"/>
    <x v="1"/>
    <s v="Female"/>
    <n v="93"/>
    <n v="3"/>
    <s v="High"/>
    <n v="2"/>
    <x v="0"/>
    <x v="3"/>
    <n v="1"/>
    <s v="Low"/>
    <x v="1"/>
    <n v="6725"/>
    <n v="13554"/>
    <n v="1"/>
    <x v="1"/>
    <n v="12"/>
    <n v="3"/>
    <s v="Excellent"/>
    <n v="3"/>
    <s v="High"/>
    <n v="1"/>
    <n v="8"/>
    <n v="2"/>
    <n v="4"/>
    <s v="Very High"/>
    <n v="8"/>
    <n v="7"/>
    <n v="6"/>
    <n v="3"/>
  </r>
  <r>
    <n v="36"/>
    <x v="0"/>
    <x v="0"/>
    <x v="0"/>
    <n v="530"/>
    <x v="0"/>
    <n v="3"/>
    <x v="0"/>
    <n v="1"/>
    <s v="Below College"/>
    <s v="Life Sciences"/>
    <n v="967"/>
    <n v="3"/>
    <x v="1"/>
    <s v="Male"/>
    <n v="51"/>
    <n v="2"/>
    <s v="Medium"/>
    <n v="3"/>
    <x v="2"/>
    <x v="0"/>
    <n v="4"/>
    <s v="Very High"/>
    <x v="1"/>
    <n v="10325"/>
    <n v="5518"/>
    <n v="1"/>
    <x v="0"/>
    <n v="11"/>
    <n v="3"/>
    <s v="Excellent"/>
    <n v="1"/>
    <s v="Low"/>
    <n v="1"/>
    <n v="16"/>
    <n v="6"/>
    <n v="3"/>
    <s v="High"/>
    <n v="16"/>
    <n v="7"/>
    <n v="3"/>
    <n v="7"/>
  </r>
  <r>
    <n v="33"/>
    <x v="2"/>
    <x v="1"/>
    <x v="0"/>
    <n v="1069"/>
    <x v="1"/>
    <n v="1"/>
    <x v="0"/>
    <n v="3"/>
    <s v="Bachelor"/>
    <s v="Life Sciences"/>
    <n v="969"/>
    <n v="2"/>
    <x v="0"/>
    <s v="Female"/>
    <n v="42"/>
    <n v="2"/>
    <s v="Medium"/>
    <n v="2"/>
    <x v="0"/>
    <x v="4"/>
    <n v="4"/>
    <s v="Very High"/>
    <x v="0"/>
    <n v="6949"/>
    <n v="12291"/>
    <n v="0"/>
    <x v="1"/>
    <n v="14"/>
    <n v="3"/>
    <s v="Excellent"/>
    <n v="1"/>
    <s v="Low"/>
    <n v="0"/>
    <n v="6"/>
    <n v="3"/>
    <n v="3"/>
    <s v="High"/>
    <n v="5"/>
    <n v="0"/>
    <n v="1"/>
    <n v="4"/>
  </r>
  <r>
    <n v="37"/>
    <x v="0"/>
    <x v="0"/>
    <x v="0"/>
    <n v="625"/>
    <x v="0"/>
    <n v="1"/>
    <x v="0"/>
    <n v="4"/>
    <s v="Master"/>
    <s v="Life Sciences"/>
    <n v="970"/>
    <n v="1"/>
    <x v="2"/>
    <s v="Male"/>
    <n v="46"/>
    <n v="2"/>
    <s v="Medium"/>
    <n v="3"/>
    <x v="2"/>
    <x v="0"/>
    <n v="3"/>
    <s v="High"/>
    <x v="1"/>
    <n v="10609"/>
    <n v="14922"/>
    <n v="5"/>
    <x v="1"/>
    <n v="11"/>
    <n v="3"/>
    <s v="Excellent"/>
    <n v="3"/>
    <s v="High"/>
    <n v="0"/>
    <n v="17"/>
    <n v="2"/>
    <n v="1"/>
    <s v="Low"/>
    <n v="14"/>
    <n v="1"/>
    <n v="11"/>
    <n v="7"/>
  </r>
  <r>
    <n v="45"/>
    <x v="0"/>
    <x v="1"/>
    <x v="2"/>
    <n v="805"/>
    <x v="1"/>
    <n v="4"/>
    <x v="0"/>
    <n v="2"/>
    <s v="College"/>
    <s v="Life Sciences"/>
    <n v="972"/>
    <n v="3"/>
    <x v="1"/>
    <s v="Male"/>
    <n v="57"/>
    <n v="3"/>
    <s v="High"/>
    <n v="2"/>
    <x v="0"/>
    <x v="2"/>
    <n v="2"/>
    <s v="Medium"/>
    <x v="1"/>
    <n v="4447"/>
    <n v="23163"/>
    <n v="1"/>
    <x v="1"/>
    <n v="12"/>
    <n v="3"/>
    <s v="Excellent"/>
    <n v="2"/>
    <s v="Medium"/>
    <n v="0"/>
    <n v="9"/>
    <n v="5"/>
    <n v="2"/>
    <s v="Medium"/>
    <n v="9"/>
    <n v="7"/>
    <n v="0"/>
    <n v="8"/>
  </r>
  <r>
    <n v="29"/>
    <x v="2"/>
    <x v="1"/>
    <x v="1"/>
    <n v="1404"/>
    <x v="0"/>
    <n v="20"/>
    <x v="2"/>
    <n v="3"/>
    <s v="Bachelor"/>
    <s v="Technical Degree"/>
    <n v="974"/>
    <n v="3"/>
    <x v="1"/>
    <s v="Female"/>
    <n v="84"/>
    <n v="3"/>
    <s v="High"/>
    <n v="1"/>
    <x v="1"/>
    <x v="6"/>
    <n v="4"/>
    <s v="Very High"/>
    <x v="1"/>
    <n v="2157"/>
    <n v="18203"/>
    <n v="1"/>
    <x v="1"/>
    <n v="15"/>
    <n v="3"/>
    <s v="Excellent"/>
    <n v="2"/>
    <s v="Medium"/>
    <n v="1"/>
    <n v="3"/>
    <n v="5"/>
    <n v="3"/>
    <s v="High"/>
    <n v="3"/>
    <n v="1"/>
    <n v="0"/>
    <n v="2"/>
  </r>
  <r>
    <n v="35"/>
    <x v="2"/>
    <x v="1"/>
    <x v="0"/>
    <n v="1219"/>
    <x v="0"/>
    <n v="18"/>
    <x v="2"/>
    <n v="3"/>
    <s v="Bachelor"/>
    <s v="Medical"/>
    <n v="975"/>
    <n v="3"/>
    <x v="1"/>
    <s v="Female"/>
    <n v="86"/>
    <n v="3"/>
    <s v="High"/>
    <n v="2"/>
    <x v="0"/>
    <x v="0"/>
    <n v="3"/>
    <s v="High"/>
    <x v="1"/>
    <n v="4601"/>
    <n v="6179"/>
    <n v="1"/>
    <x v="1"/>
    <n v="16"/>
    <n v="3"/>
    <s v="Excellent"/>
    <n v="2"/>
    <s v="Medium"/>
    <n v="0"/>
    <n v="5"/>
    <n v="3"/>
    <n v="3"/>
    <s v="High"/>
    <n v="5"/>
    <n v="2"/>
    <n v="1"/>
    <n v="0"/>
  </r>
  <r>
    <n v="52"/>
    <x v="1"/>
    <x v="1"/>
    <x v="0"/>
    <n v="1053"/>
    <x v="1"/>
    <n v="1"/>
    <x v="0"/>
    <n v="2"/>
    <s v="College"/>
    <s v="Life Sciences"/>
    <n v="976"/>
    <n v="4"/>
    <x v="3"/>
    <s v="Male"/>
    <n v="70"/>
    <n v="3"/>
    <s v="High"/>
    <n v="4"/>
    <x v="3"/>
    <x v="5"/>
    <n v="4"/>
    <s v="Very High"/>
    <x v="1"/>
    <n v="17099"/>
    <n v="13829"/>
    <n v="2"/>
    <x v="1"/>
    <n v="15"/>
    <n v="3"/>
    <s v="Excellent"/>
    <n v="2"/>
    <s v="Medium"/>
    <n v="1"/>
    <n v="26"/>
    <n v="2"/>
    <n v="2"/>
    <s v="Medium"/>
    <n v="9"/>
    <n v="8"/>
    <n v="7"/>
    <n v="8"/>
  </r>
  <r>
    <n v="58"/>
    <x v="3"/>
    <x v="0"/>
    <x v="0"/>
    <n v="289"/>
    <x v="1"/>
    <n v="2"/>
    <x v="0"/>
    <n v="3"/>
    <s v="Bachelor"/>
    <s v="Technical Degree"/>
    <n v="977"/>
    <n v="4"/>
    <x v="3"/>
    <s v="Male"/>
    <n v="51"/>
    <n v="3"/>
    <s v="High"/>
    <n v="1"/>
    <x v="1"/>
    <x v="1"/>
    <n v="3"/>
    <s v="High"/>
    <x v="0"/>
    <n v="2479"/>
    <n v="26227"/>
    <n v="4"/>
    <x v="1"/>
    <n v="24"/>
    <n v="4"/>
    <s v="Outstanding"/>
    <n v="1"/>
    <s v="Low"/>
    <n v="0"/>
    <n v="7"/>
    <n v="4"/>
    <n v="3"/>
    <s v="High"/>
    <n v="1"/>
    <n v="0"/>
    <n v="0"/>
    <n v="0"/>
  </r>
  <r>
    <n v="53"/>
    <x v="1"/>
    <x v="1"/>
    <x v="0"/>
    <n v="1376"/>
    <x v="0"/>
    <n v="2"/>
    <x v="0"/>
    <n v="2"/>
    <s v="College"/>
    <s v="Medical"/>
    <n v="981"/>
    <n v="3"/>
    <x v="1"/>
    <s v="Male"/>
    <n v="45"/>
    <n v="3"/>
    <s v="High"/>
    <n v="4"/>
    <x v="3"/>
    <x v="5"/>
    <n v="3"/>
    <s v="High"/>
    <x v="2"/>
    <n v="14852"/>
    <n v="13938"/>
    <n v="6"/>
    <x v="1"/>
    <n v="13"/>
    <n v="3"/>
    <s v="Excellent"/>
    <n v="3"/>
    <s v="High"/>
    <n v="1"/>
    <n v="22"/>
    <n v="3"/>
    <n v="4"/>
    <s v="Very High"/>
    <n v="17"/>
    <n v="13"/>
    <n v="15"/>
    <n v="2"/>
  </r>
  <r>
    <n v="30"/>
    <x v="2"/>
    <x v="1"/>
    <x v="0"/>
    <n v="231"/>
    <x v="0"/>
    <n v="8"/>
    <x v="0"/>
    <n v="2"/>
    <s v="College"/>
    <s v="Other"/>
    <n v="982"/>
    <n v="3"/>
    <x v="1"/>
    <s v="Male"/>
    <n v="62"/>
    <n v="3"/>
    <s v="High"/>
    <n v="3"/>
    <x v="2"/>
    <x v="0"/>
    <n v="3"/>
    <s v="High"/>
    <x v="2"/>
    <n v="7264"/>
    <n v="9977"/>
    <n v="5"/>
    <x v="1"/>
    <n v="11"/>
    <n v="3"/>
    <s v="Excellent"/>
    <n v="1"/>
    <s v="Low"/>
    <n v="1"/>
    <n v="10"/>
    <n v="2"/>
    <n v="4"/>
    <s v="Very High"/>
    <n v="8"/>
    <n v="4"/>
    <n v="7"/>
    <n v="7"/>
  </r>
  <r>
    <n v="38"/>
    <x v="0"/>
    <x v="1"/>
    <x v="2"/>
    <n v="152"/>
    <x v="0"/>
    <n v="10"/>
    <x v="0"/>
    <n v="3"/>
    <s v="Bachelor"/>
    <s v="Technical Degree"/>
    <n v="983"/>
    <n v="3"/>
    <x v="1"/>
    <s v="Female"/>
    <n v="85"/>
    <n v="3"/>
    <s v="High"/>
    <n v="2"/>
    <x v="0"/>
    <x v="0"/>
    <n v="4"/>
    <s v="Very High"/>
    <x v="0"/>
    <n v="5666"/>
    <n v="19899"/>
    <n v="1"/>
    <x v="0"/>
    <n v="13"/>
    <n v="3"/>
    <s v="Excellent"/>
    <n v="2"/>
    <s v="Medium"/>
    <n v="0"/>
    <n v="6"/>
    <n v="1"/>
    <n v="3"/>
    <s v="High"/>
    <n v="5"/>
    <n v="3"/>
    <n v="1"/>
    <n v="3"/>
  </r>
  <r>
    <n v="35"/>
    <x v="2"/>
    <x v="1"/>
    <x v="0"/>
    <n v="882"/>
    <x v="0"/>
    <n v="3"/>
    <x v="0"/>
    <n v="4"/>
    <s v="Master"/>
    <s v="Life Sciences"/>
    <n v="984"/>
    <n v="4"/>
    <x v="3"/>
    <s v="Male"/>
    <n v="92"/>
    <n v="3"/>
    <s v="High"/>
    <n v="3"/>
    <x v="2"/>
    <x v="0"/>
    <n v="4"/>
    <s v="Very High"/>
    <x v="2"/>
    <n v="7823"/>
    <n v="6812"/>
    <n v="6"/>
    <x v="1"/>
    <n v="13"/>
    <n v="3"/>
    <s v="Excellent"/>
    <n v="2"/>
    <s v="Medium"/>
    <n v="1"/>
    <n v="12"/>
    <n v="2"/>
    <n v="3"/>
    <s v="High"/>
    <n v="10"/>
    <n v="9"/>
    <n v="0"/>
    <n v="8"/>
  </r>
  <r>
    <n v="39"/>
    <x v="0"/>
    <x v="1"/>
    <x v="0"/>
    <n v="903"/>
    <x v="0"/>
    <n v="2"/>
    <x v="0"/>
    <n v="5"/>
    <s v="Doctor"/>
    <s v="Life Sciences"/>
    <n v="985"/>
    <n v="1"/>
    <x v="2"/>
    <s v="Male"/>
    <n v="41"/>
    <n v="4"/>
    <s v="Very High"/>
    <n v="3"/>
    <x v="2"/>
    <x v="0"/>
    <n v="3"/>
    <s v="High"/>
    <x v="0"/>
    <n v="7880"/>
    <n v="2560"/>
    <n v="0"/>
    <x v="1"/>
    <n v="18"/>
    <n v="3"/>
    <s v="Excellent"/>
    <n v="4"/>
    <s v="Very High"/>
    <n v="0"/>
    <n v="9"/>
    <n v="3"/>
    <n v="3"/>
    <s v="High"/>
    <n v="8"/>
    <n v="7"/>
    <n v="0"/>
    <n v="7"/>
  </r>
  <r>
    <n v="40"/>
    <x v="0"/>
    <x v="0"/>
    <x v="2"/>
    <n v="1479"/>
    <x v="0"/>
    <n v="24"/>
    <x v="1"/>
    <n v="3"/>
    <s v="Bachelor"/>
    <s v="Life Sciences"/>
    <n v="986"/>
    <n v="2"/>
    <x v="0"/>
    <s v="Female"/>
    <n v="100"/>
    <n v="4"/>
    <s v="Very High"/>
    <n v="4"/>
    <x v="3"/>
    <x v="0"/>
    <n v="2"/>
    <s v="Medium"/>
    <x v="0"/>
    <n v="13194"/>
    <n v="17071"/>
    <n v="4"/>
    <x v="0"/>
    <n v="16"/>
    <n v="3"/>
    <s v="Excellent"/>
    <n v="4"/>
    <s v="Very High"/>
    <n v="0"/>
    <n v="22"/>
    <n v="2"/>
    <n v="2"/>
    <s v="Medium"/>
    <n v="1"/>
    <n v="0"/>
    <n v="0"/>
    <n v="0"/>
  </r>
  <r>
    <n v="47"/>
    <x v="1"/>
    <x v="1"/>
    <x v="1"/>
    <n v="1379"/>
    <x v="1"/>
    <n v="16"/>
    <x v="2"/>
    <n v="4"/>
    <s v="Master"/>
    <s v="Medical"/>
    <n v="987"/>
    <n v="3"/>
    <x v="1"/>
    <s v="Male"/>
    <n v="64"/>
    <n v="4"/>
    <s v="Very High"/>
    <n v="2"/>
    <x v="0"/>
    <x v="3"/>
    <n v="3"/>
    <s v="High"/>
    <x v="2"/>
    <n v="5067"/>
    <n v="6759"/>
    <n v="1"/>
    <x v="0"/>
    <n v="19"/>
    <n v="3"/>
    <s v="Excellent"/>
    <n v="3"/>
    <s v="High"/>
    <n v="0"/>
    <n v="20"/>
    <n v="3"/>
    <n v="4"/>
    <s v="Very High"/>
    <n v="19"/>
    <n v="10"/>
    <n v="2"/>
    <n v="7"/>
  </r>
  <r>
    <n v="36"/>
    <x v="0"/>
    <x v="1"/>
    <x v="2"/>
    <n v="1229"/>
    <x v="0"/>
    <n v="8"/>
    <x v="0"/>
    <n v="4"/>
    <s v="Master"/>
    <s v="Technical Degree"/>
    <n v="990"/>
    <n v="1"/>
    <x v="2"/>
    <s v="Male"/>
    <n v="84"/>
    <n v="3"/>
    <s v="High"/>
    <n v="2"/>
    <x v="0"/>
    <x v="0"/>
    <n v="4"/>
    <s v="Very High"/>
    <x v="2"/>
    <n v="5079"/>
    <n v="25952"/>
    <n v="4"/>
    <x v="1"/>
    <n v="13"/>
    <n v="3"/>
    <s v="Excellent"/>
    <n v="4"/>
    <s v="Very High"/>
    <n v="2"/>
    <n v="12"/>
    <n v="3"/>
    <n v="3"/>
    <s v="High"/>
    <n v="7"/>
    <n v="7"/>
    <n v="0"/>
    <n v="7"/>
  </r>
  <r>
    <n v="31"/>
    <x v="2"/>
    <x v="0"/>
    <x v="2"/>
    <n v="335"/>
    <x v="1"/>
    <n v="9"/>
    <x v="0"/>
    <n v="2"/>
    <s v="College"/>
    <s v="Medical"/>
    <n v="991"/>
    <n v="3"/>
    <x v="1"/>
    <s v="Male"/>
    <n v="46"/>
    <n v="2"/>
    <s v="Medium"/>
    <n v="1"/>
    <x v="1"/>
    <x v="1"/>
    <n v="1"/>
    <s v="Low"/>
    <x v="0"/>
    <n v="2321"/>
    <n v="10322"/>
    <n v="0"/>
    <x v="0"/>
    <n v="22"/>
    <n v="4"/>
    <s v="Outstanding"/>
    <n v="1"/>
    <s v="Low"/>
    <n v="0"/>
    <n v="4"/>
    <n v="0"/>
    <n v="3"/>
    <s v="High"/>
    <n v="3"/>
    <n v="2"/>
    <n v="1"/>
    <n v="2"/>
  </r>
  <r>
    <n v="33"/>
    <x v="2"/>
    <x v="1"/>
    <x v="2"/>
    <n v="722"/>
    <x v="0"/>
    <n v="17"/>
    <x v="2"/>
    <n v="3"/>
    <s v="Bachelor"/>
    <s v="Life Sciences"/>
    <n v="992"/>
    <n v="4"/>
    <x v="3"/>
    <s v="Male"/>
    <n v="38"/>
    <n v="3"/>
    <s v="High"/>
    <n v="4"/>
    <x v="3"/>
    <x v="5"/>
    <n v="3"/>
    <s v="High"/>
    <x v="0"/>
    <n v="17444"/>
    <n v="20489"/>
    <n v="1"/>
    <x v="1"/>
    <n v="11"/>
    <n v="3"/>
    <s v="Excellent"/>
    <n v="4"/>
    <s v="Very High"/>
    <n v="0"/>
    <n v="10"/>
    <n v="2"/>
    <n v="3"/>
    <s v="High"/>
    <n v="10"/>
    <n v="8"/>
    <n v="6"/>
    <n v="0"/>
  </r>
  <r>
    <n v="29"/>
    <x v="2"/>
    <x v="0"/>
    <x v="0"/>
    <n v="906"/>
    <x v="1"/>
    <n v="10"/>
    <x v="0"/>
    <n v="3"/>
    <s v="Bachelor"/>
    <s v="Life Sciences"/>
    <n v="994"/>
    <n v="4"/>
    <x v="3"/>
    <s v="Female"/>
    <n v="92"/>
    <n v="2"/>
    <s v="Medium"/>
    <n v="1"/>
    <x v="1"/>
    <x v="1"/>
    <n v="1"/>
    <s v="Low"/>
    <x v="0"/>
    <n v="2404"/>
    <n v="11479"/>
    <n v="6"/>
    <x v="0"/>
    <n v="20"/>
    <n v="4"/>
    <s v="Outstanding"/>
    <n v="3"/>
    <s v="High"/>
    <n v="0"/>
    <n v="3"/>
    <n v="5"/>
    <n v="3"/>
    <s v="High"/>
    <n v="0"/>
    <n v="0"/>
    <n v="0"/>
    <n v="0"/>
  </r>
  <r>
    <n v="33"/>
    <x v="2"/>
    <x v="1"/>
    <x v="0"/>
    <n v="461"/>
    <x v="1"/>
    <n v="13"/>
    <x v="2"/>
    <n v="1"/>
    <s v="Below College"/>
    <s v="Life Sciences"/>
    <n v="995"/>
    <n v="2"/>
    <x v="0"/>
    <s v="Female"/>
    <n v="53"/>
    <n v="3"/>
    <s v="High"/>
    <n v="1"/>
    <x v="1"/>
    <x v="1"/>
    <n v="4"/>
    <s v="Very High"/>
    <x v="0"/>
    <n v="3452"/>
    <n v="17241"/>
    <n v="3"/>
    <x v="1"/>
    <n v="18"/>
    <n v="3"/>
    <s v="Excellent"/>
    <n v="1"/>
    <s v="Low"/>
    <n v="0"/>
    <n v="5"/>
    <n v="4"/>
    <n v="3"/>
    <s v="High"/>
    <n v="3"/>
    <n v="2"/>
    <n v="0"/>
    <n v="2"/>
  </r>
  <r>
    <n v="45"/>
    <x v="0"/>
    <x v="1"/>
    <x v="0"/>
    <n v="974"/>
    <x v="1"/>
    <n v="1"/>
    <x v="0"/>
    <n v="4"/>
    <s v="Master"/>
    <s v="Medical"/>
    <n v="996"/>
    <n v="4"/>
    <x v="3"/>
    <s v="Female"/>
    <n v="91"/>
    <n v="3"/>
    <s v="High"/>
    <n v="1"/>
    <x v="1"/>
    <x v="2"/>
    <n v="4"/>
    <s v="Very High"/>
    <x v="2"/>
    <n v="2270"/>
    <n v="11005"/>
    <n v="3"/>
    <x v="1"/>
    <n v="14"/>
    <n v="3"/>
    <s v="Excellent"/>
    <n v="4"/>
    <s v="Very High"/>
    <n v="2"/>
    <n v="8"/>
    <n v="2"/>
    <n v="3"/>
    <s v="High"/>
    <n v="5"/>
    <n v="3"/>
    <n v="0"/>
    <n v="2"/>
  </r>
  <r>
    <n v="50"/>
    <x v="1"/>
    <x v="1"/>
    <x v="0"/>
    <n v="1126"/>
    <x v="1"/>
    <n v="1"/>
    <x v="0"/>
    <n v="2"/>
    <s v="College"/>
    <s v="Medical"/>
    <n v="997"/>
    <n v="4"/>
    <x v="3"/>
    <s v="Male"/>
    <n v="66"/>
    <n v="3"/>
    <s v="High"/>
    <n v="4"/>
    <x v="3"/>
    <x v="7"/>
    <n v="4"/>
    <s v="Very High"/>
    <x v="2"/>
    <n v="17399"/>
    <n v="6615"/>
    <n v="9"/>
    <x v="1"/>
    <n v="22"/>
    <n v="4"/>
    <s v="Outstanding"/>
    <n v="3"/>
    <s v="High"/>
    <n v="1"/>
    <n v="32"/>
    <n v="1"/>
    <n v="2"/>
    <s v="Medium"/>
    <n v="5"/>
    <n v="4"/>
    <n v="1"/>
    <n v="3"/>
  </r>
  <r>
    <n v="33"/>
    <x v="2"/>
    <x v="1"/>
    <x v="1"/>
    <n v="827"/>
    <x v="1"/>
    <n v="1"/>
    <x v="0"/>
    <n v="4"/>
    <s v="Master"/>
    <s v="Other"/>
    <n v="998"/>
    <n v="3"/>
    <x v="1"/>
    <s v="Female"/>
    <n v="84"/>
    <n v="4"/>
    <s v="Very High"/>
    <n v="2"/>
    <x v="0"/>
    <x v="4"/>
    <n v="2"/>
    <s v="Medium"/>
    <x v="1"/>
    <n v="5488"/>
    <n v="20161"/>
    <n v="1"/>
    <x v="0"/>
    <n v="13"/>
    <n v="3"/>
    <s v="Excellent"/>
    <n v="1"/>
    <s v="Low"/>
    <n v="1"/>
    <n v="6"/>
    <n v="2"/>
    <n v="3"/>
    <s v="High"/>
    <n v="6"/>
    <n v="5"/>
    <n v="1"/>
    <n v="2"/>
  </r>
  <r>
    <n v="41"/>
    <x v="0"/>
    <x v="1"/>
    <x v="1"/>
    <n v="840"/>
    <x v="1"/>
    <n v="9"/>
    <x v="0"/>
    <n v="3"/>
    <s v="Bachelor"/>
    <s v="Medical"/>
    <n v="999"/>
    <n v="1"/>
    <x v="2"/>
    <s v="Male"/>
    <n v="64"/>
    <n v="3"/>
    <s v="High"/>
    <n v="5"/>
    <x v="4"/>
    <x v="7"/>
    <n v="3"/>
    <s v="High"/>
    <x v="2"/>
    <n v="19419"/>
    <n v="3735"/>
    <n v="2"/>
    <x v="1"/>
    <n v="17"/>
    <n v="3"/>
    <s v="Excellent"/>
    <n v="2"/>
    <s v="Medium"/>
    <n v="1"/>
    <n v="21"/>
    <n v="2"/>
    <n v="4"/>
    <s v="Very High"/>
    <n v="18"/>
    <n v="16"/>
    <n v="0"/>
    <n v="11"/>
  </r>
  <r>
    <n v="27"/>
    <x v="2"/>
    <x v="1"/>
    <x v="0"/>
    <n v="1134"/>
    <x v="1"/>
    <n v="16"/>
    <x v="2"/>
    <n v="4"/>
    <s v="Master"/>
    <s v="Technical Degree"/>
    <n v="1001"/>
    <n v="3"/>
    <x v="1"/>
    <s v="Female"/>
    <n v="37"/>
    <n v="3"/>
    <s v="High"/>
    <n v="1"/>
    <x v="1"/>
    <x v="2"/>
    <n v="2"/>
    <s v="Medium"/>
    <x v="1"/>
    <n v="2811"/>
    <n v="12086"/>
    <n v="9"/>
    <x v="1"/>
    <n v="14"/>
    <n v="3"/>
    <s v="Excellent"/>
    <n v="2"/>
    <s v="Medium"/>
    <n v="1"/>
    <n v="4"/>
    <n v="2"/>
    <n v="3"/>
    <s v="High"/>
    <n v="2"/>
    <n v="2"/>
    <n v="2"/>
    <n v="2"/>
  </r>
  <r>
    <n v="45"/>
    <x v="0"/>
    <x v="1"/>
    <x v="2"/>
    <n v="248"/>
    <x v="1"/>
    <n v="23"/>
    <x v="1"/>
    <n v="2"/>
    <s v="College"/>
    <s v="Life Sciences"/>
    <n v="1002"/>
    <n v="4"/>
    <x v="3"/>
    <s v="Male"/>
    <n v="42"/>
    <n v="3"/>
    <s v="High"/>
    <n v="2"/>
    <x v="0"/>
    <x v="2"/>
    <n v="1"/>
    <s v="Low"/>
    <x v="1"/>
    <n v="3633"/>
    <n v="14039"/>
    <n v="1"/>
    <x v="0"/>
    <n v="15"/>
    <n v="3"/>
    <s v="Excellent"/>
    <n v="3"/>
    <s v="High"/>
    <n v="1"/>
    <n v="9"/>
    <n v="2"/>
    <n v="3"/>
    <s v="High"/>
    <n v="9"/>
    <n v="8"/>
    <n v="0"/>
    <n v="8"/>
  </r>
  <r>
    <n v="47"/>
    <x v="1"/>
    <x v="1"/>
    <x v="0"/>
    <n v="955"/>
    <x v="0"/>
    <n v="4"/>
    <x v="0"/>
    <n v="2"/>
    <s v="College"/>
    <s v="Life Sciences"/>
    <n v="1003"/>
    <n v="4"/>
    <x v="3"/>
    <s v="Female"/>
    <n v="83"/>
    <n v="3"/>
    <s v="High"/>
    <n v="2"/>
    <x v="0"/>
    <x v="0"/>
    <n v="4"/>
    <s v="Very High"/>
    <x v="0"/>
    <n v="4163"/>
    <n v="8571"/>
    <n v="1"/>
    <x v="0"/>
    <n v="17"/>
    <n v="3"/>
    <s v="Excellent"/>
    <n v="3"/>
    <s v="High"/>
    <n v="0"/>
    <n v="9"/>
    <n v="0"/>
    <n v="3"/>
    <s v="High"/>
    <n v="9"/>
    <n v="0"/>
    <n v="0"/>
    <n v="7"/>
  </r>
  <r>
    <n v="30"/>
    <x v="2"/>
    <x v="0"/>
    <x v="0"/>
    <n v="138"/>
    <x v="1"/>
    <n v="22"/>
    <x v="1"/>
    <n v="3"/>
    <s v="Bachelor"/>
    <s v="Life Sciences"/>
    <n v="1004"/>
    <n v="1"/>
    <x v="2"/>
    <s v="Female"/>
    <n v="48"/>
    <n v="3"/>
    <s v="High"/>
    <n v="1"/>
    <x v="1"/>
    <x v="1"/>
    <n v="3"/>
    <s v="High"/>
    <x v="1"/>
    <n v="2132"/>
    <n v="11539"/>
    <n v="4"/>
    <x v="0"/>
    <n v="11"/>
    <n v="3"/>
    <s v="Excellent"/>
    <n v="2"/>
    <s v="Medium"/>
    <n v="0"/>
    <n v="7"/>
    <n v="2"/>
    <n v="3"/>
    <s v="High"/>
    <n v="5"/>
    <n v="2"/>
    <n v="0"/>
    <n v="1"/>
  </r>
  <r>
    <n v="50"/>
    <x v="1"/>
    <x v="1"/>
    <x v="0"/>
    <n v="939"/>
    <x v="1"/>
    <n v="24"/>
    <x v="1"/>
    <n v="3"/>
    <s v="Bachelor"/>
    <s v="Life Sciences"/>
    <n v="1005"/>
    <n v="4"/>
    <x v="3"/>
    <s v="Male"/>
    <n v="95"/>
    <n v="3"/>
    <s v="High"/>
    <n v="4"/>
    <x v="3"/>
    <x v="3"/>
    <n v="3"/>
    <s v="High"/>
    <x v="1"/>
    <n v="13973"/>
    <n v="4161"/>
    <n v="3"/>
    <x v="0"/>
    <n v="18"/>
    <n v="3"/>
    <s v="Excellent"/>
    <n v="4"/>
    <s v="Very High"/>
    <n v="1"/>
    <n v="22"/>
    <n v="2"/>
    <n v="3"/>
    <s v="High"/>
    <n v="12"/>
    <n v="11"/>
    <n v="1"/>
    <n v="5"/>
  </r>
  <r>
    <n v="38"/>
    <x v="0"/>
    <x v="1"/>
    <x v="1"/>
    <n v="1391"/>
    <x v="1"/>
    <n v="10"/>
    <x v="0"/>
    <n v="1"/>
    <s v="Below College"/>
    <s v="Medical"/>
    <n v="1006"/>
    <n v="3"/>
    <x v="1"/>
    <s v="Male"/>
    <n v="66"/>
    <n v="3"/>
    <s v="High"/>
    <n v="1"/>
    <x v="1"/>
    <x v="1"/>
    <n v="3"/>
    <s v="High"/>
    <x v="1"/>
    <n v="2684"/>
    <n v="12127"/>
    <n v="0"/>
    <x v="1"/>
    <n v="17"/>
    <n v="3"/>
    <s v="Excellent"/>
    <n v="2"/>
    <s v="Medium"/>
    <n v="1"/>
    <n v="3"/>
    <n v="0"/>
    <n v="2"/>
    <s v="Medium"/>
    <n v="2"/>
    <n v="1"/>
    <n v="0"/>
    <n v="2"/>
  </r>
  <r>
    <n v="46"/>
    <x v="1"/>
    <x v="1"/>
    <x v="0"/>
    <n v="566"/>
    <x v="1"/>
    <n v="7"/>
    <x v="0"/>
    <n v="2"/>
    <s v="College"/>
    <s v="Medical"/>
    <n v="1007"/>
    <n v="4"/>
    <x v="3"/>
    <s v="Male"/>
    <n v="75"/>
    <n v="3"/>
    <s v="High"/>
    <n v="3"/>
    <x v="2"/>
    <x v="3"/>
    <n v="3"/>
    <s v="High"/>
    <x v="2"/>
    <n v="10845"/>
    <n v="24208"/>
    <n v="6"/>
    <x v="1"/>
    <n v="13"/>
    <n v="3"/>
    <s v="Excellent"/>
    <n v="2"/>
    <s v="Medium"/>
    <n v="1"/>
    <n v="13"/>
    <n v="3"/>
    <n v="3"/>
    <s v="High"/>
    <n v="8"/>
    <n v="7"/>
    <n v="0"/>
    <n v="7"/>
  </r>
  <r>
    <n v="24"/>
    <x v="4"/>
    <x v="1"/>
    <x v="0"/>
    <n v="1206"/>
    <x v="1"/>
    <n v="17"/>
    <x v="2"/>
    <n v="1"/>
    <s v="Below College"/>
    <s v="Medical"/>
    <n v="1009"/>
    <n v="4"/>
    <x v="3"/>
    <s v="Female"/>
    <n v="41"/>
    <n v="2"/>
    <s v="Medium"/>
    <n v="2"/>
    <x v="0"/>
    <x v="3"/>
    <n v="3"/>
    <s v="High"/>
    <x v="2"/>
    <n v="4377"/>
    <n v="24117"/>
    <n v="1"/>
    <x v="1"/>
    <n v="15"/>
    <n v="3"/>
    <s v="Excellent"/>
    <n v="2"/>
    <s v="Medium"/>
    <n v="2"/>
    <n v="5"/>
    <n v="6"/>
    <n v="3"/>
    <s v="High"/>
    <n v="4"/>
    <n v="2"/>
    <n v="3"/>
    <n v="2"/>
  </r>
  <r>
    <n v="35"/>
    <x v="2"/>
    <x v="0"/>
    <x v="0"/>
    <n v="622"/>
    <x v="1"/>
    <n v="14"/>
    <x v="2"/>
    <n v="4"/>
    <s v="Master"/>
    <s v="Other"/>
    <n v="1010"/>
    <n v="3"/>
    <x v="1"/>
    <s v="Male"/>
    <n v="39"/>
    <n v="2"/>
    <s v="Medium"/>
    <n v="1"/>
    <x v="1"/>
    <x v="2"/>
    <n v="2"/>
    <s v="Medium"/>
    <x v="2"/>
    <n v="3743"/>
    <n v="10074"/>
    <n v="1"/>
    <x v="0"/>
    <n v="24"/>
    <n v="4"/>
    <s v="Outstanding"/>
    <n v="4"/>
    <s v="Very High"/>
    <n v="1"/>
    <n v="5"/>
    <n v="2"/>
    <n v="1"/>
    <s v="Low"/>
    <n v="4"/>
    <n v="2"/>
    <n v="0"/>
    <n v="2"/>
  </r>
  <r>
    <n v="31"/>
    <x v="2"/>
    <x v="1"/>
    <x v="1"/>
    <n v="853"/>
    <x v="1"/>
    <n v="1"/>
    <x v="0"/>
    <n v="1"/>
    <s v="Below College"/>
    <s v="Life Sciences"/>
    <n v="1011"/>
    <n v="3"/>
    <x v="1"/>
    <s v="Female"/>
    <n v="96"/>
    <n v="3"/>
    <s v="High"/>
    <n v="2"/>
    <x v="0"/>
    <x v="3"/>
    <n v="1"/>
    <s v="Low"/>
    <x v="1"/>
    <n v="4148"/>
    <n v="11275"/>
    <n v="1"/>
    <x v="1"/>
    <n v="12"/>
    <n v="3"/>
    <s v="Excellent"/>
    <n v="3"/>
    <s v="High"/>
    <n v="1"/>
    <n v="4"/>
    <n v="1"/>
    <n v="3"/>
    <s v="High"/>
    <n v="4"/>
    <n v="3"/>
    <n v="0"/>
    <n v="3"/>
  </r>
  <r>
    <n v="18"/>
    <x v="4"/>
    <x v="1"/>
    <x v="2"/>
    <n v="287"/>
    <x v="1"/>
    <n v="5"/>
    <x v="0"/>
    <n v="2"/>
    <s v="College"/>
    <s v="Life Sciences"/>
    <n v="1012"/>
    <n v="2"/>
    <x v="0"/>
    <s v="Male"/>
    <n v="73"/>
    <n v="3"/>
    <s v="High"/>
    <n v="1"/>
    <x v="1"/>
    <x v="1"/>
    <n v="4"/>
    <s v="Very High"/>
    <x v="0"/>
    <n v="1051"/>
    <n v="13493"/>
    <n v="1"/>
    <x v="1"/>
    <n v="15"/>
    <n v="3"/>
    <s v="Excellent"/>
    <n v="4"/>
    <s v="Very High"/>
    <n v="0"/>
    <n v="0"/>
    <n v="2"/>
    <n v="3"/>
    <s v="High"/>
    <n v="0"/>
    <n v="0"/>
    <n v="0"/>
    <n v="0"/>
  </r>
  <r>
    <n v="54"/>
    <x v="1"/>
    <x v="1"/>
    <x v="0"/>
    <n v="1441"/>
    <x v="1"/>
    <n v="17"/>
    <x v="2"/>
    <n v="3"/>
    <s v="Bachelor"/>
    <s v="Technical Degree"/>
    <n v="1013"/>
    <n v="3"/>
    <x v="1"/>
    <s v="Female"/>
    <n v="56"/>
    <n v="3"/>
    <s v="High"/>
    <n v="3"/>
    <x v="2"/>
    <x v="3"/>
    <n v="3"/>
    <s v="High"/>
    <x v="1"/>
    <n v="10739"/>
    <n v="13943"/>
    <n v="8"/>
    <x v="1"/>
    <n v="11"/>
    <n v="3"/>
    <s v="Excellent"/>
    <n v="3"/>
    <s v="High"/>
    <n v="1"/>
    <n v="22"/>
    <n v="2"/>
    <n v="3"/>
    <s v="High"/>
    <n v="10"/>
    <n v="7"/>
    <n v="0"/>
    <n v="8"/>
  </r>
  <r>
    <n v="35"/>
    <x v="2"/>
    <x v="1"/>
    <x v="0"/>
    <n v="583"/>
    <x v="1"/>
    <n v="25"/>
    <x v="1"/>
    <n v="4"/>
    <s v="Master"/>
    <s v="Medical"/>
    <n v="1014"/>
    <n v="3"/>
    <x v="1"/>
    <s v="Female"/>
    <n v="57"/>
    <n v="3"/>
    <s v="High"/>
    <n v="3"/>
    <x v="2"/>
    <x v="4"/>
    <n v="3"/>
    <s v="High"/>
    <x v="2"/>
    <n v="10388"/>
    <n v="6975"/>
    <n v="1"/>
    <x v="0"/>
    <n v="11"/>
    <n v="3"/>
    <s v="Excellent"/>
    <n v="3"/>
    <s v="High"/>
    <n v="1"/>
    <n v="16"/>
    <n v="3"/>
    <n v="2"/>
    <s v="Medium"/>
    <n v="16"/>
    <n v="10"/>
    <n v="10"/>
    <n v="1"/>
  </r>
  <r>
    <n v="30"/>
    <x v="2"/>
    <x v="1"/>
    <x v="0"/>
    <n v="153"/>
    <x v="1"/>
    <n v="8"/>
    <x v="0"/>
    <n v="2"/>
    <s v="College"/>
    <s v="Life Sciences"/>
    <n v="1015"/>
    <n v="2"/>
    <x v="0"/>
    <s v="Female"/>
    <n v="73"/>
    <n v="4"/>
    <s v="Very High"/>
    <n v="3"/>
    <x v="2"/>
    <x v="7"/>
    <n v="1"/>
    <s v="Low"/>
    <x v="1"/>
    <n v="11416"/>
    <n v="17802"/>
    <n v="0"/>
    <x v="0"/>
    <n v="12"/>
    <n v="3"/>
    <s v="Excellent"/>
    <n v="3"/>
    <s v="High"/>
    <n v="3"/>
    <n v="9"/>
    <n v="4"/>
    <n v="2"/>
    <s v="Medium"/>
    <n v="8"/>
    <n v="7"/>
    <n v="1"/>
    <n v="7"/>
  </r>
  <r>
    <n v="20"/>
    <x v="4"/>
    <x v="0"/>
    <x v="0"/>
    <n v="1097"/>
    <x v="1"/>
    <n v="11"/>
    <x v="2"/>
    <n v="3"/>
    <s v="Bachelor"/>
    <s v="Medical"/>
    <n v="1016"/>
    <n v="4"/>
    <x v="3"/>
    <s v="Female"/>
    <n v="98"/>
    <n v="2"/>
    <s v="Medium"/>
    <n v="1"/>
    <x v="1"/>
    <x v="1"/>
    <n v="1"/>
    <s v="Low"/>
    <x v="0"/>
    <n v="2600"/>
    <n v="18275"/>
    <n v="1"/>
    <x v="0"/>
    <n v="15"/>
    <n v="3"/>
    <s v="Excellent"/>
    <n v="1"/>
    <s v="Low"/>
    <n v="0"/>
    <n v="1"/>
    <n v="2"/>
    <n v="3"/>
    <s v="High"/>
    <n v="1"/>
    <n v="0"/>
    <n v="0"/>
    <n v="0"/>
  </r>
  <r>
    <n v="30"/>
    <x v="2"/>
    <x v="0"/>
    <x v="1"/>
    <n v="109"/>
    <x v="1"/>
    <n v="5"/>
    <x v="0"/>
    <n v="3"/>
    <s v="Bachelor"/>
    <s v="Medical"/>
    <n v="1017"/>
    <n v="2"/>
    <x v="0"/>
    <s v="Female"/>
    <n v="60"/>
    <n v="3"/>
    <s v="High"/>
    <n v="1"/>
    <x v="1"/>
    <x v="2"/>
    <n v="2"/>
    <s v="Medium"/>
    <x v="0"/>
    <n v="2422"/>
    <n v="25725"/>
    <n v="0"/>
    <x v="1"/>
    <n v="17"/>
    <n v="3"/>
    <s v="Excellent"/>
    <n v="1"/>
    <s v="Low"/>
    <n v="0"/>
    <n v="4"/>
    <n v="3"/>
    <n v="3"/>
    <s v="High"/>
    <n v="3"/>
    <n v="2"/>
    <n v="1"/>
    <n v="2"/>
  </r>
  <r>
    <n v="26"/>
    <x v="2"/>
    <x v="1"/>
    <x v="0"/>
    <n v="1066"/>
    <x v="1"/>
    <n v="2"/>
    <x v="0"/>
    <n v="2"/>
    <s v="College"/>
    <s v="Medical"/>
    <n v="1018"/>
    <n v="4"/>
    <x v="3"/>
    <s v="Male"/>
    <n v="32"/>
    <n v="4"/>
    <s v="Very High"/>
    <n v="2"/>
    <x v="0"/>
    <x v="3"/>
    <n v="4"/>
    <s v="Very High"/>
    <x v="1"/>
    <n v="5472"/>
    <n v="3334"/>
    <n v="1"/>
    <x v="1"/>
    <n v="12"/>
    <n v="3"/>
    <s v="Excellent"/>
    <n v="2"/>
    <s v="Medium"/>
    <n v="0"/>
    <n v="8"/>
    <n v="2"/>
    <n v="3"/>
    <s v="High"/>
    <n v="8"/>
    <n v="7"/>
    <n v="1"/>
    <n v="3"/>
  </r>
  <r>
    <n v="22"/>
    <x v="4"/>
    <x v="1"/>
    <x v="0"/>
    <n v="217"/>
    <x v="1"/>
    <n v="8"/>
    <x v="0"/>
    <n v="1"/>
    <s v="Below College"/>
    <s v="Life Sciences"/>
    <n v="1019"/>
    <n v="2"/>
    <x v="0"/>
    <s v="Male"/>
    <n v="94"/>
    <n v="1"/>
    <s v="Low"/>
    <n v="1"/>
    <x v="1"/>
    <x v="2"/>
    <n v="1"/>
    <s v="Low"/>
    <x v="1"/>
    <n v="2451"/>
    <n v="6881"/>
    <n v="1"/>
    <x v="1"/>
    <n v="15"/>
    <n v="3"/>
    <s v="Excellent"/>
    <n v="1"/>
    <s v="Low"/>
    <n v="1"/>
    <n v="4"/>
    <n v="3"/>
    <n v="2"/>
    <s v="Medium"/>
    <n v="4"/>
    <n v="3"/>
    <n v="1"/>
    <n v="1"/>
  </r>
  <r>
    <n v="48"/>
    <x v="1"/>
    <x v="1"/>
    <x v="0"/>
    <n v="277"/>
    <x v="1"/>
    <n v="6"/>
    <x v="0"/>
    <n v="3"/>
    <s v="Bachelor"/>
    <s v="Life Sciences"/>
    <n v="1022"/>
    <n v="1"/>
    <x v="2"/>
    <s v="Male"/>
    <n v="97"/>
    <n v="2"/>
    <s v="Medium"/>
    <n v="2"/>
    <x v="0"/>
    <x v="4"/>
    <n v="3"/>
    <s v="High"/>
    <x v="0"/>
    <n v="4240"/>
    <n v="13119"/>
    <n v="2"/>
    <x v="1"/>
    <n v="13"/>
    <n v="3"/>
    <s v="Excellent"/>
    <n v="4"/>
    <s v="Very High"/>
    <n v="0"/>
    <n v="19"/>
    <n v="0"/>
    <n v="3"/>
    <s v="High"/>
    <n v="2"/>
    <n v="2"/>
    <n v="2"/>
    <n v="2"/>
  </r>
  <r>
    <n v="48"/>
    <x v="1"/>
    <x v="1"/>
    <x v="0"/>
    <n v="1355"/>
    <x v="1"/>
    <n v="4"/>
    <x v="0"/>
    <n v="4"/>
    <s v="Master"/>
    <s v="Life Sciences"/>
    <n v="1024"/>
    <n v="3"/>
    <x v="1"/>
    <s v="Male"/>
    <n v="78"/>
    <n v="2"/>
    <s v="Medium"/>
    <n v="3"/>
    <x v="2"/>
    <x v="4"/>
    <n v="3"/>
    <s v="High"/>
    <x v="0"/>
    <n v="10999"/>
    <n v="22245"/>
    <n v="7"/>
    <x v="1"/>
    <n v="14"/>
    <n v="3"/>
    <s v="Excellent"/>
    <n v="2"/>
    <s v="Medium"/>
    <n v="0"/>
    <n v="27"/>
    <n v="3"/>
    <n v="3"/>
    <s v="High"/>
    <n v="15"/>
    <n v="11"/>
    <n v="4"/>
    <n v="8"/>
  </r>
  <r>
    <n v="41"/>
    <x v="0"/>
    <x v="1"/>
    <x v="0"/>
    <n v="549"/>
    <x v="1"/>
    <n v="7"/>
    <x v="0"/>
    <n v="2"/>
    <s v="College"/>
    <s v="Medical"/>
    <n v="1025"/>
    <n v="4"/>
    <x v="3"/>
    <s v="Female"/>
    <n v="42"/>
    <n v="3"/>
    <s v="High"/>
    <n v="2"/>
    <x v="0"/>
    <x v="3"/>
    <n v="3"/>
    <s v="High"/>
    <x v="0"/>
    <n v="5003"/>
    <n v="23371"/>
    <n v="6"/>
    <x v="1"/>
    <n v="14"/>
    <n v="3"/>
    <s v="Excellent"/>
    <n v="2"/>
    <s v="Medium"/>
    <n v="0"/>
    <n v="8"/>
    <n v="6"/>
    <n v="3"/>
    <s v="High"/>
    <n v="2"/>
    <n v="2"/>
    <n v="2"/>
    <n v="1"/>
  </r>
  <r>
    <n v="39"/>
    <x v="0"/>
    <x v="1"/>
    <x v="0"/>
    <n v="466"/>
    <x v="1"/>
    <n v="1"/>
    <x v="0"/>
    <n v="1"/>
    <s v="Below College"/>
    <s v="Life Sciences"/>
    <n v="1026"/>
    <n v="4"/>
    <x v="3"/>
    <s v="Female"/>
    <n v="65"/>
    <n v="2"/>
    <s v="Medium"/>
    <n v="4"/>
    <x v="3"/>
    <x v="3"/>
    <n v="4"/>
    <s v="Very High"/>
    <x v="1"/>
    <n v="12742"/>
    <n v="7060"/>
    <n v="1"/>
    <x v="1"/>
    <n v="16"/>
    <n v="3"/>
    <s v="Excellent"/>
    <n v="3"/>
    <s v="High"/>
    <n v="1"/>
    <n v="21"/>
    <n v="3"/>
    <n v="3"/>
    <s v="High"/>
    <n v="21"/>
    <n v="6"/>
    <n v="11"/>
    <n v="8"/>
  </r>
  <r>
    <n v="27"/>
    <x v="2"/>
    <x v="1"/>
    <x v="0"/>
    <n v="1055"/>
    <x v="1"/>
    <n v="2"/>
    <x v="0"/>
    <n v="4"/>
    <s v="Master"/>
    <s v="Life Sciences"/>
    <n v="1027"/>
    <n v="1"/>
    <x v="2"/>
    <s v="Female"/>
    <n v="47"/>
    <n v="3"/>
    <s v="High"/>
    <n v="2"/>
    <x v="0"/>
    <x v="3"/>
    <n v="4"/>
    <s v="Very High"/>
    <x v="1"/>
    <n v="4227"/>
    <n v="4658"/>
    <n v="0"/>
    <x v="1"/>
    <n v="18"/>
    <n v="3"/>
    <s v="Excellent"/>
    <n v="2"/>
    <s v="Medium"/>
    <n v="1"/>
    <n v="4"/>
    <n v="2"/>
    <n v="3"/>
    <s v="High"/>
    <n v="3"/>
    <n v="2"/>
    <n v="2"/>
    <n v="2"/>
  </r>
  <r>
    <n v="35"/>
    <x v="2"/>
    <x v="1"/>
    <x v="0"/>
    <n v="802"/>
    <x v="1"/>
    <n v="10"/>
    <x v="0"/>
    <n v="3"/>
    <s v="Bachelor"/>
    <s v="Other"/>
    <n v="1028"/>
    <n v="2"/>
    <x v="0"/>
    <s v="Male"/>
    <n v="45"/>
    <n v="3"/>
    <s v="High"/>
    <n v="1"/>
    <x v="1"/>
    <x v="2"/>
    <n v="4"/>
    <s v="Very High"/>
    <x v="2"/>
    <n v="3917"/>
    <n v="9541"/>
    <n v="1"/>
    <x v="1"/>
    <n v="20"/>
    <n v="4"/>
    <s v="Outstanding"/>
    <n v="1"/>
    <s v="Low"/>
    <n v="1"/>
    <n v="3"/>
    <n v="4"/>
    <n v="2"/>
    <s v="Medium"/>
    <n v="3"/>
    <n v="2"/>
    <n v="1"/>
    <n v="2"/>
  </r>
  <r>
    <n v="42"/>
    <x v="0"/>
    <x v="1"/>
    <x v="0"/>
    <n v="265"/>
    <x v="0"/>
    <n v="5"/>
    <x v="0"/>
    <n v="2"/>
    <s v="College"/>
    <s v="Marketing"/>
    <n v="1029"/>
    <n v="4"/>
    <x v="3"/>
    <s v="Male"/>
    <n v="90"/>
    <n v="3"/>
    <s v="High"/>
    <n v="5"/>
    <x v="4"/>
    <x v="5"/>
    <n v="3"/>
    <s v="High"/>
    <x v="1"/>
    <n v="18303"/>
    <n v="7770"/>
    <n v="6"/>
    <x v="1"/>
    <n v="13"/>
    <n v="3"/>
    <s v="Excellent"/>
    <n v="2"/>
    <s v="Medium"/>
    <n v="0"/>
    <n v="21"/>
    <n v="3"/>
    <n v="4"/>
    <s v="Very High"/>
    <n v="1"/>
    <n v="0"/>
    <n v="0"/>
    <n v="0"/>
  </r>
  <r>
    <n v="50"/>
    <x v="1"/>
    <x v="1"/>
    <x v="0"/>
    <n v="804"/>
    <x v="1"/>
    <n v="9"/>
    <x v="0"/>
    <n v="3"/>
    <s v="Bachelor"/>
    <s v="Life Sciences"/>
    <n v="1030"/>
    <n v="1"/>
    <x v="2"/>
    <s v="Male"/>
    <n v="64"/>
    <n v="3"/>
    <s v="High"/>
    <n v="1"/>
    <x v="1"/>
    <x v="2"/>
    <n v="4"/>
    <s v="Very High"/>
    <x v="1"/>
    <n v="2380"/>
    <n v="20165"/>
    <n v="4"/>
    <x v="1"/>
    <n v="18"/>
    <n v="3"/>
    <s v="Excellent"/>
    <n v="2"/>
    <s v="Medium"/>
    <n v="0"/>
    <n v="8"/>
    <n v="5"/>
    <n v="3"/>
    <s v="High"/>
    <n v="1"/>
    <n v="0"/>
    <n v="0"/>
    <n v="0"/>
  </r>
  <r>
    <n v="59"/>
    <x v="3"/>
    <x v="1"/>
    <x v="0"/>
    <n v="715"/>
    <x v="1"/>
    <n v="2"/>
    <x v="0"/>
    <n v="3"/>
    <s v="Bachelor"/>
    <s v="Life Sciences"/>
    <n v="1032"/>
    <n v="3"/>
    <x v="1"/>
    <s v="Female"/>
    <n v="69"/>
    <n v="2"/>
    <s v="Medium"/>
    <n v="4"/>
    <x v="3"/>
    <x v="3"/>
    <n v="4"/>
    <s v="Very High"/>
    <x v="0"/>
    <n v="13726"/>
    <n v="21829"/>
    <n v="3"/>
    <x v="0"/>
    <n v="13"/>
    <n v="3"/>
    <s v="Excellent"/>
    <n v="1"/>
    <s v="Low"/>
    <n v="0"/>
    <n v="30"/>
    <n v="4"/>
    <n v="3"/>
    <s v="High"/>
    <n v="5"/>
    <n v="3"/>
    <n v="4"/>
    <n v="3"/>
  </r>
  <r>
    <n v="37"/>
    <x v="0"/>
    <x v="0"/>
    <x v="0"/>
    <n v="1141"/>
    <x v="1"/>
    <n v="11"/>
    <x v="2"/>
    <n v="2"/>
    <s v="College"/>
    <s v="Medical"/>
    <n v="1033"/>
    <n v="1"/>
    <x v="2"/>
    <s v="Female"/>
    <n v="61"/>
    <n v="1"/>
    <s v="Low"/>
    <n v="2"/>
    <x v="0"/>
    <x v="4"/>
    <n v="2"/>
    <s v="Medium"/>
    <x v="1"/>
    <n v="4777"/>
    <n v="14382"/>
    <n v="5"/>
    <x v="1"/>
    <n v="15"/>
    <n v="3"/>
    <s v="Excellent"/>
    <n v="1"/>
    <s v="Low"/>
    <n v="0"/>
    <n v="15"/>
    <n v="2"/>
    <n v="1"/>
    <s v="Low"/>
    <n v="1"/>
    <n v="0"/>
    <n v="0"/>
    <n v="0"/>
  </r>
  <r>
    <n v="55"/>
    <x v="1"/>
    <x v="1"/>
    <x v="1"/>
    <n v="135"/>
    <x v="1"/>
    <n v="18"/>
    <x v="2"/>
    <n v="4"/>
    <s v="Master"/>
    <s v="Medical"/>
    <n v="1034"/>
    <n v="3"/>
    <x v="1"/>
    <s v="Male"/>
    <n v="62"/>
    <n v="3"/>
    <s v="High"/>
    <n v="2"/>
    <x v="0"/>
    <x v="4"/>
    <n v="2"/>
    <s v="Medium"/>
    <x v="1"/>
    <n v="6385"/>
    <n v="12992"/>
    <n v="3"/>
    <x v="0"/>
    <n v="14"/>
    <n v="3"/>
    <s v="Excellent"/>
    <n v="4"/>
    <s v="Very High"/>
    <n v="2"/>
    <n v="17"/>
    <n v="3"/>
    <n v="3"/>
    <s v="High"/>
    <n v="8"/>
    <n v="7"/>
    <n v="6"/>
    <n v="7"/>
  </r>
  <r>
    <n v="41"/>
    <x v="0"/>
    <x v="1"/>
    <x v="2"/>
    <n v="247"/>
    <x v="1"/>
    <n v="7"/>
    <x v="0"/>
    <n v="1"/>
    <s v="Below College"/>
    <s v="Life Sciences"/>
    <n v="1035"/>
    <n v="2"/>
    <x v="0"/>
    <s v="Female"/>
    <n v="55"/>
    <n v="1"/>
    <s v="Low"/>
    <n v="5"/>
    <x v="4"/>
    <x v="7"/>
    <n v="3"/>
    <s v="High"/>
    <x v="2"/>
    <n v="19973"/>
    <n v="20284"/>
    <n v="1"/>
    <x v="1"/>
    <n v="22"/>
    <n v="4"/>
    <s v="Outstanding"/>
    <n v="2"/>
    <s v="Medium"/>
    <n v="2"/>
    <n v="21"/>
    <n v="3"/>
    <n v="3"/>
    <s v="High"/>
    <n v="21"/>
    <n v="16"/>
    <n v="5"/>
    <n v="10"/>
  </r>
  <r>
    <n v="38"/>
    <x v="0"/>
    <x v="1"/>
    <x v="0"/>
    <n v="1035"/>
    <x v="0"/>
    <n v="3"/>
    <x v="0"/>
    <n v="4"/>
    <s v="Master"/>
    <s v="Life Sciences"/>
    <n v="1036"/>
    <n v="2"/>
    <x v="0"/>
    <s v="Male"/>
    <n v="42"/>
    <n v="3"/>
    <s v="High"/>
    <n v="2"/>
    <x v="0"/>
    <x v="0"/>
    <n v="4"/>
    <s v="Very High"/>
    <x v="0"/>
    <n v="6861"/>
    <n v="4981"/>
    <n v="8"/>
    <x v="0"/>
    <n v="12"/>
    <n v="3"/>
    <s v="Excellent"/>
    <n v="3"/>
    <s v="High"/>
    <n v="0"/>
    <n v="19"/>
    <n v="1"/>
    <n v="3"/>
    <s v="High"/>
    <n v="1"/>
    <n v="0"/>
    <n v="0"/>
    <n v="0"/>
  </r>
  <r>
    <n v="26"/>
    <x v="2"/>
    <x v="0"/>
    <x v="2"/>
    <n v="265"/>
    <x v="0"/>
    <n v="29"/>
    <x v="1"/>
    <n v="2"/>
    <s v="College"/>
    <s v="Medical"/>
    <n v="1037"/>
    <n v="2"/>
    <x v="0"/>
    <s v="Male"/>
    <n v="79"/>
    <n v="1"/>
    <s v="Low"/>
    <n v="2"/>
    <x v="0"/>
    <x v="0"/>
    <n v="1"/>
    <s v="Low"/>
    <x v="0"/>
    <n v="4969"/>
    <n v="21813"/>
    <n v="8"/>
    <x v="1"/>
    <n v="18"/>
    <n v="3"/>
    <s v="Excellent"/>
    <n v="4"/>
    <s v="Very High"/>
    <n v="0"/>
    <n v="7"/>
    <n v="6"/>
    <n v="3"/>
    <s v="High"/>
    <n v="2"/>
    <n v="2"/>
    <n v="2"/>
    <n v="2"/>
  </r>
  <r>
    <n v="52"/>
    <x v="1"/>
    <x v="0"/>
    <x v="0"/>
    <n v="266"/>
    <x v="0"/>
    <n v="2"/>
    <x v="0"/>
    <n v="1"/>
    <s v="Below College"/>
    <s v="Marketing"/>
    <n v="1038"/>
    <n v="1"/>
    <x v="2"/>
    <s v="Female"/>
    <n v="57"/>
    <n v="1"/>
    <s v="Low"/>
    <n v="5"/>
    <x v="4"/>
    <x v="5"/>
    <n v="4"/>
    <s v="Very High"/>
    <x v="1"/>
    <n v="19845"/>
    <n v="25846"/>
    <n v="1"/>
    <x v="1"/>
    <n v="15"/>
    <n v="3"/>
    <s v="Excellent"/>
    <n v="4"/>
    <s v="Very High"/>
    <n v="1"/>
    <n v="33"/>
    <n v="3"/>
    <n v="3"/>
    <s v="High"/>
    <n v="32"/>
    <n v="14"/>
    <n v="6"/>
    <n v="9"/>
  </r>
  <r>
    <n v="44"/>
    <x v="0"/>
    <x v="1"/>
    <x v="0"/>
    <n v="1448"/>
    <x v="0"/>
    <n v="28"/>
    <x v="1"/>
    <n v="3"/>
    <s v="Bachelor"/>
    <s v="Medical"/>
    <n v="1039"/>
    <n v="4"/>
    <x v="3"/>
    <s v="Female"/>
    <n v="53"/>
    <n v="4"/>
    <s v="Very High"/>
    <n v="4"/>
    <x v="3"/>
    <x v="0"/>
    <n v="4"/>
    <s v="Very High"/>
    <x v="1"/>
    <n v="13320"/>
    <n v="11737"/>
    <n v="3"/>
    <x v="0"/>
    <n v="18"/>
    <n v="3"/>
    <s v="Excellent"/>
    <n v="3"/>
    <s v="High"/>
    <n v="1"/>
    <n v="23"/>
    <n v="2"/>
    <n v="3"/>
    <s v="High"/>
    <n v="12"/>
    <n v="11"/>
    <n v="11"/>
    <n v="11"/>
  </r>
  <r>
    <n v="50"/>
    <x v="1"/>
    <x v="1"/>
    <x v="2"/>
    <n v="145"/>
    <x v="0"/>
    <n v="1"/>
    <x v="0"/>
    <n v="3"/>
    <s v="Bachelor"/>
    <s v="Life Sciences"/>
    <n v="1040"/>
    <n v="4"/>
    <x v="3"/>
    <s v="Female"/>
    <n v="95"/>
    <n v="3"/>
    <s v="High"/>
    <n v="2"/>
    <x v="0"/>
    <x v="0"/>
    <n v="3"/>
    <s v="High"/>
    <x v="1"/>
    <n v="6347"/>
    <n v="24920"/>
    <n v="0"/>
    <x v="1"/>
    <n v="12"/>
    <n v="3"/>
    <s v="Excellent"/>
    <n v="1"/>
    <s v="Low"/>
    <n v="1"/>
    <n v="19"/>
    <n v="3"/>
    <n v="3"/>
    <s v="High"/>
    <n v="18"/>
    <n v="7"/>
    <n v="0"/>
    <n v="13"/>
  </r>
  <r>
    <n v="36"/>
    <x v="0"/>
    <x v="0"/>
    <x v="0"/>
    <n v="885"/>
    <x v="1"/>
    <n v="16"/>
    <x v="2"/>
    <n v="4"/>
    <s v="Master"/>
    <s v="Life Sciences"/>
    <n v="1042"/>
    <n v="3"/>
    <x v="1"/>
    <s v="Female"/>
    <n v="43"/>
    <n v="4"/>
    <s v="Very High"/>
    <n v="1"/>
    <x v="1"/>
    <x v="2"/>
    <n v="1"/>
    <s v="Low"/>
    <x v="0"/>
    <n v="2743"/>
    <n v="8269"/>
    <n v="1"/>
    <x v="1"/>
    <n v="16"/>
    <n v="3"/>
    <s v="Excellent"/>
    <n v="3"/>
    <s v="High"/>
    <n v="0"/>
    <n v="18"/>
    <n v="1"/>
    <n v="3"/>
    <s v="High"/>
    <n v="17"/>
    <n v="13"/>
    <n v="15"/>
    <n v="14"/>
  </r>
  <r>
    <n v="39"/>
    <x v="0"/>
    <x v="1"/>
    <x v="1"/>
    <n v="945"/>
    <x v="1"/>
    <n v="22"/>
    <x v="1"/>
    <n v="3"/>
    <s v="Bachelor"/>
    <s v="Medical"/>
    <n v="1043"/>
    <n v="4"/>
    <x v="3"/>
    <s v="Female"/>
    <n v="82"/>
    <n v="3"/>
    <s v="High"/>
    <n v="3"/>
    <x v="2"/>
    <x v="3"/>
    <n v="1"/>
    <s v="Low"/>
    <x v="0"/>
    <n v="10880"/>
    <n v="5083"/>
    <n v="1"/>
    <x v="0"/>
    <n v="13"/>
    <n v="3"/>
    <s v="Excellent"/>
    <n v="3"/>
    <s v="High"/>
    <n v="0"/>
    <n v="21"/>
    <n v="2"/>
    <n v="3"/>
    <s v="High"/>
    <n v="21"/>
    <n v="6"/>
    <n v="2"/>
    <n v="8"/>
  </r>
  <r>
    <n v="33"/>
    <x v="2"/>
    <x v="1"/>
    <x v="2"/>
    <n v="1038"/>
    <x v="0"/>
    <n v="8"/>
    <x v="0"/>
    <n v="1"/>
    <s v="Below College"/>
    <s v="Life Sciences"/>
    <n v="1044"/>
    <n v="2"/>
    <x v="0"/>
    <s v="Female"/>
    <n v="88"/>
    <n v="2"/>
    <s v="Medium"/>
    <n v="1"/>
    <x v="1"/>
    <x v="6"/>
    <n v="4"/>
    <s v="Very High"/>
    <x v="0"/>
    <n v="2342"/>
    <n v="21437"/>
    <n v="0"/>
    <x v="1"/>
    <n v="19"/>
    <n v="3"/>
    <s v="Excellent"/>
    <n v="4"/>
    <s v="Very High"/>
    <n v="0"/>
    <n v="3"/>
    <n v="2"/>
    <n v="2"/>
    <s v="Medium"/>
    <n v="2"/>
    <n v="2"/>
    <n v="2"/>
    <n v="2"/>
  </r>
  <r>
    <n v="45"/>
    <x v="0"/>
    <x v="1"/>
    <x v="0"/>
    <n v="1234"/>
    <x v="0"/>
    <n v="11"/>
    <x v="2"/>
    <n v="2"/>
    <s v="College"/>
    <s v="Life Sciences"/>
    <n v="1045"/>
    <n v="4"/>
    <x v="3"/>
    <s v="Female"/>
    <n v="90"/>
    <n v="3"/>
    <s v="High"/>
    <n v="4"/>
    <x v="3"/>
    <x v="5"/>
    <n v="4"/>
    <s v="Very High"/>
    <x v="1"/>
    <n v="17650"/>
    <n v="5404"/>
    <n v="3"/>
    <x v="1"/>
    <n v="13"/>
    <n v="3"/>
    <s v="Excellent"/>
    <n v="2"/>
    <s v="Medium"/>
    <n v="1"/>
    <n v="26"/>
    <n v="4"/>
    <n v="4"/>
    <s v="Very High"/>
    <n v="9"/>
    <n v="3"/>
    <n v="1"/>
    <n v="1"/>
  </r>
  <r>
    <n v="32"/>
    <x v="2"/>
    <x v="1"/>
    <x v="2"/>
    <n v="1109"/>
    <x v="1"/>
    <n v="29"/>
    <x v="1"/>
    <n v="4"/>
    <s v="Master"/>
    <s v="Medical"/>
    <n v="1046"/>
    <n v="4"/>
    <x v="3"/>
    <s v="Female"/>
    <n v="69"/>
    <n v="3"/>
    <s v="High"/>
    <n v="1"/>
    <x v="1"/>
    <x v="2"/>
    <n v="3"/>
    <s v="High"/>
    <x v="0"/>
    <n v="4025"/>
    <n v="11135"/>
    <n v="9"/>
    <x v="1"/>
    <n v="12"/>
    <n v="3"/>
    <s v="Excellent"/>
    <n v="2"/>
    <s v="Medium"/>
    <n v="0"/>
    <n v="10"/>
    <n v="2"/>
    <n v="3"/>
    <s v="High"/>
    <n v="8"/>
    <n v="7"/>
    <n v="7"/>
    <n v="7"/>
  </r>
  <r>
    <n v="34"/>
    <x v="2"/>
    <x v="1"/>
    <x v="0"/>
    <n v="216"/>
    <x v="0"/>
    <n v="1"/>
    <x v="0"/>
    <n v="4"/>
    <s v="Master"/>
    <s v="Marketing"/>
    <n v="1047"/>
    <n v="2"/>
    <x v="0"/>
    <s v="Male"/>
    <n v="75"/>
    <n v="4"/>
    <s v="Very High"/>
    <n v="2"/>
    <x v="0"/>
    <x v="0"/>
    <n v="4"/>
    <s v="Very High"/>
    <x v="2"/>
    <n v="9725"/>
    <n v="12278"/>
    <n v="0"/>
    <x v="1"/>
    <n v="11"/>
    <n v="3"/>
    <s v="Excellent"/>
    <n v="4"/>
    <s v="Very High"/>
    <n v="1"/>
    <n v="16"/>
    <n v="2"/>
    <n v="2"/>
    <s v="Medium"/>
    <n v="15"/>
    <n v="1"/>
    <n v="0"/>
    <n v="9"/>
  </r>
  <r>
    <n v="59"/>
    <x v="3"/>
    <x v="1"/>
    <x v="0"/>
    <n v="1089"/>
    <x v="0"/>
    <n v="1"/>
    <x v="0"/>
    <n v="2"/>
    <s v="College"/>
    <s v="Technical Degree"/>
    <n v="1048"/>
    <n v="2"/>
    <x v="0"/>
    <s v="Male"/>
    <n v="66"/>
    <n v="3"/>
    <s v="High"/>
    <n v="3"/>
    <x v="2"/>
    <x v="5"/>
    <n v="4"/>
    <s v="Very High"/>
    <x v="1"/>
    <n v="11904"/>
    <n v="11038"/>
    <n v="3"/>
    <x v="0"/>
    <n v="14"/>
    <n v="3"/>
    <s v="Excellent"/>
    <n v="3"/>
    <s v="High"/>
    <n v="1"/>
    <n v="14"/>
    <n v="1"/>
    <n v="1"/>
    <s v="Low"/>
    <n v="6"/>
    <n v="4"/>
    <n v="0"/>
    <n v="4"/>
  </r>
  <r>
    <n v="45"/>
    <x v="0"/>
    <x v="1"/>
    <x v="0"/>
    <n v="788"/>
    <x v="2"/>
    <n v="24"/>
    <x v="1"/>
    <n v="4"/>
    <s v="Master"/>
    <s v="Medical"/>
    <n v="1049"/>
    <n v="2"/>
    <x v="0"/>
    <s v="Male"/>
    <n v="36"/>
    <n v="3"/>
    <s v="High"/>
    <n v="1"/>
    <x v="1"/>
    <x v="8"/>
    <n v="2"/>
    <s v="Medium"/>
    <x v="0"/>
    <n v="2177"/>
    <n v="8318"/>
    <n v="1"/>
    <x v="1"/>
    <n v="16"/>
    <n v="3"/>
    <s v="Excellent"/>
    <n v="1"/>
    <s v="Low"/>
    <n v="0"/>
    <n v="6"/>
    <n v="3"/>
    <n v="3"/>
    <s v="High"/>
    <n v="6"/>
    <n v="3"/>
    <n v="0"/>
    <n v="4"/>
  </r>
  <r>
    <n v="53"/>
    <x v="1"/>
    <x v="1"/>
    <x v="1"/>
    <n v="124"/>
    <x v="0"/>
    <n v="2"/>
    <x v="0"/>
    <n v="3"/>
    <s v="Bachelor"/>
    <s v="Marketing"/>
    <n v="1050"/>
    <n v="3"/>
    <x v="1"/>
    <s v="Female"/>
    <n v="38"/>
    <n v="2"/>
    <s v="Medium"/>
    <n v="3"/>
    <x v="2"/>
    <x v="0"/>
    <n v="2"/>
    <s v="Medium"/>
    <x v="1"/>
    <n v="7525"/>
    <n v="23537"/>
    <n v="2"/>
    <x v="1"/>
    <n v="12"/>
    <n v="3"/>
    <s v="Excellent"/>
    <n v="1"/>
    <s v="Low"/>
    <n v="1"/>
    <n v="30"/>
    <n v="2"/>
    <n v="3"/>
    <s v="High"/>
    <n v="15"/>
    <n v="7"/>
    <n v="6"/>
    <n v="12"/>
  </r>
  <r>
    <n v="36"/>
    <x v="0"/>
    <x v="0"/>
    <x v="0"/>
    <n v="660"/>
    <x v="1"/>
    <n v="15"/>
    <x v="2"/>
    <n v="3"/>
    <s v="Bachelor"/>
    <s v="Other"/>
    <n v="1052"/>
    <n v="1"/>
    <x v="2"/>
    <s v="Male"/>
    <n v="81"/>
    <n v="3"/>
    <s v="High"/>
    <n v="2"/>
    <x v="0"/>
    <x v="2"/>
    <n v="3"/>
    <s v="High"/>
    <x v="2"/>
    <n v="4834"/>
    <n v="7858"/>
    <n v="7"/>
    <x v="1"/>
    <n v="14"/>
    <n v="3"/>
    <s v="Excellent"/>
    <n v="2"/>
    <s v="Medium"/>
    <n v="1"/>
    <n v="9"/>
    <n v="3"/>
    <n v="2"/>
    <s v="Medium"/>
    <n v="1"/>
    <n v="0"/>
    <n v="0"/>
    <n v="0"/>
  </r>
  <r>
    <n v="26"/>
    <x v="2"/>
    <x v="0"/>
    <x v="1"/>
    <n v="342"/>
    <x v="1"/>
    <n v="2"/>
    <x v="0"/>
    <n v="3"/>
    <s v="Bachelor"/>
    <s v="Life Sciences"/>
    <n v="1053"/>
    <n v="1"/>
    <x v="2"/>
    <s v="Male"/>
    <n v="57"/>
    <n v="3"/>
    <s v="High"/>
    <n v="1"/>
    <x v="1"/>
    <x v="1"/>
    <n v="1"/>
    <s v="Low"/>
    <x v="1"/>
    <n v="2042"/>
    <n v="15346"/>
    <n v="6"/>
    <x v="0"/>
    <n v="14"/>
    <n v="3"/>
    <s v="Excellent"/>
    <n v="2"/>
    <s v="Medium"/>
    <n v="1"/>
    <n v="6"/>
    <n v="2"/>
    <n v="3"/>
    <s v="High"/>
    <n v="3"/>
    <n v="2"/>
    <n v="1"/>
    <n v="2"/>
  </r>
  <r>
    <n v="34"/>
    <x v="2"/>
    <x v="1"/>
    <x v="0"/>
    <n v="1333"/>
    <x v="0"/>
    <n v="10"/>
    <x v="0"/>
    <n v="4"/>
    <s v="Master"/>
    <s v="Life Sciences"/>
    <n v="1055"/>
    <n v="3"/>
    <x v="1"/>
    <s v="Female"/>
    <n v="87"/>
    <n v="3"/>
    <s v="High"/>
    <n v="1"/>
    <x v="1"/>
    <x v="6"/>
    <n v="3"/>
    <s v="High"/>
    <x v="1"/>
    <n v="2220"/>
    <n v="18410"/>
    <n v="1"/>
    <x v="0"/>
    <n v="19"/>
    <n v="3"/>
    <s v="Excellent"/>
    <n v="4"/>
    <s v="Very High"/>
    <n v="1"/>
    <n v="1"/>
    <n v="2"/>
    <n v="3"/>
    <s v="High"/>
    <n v="1"/>
    <n v="1"/>
    <n v="0"/>
    <n v="0"/>
  </r>
  <r>
    <n v="28"/>
    <x v="2"/>
    <x v="1"/>
    <x v="0"/>
    <n v="1144"/>
    <x v="0"/>
    <n v="10"/>
    <x v="0"/>
    <n v="1"/>
    <s v="Below College"/>
    <s v="Medical"/>
    <n v="1056"/>
    <n v="4"/>
    <x v="3"/>
    <s v="Male"/>
    <n v="74"/>
    <n v="3"/>
    <s v="High"/>
    <n v="1"/>
    <x v="1"/>
    <x v="6"/>
    <n v="2"/>
    <s v="Medium"/>
    <x v="1"/>
    <n v="1052"/>
    <n v="23384"/>
    <n v="1"/>
    <x v="1"/>
    <n v="22"/>
    <n v="4"/>
    <s v="Outstanding"/>
    <n v="2"/>
    <s v="Medium"/>
    <n v="0"/>
    <n v="1"/>
    <n v="5"/>
    <n v="3"/>
    <s v="High"/>
    <n v="1"/>
    <n v="0"/>
    <n v="0"/>
    <n v="0"/>
  </r>
  <r>
    <n v="38"/>
    <x v="0"/>
    <x v="1"/>
    <x v="1"/>
    <n v="1186"/>
    <x v="1"/>
    <n v="3"/>
    <x v="0"/>
    <n v="4"/>
    <s v="Master"/>
    <s v="Other"/>
    <n v="1060"/>
    <n v="3"/>
    <x v="1"/>
    <s v="Male"/>
    <n v="44"/>
    <n v="3"/>
    <s v="High"/>
    <n v="1"/>
    <x v="1"/>
    <x v="1"/>
    <n v="3"/>
    <s v="High"/>
    <x v="1"/>
    <n v="2821"/>
    <n v="2997"/>
    <n v="3"/>
    <x v="1"/>
    <n v="16"/>
    <n v="3"/>
    <s v="Excellent"/>
    <n v="1"/>
    <s v="Low"/>
    <n v="1"/>
    <n v="8"/>
    <n v="2"/>
    <n v="3"/>
    <s v="High"/>
    <n v="2"/>
    <n v="2"/>
    <n v="2"/>
    <n v="2"/>
  </r>
  <r>
    <n v="50"/>
    <x v="1"/>
    <x v="1"/>
    <x v="0"/>
    <n v="1464"/>
    <x v="1"/>
    <n v="2"/>
    <x v="0"/>
    <n v="4"/>
    <s v="Master"/>
    <s v="Medical"/>
    <n v="1061"/>
    <n v="2"/>
    <x v="0"/>
    <s v="Male"/>
    <n v="62"/>
    <n v="3"/>
    <s v="High"/>
    <n v="5"/>
    <x v="4"/>
    <x v="7"/>
    <n v="3"/>
    <s v="High"/>
    <x v="1"/>
    <n v="19237"/>
    <n v="12853"/>
    <n v="2"/>
    <x v="0"/>
    <n v="11"/>
    <n v="3"/>
    <s v="Excellent"/>
    <n v="4"/>
    <s v="Very High"/>
    <n v="1"/>
    <n v="29"/>
    <n v="2"/>
    <n v="2"/>
    <s v="Medium"/>
    <n v="8"/>
    <n v="1"/>
    <n v="7"/>
    <n v="7"/>
  </r>
  <r>
    <n v="37"/>
    <x v="0"/>
    <x v="1"/>
    <x v="0"/>
    <n v="124"/>
    <x v="1"/>
    <n v="3"/>
    <x v="0"/>
    <n v="3"/>
    <s v="Bachelor"/>
    <s v="Other"/>
    <n v="1062"/>
    <n v="4"/>
    <x v="3"/>
    <s v="Female"/>
    <n v="35"/>
    <n v="3"/>
    <s v="High"/>
    <n v="2"/>
    <x v="0"/>
    <x v="4"/>
    <n v="2"/>
    <s v="Medium"/>
    <x v="0"/>
    <n v="4107"/>
    <n v="13848"/>
    <n v="3"/>
    <x v="1"/>
    <n v="15"/>
    <n v="3"/>
    <s v="Excellent"/>
    <n v="1"/>
    <s v="Low"/>
    <n v="0"/>
    <n v="8"/>
    <n v="3"/>
    <n v="2"/>
    <s v="Medium"/>
    <n v="4"/>
    <n v="3"/>
    <n v="0"/>
    <n v="1"/>
  </r>
  <r>
    <n v="40"/>
    <x v="0"/>
    <x v="1"/>
    <x v="0"/>
    <n v="300"/>
    <x v="0"/>
    <n v="26"/>
    <x v="1"/>
    <n v="3"/>
    <s v="Bachelor"/>
    <s v="Marketing"/>
    <n v="1066"/>
    <n v="3"/>
    <x v="1"/>
    <s v="Male"/>
    <n v="74"/>
    <n v="3"/>
    <s v="High"/>
    <n v="2"/>
    <x v="0"/>
    <x v="0"/>
    <n v="1"/>
    <s v="Low"/>
    <x v="1"/>
    <n v="8396"/>
    <n v="22217"/>
    <n v="1"/>
    <x v="1"/>
    <n v="14"/>
    <n v="3"/>
    <s v="Excellent"/>
    <n v="2"/>
    <s v="Medium"/>
    <n v="1"/>
    <n v="8"/>
    <n v="3"/>
    <n v="2"/>
    <s v="Medium"/>
    <n v="7"/>
    <n v="7"/>
    <n v="7"/>
    <n v="5"/>
  </r>
  <r>
    <n v="26"/>
    <x v="2"/>
    <x v="1"/>
    <x v="1"/>
    <n v="921"/>
    <x v="1"/>
    <n v="1"/>
    <x v="0"/>
    <n v="1"/>
    <s v="Below College"/>
    <s v="Medical"/>
    <n v="1068"/>
    <n v="1"/>
    <x v="2"/>
    <s v="Female"/>
    <n v="66"/>
    <n v="2"/>
    <s v="Medium"/>
    <n v="1"/>
    <x v="1"/>
    <x v="1"/>
    <n v="3"/>
    <s v="High"/>
    <x v="2"/>
    <n v="2007"/>
    <n v="25265"/>
    <n v="1"/>
    <x v="1"/>
    <n v="13"/>
    <n v="3"/>
    <s v="Excellent"/>
    <n v="3"/>
    <s v="High"/>
    <n v="2"/>
    <n v="5"/>
    <n v="5"/>
    <n v="3"/>
    <s v="High"/>
    <n v="5"/>
    <n v="3"/>
    <n v="1"/>
    <n v="3"/>
  </r>
  <r>
    <n v="46"/>
    <x v="1"/>
    <x v="1"/>
    <x v="0"/>
    <n v="430"/>
    <x v="1"/>
    <n v="1"/>
    <x v="0"/>
    <n v="4"/>
    <s v="Master"/>
    <s v="Medical"/>
    <n v="1069"/>
    <n v="4"/>
    <x v="3"/>
    <s v="Male"/>
    <n v="40"/>
    <n v="3"/>
    <s v="High"/>
    <n v="5"/>
    <x v="4"/>
    <x v="7"/>
    <n v="4"/>
    <s v="Very High"/>
    <x v="2"/>
    <n v="19627"/>
    <n v="21445"/>
    <n v="9"/>
    <x v="1"/>
    <n v="17"/>
    <n v="3"/>
    <s v="Excellent"/>
    <n v="4"/>
    <s v="Very High"/>
    <n v="2"/>
    <n v="23"/>
    <n v="0"/>
    <n v="3"/>
    <s v="High"/>
    <n v="2"/>
    <n v="2"/>
    <n v="2"/>
    <n v="2"/>
  </r>
  <r>
    <n v="54"/>
    <x v="1"/>
    <x v="1"/>
    <x v="0"/>
    <n v="1082"/>
    <x v="0"/>
    <n v="2"/>
    <x v="0"/>
    <n v="4"/>
    <s v="Master"/>
    <s v="Life Sciences"/>
    <n v="1070"/>
    <n v="3"/>
    <x v="1"/>
    <s v="Female"/>
    <n v="41"/>
    <n v="2"/>
    <s v="Medium"/>
    <n v="3"/>
    <x v="2"/>
    <x v="0"/>
    <n v="3"/>
    <s v="High"/>
    <x v="1"/>
    <n v="10686"/>
    <n v="8392"/>
    <n v="6"/>
    <x v="1"/>
    <n v="11"/>
    <n v="3"/>
    <s v="Excellent"/>
    <n v="2"/>
    <s v="Medium"/>
    <n v="1"/>
    <n v="13"/>
    <n v="4"/>
    <n v="3"/>
    <s v="High"/>
    <n v="9"/>
    <n v="4"/>
    <n v="7"/>
    <n v="0"/>
  </r>
  <r>
    <n v="56"/>
    <x v="3"/>
    <x v="1"/>
    <x v="1"/>
    <n v="1240"/>
    <x v="1"/>
    <n v="9"/>
    <x v="0"/>
    <n v="3"/>
    <s v="Bachelor"/>
    <s v="Medical"/>
    <n v="1071"/>
    <n v="1"/>
    <x v="2"/>
    <s v="Female"/>
    <n v="63"/>
    <n v="3"/>
    <s v="High"/>
    <n v="1"/>
    <x v="1"/>
    <x v="1"/>
    <n v="3"/>
    <s v="High"/>
    <x v="1"/>
    <n v="2942"/>
    <n v="12154"/>
    <n v="2"/>
    <x v="1"/>
    <n v="19"/>
    <n v="3"/>
    <s v="Excellent"/>
    <n v="2"/>
    <s v="Medium"/>
    <n v="1"/>
    <n v="18"/>
    <n v="4"/>
    <n v="3"/>
    <s v="High"/>
    <n v="5"/>
    <n v="4"/>
    <n v="0"/>
    <n v="3"/>
  </r>
  <r>
    <n v="36"/>
    <x v="0"/>
    <x v="1"/>
    <x v="0"/>
    <n v="796"/>
    <x v="1"/>
    <n v="12"/>
    <x v="2"/>
    <n v="5"/>
    <s v="Doctor"/>
    <s v="Medical"/>
    <n v="1073"/>
    <n v="4"/>
    <x v="3"/>
    <s v="Female"/>
    <n v="51"/>
    <n v="2"/>
    <s v="Medium"/>
    <n v="3"/>
    <x v="2"/>
    <x v="3"/>
    <n v="4"/>
    <s v="Very High"/>
    <x v="0"/>
    <n v="8858"/>
    <n v="15669"/>
    <n v="0"/>
    <x v="1"/>
    <n v="11"/>
    <n v="3"/>
    <s v="Excellent"/>
    <n v="2"/>
    <s v="Medium"/>
    <n v="0"/>
    <n v="15"/>
    <n v="2"/>
    <n v="2"/>
    <s v="Medium"/>
    <n v="14"/>
    <n v="8"/>
    <n v="7"/>
    <n v="8"/>
  </r>
  <r>
    <n v="55"/>
    <x v="1"/>
    <x v="1"/>
    <x v="2"/>
    <n v="444"/>
    <x v="1"/>
    <n v="2"/>
    <x v="0"/>
    <n v="1"/>
    <s v="Below College"/>
    <s v="Medical"/>
    <n v="1074"/>
    <n v="3"/>
    <x v="1"/>
    <s v="Male"/>
    <n v="40"/>
    <n v="2"/>
    <s v="Medium"/>
    <n v="4"/>
    <x v="3"/>
    <x v="5"/>
    <n v="1"/>
    <s v="Low"/>
    <x v="0"/>
    <n v="16756"/>
    <n v="17323"/>
    <n v="7"/>
    <x v="1"/>
    <n v="15"/>
    <n v="3"/>
    <s v="Excellent"/>
    <n v="2"/>
    <s v="Medium"/>
    <n v="0"/>
    <n v="31"/>
    <n v="3"/>
    <n v="4"/>
    <s v="Very High"/>
    <n v="9"/>
    <n v="7"/>
    <n v="6"/>
    <n v="2"/>
  </r>
  <r>
    <n v="43"/>
    <x v="0"/>
    <x v="1"/>
    <x v="0"/>
    <n v="415"/>
    <x v="0"/>
    <n v="25"/>
    <x v="1"/>
    <n v="3"/>
    <s v="Bachelor"/>
    <s v="Medical"/>
    <n v="1076"/>
    <n v="3"/>
    <x v="1"/>
    <s v="Male"/>
    <n v="79"/>
    <n v="2"/>
    <s v="Medium"/>
    <n v="3"/>
    <x v="2"/>
    <x v="0"/>
    <n v="4"/>
    <s v="Very High"/>
    <x v="2"/>
    <n v="10798"/>
    <n v="5268"/>
    <n v="5"/>
    <x v="1"/>
    <n v="13"/>
    <n v="3"/>
    <s v="Excellent"/>
    <n v="3"/>
    <s v="High"/>
    <n v="1"/>
    <n v="18"/>
    <n v="5"/>
    <n v="3"/>
    <s v="High"/>
    <n v="1"/>
    <n v="0"/>
    <n v="0"/>
    <n v="0"/>
  </r>
  <r>
    <n v="20"/>
    <x v="4"/>
    <x v="0"/>
    <x v="1"/>
    <n v="769"/>
    <x v="0"/>
    <n v="9"/>
    <x v="0"/>
    <n v="3"/>
    <s v="Bachelor"/>
    <s v="Marketing"/>
    <n v="1077"/>
    <n v="4"/>
    <x v="3"/>
    <s v="Female"/>
    <n v="54"/>
    <n v="3"/>
    <s v="High"/>
    <n v="1"/>
    <x v="1"/>
    <x v="6"/>
    <n v="4"/>
    <s v="Very High"/>
    <x v="0"/>
    <n v="2323"/>
    <n v="17205"/>
    <n v="1"/>
    <x v="0"/>
    <n v="14"/>
    <n v="3"/>
    <s v="Excellent"/>
    <n v="2"/>
    <s v="Medium"/>
    <n v="0"/>
    <n v="2"/>
    <n v="3"/>
    <n v="3"/>
    <s v="High"/>
    <n v="2"/>
    <n v="2"/>
    <n v="0"/>
    <n v="2"/>
  </r>
  <r>
    <n v="21"/>
    <x v="4"/>
    <x v="0"/>
    <x v="0"/>
    <n v="1334"/>
    <x v="1"/>
    <n v="10"/>
    <x v="0"/>
    <n v="3"/>
    <s v="Bachelor"/>
    <s v="Life Sciences"/>
    <n v="1079"/>
    <n v="3"/>
    <x v="1"/>
    <s v="Female"/>
    <n v="36"/>
    <n v="2"/>
    <s v="Medium"/>
    <n v="1"/>
    <x v="1"/>
    <x v="2"/>
    <n v="1"/>
    <s v="Low"/>
    <x v="0"/>
    <n v="1416"/>
    <n v="17258"/>
    <n v="1"/>
    <x v="1"/>
    <n v="13"/>
    <n v="3"/>
    <s v="Excellent"/>
    <n v="1"/>
    <s v="Low"/>
    <n v="0"/>
    <n v="1"/>
    <n v="6"/>
    <n v="2"/>
    <s v="Medium"/>
    <n v="1"/>
    <n v="0"/>
    <n v="1"/>
    <n v="0"/>
  </r>
  <r>
    <n v="46"/>
    <x v="1"/>
    <x v="1"/>
    <x v="0"/>
    <n v="1003"/>
    <x v="1"/>
    <n v="8"/>
    <x v="0"/>
    <n v="4"/>
    <s v="Master"/>
    <s v="Life Sciences"/>
    <n v="1080"/>
    <n v="4"/>
    <x v="3"/>
    <s v="Female"/>
    <n v="74"/>
    <n v="2"/>
    <s v="Medium"/>
    <n v="2"/>
    <x v="0"/>
    <x v="1"/>
    <n v="1"/>
    <s v="Low"/>
    <x v="2"/>
    <n v="4615"/>
    <n v="21029"/>
    <n v="8"/>
    <x v="0"/>
    <n v="23"/>
    <n v="4"/>
    <s v="Outstanding"/>
    <n v="1"/>
    <s v="Low"/>
    <n v="3"/>
    <n v="19"/>
    <n v="2"/>
    <n v="3"/>
    <s v="High"/>
    <n v="16"/>
    <n v="13"/>
    <n v="1"/>
    <n v="7"/>
  </r>
  <r>
    <n v="51"/>
    <x v="1"/>
    <x v="0"/>
    <x v="0"/>
    <n v="1323"/>
    <x v="1"/>
    <n v="4"/>
    <x v="0"/>
    <n v="4"/>
    <s v="Master"/>
    <s v="Life Sciences"/>
    <n v="1081"/>
    <n v="1"/>
    <x v="2"/>
    <s v="Male"/>
    <n v="34"/>
    <n v="3"/>
    <s v="High"/>
    <n v="1"/>
    <x v="1"/>
    <x v="1"/>
    <n v="3"/>
    <s v="High"/>
    <x v="1"/>
    <n v="2461"/>
    <n v="10332"/>
    <n v="9"/>
    <x v="0"/>
    <n v="12"/>
    <n v="3"/>
    <s v="Excellent"/>
    <n v="3"/>
    <s v="High"/>
    <n v="3"/>
    <n v="18"/>
    <n v="2"/>
    <n v="4"/>
    <s v="Very High"/>
    <n v="10"/>
    <n v="0"/>
    <n v="2"/>
    <n v="7"/>
  </r>
  <r>
    <n v="28"/>
    <x v="2"/>
    <x v="0"/>
    <x v="2"/>
    <n v="1366"/>
    <x v="1"/>
    <n v="24"/>
    <x v="1"/>
    <n v="2"/>
    <s v="College"/>
    <s v="Technical Degree"/>
    <n v="1082"/>
    <n v="2"/>
    <x v="0"/>
    <s v="Male"/>
    <n v="72"/>
    <n v="2"/>
    <s v="Medium"/>
    <n v="3"/>
    <x v="2"/>
    <x v="4"/>
    <n v="1"/>
    <s v="Low"/>
    <x v="0"/>
    <n v="8722"/>
    <n v="12355"/>
    <n v="1"/>
    <x v="1"/>
    <n v="12"/>
    <n v="3"/>
    <s v="Excellent"/>
    <n v="1"/>
    <s v="Low"/>
    <n v="0"/>
    <n v="10"/>
    <n v="2"/>
    <n v="2"/>
    <s v="Medium"/>
    <n v="10"/>
    <n v="7"/>
    <n v="1"/>
    <n v="9"/>
  </r>
  <r>
    <n v="26"/>
    <x v="2"/>
    <x v="1"/>
    <x v="0"/>
    <n v="192"/>
    <x v="1"/>
    <n v="1"/>
    <x v="0"/>
    <n v="2"/>
    <s v="College"/>
    <s v="Medical"/>
    <n v="1083"/>
    <n v="1"/>
    <x v="2"/>
    <s v="Male"/>
    <n v="59"/>
    <n v="2"/>
    <s v="Medium"/>
    <n v="1"/>
    <x v="1"/>
    <x v="2"/>
    <n v="1"/>
    <s v="Low"/>
    <x v="1"/>
    <n v="3955"/>
    <n v="11141"/>
    <n v="1"/>
    <x v="1"/>
    <n v="16"/>
    <n v="3"/>
    <s v="Excellent"/>
    <n v="1"/>
    <s v="Low"/>
    <n v="2"/>
    <n v="6"/>
    <n v="2"/>
    <n v="3"/>
    <s v="High"/>
    <n v="5"/>
    <n v="3"/>
    <n v="1"/>
    <n v="3"/>
  </r>
  <r>
    <n v="30"/>
    <x v="2"/>
    <x v="1"/>
    <x v="0"/>
    <n v="1176"/>
    <x v="1"/>
    <n v="20"/>
    <x v="2"/>
    <n v="3"/>
    <s v="Bachelor"/>
    <s v="Other"/>
    <n v="1084"/>
    <n v="3"/>
    <x v="1"/>
    <s v="Male"/>
    <n v="85"/>
    <n v="3"/>
    <s v="High"/>
    <n v="2"/>
    <x v="0"/>
    <x v="3"/>
    <n v="1"/>
    <s v="Low"/>
    <x v="1"/>
    <n v="9957"/>
    <n v="9096"/>
    <n v="0"/>
    <x v="1"/>
    <n v="15"/>
    <n v="3"/>
    <s v="Excellent"/>
    <n v="3"/>
    <s v="High"/>
    <n v="1"/>
    <n v="7"/>
    <n v="1"/>
    <n v="2"/>
    <s v="Medium"/>
    <n v="6"/>
    <n v="2"/>
    <n v="0"/>
    <n v="2"/>
  </r>
  <r>
    <n v="41"/>
    <x v="0"/>
    <x v="1"/>
    <x v="0"/>
    <n v="509"/>
    <x v="1"/>
    <n v="7"/>
    <x v="0"/>
    <n v="2"/>
    <s v="College"/>
    <s v="Technical Degree"/>
    <n v="1085"/>
    <n v="2"/>
    <x v="0"/>
    <s v="Female"/>
    <n v="43"/>
    <n v="4"/>
    <s v="Very High"/>
    <n v="1"/>
    <x v="1"/>
    <x v="1"/>
    <n v="3"/>
    <s v="High"/>
    <x v="1"/>
    <n v="3376"/>
    <n v="18863"/>
    <n v="1"/>
    <x v="1"/>
    <n v="13"/>
    <n v="3"/>
    <s v="Excellent"/>
    <n v="3"/>
    <s v="High"/>
    <n v="0"/>
    <n v="10"/>
    <n v="3"/>
    <n v="3"/>
    <s v="High"/>
    <n v="10"/>
    <n v="6"/>
    <n v="0"/>
    <n v="8"/>
  </r>
  <r>
    <n v="38"/>
    <x v="0"/>
    <x v="1"/>
    <x v="0"/>
    <n v="330"/>
    <x v="1"/>
    <n v="17"/>
    <x v="2"/>
    <n v="1"/>
    <s v="Below College"/>
    <s v="Life Sciences"/>
    <n v="1088"/>
    <n v="3"/>
    <x v="1"/>
    <s v="Female"/>
    <n v="65"/>
    <n v="2"/>
    <s v="Medium"/>
    <n v="3"/>
    <x v="2"/>
    <x v="4"/>
    <n v="3"/>
    <s v="High"/>
    <x v="1"/>
    <n v="8823"/>
    <n v="24608"/>
    <n v="0"/>
    <x v="1"/>
    <n v="18"/>
    <n v="3"/>
    <s v="Excellent"/>
    <n v="1"/>
    <s v="Low"/>
    <n v="1"/>
    <n v="20"/>
    <n v="4"/>
    <n v="2"/>
    <s v="Medium"/>
    <n v="19"/>
    <n v="9"/>
    <n v="1"/>
    <n v="9"/>
  </r>
  <r>
    <n v="40"/>
    <x v="0"/>
    <x v="1"/>
    <x v="0"/>
    <n v="1492"/>
    <x v="1"/>
    <n v="20"/>
    <x v="2"/>
    <n v="4"/>
    <s v="Master"/>
    <s v="Technical Degree"/>
    <n v="1092"/>
    <n v="1"/>
    <x v="2"/>
    <s v="Male"/>
    <n v="61"/>
    <n v="3"/>
    <s v="High"/>
    <n v="3"/>
    <x v="2"/>
    <x v="4"/>
    <n v="4"/>
    <s v="Very High"/>
    <x v="1"/>
    <n v="10322"/>
    <n v="26542"/>
    <n v="4"/>
    <x v="1"/>
    <n v="20"/>
    <n v="4"/>
    <s v="Outstanding"/>
    <n v="4"/>
    <s v="Very High"/>
    <n v="1"/>
    <n v="14"/>
    <n v="6"/>
    <n v="3"/>
    <s v="High"/>
    <n v="11"/>
    <n v="10"/>
    <n v="11"/>
    <n v="1"/>
  </r>
  <r>
    <n v="27"/>
    <x v="2"/>
    <x v="1"/>
    <x v="2"/>
    <n v="1277"/>
    <x v="1"/>
    <n v="8"/>
    <x v="0"/>
    <n v="5"/>
    <s v="Doctor"/>
    <s v="Life Sciences"/>
    <n v="1094"/>
    <n v="1"/>
    <x v="2"/>
    <s v="Male"/>
    <n v="87"/>
    <n v="1"/>
    <s v="Low"/>
    <n v="1"/>
    <x v="1"/>
    <x v="2"/>
    <n v="3"/>
    <s v="High"/>
    <x v="1"/>
    <n v="4621"/>
    <n v="5869"/>
    <n v="1"/>
    <x v="1"/>
    <n v="19"/>
    <n v="3"/>
    <s v="Excellent"/>
    <n v="4"/>
    <s v="Very High"/>
    <n v="3"/>
    <n v="3"/>
    <n v="4"/>
    <n v="3"/>
    <s v="High"/>
    <n v="3"/>
    <n v="2"/>
    <n v="1"/>
    <n v="2"/>
  </r>
  <r>
    <n v="55"/>
    <x v="1"/>
    <x v="1"/>
    <x v="1"/>
    <n v="1091"/>
    <x v="1"/>
    <n v="2"/>
    <x v="0"/>
    <n v="1"/>
    <s v="Below College"/>
    <s v="Life Sciences"/>
    <n v="1096"/>
    <n v="4"/>
    <x v="3"/>
    <s v="Male"/>
    <n v="65"/>
    <n v="3"/>
    <s v="High"/>
    <n v="3"/>
    <x v="2"/>
    <x v="3"/>
    <n v="2"/>
    <s v="Medium"/>
    <x v="1"/>
    <n v="10976"/>
    <n v="15813"/>
    <n v="3"/>
    <x v="1"/>
    <n v="18"/>
    <n v="3"/>
    <s v="Excellent"/>
    <n v="2"/>
    <s v="Medium"/>
    <n v="1"/>
    <n v="23"/>
    <n v="4"/>
    <n v="3"/>
    <s v="High"/>
    <n v="3"/>
    <n v="2"/>
    <n v="1"/>
    <n v="2"/>
  </r>
  <r>
    <n v="28"/>
    <x v="2"/>
    <x v="1"/>
    <x v="0"/>
    <n v="857"/>
    <x v="1"/>
    <n v="10"/>
    <x v="0"/>
    <n v="3"/>
    <s v="Bachelor"/>
    <s v="Other"/>
    <n v="1097"/>
    <n v="3"/>
    <x v="1"/>
    <s v="Female"/>
    <n v="59"/>
    <n v="3"/>
    <s v="High"/>
    <n v="2"/>
    <x v="0"/>
    <x v="1"/>
    <n v="3"/>
    <s v="High"/>
    <x v="0"/>
    <n v="3660"/>
    <n v="7909"/>
    <n v="3"/>
    <x v="1"/>
    <n v="13"/>
    <n v="3"/>
    <s v="Excellent"/>
    <n v="4"/>
    <s v="Very High"/>
    <n v="0"/>
    <n v="10"/>
    <n v="4"/>
    <n v="4"/>
    <s v="Very High"/>
    <n v="8"/>
    <n v="7"/>
    <n v="1"/>
    <n v="7"/>
  </r>
  <r>
    <n v="44"/>
    <x v="0"/>
    <x v="0"/>
    <x v="0"/>
    <n v="1376"/>
    <x v="2"/>
    <n v="1"/>
    <x v="0"/>
    <n v="2"/>
    <s v="College"/>
    <s v="Medical"/>
    <n v="1098"/>
    <n v="2"/>
    <x v="0"/>
    <s v="Male"/>
    <n v="91"/>
    <n v="2"/>
    <s v="Medium"/>
    <n v="3"/>
    <x v="2"/>
    <x v="8"/>
    <n v="1"/>
    <s v="Low"/>
    <x v="1"/>
    <n v="10482"/>
    <n v="2326"/>
    <n v="9"/>
    <x v="1"/>
    <n v="14"/>
    <n v="3"/>
    <s v="Excellent"/>
    <n v="4"/>
    <s v="Very High"/>
    <n v="1"/>
    <n v="24"/>
    <n v="1"/>
    <n v="3"/>
    <s v="High"/>
    <n v="20"/>
    <n v="6"/>
    <n v="3"/>
    <n v="6"/>
  </r>
  <r>
    <n v="33"/>
    <x v="2"/>
    <x v="1"/>
    <x v="0"/>
    <n v="654"/>
    <x v="1"/>
    <n v="5"/>
    <x v="0"/>
    <n v="3"/>
    <s v="Bachelor"/>
    <s v="Life Sciences"/>
    <n v="1099"/>
    <n v="4"/>
    <x v="3"/>
    <s v="Male"/>
    <n v="34"/>
    <n v="2"/>
    <s v="Medium"/>
    <n v="3"/>
    <x v="2"/>
    <x v="4"/>
    <n v="4"/>
    <s v="Very High"/>
    <x v="2"/>
    <n v="7119"/>
    <n v="21214"/>
    <n v="4"/>
    <x v="1"/>
    <n v="15"/>
    <n v="3"/>
    <s v="Excellent"/>
    <n v="3"/>
    <s v="High"/>
    <n v="1"/>
    <n v="9"/>
    <n v="2"/>
    <n v="3"/>
    <s v="High"/>
    <n v="3"/>
    <n v="2"/>
    <n v="1"/>
    <n v="2"/>
  </r>
  <r>
    <n v="35"/>
    <x v="2"/>
    <x v="0"/>
    <x v="0"/>
    <n v="1204"/>
    <x v="0"/>
    <n v="4"/>
    <x v="0"/>
    <n v="3"/>
    <s v="Bachelor"/>
    <s v="Technical Degree"/>
    <n v="1100"/>
    <n v="4"/>
    <x v="3"/>
    <s v="Male"/>
    <n v="86"/>
    <n v="3"/>
    <s v="High"/>
    <n v="3"/>
    <x v="2"/>
    <x v="0"/>
    <n v="1"/>
    <s v="Low"/>
    <x v="0"/>
    <n v="9582"/>
    <n v="10333"/>
    <n v="0"/>
    <x v="0"/>
    <n v="22"/>
    <n v="4"/>
    <s v="Outstanding"/>
    <n v="1"/>
    <s v="Low"/>
    <n v="0"/>
    <n v="9"/>
    <n v="2"/>
    <n v="3"/>
    <s v="High"/>
    <n v="8"/>
    <n v="7"/>
    <n v="4"/>
    <n v="7"/>
  </r>
  <r>
    <n v="33"/>
    <x v="2"/>
    <x v="0"/>
    <x v="1"/>
    <n v="827"/>
    <x v="1"/>
    <n v="29"/>
    <x v="1"/>
    <n v="4"/>
    <s v="Master"/>
    <s v="Medical"/>
    <n v="1101"/>
    <n v="1"/>
    <x v="2"/>
    <s v="Female"/>
    <n v="54"/>
    <n v="2"/>
    <s v="Medium"/>
    <n v="2"/>
    <x v="0"/>
    <x v="1"/>
    <n v="3"/>
    <s v="High"/>
    <x v="0"/>
    <n v="4508"/>
    <n v="3129"/>
    <n v="1"/>
    <x v="1"/>
    <n v="22"/>
    <n v="4"/>
    <s v="Outstanding"/>
    <n v="2"/>
    <s v="Medium"/>
    <n v="0"/>
    <n v="14"/>
    <n v="4"/>
    <n v="3"/>
    <s v="High"/>
    <n v="13"/>
    <n v="7"/>
    <n v="3"/>
    <n v="8"/>
  </r>
  <r>
    <n v="28"/>
    <x v="2"/>
    <x v="1"/>
    <x v="0"/>
    <n v="895"/>
    <x v="1"/>
    <n v="15"/>
    <x v="2"/>
    <n v="2"/>
    <s v="College"/>
    <s v="Life Sciences"/>
    <n v="1102"/>
    <n v="1"/>
    <x v="2"/>
    <s v="Male"/>
    <n v="50"/>
    <n v="3"/>
    <s v="High"/>
    <n v="1"/>
    <x v="1"/>
    <x v="2"/>
    <n v="3"/>
    <s v="High"/>
    <x v="2"/>
    <n v="2207"/>
    <n v="22482"/>
    <n v="1"/>
    <x v="1"/>
    <n v="16"/>
    <n v="3"/>
    <s v="Excellent"/>
    <n v="4"/>
    <s v="Very High"/>
    <n v="1"/>
    <n v="4"/>
    <n v="5"/>
    <n v="2"/>
    <s v="Medium"/>
    <n v="4"/>
    <n v="2"/>
    <n v="2"/>
    <n v="2"/>
  </r>
  <r>
    <n v="34"/>
    <x v="2"/>
    <x v="1"/>
    <x v="1"/>
    <n v="618"/>
    <x v="1"/>
    <n v="3"/>
    <x v="0"/>
    <n v="1"/>
    <s v="Below College"/>
    <s v="Life Sciences"/>
    <n v="1103"/>
    <n v="1"/>
    <x v="2"/>
    <s v="Male"/>
    <n v="45"/>
    <n v="3"/>
    <s v="High"/>
    <n v="2"/>
    <x v="0"/>
    <x v="4"/>
    <n v="4"/>
    <s v="Very High"/>
    <x v="0"/>
    <n v="7756"/>
    <n v="22266"/>
    <n v="0"/>
    <x v="1"/>
    <n v="17"/>
    <n v="3"/>
    <s v="Excellent"/>
    <n v="3"/>
    <s v="High"/>
    <n v="0"/>
    <n v="7"/>
    <n v="1"/>
    <n v="2"/>
    <s v="Medium"/>
    <n v="6"/>
    <n v="2"/>
    <n v="0"/>
    <n v="4"/>
  </r>
  <r>
    <n v="37"/>
    <x v="0"/>
    <x v="1"/>
    <x v="0"/>
    <n v="309"/>
    <x v="0"/>
    <n v="10"/>
    <x v="0"/>
    <n v="4"/>
    <s v="Master"/>
    <s v="Life Sciences"/>
    <n v="1105"/>
    <n v="4"/>
    <x v="3"/>
    <s v="Female"/>
    <n v="88"/>
    <n v="2"/>
    <s v="Medium"/>
    <n v="2"/>
    <x v="0"/>
    <x v="0"/>
    <n v="4"/>
    <s v="Very High"/>
    <x v="2"/>
    <n v="6694"/>
    <n v="24223"/>
    <n v="2"/>
    <x v="0"/>
    <n v="14"/>
    <n v="3"/>
    <s v="Excellent"/>
    <n v="3"/>
    <s v="High"/>
    <n v="3"/>
    <n v="8"/>
    <n v="5"/>
    <n v="3"/>
    <s v="High"/>
    <n v="1"/>
    <n v="0"/>
    <n v="0"/>
    <n v="0"/>
  </r>
  <r>
    <n v="25"/>
    <x v="4"/>
    <x v="0"/>
    <x v="0"/>
    <n v="1219"/>
    <x v="1"/>
    <n v="4"/>
    <x v="0"/>
    <n v="1"/>
    <s v="Below College"/>
    <s v="Technical Degree"/>
    <n v="1106"/>
    <n v="4"/>
    <x v="3"/>
    <s v="Male"/>
    <n v="32"/>
    <n v="3"/>
    <s v="High"/>
    <n v="1"/>
    <x v="1"/>
    <x v="2"/>
    <n v="4"/>
    <s v="Very High"/>
    <x v="1"/>
    <n v="3691"/>
    <n v="4605"/>
    <n v="1"/>
    <x v="0"/>
    <n v="15"/>
    <n v="3"/>
    <s v="Excellent"/>
    <n v="2"/>
    <s v="Medium"/>
    <n v="1"/>
    <n v="7"/>
    <n v="3"/>
    <n v="4"/>
    <s v="Very High"/>
    <n v="7"/>
    <n v="7"/>
    <n v="5"/>
    <n v="6"/>
  </r>
  <r>
    <n v="26"/>
    <x v="2"/>
    <x v="0"/>
    <x v="0"/>
    <n v="1330"/>
    <x v="1"/>
    <n v="21"/>
    <x v="1"/>
    <n v="3"/>
    <s v="Bachelor"/>
    <s v="Medical"/>
    <n v="1107"/>
    <n v="1"/>
    <x v="2"/>
    <s v="Male"/>
    <n v="37"/>
    <n v="3"/>
    <s v="High"/>
    <n v="1"/>
    <x v="1"/>
    <x v="2"/>
    <n v="3"/>
    <s v="High"/>
    <x v="2"/>
    <n v="2377"/>
    <n v="19373"/>
    <n v="1"/>
    <x v="1"/>
    <n v="20"/>
    <n v="4"/>
    <s v="Outstanding"/>
    <n v="3"/>
    <s v="High"/>
    <n v="1"/>
    <n v="1"/>
    <n v="0"/>
    <n v="2"/>
    <s v="Medium"/>
    <n v="1"/>
    <n v="1"/>
    <n v="0"/>
    <n v="0"/>
  </r>
  <r>
    <n v="33"/>
    <x v="2"/>
    <x v="0"/>
    <x v="0"/>
    <n v="1017"/>
    <x v="1"/>
    <n v="25"/>
    <x v="1"/>
    <n v="3"/>
    <s v="Bachelor"/>
    <s v="Medical"/>
    <n v="1108"/>
    <n v="1"/>
    <x v="2"/>
    <s v="Male"/>
    <n v="55"/>
    <n v="2"/>
    <s v="Medium"/>
    <n v="1"/>
    <x v="1"/>
    <x v="1"/>
    <n v="2"/>
    <s v="Medium"/>
    <x v="0"/>
    <n v="2313"/>
    <n v="2993"/>
    <n v="4"/>
    <x v="0"/>
    <n v="20"/>
    <n v="4"/>
    <s v="Outstanding"/>
    <n v="2"/>
    <s v="Medium"/>
    <n v="0"/>
    <n v="5"/>
    <n v="0"/>
    <n v="3"/>
    <s v="High"/>
    <n v="2"/>
    <n v="2"/>
    <n v="2"/>
    <n v="2"/>
  </r>
  <r>
    <n v="42"/>
    <x v="0"/>
    <x v="1"/>
    <x v="0"/>
    <n v="469"/>
    <x v="1"/>
    <n v="2"/>
    <x v="0"/>
    <n v="2"/>
    <s v="College"/>
    <s v="Medical"/>
    <n v="1109"/>
    <n v="4"/>
    <x v="3"/>
    <s v="Male"/>
    <n v="35"/>
    <n v="3"/>
    <s v="High"/>
    <n v="4"/>
    <x v="3"/>
    <x v="5"/>
    <n v="1"/>
    <s v="Low"/>
    <x v="1"/>
    <n v="17665"/>
    <n v="14399"/>
    <n v="0"/>
    <x v="1"/>
    <n v="17"/>
    <n v="3"/>
    <s v="Excellent"/>
    <n v="4"/>
    <s v="Very High"/>
    <n v="1"/>
    <n v="23"/>
    <n v="3"/>
    <n v="3"/>
    <s v="High"/>
    <n v="22"/>
    <n v="6"/>
    <n v="13"/>
    <n v="7"/>
  </r>
  <r>
    <n v="28"/>
    <x v="2"/>
    <x v="0"/>
    <x v="1"/>
    <n v="1009"/>
    <x v="1"/>
    <n v="1"/>
    <x v="0"/>
    <n v="3"/>
    <s v="Bachelor"/>
    <s v="Medical"/>
    <n v="1111"/>
    <n v="1"/>
    <x v="2"/>
    <s v="Male"/>
    <n v="45"/>
    <n v="2"/>
    <s v="Medium"/>
    <n v="1"/>
    <x v="1"/>
    <x v="2"/>
    <n v="2"/>
    <s v="Medium"/>
    <x v="2"/>
    <n v="2596"/>
    <n v="7160"/>
    <n v="1"/>
    <x v="1"/>
    <n v="15"/>
    <n v="3"/>
    <s v="Excellent"/>
    <n v="1"/>
    <s v="Low"/>
    <n v="2"/>
    <n v="1"/>
    <n v="2"/>
    <n v="3"/>
    <s v="High"/>
    <n v="1"/>
    <n v="0"/>
    <n v="0"/>
    <n v="0"/>
  </r>
  <r>
    <n v="50"/>
    <x v="1"/>
    <x v="0"/>
    <x v="1"/>
    <n v="959"/>
    <x v="0"/>
    <n v="1"/>
    <x v="0"/>
    <n v="4"/>
    <s v="Master"/>
    <s v="Other"/>
    <n v="1113"/>
    <n v="4"/>
    <x v="3"/>
    <s v="Male"/>
    <n v="81"/>
    <n v="3"/>
    <s v="High"/>
    <n v="2"/>
    <x v="0"/>
    <x v="0"/>
    <n v="3"/>
    <s v="High"/>
    <x v="0"/>
    <n v="4728"/>
    <n v="17251"/>
    <n v="3"/>
    <x v="0"/>
    <n v="14"/>
    <n v="3"/>
    <s v="Excellent"/>
    <n v="4"/>
    <s v="Very High"/>
    <n v="0"/>
    <n v="5"/>
    <n v="4"/>
    <n v="3"/>
    <s v="High"/>
    <n v="0"/>
    <n v="0"/>
    <n v="0"/>
    <n v="0"/>
  </r>
  <r>
    <n v="33"/>
    <x v="2"/>
    <x v="1"/>
    <x v="1"/>
    <n v="970"/>
    <x v="0"/>
    <n v="7"/>
    <x v="0"/>
    <n v="3"/>
    <s v="Bachelor"/>
    <s v="Life Sciences"/>
    <n v="1114"/>
    <n v="4"/>
    <x v="3"/>
    <s v="Female"/>
    <n v="30"/>
    <n v="3"/>
    <s v="High"/>
    <n v="2"/>
    <x v="0"/>
    <x v="0"/>
    <n v="2"/>
    <s v="Medium"/>
    <x v="1"/>
    <n v="4302"/>
    <n v="13401"/>
    <n v="0"/>
    <x v="1"/>
    <n v="17"/>
    <n v="3"/>
    <s v="Excellent"/>
    <n v="3"/>
    <s v="High"/>
    <n v="1"/>
    <n v="4"/>
    <n v="3"/>
    <n v="3"/>
    <s v="High"/>
    <n v="3"/>
    <n v="2"/>
    <n v="0"/>
    <n v="2"/>
  </r>
  <r>
    <n v="34"/>
    <x v="2"/>
    <x v="1"/>
    <x v="2"/>
    <n v="697"/>
    <x v="1"/>
    <n v="3"/>
    <x v="0"/>
    <n v="4"/>
    <s v="Master"/>
    <s v="Life Sciences"/>
    <n v="1115"/>
    <n v="3"/>
    <x v="1"/>
    <s v="Male"/>
    <n v="40"/>
    <n v="2"/>
    <s v="Medium"/>
    <n v="1"/>
    <x v="1"/>
    <x v="1"/>
    <n v="4"/>
    <s v="Very High"/>
    <x v="1"/>
    <n v="2979"/>
    <n v="22478"/>
    <n v="3"/>
    <x v="1"/>
    <n v="17"/>
    <n v="3"/>
    <s v="Excellent"/>
    <n v="4"/>
    <s v="Very High"/>
    <n v="3"/>
    <n v="6"/>
    <n v="2"/>
    <n v="3"/>
    <s v="High"/>
    <n v="0"/>
    <n v="0"/>
    <n v="0"/>
    <n v="0"/>
  </r>
  <r>
    <n v="48"/>
    <x v="1"/>
    <x v="1"/>
    <x v="2"/>
    <n v="1262"/>
    <x v="1"/>
    <n v="1"/>
    <x v="0"/>
    <n v="4"/>
    <s v="Master"/>
    <s v="Medical"/>
    <n v="1116"/>
    <n v="1"/>
    <x v="2"/>
    <s v="Male"/>
    <n v="35"/>
    <n v="4"/>
    <s v="Very High"/>
    <n v="4"/>
    <x v="3"/>
    <x v="5"/>
    <n v="4"/>
    <s v="Very High"/>
    <x v="0"/>
    <n v="16885"/>
    <n v="16154"/>
    <n v="2"/>
    <x v="1"/>
    <n v="22"/>
    <n v="4"/>
    <s v="Outstanding"/>
    <n v="3"/>
    <s v="High"/>
    <n v="0"/>
    <n v="27"/>
    <n v="3"/>
    <n v="2"/>
    <s v="Medium"/>
    <n v="5"/>
    <n v="4"/>
    <n v="2"/>
    <n v="1"/>
  </r>
  <r>
    <n v="45"/>
    <x v="0"/>
    <x v="1"/>
    <x v="2"/>
    <n v="1050"/>
    <x v="0"/>
    <n v="9"/>
    <x v="0"/>
    <n v="4"/>
    <s v="Master"/>
    <s v="Life Sciences"/>
    <n v="1117"/>
    <n v="2"/>
    <x v="0"/>
    <s v="Female"/>
    <n v="65"/>
    <n v="2"/>
    <s v="Medium"/>
    <n v="2"/>
    <x v="0"/>
    <x v="0"/>
    <n v="3"/>
    <s v="High"/>
    <x v="1"/>
    <n v="5593"/>
    <n v="17970"/>
    <n v="1"/>
    <x v="1"/>
    <n v="13"/>
    <n v="3"/>
    <s v="Excellent"/>
    <n v="4"/>
    <s v="Very High"/>
    <n v="1"/>
    <n v="15"/>
    <n v="2"/>
    <n v="3"/>
    <s v="High"/>
    <n v="15"/>
    <n v="10"/>
    <n v="4"/>
    <n v="12"/>
  </r>
  <r>
    <n v="52"/>
    <x v="1"/>
    <x v="1"/>
    <x v="0"/>
    <n v="994"/>
    <x v="1"/>
    <n v="7"/>
    <x v="0"/>
    <n v="4"/>
    <s v="Master"/>
    <s v="Life Sciences"/>
    <n v="1118"/>
    <n v="2"/>
    <x v="0"/>
    <s v="Male"/>
    <n v="87"/>
    <n v="3"/>
    <s v="High"/>
    <n v="3"/>
    <x v="2"/>
    <x v="4"/>
    <n v="2"/>
    <s v="Medium"/>
    <x v="0"/>
    <n v="10445"/>
    <n v="15322"/>
    <n v="7"/>
    <x v="1"/>
    <n v="19"/>
    <n v="3"/>
    <s v="Excellent"/>
    <n v="4"/>
    <s v="Very High"/>
    <n v="0"/>
    <n v="18"/>
    <n v="4"/>
    <n v="3"/>
    <s v="High"/>
    <n v="8"/>
    <n v="6"/>
    <n v="4"/>
    <n v="0"/>
  </r>
  <r>
    <n v="38"/>
    <x v="0"/>
    <x v="1"/>
    <x v="0"/>
    <n v="770"/>
    <x v="0"/>
    <n v="10"/>
    <x v="0"/>
    <n v="4"/>
    <s v="Master"/>
    <s v="Marketing"/>
    <n v="1119"/>
    <n v="3"/>
    <x v="1"/>
    <s v="Male"/>
    <n v="73"/>
    <n v="2"/>
    <s v="Medium"/>
    <n v="3"/>
    <x v="2"/>
    <x v="0"/>
    <n v="3"/>
    <s v="High"/>
    <x v="2"/>
    <n v="8740"/>
    <n v="5569"/>
    <n v="0"/>
    <x v="0"/>
    <n v="14"/>
    <n v="3"/>
    <s v="Excellent"/>
    <n v="2"/>
    <s v="Medium"/>
    <n v="2"/>
    <n v="9"/>
    <n v="2"/>
    <n v="3"/>
    <s v="High"/>
    <n v="8"/>
    <n v="7"/>
    <n v="2"/>
    <n v="7"/>
  </r>
  <r>
    <n v="29"/>
    <x v="2"/>
    <x v="1"/>
    <x v="0"/>
    <n v="1107"/>
    <x v="1"/>
    <n v="28"/>
    <x v="1"/>
    <n v="4"/>
    <s v="Master"/>
    <s v="Life Sciences"/>
    <n v="1120"/>
    <n v="3"/>
    <x v="1"/>
    <s v="Female"/>
    <n v="93"/>
    <n v="3"/>
    <s v="High"/>
    <n v="1"/>
    <x v="1"/>
    <x v="1"/>
    <n v="4"/>
    <s v="Very High"/>
    <x v="2"/>
    <n v="2514"/>
    <n v="26968"/>
    <n v="4"/>
    <x v="1"/>
    <n v="22"/>
    <n v="4"/>
    <s v="Outstanding"/>
    <n v="1"/>
    <s v="Low"/>
    <n v="1"/>
    <n v="11"/>
    <n v="1"/>
    <n v="3"/>
    <s v="High"/>
    <n v="7"/>
    <n v="5"/>
    <n v="1"/>
    <n v="7"/>
  </r>
  <r>
    <n v="28"/>
    <x v="2"/>
    <x v="1"/>
    <x v="0"/>
    <n v="950"/>
    <x v="1"/>
    <n v="3"/>
    <x v="0"/>
    <n v="3"/>
    <s v="Bachelor"/>
    <s v="Medical"/>
    <n v="1121"/>
    <n v="4"/>
    <x v="3"/>
    <s v="Female"/>
    <n v="93"/>
    <n v="3"/>
    <s v="High"/>
    <n v="3"/>
    <x v="2"/>
    <x v="3"/>
    <n v="2"/>
    <s v="Medium"/>
    <x v="2"/>
    <n v="7655"/>
    <n v="8039"/>
    <n v="0"/>
    <x v="1"/>
    <n v="17"/>
    <n v="3"/>
    <s v="Excellent"/>
    <n v="2"/>
    <s v="Medium"/>
    <n v="3"/>
    <n v="10"/>
    <n v="3"/>
    <n v="2"/>
    <s v="Medium"/>
    <n v="9"/>
    <n v="7"/>
    <n v="1"/>
    <n v="7"/>
  </r>
  <r>
    <n v="46"/>
    <x v="1"/>
    <x v="1"/>
    <x v="0"/>
    <n v="406"/>
    <x v="0"/>
    <n v="3"/>
    <x v="0"/>
    <n v="1"/>
    <s v="Below College"/>
    <s v="Marketing"/>
    <n v="1124"/>
    <n v="1"/>
    <x v="2"/>
    <s v="Male"/>
    <n v="52"/>
    <n v="3"/>
    <s v="High"/>
    <n v="4"/>
    <x v="3"/>
    <x v="5"/>
    <n v="3"/>
    <s v="High"/>
    <x v="1"/>
    <n v="17465"/>
    <n v="15596"/>
    <n v="3"/>
    <x v="1"/>
    <n v="12"/>
    <n v="3"/>
    <s v="Excellent"/>
    <n v="4"/>
    <s v="Very High"/>
    <n v="1"/>
    <n v="23"/>
    <n v="3"/>
    <n v="3"/>
    <s v="High"/>
    <n v="12"/>
    <n v="9"/>
    <n v="4"/>
    <n v="9"/>
  </r>
  <r>
    <n v="38"/>
    <x v="0"/>
    <x v="1"/>
    <x v="0"/>
    <n v="130"/>
    <x v="0"/>
    <n v="2"/>
    <x v="0"/>
    <n v="2"/>
    <s v="College"/>
    <s v="Marketing"/>
    <n v="1125"/>
    <n v="4"/>
    <x v="3"/>
    <s v="Male"/>
    <n v="32"/>
    <n v="3"/>
    <s v="High"/>
    <n v="3"/>
    <x v="2"/>
    <x v="0"/>
    <n v="2"/>
    <s v="Medium"/>
    <x v="0"/>
    <n v="7351"/>
    <n v="20619"/>
    <n v="7"/>
    <x v="1"/>
    <n v="16"/>
    <n v="3"/>
    <s v="Excellent"/>
    <n v="3"/>
    <s v="High"/>
    <n v="0"/>
    <n v="10"/>
    <n v="2"/>
    <n v="3"/>
    <s v="High"/>
    <n v="1"/>
    <n v="0"/>
    <n v="0"/>
    <n v="0"/>
  </r>
  <r>
    <n v="43"/>
    <x v="0"/>
    <x v="1"/>
    <x v="1"/>
    <n v="1082"/>
    <x v="1"/>
    <n v="27"/>
    <x v="1"/>
    <n v="3"/>
    <s v="Bachelor"/>
    <s v="Life Sciences"/>
    <n v="1126"/>
    <n v="3"/>
    <x v="1"/>
    <s v="Female"/>
    <n v="83"/>
    <n v="3"/>
    <s v="High"/>
    <n v="3"/>
    <x v="2"/>
    <x v="3"/>
    <n v="1"/>
    <s v="Low"/>
    <x v="1"/>
    <n v="10820"/>
    <n v="11535"/>
    <n v="8"/>
    <x v="1"/>
    <n v="11"/>
    <n v="3"/>
    <s v="Excellent"/>
    <n v="3"/>
    <s v="High"/>
    <n v="1"/>
    <n v="18"/>
    <n v="1"/>
    <n v="3"/>
    <s v="High"/>
    <n v="8"/>
    <n v="7"/>
    <n v="0"/>
    <n v="1"/>
  </r>
  <r>
    <n v="39"/>
    <x v="0"/>
    <x v="0"/>
    <x v="1"/>
    <n v="203"/>
    <x v="1"/>
    <n v="2"/>
    <x v="0"/>
    <n v="3"/>
    <s v="Bachelor"/>
    <s v="Life Sciences"/>
    <n v="1127"/>
    <n v="1"/>
    <x v="2"/>
    <s v="Male"/>
    <n v="84"/>
    <n v="3"/>
    <s v="High"/>
    <n v="4"/>
    <x v="3"/>
    <x v="4"/>
    <n v="4"/>
    <s v="Very High"/>
    <x v="2"/>
    <n v="12169"/>
    <n v="13547"/>
    <n v="7"/>
    <x v="1"/>
    <n v="11"/>
    <n v="3"/>
    <s v="Excellent"/>
    <n v="4"/>
    <s v="Very High"/>
    <n v="3"/>
    <n v="21"/>
    <n v="4"/>
    <n v="3"/>
    <s v="High"/>
    <n v="18"/>
    <n v="7"/>
    <n v="11"/>
    <n v="5"/>
  </r>
  <r>
    <n v="40"/>
    <x v="0"/>
    <x v="1"/>
    <x v="0"/>
    <n v="1308"/>
    <x v="1"/>
    <n v="14"/>
    <x v="2"/>
    <n v="3"/>
    <s v="Bachelor"/>
    <s v="Medical"/>
    <n v="1128"/>
    <n v="3"/>
    <x v="1"/>
    <s v="Male"/>
    <n v="44"/>
    <n v="2"/>
    <s v="Medium"/>
    <n v="5"/>
    <x v="4"/>
    <x v="7"/>
    <n v="3"/>
    <s v="High"/>
    <x v="0"/>
    <n v="19626"/>
    <n v="17544"/>
    <n v="1"/>
    <x v="1"/>
    <n v="14"/>
    <n v="3"/>
    <s v="Excellent"/>
    <n v="1"/>
    <s v="Low"/>
    <n v="0"/>
    <n v="21"/>
    <n v="2"/>
    <n v="4"/>
    <s v="Very High"/>
    <n v="20"/>
    <n v="7"/>
    <n v="4"/>
    <n v="9"/>
  </r>
  <r>
    <n v="21"/>
    <x v="4"/>
    <x v="1"/>
    <x v="0"/>
    <n v="984"/>
    <x v="1"/>
    <n v="1"/>
    <x v="0"/>
    <n v="1"/>
    <s v="Below College"/>
    <s v="Technical Degree"/>
    <n v="1131"/>
    <n v="4"/>
    <x v="3"/>
    <s v="Female"/>
    <n v="70"/>
    <n v="2"/>
    <s v="Medium"/>
    <n v="1"/>
    <x v="1"/>
    <x v="1"/>
    <n v="2"/>
    <s v="Medium"/>
    <x v="0"/>
    <n v="2070"/>
    <n v="25326"/>
    <n v="1"/>
    <x v="0"/>
    <n v="11"/>
    <n v="3"/>
    <s v="Excellent"/>
    <n v="3"/>
    <s v="High"/>
    <n v="0"/>
    <n v="2"/>
    <n v="6"/>
    <n v="4"/>
    <s v="Very High"/>
    <n v="2"/>
    <n v="2"/>
    <n v="2"/>
    <n v="2"/>
  </r>
  <r>
    <n v="39"/>
    <x v="0"/>
    <x v="1"/>
    <x v="2"/>
    <n v="439"/>
    <x v="1"/>
    <n v="9"/>
    <x v="0"/>
    <n v="3"/>
    <s v="Bachelor"/>
    <s v="Life Sciences"/>
    <n v="1132"/>
    <n v="3"/>
    <x v="1"/>
    <s v="Male"/>
    <n v="70"/>
    <n v="3"/>
    <s v="High"/>
    <n v="2"/>
    <x v="0"/>
    <x v="2"/>
    <n v="2"/>
    <s v="Medium"/>
    <x v="0"/>
    <n v="6782"/>
    <n v="8770"/>
    <n v="9"/>
    <x v="1"/>
    <n v="15"/>
    <n v="3"/>
    <s v="Excellent"/>
    <n v="3"/>
    <s v="High"/>
    <n v="0"/>
    <n v="9"/>
    <n v="2"/>
    <n v="2"/>
    <s v="Medium"/>
    <n v="5"/>
    <n v="4"/>
    <n v="0"/>
    <n v="3"/>
  </r>
  <r>
    <n v="36"/>
    <x v="0"/>
    <x v="1"/>
    <x v="2"/>
    <n v="217"/>
    <x v="1"/>
    <n v="18"/>
    <x v="2"/>
    <n v="4"/>
    <s v="Master"/>
    <s v="Life Sciences"/>
    <n v="1133"/>
    <n v="1"/>
    <x v="2"/>
    <s v="Male"/>
    <n v="78"/>
    <n v="3"/>
    <s v="High"/>
    <n v="2"/>
    <x v="0"/>
    <x v="3"/>
    <n v="4"/>
    <s v="Very High"/>
    <x v="0"/>
    <n v="7779"/>
    <n v="23238"/>
    <n v="2"/>
    <x v="1"/>
    <n v="20"/>
    <n v="4"/>
    <s v="Outstanding"/>
    <n v="1"/>
    <s v="Low"/>
    <n v="0"/>
    <n v="18"/>
    <n v="0"/>
    <n v="3"/>
    <s v="High"/>
    <n v="11"/>
    <n v="9"/>
    <n v="0"/>
    <n v="9"/>
  </r>
  <r>
    <n v="31"/>
    <x v="2"/>
    <x v="1"/>
    <x v="1"/>
    <n v="793"/>
    <x v="0"/>
    <n v="20"/>
    <x v="2"/>
    <n v="3"/>
    <s v="Bachelor"/>
    <s v="Life Sciences"/>
    <n v="1135"/>
    <n v="3"/>
    <x v="1"/>
    <s v="Male"/>
    <n v="67"/>
    <n v="4"/>
    <s v="Very High"/>
    <n v="1"/>
    <x v="1"/>
    <x v="6"/>
    <n v="4"/>
    <s v="Very High"/>
    <x v="1"/>
    <n v="2791"/>
    <n v="21981"/>
    <n v="0"/>
    <x v="1"/>
    <n v="12"/>
    <n v="3"/>
    <s v="Excellent"/>
    <n v="1"/>
    <s v="Low"/>
    <n v="1"/>
    <n v="3"/>
    <n v="4"/>
    <n v="3"/>
    <s v="High"/>
    <n v="2"/>
    <n v="2"/>
    <n v="2"/>
    <n v="2"/>
  </r>
  <r>
    <n v="28"/>
    <x v="2"/>
    <x v="1"/>
    <x v="0"/>
    <n v="1451"/>
    <x v="1"/>
    <n v="2"/>
    <x v="0"/>
    <n v="1"/>
    <s v="Below College"/>
    <s v="Life Sciences"/>
    <n v="1136"/>
    <n v="1"/>
    <x v="2"/>
    <s v="Male"/>
    <n v="67"/>
    <n v="2"/>
    <s v="Medium"/>
    <n v="1"/>
    <x v="1"/>
    <x v="1"/>
    <n v="2"/>
    <s v="Medium"/>
    <x v="1"/>
    <n v="3201"/>
    <n v="19911"/>
    <n v="0"/>
    <x v="1"/>
    <n v="17"/>
    <n v="3"/>
    <s v="Excellent"/>
    <n v="1"/>
    <s v="Low"/>
    <n v="0"/>
    <n v="6"/>
    <n v="2"/>
    <n v="1"/>
    <s v="Low"/>
    <n v="5"/>
    <n v="3"/>
    <n v="0"/>
    <n v="4"/>
  </r>
  <r>
    <n v="35"/>
    <x v="2"/>
    <x v="1"/>
    <x v="1"/>
    <n v="1182"/>
    <x v="0"/>
    <n v="11"/>
    <x v="2"/>
    <n v="2"/>
    <s v="College"/>
    <s v="Marketing"/>
    <n v="1137"/>
    <n v="4"/>
    <x v="3"/>
    <s v="Male"/>
    <n v="54"/>
    <n v="3"/>
    <s v="High"/>
    <n v="2"/>
    <x v="0"/>
    <x v="0"/>
    <n v="4"/>
    <s v="Very High"/>
    <x v="2"/>
    <n v="4968"/>
    <n v="18500"/>
    <n v="1"/>
    <x v="1"/>
    <n v="11"/>
    <n v="3"/>
    <s v="Excellent"/>
    <n v="4"/>
    <s v="Very High"/>
    <n v="1"/>
    <n v="5"/>
    <n v="3"/>
    <n v="3"/>
    <s v="High"/>
    <n v="5"/>
    <n v="2"/>
    <n v="0"/>
    <n v="2"/>
  </r>
  <r>
    <n v="49"/>
    <x v="1"/>
    <x v="1"/>
    <x v="0"/>
    <n v="174"/>
    <x v="0"/>
    <n v="8"/>
    <x v="0"/>
    <n v="4"/>
    <s v="Master"/>
    <s v="Technical Degree"/>
    <n v="1138"/>
    <n v="4"/>
    <x v="3"/>
    <s v="Male"/>
    <n v="56"/>
    <n v="2"/>
    <s v="Medium"/>
    <n v="4"/>
    <x v="3"/>
    <x v="0"/>
    <n v="2"/>
    <s v="Medium"/>
    <x v="1"/>
    <n v="13120"/>
    <n v="11879"/>
    <n v="6"/>
    <x v="1"/>
    <n v="17"/>
    <n v="3"/>
    <s v="Excellent"/>
    <n v="2"/>
    <s v="Medium"/>
    <n v="1"/>
    <n v="22"/>
    <n v="3"/>
    <n v="3"/>
    <s v="High"/>
    <n v="9"/>
    <n v="8"/>
    <n v="2"/>
    <n v="3"/>
  </r>
  <r>
    <n v="34"/>
    <x v="2"/>
    <x v="1"/>
    <x v="1"/>
    <n v="1003"/>
    <x v="1"/>
    <n v="2"/>
    <x v="0"/>
    <n v="2"/>
    <s v="College"/>
    <s v="Life Sciences"/>
    <n v="1140"/>
    <n v="4"/>
    <x v="3"/>
    <s v="Male"/>
    <n v="95"/>
    <n v="3"/>
    <s v="High"/>
    <n v="2"/>
    <x v="0"/>
    <x v="3"/>
    <n v="3"/>
    <s v="High"/>
    <x v="0"/>
    <n v="4033"/>
    <n v="15834"/>
    <n v="2"/>
    <x v="1"/>
    <n v="11"/>
    <n v="3"/>
    <s v="Excellent"/>
    <n v="4"/>
    <s v="Very High"/>
    <n v="0"/>
    <n v="5"/>
    <n v="3"/>
    <n v="2"/>
    <s v="Medium"/>
    <n v="3"/>
    <n v="2"/>
    <n v="0"/>
    <n v="2"/>
  </r>
  <r>
    <n v="29"/>
    <x v="2"/>
    <x v="1"/>
    <x v="1"/>
    <n v="490"/>
    <x v="1"/>
    <n v="10"/>
    <x v="0"/>
    <n v="3"/>
    <s v="Bachelor"/>
    <s v="Life Sciences"/>
    <n v="1143"/>
    <n v="4"/>
    <x v="3"/>
    <s v="Female"/>
    <n v="61"/>
    <n v="3"/>
    <s v="High"/>
    <n v="1"/>
    <x v="1"/>
    <x v="1"/>
    <n v="2"/>
    <s v="Medium"/>
    <x v="2"/>
    <n v="3291"/>
    <n v="17940"/>
    <n v="0"/>
    <x v="1"/>
    <n v="14"/>
    <n v="3"/>
    <s v="Excellent"/>
    <n v="4"/>
    <s v="Very High"/>
    <n v="2"/>
    <n v="8"/>
    <n v="2"/>
    <n v="2"/>
    <s v="Medium"/>
    <n v="7"/>
    <n v="5"/>
    <n v="1"/>
    <n v="1"/>
  </r>
  <r>
    <n v="42"/>
    <x v="0"/>
    <x v="1"/>
    <x v="0"/>
    <n v="188"/>
    <x v="1"/>
    <n v="29"/>
    <x v="1"/>
    <n v="3"/>
    <s v="Bachelor"/>
    <s v="Medical"/>
    <n v="1148"/>
    <n v="2"/>
    <x v="0"/>
    <s v="Male"/>
    <n v="56"/>
    <n v="1"/>
    <s v="Low"/>
    <n v="2"/>
    <x v="0"/>
    <x v="2"/>
    <n v="4"/>
    <s v="Very High"/>
    <x v="0"/>
    <n v="4272"/>
    <n v="9558"/>
    <n v="4"/>
    <x v="1"/>
    <n v="19"/>
    <n v="3"/>
    <s v="Excellent"/>
    <n v="1"/>
    <s v="Low"/>
    <n v="0"/>
    <n v="16"/>
    <n v="3"/>
    <n v="3"/>
    <s v="High"/>
    <n v="1"/>
    <n v="0"/>
    <n v="0"/>
    <n v="0"/>
  </r>
  <r>
    <n v="29"/>
    <x v="2"/>
    <x v="1"/>
    <x v="0"/>
    <n v="718"/>
    <x v="1"/>
    <n v="8"/>
    <x v="0"/>
    <n v="1"/>
    <s v="Below College"/>
    <s v="Medical"/>
    <n v="1150"/>
    <n v="2"/>
    <x v="0"/>
    <s v="Male"/>
    <n v="79"/>
    <n v="2"/>
    <s v="Medium"/>
    <n v="2"/>
    <x v="0"/>
    <x v="3"/>
    <n v="4"/>
    <s v="Very High"/>
    <x v="1"/>
    <n v="5056"/>
    <n v="17689"/>
    <n v="1"/>
    <x v="0"/>
    <n v="15"/>
    <n v="3"/>
    <s v="Excellent"/>
    <n v="3"/>
    <s v="High"/>
    <n v="1"/>
    <n v="10"/>
    <n v="2"/>
    <n v="2"/>
    <s v="Medium"/>
    <n v="10"/>
    <n v="7"/>
    <n v="1"/>
    <n v="2"/>
  </r>
  <r>
    <n v="38"/>
    <x v="0"/>
    <x v="1"/>
    <x v="0"/>
    <n v="433"/>
    <x v="2"/>
    <n v="1"/>
    <x v="0"/>
    <n v="3"/>
    <s v="Bachelor"/>
    <s v="Human Resources"/>
    <n v="1152"/>
    <n v="3"/>
    <x v="1"/>
    <s v="Male"/>
    <n v="37"/>
    <n v="4"/>
    <s v="Very High"/>
    <n v="1"/>
    <x v="1"/>
    <x v="8"/>
    <n v="3"/>
    <s v="High"/>
    <x v="1"/>
    <n v="2844"/>
    <n v="6004"/>
    <n v="1"/>
    <x v="1"/>
    <n v="13"/>
    <n v="3"/>
    <s v="Excellent"/>
    <n v="4"/>
    <s v="Very High"/>
    <n v="1"/>
    <n v="7"/>
    <n v="2"/>
    <n v="4"/>
    <s v="Very High"/>
    <n v="7"/>
    <n v="6"/>
    <n v="5"/>
    <n v="0"/>
  </r>
  <r>
    <n v="28"/>
    <x v="2"/>
    <x v="1"/>
    <x v="1"/>
    <n v="773"/>
    <x v="1"/>
    <n v="6"/>
    <x v="0"/>
    <n v="3"/>
    <s v="Bachelor"/>
    <s v="Life Sciences"/>
    <n v="1154"/>
    <n v="3"/>
    <x v="1"/>
    <s v="Male"/>
    <n v="39"/>
    <n v="2"/>
    <s v="Medium"/>
    <n v="1"/>
    <x v="1"/>
    <x v="1"/>
    <n v="3"/>
    <s v="High"/>
    <x v="2"/>
    <n v="2703"/>
    <n v="22088"/>
    <n v="1"/>
    <x v="0"/>
    <n v="14"/>
    <n v="3"/>
    <s v="Excellent"/>
    <n v="4"/>
    <s v="Very High"/>
    <n v="1"/>
    <n v="3"/>
    <n v="2"/>
    <n v="3"/>
    <s v="High"/>
    <n v="3"/>
    <n v="1"/>
    <n v="0"/>
    <n v="2"/>
  </r>
  <r>
    <n v="18"/>
    <x v="4"/>
    <x v="0"/>
    <x v="2"/>
    <n v="247"/>
    <x v="1"/>
    <n v="8"/>
    <x v="0"/>
    <n v="1"/>
    <s v="Below College"/>
    <s v="Medical"/>
    <n v="1156"/>
    <n v="3"/>
    <x v="1"/>
    <s v="Male"/>
    <n v="80"/>
    <n v="3"/>
    <s v="High"/>
    <n v="1"/>
    <x v="1"/>
    <x v="2"/>
    <n v="3"/>
    <s v="High"/>
    <x v="0"/>
    <n v="1904"/>
    <n v="13556"/>
    <n v="1"/>
    <x v="1"/>
    <n v="12"/>
    <n v="3"/>
    <s v="Excellent"/>
    <n v="4"/>
    <s v="Very High"/>
    <n v="0"/>
    <n v="0"/>
    <n v="0"/>
    <n v="3"/>
    <s v="High"/>
    <n v="0"/>
    <n v="0"/>
    <n v="0"/>
    <n v="0"/>
  </r>
  <r>
    <n v="33"/>
    <x v="2"/>
    <x v="0"/>
    <x v="0"/>
    <n v="603"/>
    <x v="0"/>
    <n v="9"/>
    <x v="0"/>
    <n v="4"/>
    <s v="Master"/>
    <s v="Marketing"/>
    <n v="1157"/>
    <n v="1"/>
    <x v="2"/>
    <s v="Female"/>
    <n v="77"/>
    <n v="3"/>
    <s v="High"/>
    <n v="2"/>
    <x v="0"/>
    <x v="0"/>
    <n v="1"/>
    <s v="Low"/>
    <x v="0"/>
    <n v="8224"/>
    <n v="18385"/>
    <n v="0"/>
    <x v="0"/>
    <n v="17"/>
    <n v="3"/>
    <s v="Excellent"/>
    <n v="1"/>
    <s v="Low"/>
    <n v="0"/>
    <n v="6"/>
    <n v="3"/>
    <n v="3"/>
    <s v="High"/>
    <n v="5"/>
    <n v="2"/>
    <n v="0"/>
    <n v="3"/>
  </r>
  <r>
    <n v="41"/>
    <x v="0"/>
    <x v="1"/>
    <x v="0"/>
    <n v="167"/>
    <x v="1"/>
    <n v="12"/>
    <x v="2"/>
    <n v="4"/>
    <s v="Master"/>
    <s v="Life Sciences"/>
    <n v="1158"/>
    <n v="2"/>
    <x v="0"/>
    <s v="Male"/>
    <n v="46"/>
    <n v="3"/>
    <s v="High"/>
    <n v="1"/>
    <x v="1"/>
    <x v="2"/>
    <n v="4"/>
    <s v="Very High"/>
    <x v="1"/>
    <n v="4766"/>
    <n v="9051"/>
    <n v="3"/>
    <x v="0"/>
    <n v="11"/>
    <n v="3"/>
    <s v="Excellent"/>
    <n v="1"/>
    <s v="Low"/>
    <n v="1"/>
    <n v="6"/>
    <n v="4"/>
    <n v="3"/>
    <s v="High"/>
    <n v="1"/>
    <n v="0"/>
    <n v="0"/>
    <n v="0"/>
  </r>
  <r>
    <n v="31"/>
    <x v="2"/>
    <x v="0"/>
    <x v="1"/>
    <n v="874"/>
    <x v="1"/>
    <n v="15"/>
    <x v="2"/>
    <n v="3"/>
    <s v="Bachelor"/>
    <s v="Medical"/>
    <n v="1160"/>
    <n v="3"/>
    <x v="1"/>
    <s v="Male"/>
    <n v="72"/>
    <n v="3"/>
    <s v="High"/>
    <n v="1"/>
    <x v="1"/>
    <x v="2"/>
    <n v="3"/>
    <s v="High"/>
    <x v="1"/>
    <n v="2610"/>
    <n v="6233"/>
    <n v="1"/>
    <x v="1"/>
    <n v="12"/>
    <n v="3"/>
    <s v="Excellent"/>
    <n v="3"/>
    <s v="High"/>
    <n v="1"/>
    <n v="2"/>
    <n v="5"/>
    <n v="2"/>
    <s v="Medium"/>
    <n v="2"/>
    <n v="2"/>
    <n v="2"/>
    <n v="2"/>
  </r>
  <r>
    <n v="37"/>
    <x v="0"/>
    <x v="1"/>
    <x v="0"/>
    <n v="367"/>
    <x v="1"/>
    <n v="25"/>
    <x v="1"/>
    <n v="2"/>
    <s v="College"/>
    <s v="Medical"/>
    <n v="1161"/>
    <n v="3"/>
    <x v="1"/>
    <s v="Female"/>
    <n v="52"/>
    <n v="2"/>
    <s v="Medium"/>
    <n v="2"/>
    <x v="0"/>
    <x v="4"/>
    <n v="4"/>
    <s v="Very High"/>
    <x v="2"/>
    <n v="5731"/>
    <n v="17171"/>
    <n v="7"/>
    <x v="1"/>
    <n v="13"/>
    <n v="3"/>
    <s v="Excellent"/>
    <n v="3"/>
    <s v="High"/>
    <n v="2"/>
    <n v="9"/>
    <n v="2"/>
    <n v="3"/>
    <s v="High"/>
    <n v="6"/>
    <n v="2"/>
    <n v="1"/>
    <n v="3"/>
  </r>
  <r>
    <n v="27"/>
    <x v="2"/>
    <x v="1"/>
    <x v="0"/>
    <n v="199"/>
    <x v="1"/>
    <n v="6"/>
    <x v="0"/>
    <n v="3"/>
    <s v="Bachelor"/>
    <s v="Life Sciences"/>
    <n v="1162"/>
    <n v="4"/>
    <x v="3"/>
    <s v="Male"/>
    <n v="55"/>
    <n v="2"/>
    <s v="Medium"/>
    <n v="1"/>
    <x v="1"/>
    <x v="1"/>
    <n v="3"/>
    <s v="High"/>
    <x v="1"/>
    <n v="2539"/>
    <n v="7950"/>
    <n v="1"/>
    <x v="1"/>
    <n v="13"/>
    <n v="3"/>
    <s v="Excellent"/>
    <n v="3"/>
    <s v="High"/>
    <n v="1"/>
    <n v="4"/>
    <n v="0"/>
    <n v="3"/>
    <s v="High"/>
    <n v="4"/>
    <n v="2"/>
    <n v="2"/>
    <n v="2"/>
  </r>
  <r>
    <n v="34"/>
    <x v="2"/>
    <x v="1"/>
    <x v="0"/>
    <n v="1400"/>
    <x v="0"/>
    <n v="9"/>
    <x v="0"/>
    <n v="1"/>
    <s v="Below College"/>
    <s v="Life Sciences"/>
    <n v="1163"/>
    <n v="2"/>
    <x v="0"/>
    <s v="Female"/>
    <n v="70"/>
    <n v="3"/>
    <s v="High"/>
    <n v="2"/>
    <x v="0"/>
    <x v="0"/>
    <n v="3"/>
    <s v="High"/>
    <x v="1"/>
    <n v="5714"/>
    <n v="5829"/>
    <n v="1"/>
    <x v="1"/>
    <n v="20"/>
    <n v="4"/>
    <s v="Outstanding"/>
    <n v="1"/>
    <s v="Low"/>
    <n v="0"/>
    <n v="6"/>
    <n v="3"/>
    <n v="2"/>
    <s v="Medium"/>
    <n v="6"/>
    <n v="5"/>
    <n v="1"/>
    <n v="3"/>
  </r>
  <r>
    <n v="35"/>
    <x v="2"/>
    <x v="1"/>
    <x v="0"/>
    <n v="528"/>
    <x v="2"/>
    <n v="8"/>
    <x v="0"/>
    <n v="4"/>
    <s v="Master"/>
    <s v="Technical Degree"/>
    <n v="1164"/>
    <n v="3"/>
    <x v="1"/>
    <s v="Male"/>
    <n v="100"/>
    <n v="3"/>
    <s v="High"/>
    <n v="1"/>
    <x v="1"/>
    <x v="8"/>
    <n v="3"/>
    <s v="High"/>
    <x v="0"/>
    <n v="4323"/>
    <n v="7108"/>
    <n v="1"/>
    <x v="1"/>
    <n v="17"/>
    <n v="3"/>
    <s v="Excellent"/>
    <n v="2"/>
    <s v="Medium"/>
    <n v="0"/>
    <n v="6"/>
    <n v="2"/>
    <n v="1"/>
    <s v="Low"/>
    <n v="5"/>
    <n v="4"/>
    <n v="1"/>
    <n v="4"/>
  </r>
  <r>
    <n v="29"/>
    <x v="2"/>
    <x v="0"/>
    <x v="0"/>
    <n v="408"/>
    <x v="0"/>
    <n v="23"/>
    <x v="1"/>
    <n v="1"/>
    <s v="Below College"/>
    <s v="Life Sciences"/>
    <n v="1165"/>
    <n v="4"/>
    <x v="3"/>
    <s v="Female"/>
    <n v="45"/>
    <n v="2"/>
    <s v="Medium"/>
    <n v="3"/>
    <x v="2"/>
    <x v="0"/>
    <n v="1"/>
    <s v="Low"/>
    <x v="1"/>
    <n v="7336"/>
    <n v="11162"/>
    <n v="1"/>
    <x v="1"/>
    <n v="13"/>
    <n v="3"/>
    <s v="Excellent"/>
    <n v="1"/>
    <s v="Low"/>
    <n v="1"/>
    <n v="11"/>
    <n v="3"/>
    <n v="1"/>
    <s v="Low"/>
    <n v="11"/>
    <n v="8"/>
    <n v="3"/>
    <n v="10"/>
  </r>
  <r>
    <n v="40"/>
    <x v="0"/>
    <x v="1"/>
    <x v="1"/>
    <n v="593"/>
    <x v="1"/>
    <n v="9"/>
    <x v="0"/>
    <n v="4"/>
    <s v="Master"/>
    <s v="Medical"/>
    <n v="1166"/>
    <n v="2"/>
    <x v="0"/>
    <s v="Female"/>
    <n v="88"/>
    <n v="3"/>
    <s v="High"/>
    <n v="3"/>
    <x v="2"/>
    <x v="7"/>
    <n v="3"/>
    <s v="High"/>
    <x v="0"/>
    <n v="13499"/>
    <n v="13782"/>
    <n v="9"/>
    <x v="1"/>
    <n v="17"/>
    <n v="3"/>
    <s v="Excellent"/>
    <n v="3"/>
    <s v="High"/>
    <n v="0"/>
    <n v="20"/>
    <n v="3"/>
    <n v="2"/>
    <s v="Medium"/>
    <n v="18"/>
    <n v="7"/>
    <n v="2"/>
    <n v="13"/>
  </r>
  <r>
    <n v="42"/>
    <x v="0"/>
    <x v="0"/>
    <x v="1"/>
    <n v="481"/>
    <x v="0"/>
    <n v="12"/>
    <x v="2"/>
    <n v="3"/>
    <s v="Bachelor"/>
    <s v="Life Sciences"/>
    <n v="1167"/>
    <n v="3"/>
    <x v="1"/>
    <s v="Male"/>
    <n v="44"/>
    <n v="3"/>
    <s v="High"/>
    <n v="4"/>
    <x v="3"/>
    <x v="0"/>
    <n v="1"/>
    <s v="Low"/>
    <x v="0"/>
    <n v="13758"/>
    <n v="2447"/>
    <n v="0"/>
    <x v="0"/>
    <n v="12"/>
    <n v="3"/>
    <s v="Excellent"/>
    <n v="2"/>
    <s v="Medium"/>
    <n v="0"/>
    <n v="22"/>
    <n v="2"/>
    <n v="2"/>
    <s v="Medium"/>
    <n v="21"/>
    <n v="9"/>
    <n v="13"/>
    <n v="14"/>
  </r>
  <r>
    <n v="42"/>
    <x v="0"/>
    <x v="1"/>
    <x v="0"/>
    <n v="647"/>
    <x v="0"/>
    <n v="4"/>
    <x v="0"/>
    <n v="4"/>
    <s v="Master"/>
    <s v="Marketing"/>
    <n v="1171"/>
    <n v="2"/>
    <x v="0"/>
    <s v="Male"/>
    <n v="45"/>
    <n v="3"/>
    <s v="High"/>
    <n v="2"/>
    <x v="0"/>
    <x v="0"/>
    <n v="1"/>
    <s v="Low"/>
    <x v="0"/>
    <n v="5155"/>
    <n v="2253"/>
    <n v="7"/>
    <x v="1"/>
    <n v="13"/>
    <n v="3"/>
    <s v="Excellent"/>
    <n v="4"/>
    <s v="Very High"/>
    <n v="0"/>
    <n v="9"/>
    <n v="3"/>
    <n v="4"/>
    <s v="Very High"/>
    <n v="6"/>
    <n v="4"/>
    <n v="1"/>
    <n v="5"/>
  </r>
  <r>
    <n v="35"/>
    <x v="2"/>
    <x v="1"/>
    <x v="0"/>
    <n v="982"/>
    <x v="1"/>
    <n v="1"/>
    <x v="0"/>
    <n v="4"/>
    <s v="Master"/>
    <s v="Medical"/>
    <n v="1172"/>
    <n v="4"/>
    <x v="3"/>
    <s v="Male"/>
    <n v="58"/>
    <n v="2"/>
    <s v="Medium"/>
    <n v="1"/>
    <x v="1"/>
    <x v="2"/>
    <n v="3"/>
    <s v="High"/>
    <x v="1"/>
    <n v="2258"/>
    <n v="16340"/>
    <n v="6"/>
    <x v="1"/>
    <n v="12"/>
    <n v="3"/>
    <s v="Excellent"/>
    <n v="2"/>
    <s v="Medium"/>
    <n v="1"/>
    <n v="10"/>
    <n v="2"/>
    <n v="3"/>
    <s v="High"/>
    <n v="8"/>
    <n v="0"/>
    <n v="1"/>
    <n v="7"/>
  </r>
  <r>
    <n v="24"/>
    <x v="4"/>
    <x v="1"/>
    <x v="0"/>
    <n v="477"/>
    <x v="1"/>
    <n v="24"/>
    <x v="1"/>
    <n v="3"/>
    <s v="Bachelor"/>
    <s v="Medical"/>
    <n v="1173"/>
    <n v="4"/>
    <x v="3"/>
    <s v="Male"/>
    <n v="49"/>
    <n v="3"/>
    <s v="High"/>
    <n v="1"/>
    <x v="1"/>
    <x v="2"/>
    <n v="2"/>
    <s v="Medium"/>
    <x v="0"/>
    <n v="3597"/>
    <n v="6409"/>
    <n v="8"/>
    <x v="1"/>
    <n v="22"/>
    <n v="4"/>
    <s v="Outstanding"/>
    <n v="4"/>
    <s v="Very High"/>
    <n v="0"/>
    <n v="6"/>
    <n v="2"/>
    <n v="3"/>
    <s v="High"/>
    <n v="4"/>
    <n v="3"/>
    <n v="1"/>
    <n v="2"/>
  </r>
  <r>
    <n v="28"/>
    <x v="2"/>
    <x v="0"/>
    <x v="0"/>
    <n v="1485"/>
    <x v="1"/>
    <n v="12"/>
    <x v="2"/>
    <n v="1"/>
    <s v="Below College"/>
    <s v="Life Sciences"/>
    <n v="1175"/>
    <n v="3"/>
    <x v="1"/>
    <s v="Female"/>
    <n v="79"/>
    <n v="3"/>
    <s v="High"/>
    <n v="1"/>
    <x v="1"/>
    <x v="2"/>
    <n v="4"/>
    <s v="Very High"/>
    <x v="1"/>
    <n v="2515"/>
    <n v="22955"/>
    <n v="1"/>
    <x v="0"/>
    <n v="11"/>
    <n v="3"/>
    <s v="Excellent"/>
    <n v="4"/>
    <s v="Very High"/>
    <n v="0"/>
    <n v="1"/>
    <n v="4"/>
    <n v="2"/>
    <s v="Medium"/>
    <n v="1"/>
    <n v="1"/>
    <n v="0"/>
    <n v="0"/>
  </r>
  <r>
    <n v="26"/>
    <x v="2"/>
    <x v="1"/>
    <x v="0"/>
    <n v="1384"/>
    <x v="1"/>
    <n v="3"/>
    <x v="0"/>
    <n v="4"/>
    <s v="Master"/>
    <s v="Medical"/>
    <n v="1177"/>
    <n v="1"/>
    <x v="2"/>
    <s v="Male"/>
    <n v="82"/>
    <n v="4"/>
    <s v="Very High"/>
    <n v="1"/>
    <x v="1"/>
    <x v="2"/>
    <n v="4"/>
    <s v="Very High"/>
    <x v="1"/>
    <n v="4420"/>
    <n v="13421"/>
    <n v="1"/>
    <x v="1"/>
    <n v="22"/>
    <n v="4"/>
    <s v="Outstanding"/>
    <n v="2"/>
    <s v="Medium"/>
    <n v="1"/>
    <n v="8"/>
    <n v="2"/>
    <n v="3"/>
    <s v="High"/>
    <n v="8"/>
    <n v="7"/>
    <n v="0"/>
    <n v="7"/>
  </r>
  <r>
    <n v="30"/>
    <x v="2"/>
    <x v="1"/>
    <x v="0"/>
    <n v="852"/>
    <x v="0"/>
    <n v="10"/>
    <x v="0"/>
    <n v="3"/>
    <s v="Bachelor"/>
    <s v="Marketing"/>
    <n v="1179"/>
    <n v="3"/>
    <x v="1"/>
    <s v="Male"/>
    <n v="72"/>
    <n v="2"/>
    <s v="Medium"/>
    <n v="2"/>
    <x v="0"/>
    <x v="0"/>
    <n v="3"/>
    <s v="High"/>
    <x v="1"/>
    <n v="6578"/>
    <n v="2706"/>
    <n v="1"/>
    <x v="1"/>
    <n v="18"/>
    <n v="3"/>
    <s v="Excellent"/>
    <n v="1"/>
    <s v="Low"/>
    <n v="1"/>
    <n v="10"/>
    <n v="3"/>
    <n v="3"/>
    <s v="High"/>
    <n v="10"/>
    <n v="3"/>
    <n v="1"/>
    <n v="4"/>
  </r>
  <r>
    <n v="40"/>
    <x v="0"/>
    <x v="1"/>
    <x v="1"/>
    <n v="902"/>
    <x v="1"/>
    <n v="26"/>
    <x v="1"/>
    <n v="2"/>
    <s v="College"/>
    <s v="Medical"/>
    <n v="1180"/>
    <n v="3"/>
    <x v="1"/>
    <s v="Female"/>
    <n v="92"/>
    <n v="2"/>
    <s v="Medium"/>
    <n v="2"/>
    <x v="0"/>
    <x v="1"/>
    <n v="4"/>
    <s v="Very High"/>
    <x v="1"/>
    <n v="4422"/>
    <n v="21203"/>
    <n v="3"/>
    <x v="0"/>
    <n v="13"/>
    <n v="3"/>
    <s v="Excellent"/>
    <n v="4"/>
    <s v="Very High"/>
    <n v="1"/>
    <n v="16"/>
    <n v="3"/>
    <n v="1"/>
    <s v="Low"/>
    <n v="1"/>
    <n v="1"/>
    <n v="0"/>
    <n v="0"/>
  </r>
  <r>
    <n v="35"/>
    <x v="2"/>
    <x v="1"/>
    <x v="0"/>
    <n v="819"/>
    <x v="1"/>
    <n v="2"/>
    <x v="0"/>
    <n v="3"/>
    <s v="Bachelor"/>
    <s v="Life Sciences"/>
    <n v="1182"/>
    <n v="3"/>
    <x v="1"/>
    <s v="Male"/>
    <n v="44"/>
    <n v="2"/>
    <s v="Medium"/>
    <n v="3"/>
    <x v="2"/>
    <x v="3"/>
    <n v="2"/>
    <s v="Medium"/>
    <x v="2"/>
    <n v="10274"/>
    <n v="19588"/>
    <n v="2"/>
    <x v="1"/>
    <n v="18"/>
    <n v="3"/>
    <s v="Excellent"/>
    <n v="2"/>
    <s v="Medium"/>
    <n v="1"/>
    <n v="15"/>
    <n v="2"/>
    <n v="4"/>
    <s v="Very High"/>
    <n v="7"/>
    <n v="7"/>
    <n v="6"/>
    <n v="4"/>
  </r>
  <r>
    <n v="34"/>
    <x v="2"/>
    <x v="1"/>
    <x v="1"/>
    <n v="669"/>
    <x v="1"/>
    <n v="1"/>
    <x v="0"/>
    <n v="3"/>
    <s v="Bachelor"/>
    <s v="Medical"/>
    <n v="1184"/>
    <n v="4"/>
    <x v="3"/>
    <s v="Male"/>
    <n v="97"/>
    <n v="2"/>
    <s v="Medium"/>
    <n v="2"/>
    <x v="0"/>
    <x v="4"/>
    <n v="1"/>
    <s v="Low"/>
    <x v="0"/>
    <n v="5343"/>
    <n v="25755"/>
    <n v="0"/>
    <x v="1"/>
    <n v="20"/>
    <n v="4"/>
    <s v="Outstanding"/>
    <n v="3"/>
    <s v="High"/>
    <n v="0"/>
    <n v="14"/>
    <n v="3"/>
    <n v="3"/>
    <s v="High"/>
    <n v="13"/>
    <n v="9"/>
    <n v="4"/>
    <n v="9"/>
  </r>
  <r>
    <n v="35"/>
    <x v="2"/>
    <x v="1"/>
    <x v="1"/>
    <n v="636"/>
    <x v="1"/>
    <n v="4"/>
    <x v="0"/>
    <n v="4"/>
    <s v="Master"/>
    <s v="Other"/>
    <n v="1185"/>
    <n v="4"/>
    <x v="3"/>
    <s v="Male"/>
    <n v="47"/>
    <n v="2"/>
    <s v="Medium"/>
    <n v="1"/>
    <x v="1"/>
    <x v="2"/>
    <n v="4"/>
    <s v="Very High"/>
    <x v="1"/>
    <n v="2376"/>
    <n v="26537"/>
    <n v="1"/>
    <x v="1"/>
    <n v="13"/>
    <n v="3"/>
    <s v="Excellent"/>
    <n v="2"/>
    <s v="Medium"/>
    <n v="1"/>
    <n v="2"/>
    <n v="2"/>
    <n v="4"/>
    <s v="Very High"/>
    <n v="2"/>
    <n v="2"/>
    <n v="2"/>
    <n v="2"/>
  </r>
  <r>
    <n v="43"/>
    <x v="0"/>
    <x v="0"/>
    <x v="0"/>
    <n v="1372"/>
    <x v="0"/>
    <n v="9"/>
    <x v="0"/>
    <n v="3"/>
    <s v="Bachelor"/>
    <s v="Marketing"/>
    <n v="1188"/>
    <n v="1"/>
    <x v="2"/>
    <s v="Female"/>
    <n v="85"/>
    <n v="1"/>
    <s v="Low"/>
    <n v="2"/>
    <x v="0"/>
    <x v="0"/>
    <n v="3"/>
    <s v="High"/>
    <x v="0"/>
    <n v="5346"/>
    <n v="9489"/>
    <n v="8"/>
    <x v="1"/>
    <n v="13"/>
    <n v="3"/>
    <s v="Excellent"/>
    <n v="2"/>
    <s v="Medium"/>
    <n v="0"/>
    <n v="7"/>
    <n v="2"/>
    <n v="2"/>
    <s v="Medium"/>
    <n v="4"/>
    <n v="3"/>
    <n v="1"/>
    <n v="3"/>
  </r>
  <r>
    <n v="32"/>
    <x v="2"/>
    <x v="1"/>
    <x v="2"/>
    <n v="862"/>
    <x v="0"/>
    <n v="2"/>
    <x v="0"/>
    <n v="1"/>
    <s v="Below College"/>
    <s v="Life Sciences"/>
    <n v="1190"/>
    <n v="3"/>
    <x v="1"/>
    <s v="Female"/>
    <n v="76"/>
    <n v="3"/>
    <s v="High"/>
    <n v="1"/>
    <x v="1"/>
    <x v="6"/>
    <n v="1"/>
    <s v="Low"/>
    <x v="2"/>
    <n v="2827"/>
    <n v="14947"/>
    <n v="1"/>
    <x v="1"/>
    <n v="12"/>
    <n v="3"/>
    <s v="Excellent"/>
    <n v="3"/>
    <s v="High"/>
    <n v="3"/>
    <n v="1"/>
    <n v="3"/>
    <n v="3"/>
    <s v="High"/>
    <n v="1"/>
    <n v="0"/>
    <n v="0"/>
    <n v="0"/>
  </r>
  <r>
    <n v="56"/>
    <x v="3"/>
    <x v="1"/>
    <x v="0"/>
    <n v="718"/>
    <x v="1"/>
    <n v="4"/>
    <x v="0"/>
    <n v="4"/>
    <s v="Master"/>
    <s v="Technical Degree"/>
    <n v="1191"/>
    <n v="4"/>
    <x v="3"/>
    <s v="Female"/>
    <n v="92"/>
    <n v="3"/>
    <s v="High"/>
    <n v="5"/>
    <x v="4"/>
    <x v="5"/>
    <n v="1"/>
    <s v="Low"/>
    <x v="2"/>
    <n v="19943"/>
    <n v="18575"/>
    <n v="4"/>
    <x v="1"/>
    <n v="13"/>
    <n v="3"/>
    <s v="Excellent"/>
    <n v="4"/>
    <s v="Very High"/>
    <n v="1"/>
    <n v="28"/>
    <n v="2"/>
    <n v="3"/>
    <s v="High"/>
    <n v="5"/>
    <n v="2"/>
    <n v="4"/>
    <n v="2"/>
  </r>
  <r>
    <n v="29"/>
    <x v="2"/>
    <x v="1"/>
    <x v="0"/>
    <n v="1401"/>
    <x v="1"/>
    <n v="6"/>
    <x v="0"/>
    <n v="1"/>
    <s v="Below College"/>
    <s v="Medical"/>
    <n v="1192"/>
    <n v="2"/>
    <x v="0"/>
    <s v="Female"/>
    <n v="54"/>
    <n v="3"/>
    <s v="High"/>
    <n v="1"/>
    <x v="1"/>
    <x v="2"/>
    <n v="4"/>
    <s v="Very High"/>
    <x v="1"/>
    <n v="3131"/>
    <n v="26342"/>
    <n v="1"/>
    <x v="1"/>
    <n v="13"/>
    <n v="3"/>
    <s v="Excellent"/>
    <n v="1"/>
    <s v="Low"/>
    <n v="1"/>
    <n v="10"/>
    <n v="5"/>
    <n v="3"/>
    <s v="High"/>
    <n v="10"/>
    <n v="8"/>
    <n v="0"/>
    <n v="8"/>
  </r>
  <r>
    <n v="19"/>
    <x v="4"/>
    <x v="1"/>
    <x v="0"/>
    <n v="645"/>
    <x v="1"/>
    <n v="9"/>
    <x v="0"/>
    <n v="2"/>
    <s v="College"/>
    <s v="Life Sciences"/>
    <n v="1193"/>
    <n v="3"/>
    <x v="1"/>
    <s v="Male"/>
    <n v="54"/>
    <n v="3"/>
    <s v="High"/>
    <n v="1"/>
    <x v="1"/>
    <x v="1"/>
    <n v="1"/>
    <s v="Low"/>
    <x v="0"/>
    <n v="2552"/>
    <n v="7172"/>
    <n v="1"/>
    <x v="1"/>
    <n v="25"/>
    <n v="4"/>
    <s v="Outstanding"/>
    <n v="3"/>
    <s v="High"/>
    <n v="0"/>
    <n v="1"/>
    <n v="4"/>
    <n v="3"/>
    <s v="High"/>
    <n v="1"/>
    <n v="1"/>
    <n v="0"/>
    <n v="0"/>
  </r>
  <r>
    <n v="45"/>
    <x v="0"/>
    <x v="1"/>
    <x v="0"/>
    <n v="1457"/>
    <x v="1"/>
    <n v="7"/>
    <x v="0"/>
    <n v="3"/>
    <s v="Bachelor"/>
    <s v="Medical"/>
    <n v="1195"/>
    <n v="1"/>
    <x v="2"/>
    <s v="Female"/>
    <n v="83"/>
    <n v="3"/>
    <s v="High"/>
    <n v="1"/>
    <x v="1"/>
    <x v="1"/>
    <n v="3"/>
    <s v="High"/>
    <x v="1"/>
    <n v="4477"/>
    <n v="20100"/>
    <n v="4"/>
    <x v="0"/>
    <n v="19"/>
    <n v="3"/>
    <s v="Excellent"/>
    <n v="3"/>
    <s v="High"/>
    <n v="1"/>
    <n v="7"/>
    <n v="2"/>
    <n v="2"/>
    <s v="Medium"/>
    <n v="3"/>
    <n v="2"/>
    <n v="0"/>
    <n v="2"/>
  </r>
  <r>
    <n v="37"/>
    <x v="0"/>
    <x v="1"/>
    <x v="0"/>
    <n v="977"/>
    <x v="1"/>
    <n v="1"/>
    <x v="0"/>
    <n v="3"/>
    <s v="Bachelor"/>
    <s v="Life Sciences"/>
    <n v="1196"/>
    <n v="4"/>
    <x v="3"/>
    <s v="Female"/>
    <n v="56"/>
    <n v="2"/>
    <s v="Medium"/>
    <n v="2"/>
    <x v="0"/>
    <x v="3"/>
    <n v="4"/>
    <s v="Very High"/>
    <x v="1"/>
    <n v="6474"/>
    <n v="9961"/>
    <n v="1"/>
    <x v="1"/>
    <n v="13"/>
    <n v="3"/>
    <s v="Excellent"/>
    <n v="2"/>
    <s v="Medium"/>
    <n v="1"/>
    <n v="14"/>
    <n v="2"/>
    <n v="2"/>
    <s v="Medium"/>
    <n v="14"/>
    <n v="8"/>
    <n v="3"/>
    <n v="11"/>
  </r>
  <r>
    <n v="20"/>
    <x v="4"/>
    <x v="1"/>
    <x v="0"/>
    <n v="805"/>
    <x v="1"/>
    <n v="3"/>
    <x v="0"/>
    <n v="3"/>
    <s v="Bachelor"/>
    <s v="Life Sciences"/>
    <n v="1198"/>
    <n v="1"/>
    <x v="2"/>
    <s v="Male"/>
    <n v="87"/>
    <n v="2"/>
    <s v="Medium"/>
    <n v="1"/>
    <x v="1"/>
    <x v="2"/>
    <n v="3"/>
    <s v="High"/>
    <x v="0"/>
    <n v="3033"/>
    <n v="12828"/>
    <n v="1"/>
    <x v="1"/>
    <n v="12"/>
    <n v="3"/>
    <s v="Excellent"/>
    <n v="1"/>
    <s v="Low"/>
    <n v="0"/>
    <n v="2"/>
    <n v="2"/>
    <n v="2"/>
    <s v="Medium"/>
    <n v="2"/>
    <n v="2"/>
    <n v="1"/>
    <n v="2"/>
  </r>
  <r>
    <n v="44"/>
    <x v="0"/>
    <x v="0"/>
    <x v="0"/>
    <n v="1097"/>
    <x v="1"/>
    <n v="10"/>
    <x v="0"/>
    <n v="4"/>
    <s v="Master"/>
    <s v="Life Sciences"/>
    <n v="1200"/>
    <n v="3"/>
    <x v="1"/>
    <s v="Male"/>
    <n v="96"/>
    <n v="3"/>
    <s v="High"/>
    <n v="1"/>
    <x v="1"/>
    <x v="1"/>
    <n v="3"/>
    <s v="High"/>
    <x v="0"/>
    <n v="2936"/>
    <n v="10826"/>
    <n v="1"/>
    <x v="0"/>
    <n v="11"/>
    <n v="3"/>
    <s v="Excellent"/>
    <n v="3"/>
    <s v="High"/>
    <n v="0"/>
    <n v="6"/>
    <n v="4"/>
    <n v="3"/>
    <s v="High"/>
    <n v="6"/>
    <n v="4"/>
    <n v="0"/>
    <n v="2"/>
  </r>
  <r>
    <n v="53"/>
    <x v="1"/>
    <x v="1"/>
    <x v="0"/>
    <n v="1223"/>
    <x v="1"/>
    <n v="7"/>
    <x v="0"/>
    <n v="2"/>
    <s v="College"/>
    <s v="Medical"/>
    <n v="1201"/>
    <n v="4"/>
    <x v="3"/>
    <s v="Female"/>
    <n v="50"/>
    <n v="3"/>
    <s v="High"/>
    <n v="5"/>
    <x v="4"/>
    <x v="5"/>
    <n v="3"/>
    <s v="High"/>
    <x v="2"/>
    <n v="18606"/>
    <n v="18640"/>
    <n v="3"/>
    <x v="1"/>
    <n v="18"/>
    <n v="3"/>
    <s v="Excellent"/>
    <n v="2"/>
    <s v="Medium"/>
    <n v="1"/>
    <n v="26"/>
    <n v="6"/>
    <n v="3"/>
    <s v="High"/>
    <n v="7"/>
    <n v="7"/>
    <n v="4"/>
    <n v="7"/>
  </r>
  <r>
    <n v="29"/>
    <x v="2"/>
    <x v="1"/>
    <x v="0"/>
    <n v="942"/>
    <x v="1"/>
    <n v="15"/>
    <x v="2"/>
    <n v="1"/>
    <s v="Below College"/>
    <s v="Life Sciences"/>
    <n v="1202"/>
    <n v="2"/>
    <x v="0"/>
    <s v="Female"/>
    <n v="69"/>
    <n v="1"/>
    <s v="Low"/>
    <n v="1"/>
    <x v="1"/>
    <x v="1"/>
    <n v="4"/>
    <s v="Very High"/>
    <x v="1"/>
    <n v="2168"/>
    <n v="26933"/>
    <n v="0"/>
    <x v="0"/>
    <n v="18"/>
    <n v="3"/>
    <s v="Excellent"/>
    <n v="1"/>
    <s v="Low"/>
    <n v="1"/>
    <n v="6"/>
    <n v="2"/>
    <n v="2"/>
    <s v="Medium"/>
    <n v="5"/>
    <n v="4"/>
    <n v="1"/>
    <n v="3"/>
  </r>
  <r>
    <n v="22"/>
    <x v="4"/>
    <x v="0"/>
    <x v="1"/>
    <n v="1256"/>
    <x v="1"/>
    <n v="3"/>
    <x v="0"/>
    <n v="4"/>
    <s v="Master"/>
    <s v="Life Sciences"/>
    <n v="1203"/>
    <n v="3"/>
    <x v="1"/>
    <s v="Male"/>
    <n v="48"/>
    <n v="2"/>
    <s v="Medium"/>
    <n v="1"/>
    <x v="1"/>
    <x v="1"/>
    <n v="4"/>
    <s v="Very High"/>
    <x v="1"/>
    <n v="2853"/>
    <n v="4223"/>
    <n v="0"/>
    <x v="0"/>
    <n v="11"/>
    <n v="3"/>
    <s v="Excellent"/>
    <n v="2"/>
    <s v="Medium"/>
    <n v="1"/>
    <n v="1"/>
    <n v="5"/>
    <n v="3"/>
    <s v="High"/>
    <n v="0"/>
    <n v="0"/>
    <n v="0"/>
    <n v="0"/>
  </r>
  <r>
    <n v="46"/>
    <x v="1"/>
    <x v="1"/>
    <x v="0"/>
    <n v="1402"/>
    <x v="0"/>
    <n v="2"/>
    <x v="0"/>
    <n v="3"/>
    <s v="Bachelor"/>
    <s v="Marketing"/>
    <n v="1204"/>
    <n v="3"/>
    <x v="1"/>
    <s v="Female"/>
    <n v="69"/>
    <n v="3"/>
    <s v="High"/>
    <n v="4"/>
    <x v="3"/>
    <x v="5"/>
    <n v="1"/>
    <s v="Low"/>
    <x v="1"/>
    <n v="17048"/>
    <n v="24097"/>
    <n v="8"/>
    <x v="1"/>
    <n v="23"/>
    <n v="4"/>
    <s v="Outstanding"/>
    <n v="1"/>
    <s v="Low"/>
    <n v="0"/>
    <n v="28"/>
    <n v="2"/>
    <n v="3"/>
    <s v="High"/>
    <n v="26"/>
    <n v="15"/>
    <n v="15"/>
    <n v="9"/>
  </r>
  <r>
    <n v="44"/>
    <x v="0"/>
    <x v="1"/>
    <x v="2"/>
    <n v="111"/>
    <x v="1"/>
    <n v="17"/>
    <x v="2"/>
    <n v="3"/>
    <s v="Bachelor"/>
    <s v="Life Sciences"/>
    <n v="1206"/>
    <n v="4"/>
    <x v="3"/>
    <s v="Male"/>
    <n v="74"/>
    <n v="1"/>
    <s v="Low"/>
    <n v="1"/>
    <x v="1"/>
    <x v="1"/>
    <n v="3"/>
    <s v="High"/>
    <x v="0"/>
    <n v="2290"/>
    <n v="4279"/>
    <n v="2"/>
    <x v="1"/>
    <n v="13"/>
    <n v="3"/>
    <s v="Excellent"/>
    <n v="4"/>
    <s v="Very High"/>
    <n v="0"/>
    <n v="6"/>
    <n v="3"/>
    <n v="3"/>
    <s v="High"/>
    <n v="0"/>
    <n v="0"/>
    <n v="0"/>
    <n v="0"/>
  </r>
  <r>
    <n v="33"/>
    <x v="2"/>
    <x v="1"/>
    <x v="0"/>
    <n v="147"/>
    <x v="2"/>
    <n v="2"/>
    <x v="0"/>
    <n v="3"/>
    <s v="Bachelor"/>
    <s v="Human Resources"/>
    <n v="1207"/>
    <n v="2"/>
    <x v="0"/>
    <s v="Male"/>
    <n v="99"/>
    <n v="3"/>
    <s v="High"/>
    <n v="1"/>
    <x v="1"/>
    <x v="8"/>
    <n v="3"/>
    <s v="High"/>
    <x v="1"/>
    <n v="3600"/>
    <n v="8429"/>
    <n v="1"/>
    <x v="1"/>
    <n v="13"/>
    <n v="3"/>
    <s v="Excellent"/>
    <n v="4"/>
    <s v="Very High"/>
    <n v="1"/>
    <n v="5"/>
    <n v="2"/>
    <n v="3"/>
    <s v="High"/>
    <n v="5"/>
    <n v="4"/>
    <n v="1"/>
    <n v="4"/>
  </r>
  <r>
    <n v="41"/>
    <x v="0"/>
    <x v="0"/>
    <x v="2"/>
    <n v="906"/>
    <x v="1"/>
    <n v="5"/>
    <x v="0"/>
    <n v="2"/>
    <s v="College"/>
    <s v="Life Sciences"/>
    <n v="1210"/>
    <n v="1"/>
    <x v="2"/>
    <s v="Male"/>
    <n v="95"/>
    <n v="2"/>
    <s v="Medium"/>
    <n v="1"/>
    <x v="1"/>
    <x v="1"/>
    <n v="1"/>
    <s v="Low"/>
    <x v="2"/>
    <n v="2107"/>
    <n v="20293"/>
    <n v="6"/>
    <x v="1"/>
    <n v="17"/>
    <n v="3"/>
    <s v="Excellent"/>
    <n v="1"/>
    <s v="Low"/>
    <n v="1"/>
    <n v="5"/>
    <n v="2"/>
    <n v="1"/>
    <s v="Low"/>
    <n v="1"/>
    <n v="0"/>
    <n v="0"/>
    <n v="0"/>
  </r>
  <r>
    <n v="30"/>
    <x v="2"/>
    <x v="1"/>
    <x v="0"/>
    <n v="1329"/>
    <x v="0"/>
    <n v="29"/>
    <x v="1"/>
    <n v="4"/>
    <s v="Master"/>
    <s v="Life Sciences"/>
    <n v="1211"/>
    <n v="3"/>
    <x v="1"/>
    <s v="Male"/>
    <n v="61"/>
    <n v="3"/>
    <s v="High"/>
    <n v="2"/>
    <x v="0"/>
    <x v="0"/>
    <n v="1"/>
    <s v="Low"/>
    <x v="2"/>
    <n v="4115"/>
    <n v="13192"/>
    <n v="8"/>
    <x v="1"/>
    <n v="19"/>
    <n v="3"/>
    <s v="Excellent"/>
    <n v="3"/>
    <s v="High"/>
    <n v="3"/>
    <n v="8"/>
    <n v="3"/>
    <n v="3"/>
    <s v="High"/>
    <n v="4"/>
    <n v="3"/>
    <n v="0"/>
    <n v="3"/>
  </r>
  <r>
    <n v="40"/>
    <x v="0"/>
    <x v="1"/>
    <x v="1"/>
    <n v="1184"/>
    <x v="0"/>
    <n v="2"/>
    <x v="0"/>
    <n v="4"/>
    <s v="Master"/>
    <s v="Medical"/>
    <n v="1212"/>
    <n v="2"/>
    <x v="0"/>
    <s v="Male"/>
    <n v="62"/>
    <n v="3"/>
    <s v="High"/>
    <n v="2"/>
    <x v="0"/>
    <x v="0"/>
    <n v="2"/>
    <s v="Medium"/>
    <x v="1"/>
    <n v="4327"/>
    <n v="25440"/>
    <n v="5"/>
    <x v="1"/>
    <n v="12"/>
    <n v="3"/>
    <s v="Excellent"/>
    <n v="4"/>
    <s v="Very High"/>
    <n v="3"/>
    <n v="5"/>
    <n v="2"/>
    <n v="3"/>
    <s v="High"/>
    <n v="0"/>
    <n v="0"/>
    <n v="0"/>
    <n v="0"/>
  </r>
  <r>
    <n v="50"/>
    <x v="1"/>
    <x v="1"/>
    <x v="1"/>
    <n v="1421"/>
    <x v="1"/>
    <n v="2"/>
    <x v="0"/>
    <n v="3"/>
    <s v="Bachelor"/>
    <s v="Medical"/>
    <n v="1215"/>
    <n v="4"/>
    <x v="3"/>
    <s v="Female"/>
    <n v="30"/>
    <n v="3"/>
    <s v="High"/>
    <n v="4"/>
    <x v="3"/>
    <x v="5"/>
    <n v="1"/>
    <s v="Low"/>
    <x v="1"/>
    <n v="17856"/>
    <n v="9490"/>
    <n v="2"/>
    <x v="1"/>
    <n v="22"/>
    <n v="4"/>
    <s v="Outstanding"/>
    <n v="3"/>
    <s v="High"/>
    <n v="1"/>
    <n v="32"/>
    <n v="3"/>
    <n v="3"/>
    <s v="High"/>
    <n v="2"/>
    <n v="2"/>
    <n v="2"/>
    <n v="2"/>
  </r>
  <r>
    <n v="28"/>
    <x v="2"/>
    <x v="1"/>
    <x v="0"/>
    <n v="1179"/>
    <x v="1"/>
    <n v="19"/>
    <x v="2"/>
    <n v="4"/>
    <s v="Master"/>
    <s v="Medical"/>
    <n v="1216"/>
    <n v="4"/>
    <x v="3"/>
    <s v="Male"/>
    <n v="78"/>
    <n v="2"/>
    <s v="Medium"/>
    <n v="1"/>
    <x v="1"/>
    <x v="2"/>
    <n v="1"/>
    <s v="Low"/>
    <x v="1"/>
    <n v="3196"/>
    <n v="12449"/>
    <n v="1"/>
    <x v="1"/>
    <n v="12"/>
    <n v="3"/>
    <s v="Excellent"/>
    <n v="3"/>
    <s v="High"/>
    <n v="3"/>
    <n v="6"/>
    <n v="2"/>
    <n v="3"/>
    <s v="High"/>
    <n v="6"/>
    <n v="5"/>
    <n v="3"/>
    <n v="3"/>
  </r>
  <r>
    <n v="46"/>
    <x v="1"/>
    <x v="1"/>
    <x v="0"/>
    <n v="1450"/>
    <x v="1"/>
    <n v="15"/>
    <x v="2"/>
    <n v="2"/>
    <s v="College"/>
    <s v="Life Sciences"/>
    <n v="1217"/>
    <n v="4"/>
    <x v="3"/>
    <s v="Male"/>
    <n v="52"/>
    <n v="3"/>
    <s v="High"/>
    <n v="5"/>
    <x v="4"/>
    <x v="7"/>
    <n v="2"/>
    <s v="Medium"/>
    <x v="1"/>
    <n v="19081"/>
    <n v="10849"/>
    <n v="5"/>
    <x v="1"/>
    <n v="11"/>
    <n v="3"/>
    <s v="Excellent"/>
    <n v="1"/>
    <s v="Low"/>
    <n v="1"/>
    <n v="25"/>
    <n v="2"/>
    <n v="3"/>
    <s v="High"/>
    <n v="4"/>
    <n v="2"/>
    <n v="0"/>
    <n v="3"/>
  </r>
  <r>
    <n v="35"/>
    <x v="2"/>
    <x v="1"/>
    <x v="0"/>
    <n v="1361"/>
    <x v="0"/>
    <n v="17"/>
    <x v="2"/>
    <n v="4"/>
    <s v="Master"/>
    <s v="Life Sciences"/>
    <n v="1218"/>
    <n v="3"/>
    <x v="1"/>
    <s v="Male"/>
    <n v="94"/>
    <n v="3"/>
    <s v="High"/>
    <n v="2"/>
    <x v="0"/>
    <x v="0"/>
    <n v="1"/>
    <s v="Low"/>
    <x v="1"/>
    <n v="8966"/>
    <n v="21026"/>
    <n v="3"/>
    <x v="0"/>
    <n v="15"/>
    <n v="3"/>
    <s v="Excellent"/>
    <n v="4"/>
    <s v="Very High"/>
    <n v="3"/>
    <n v="15"/>
    <n v="2"/>
    <n v="3"/>
    <s v="High"/>
    <n v="7"/>
    <n v="7"/>
    <n v="1"/>
    <n v="7"/>
  </r>
  <r>
    <n v="24"/>
    <x v="4"/>
    <x v="0"/>
    <x v="0"/>
    <n v="984"/>
    <x v="1"/>
    <n v="17"/>
    <x v="2"/>
    <n v="2"/>
    <s v="College"/>
    <s v="Life Sciences"/>
    <n v="1219"/>
    <n v="4"/>
    <x v="3"/>
    <s v="Female"/>
    <n v="97"/>
    <n v="3"/>
    <s v="High"/>
    <n v="1"/>
    <x v="1"/>
    <x v="2"/>
    <n v="2"/>
    <s v="Medium"/>
    <x v="1"/>
    <n v="2210"/>
    <n v="3372"/>
    <n v="1"/>
    <x v="1"/>
    <n v="13"/>
    <n v="3"/>
    <s v="Excellent"/>
    <n v="1"/>
    <s v="Low"/>
    <n v="1"/>
    <n v="1"/>
    <n v="3"/>
    <n v="1"/>
    <s v="Low"/>
    <n v="1"/>
    <n v="0"/>
    <n v="0"/>
    <n v="0"/>
  </r>
  <r>
    <n v="33"/>
    <x v="2"/>
    <x v="1"/>
    <x v="1"/>
    <n v="1146"/>
    <x v="0"/>
    <n v="25"/>
    <x v="1"/>
    <n v="3"/>
    <s v="Bachelor"/>
    <s v="Medical"/>
    <n v="1220"/>
    <n v="2"/>
    <x v="0"/>
    <s v="Female"/>
    <n v="82"/>
    <n v="3"/>
    <s v="High"/>
    <n v="2"/>
    <x v="0"/>
    <x v="0"/>
    <n v="3"/>
    <s v="High"/>
    <x v="1"/>
    <n v="4539"/>
    <n v="4905"/>
    <n v="1"/>
    <x v="1"/>
    <n v="12"/>
    <n v="3"/>
    <s v="Excellent"/>
    <n v="1"/>
    <s v="Low"/>
    <n v="1"/>
    <n v="10"/>
    <n v="3"/>
    <n v="2"/>
    <s v="Medium"/>
    <n v="10"/>
    <n v="7"/>
    <n v="0"/>
    <n v="1"/>
  </r>
  <r>
    <n v="36"/>
    <x v="0"/>
    <x v="1"/>
    <x v="0"/>
    <n v="917"/>
    <x v="1"/>
    <n v="6"/>
    <x v="0"/>
    <n v="4"/>
    <s v="Master"/>
    <s v="Life Sciences"/>
    <n v="1221"/>
    <n v="3"/>
    <x v="1"/>
    <s v="Male"/>
    <n v="60"/>
    <n v="1"/>
    <s v="Low"/>
    <n v="1"/>
    <x v="1"/>
    <x v="2"/>
    <n v="3"/>
    <s v="High"/>
    <x v="2"/>
    <n v="2741"/>
    <n v="6865"/>
    <n v="1"/>
    <x v="1"/>
    <n v="14"/>
    <n v="3"/>
    <s v="Excellent"/>
    <n v="3"/>
    <s v="High"/>
    <n v="1"/>
    <n v="7"/>
    <n v="4"/>
    <n v="3"/>
    <s v="High"/>
    <n v="7"/>
    <n v="7"/>
    <n v="1"/>
    <n v="7"/>
  </r>
  <r>
    <n v="30"/>
    <x v="2"/>
    <x v="1"/>
    <x v="0"/>
    <n v="853"/>
    <x v="1"/>
    <n v="7"/>
    <x v="0"/>
    <n v="4"/>
    <s v="Master"/>
    <s v="Life Sciences"/>
    <n v="1224"/>
    <n v="3"/>
    <x v="1"/>
    <s v="Male"/>
    <n v="49"/>
    <n v="3"/>
    <s v="High"/>
    <n v="2"/>
    <x v="0"/>
    <x v="2"/>
    <n v="3"/>
    <s v="High"/>
    <x v="2"/>
    <n v="3491"/>
    <n v="11309"/>
    <n v="1"/>
    <x v="1"/>
    <n v="13"/>
    <n v="3"/>
    <s v="Excellent"/>
    <n v="1"/>
    <s v="Low"/>
    <n v="3"/>
    <n v="10"/>
    <n v="4"/>
    <n v="2"/>
    <s v="Medium"/>
    <n v="10"/>
    <n v="7"/>
    <n v="8"/>
    <n v="9"/>
  </r>
  <r>
    <n v="44"/>
    <x v="0"/>
    <x v="1"/>
    <x v="0"/>
    <n v="200"/>
    <x v="1"/>
    <n v="29"/>
    <x v="1"/>
    <n v="4"/>
    <s v="Master"/>
    <s v="Other"/>
    <n v="1225"/>
    <n v="4"/>
    <x v="3"/>
    <s v="Male"/>
    <n v="32"/>
    <n v="3"/>
    <s v="High"/>
    <n v="2"/>
    <x v="0"/>
    <x v="1"/>
    <n v="4"/>
    <s v="Very High"/>
    <x v="0"/>
    <n v="4541"/>
    <n v="7744"/>
    <n v="1"/>
    <x v="1"/>
    <n v="25"/>
    <n v="4"/>
    <s v="Outstanding"/>
    <n v="2"/>
    <s v="Medium"/>
    <n v="0"/>
    <n v="20"/>
    <n v="3"/>
    <n v="3"/>
    <s v="High"/>
    <n v="20"/>
    <n v="11"/>
    <n v="13"/>
    <n v="17"/>
  </r>
  <r>
    <n v="20"/>
    <x v="4"/>
    <x v="1"/>
    <x v="0"/>
    <n v="654"/>
    <x v="0"/>
    <n v="21"/>
    <x v="1"/>
    <n v="3"/>
    <s v="Bachelor"/>
    <s v="Marketing"/>
    <n v="1226"/>
    <n v="3"/>
    <x v="1"/>
    <s v="Male"/>
    <n v="43"/>
    <n v="4"/>
    <s v="Very High"/>
    <n v="1"/>
    <x v="1"/>
    <x v="6"/>
    <n v="4"/>
    <s v="Very High"/>
    <x v="0"/>
    <n v="2678"/>
    <n v="5050"/>
    <n v="1"/>
    <x v="1"/>
    <n v="17"/>
    <n v="3"/>
    <s v="Excellent"/>
    <n v="4"/>
    <s v="Very High"/>
    <n v="0"/>
    <n v="2"/>
    <n v="2"/>
    <n v="3"/>
    <s v="High"/>
    <n v="2"/>
    <n v="1"/>
    <n v="2"/>
    <n v="2"/>
  </r>
  <r>
    <n v="46"/>
    <x v="1"/>
    <x v="1"/>
    <x v="0"/>
    <n v="150"/>
    <x v="1"/>
    <n v="2"/>
    <x v="0"/>
    <n v="4"/>
    <s v="Master"/>
    <s v="Technical Degree"/>
    <n v="1228"/>
    <n v="4"/>
    <x v="3"/>
    <s v="Male"/>
    <n v="60"/>
    <n v="3"/>
    <s v="High"/>
    <n v="2"/>
    <x v="0"/>
    <x v="3"/>
    <n v="4"/>
    <s v="Very High"/>
    <x v="2"/>
    <n v="7379"/>
    <n v="17433"/>
    <n v="2"/>
    <x v="1"/>
    <n v="11"/>
    <n v="3"/>
    <s v="Excellent"/>
    <n v="3"/>
    <s v="High"/>
    <n v="1"/>
    <n v="12"/>
    <n v="3"/>
    <n v="2"/>
    <s v="Medium"/>
    <n v="6"/>
    <n v="3"/>
    <n v="1"/>
    <n v="4"/>
  </r>
  <r>
    <n v="42"/>
    <x v="0"/>
    <x v="1"/>
    <x v="2"/>
    <n v="179"/>
    <x v="2"/>
    <n v="2"/>
    <x v="0"/>
    <n v="5"/>
    <s v="Doctor"/>
    <s v="Medical"/>
    <n v="1231"/>
    <n v="4"/>
    <x v="3"/>
    <s v="Male"/>
    <n v="79"/>
    <n v="4"/>
    <s v="Very High"/>
    <n v="2"/>
    <x v="0"/>
    <x v="8"/>
    <n v="1"/>
    <s v="Low"/>
    <x v="1"/>
    <n v="6272"/>
    <n v="12858"/>
    <n v="7"/>
    <x v="1"/>
    <n v="16"/>
    <n v="3"/>
    <s v="Excellent"/>
    <n v="1"/>
    <s v="Low"/>
    <n v="1"/>
    <n v="10"/>
    <n v="3"/>
    <n v="4"/>
    <s v="Very High"/>
    <n v="4"/>
    <n v="3"/>
    <n v="0"/>
    <n v="3"/>
  </r>
  <r>
    <n v="60"/>
    <x v="3"/>
    <x v="1"/>
    <x v="0"/>
    <n v="696"/>
    <x v="0"/>
    <n v="7"/>
    <x v="0"/>
    <n v="4"/>
    <s v="Master"/>
    <s v="Marketing"/>
    <n v="1233"/>
    <n v="2"/>
    <x v="0"/>
    <s v="Male"/>
    <n v="52"/>
    <n v="4"/>
    <s v="Very High"/>
    <n v="2"/>
    <x v="0"/>
    <x v="0"/>
    <n v="4"/>
    <s v="Very High"/>
    <x v="2"/>
    <n v="5220"/>
    <n v="10893"/>
    <n v="0"/>
    <x v="0"/>
    <n v="18"/>
    <n v="3"/>
    <s v="Excellent"/>
    <n v="2"/>
    <s v="Medium"/>
    <n v="1"/>
    <n v="12"/>
    <n v="3"/>
    <n v="3"/>
    <s v="High"/>
    <n v="11"/>
    <n v="7"/>
    <n v="1"/>
    <n v="9"/>
  </r>
  <r>
    <n v="32"/>
    <x v="2"/>
    <x v="1"/>
    <x v="1"/>
    <n v="116"/>
    <x v="1"/>
    <n v="13"/>
    <x v="2"/>
    <n v="3"/>
    <s v="Bachelor"/>
    <s v="Other"/>
    <n v="1234"/>
    <n v="3"/>
    <x v="1"/>
    <s v="Female"/>
    <n v="77"/>
    <n v="2"/>
    <s v="Medium"/>
    <n v="1"/>
    <x v="1"/>
    <x v="2"/>
    <n v="2"/>
    <s v="Medium"/>
    <x v="1"/>
    <n v="2743"/>
    <n v="7331"/>
    <n v="1"/>
    <x v="1"/>
    <n v="20"/>
    <n v="4"/>
    <s v="Outstanding"/>
    <n v="3"/>
    <s v="High"/>
    <n v="1"/>
    <n v="2"/>
    <n v="2"/>
    <n v="3"/>
    <s v="High"/>
    <n v="2"/>
    <n v="2"/>
    <n v="2"/>
    <n v="2"/>
  </r>
  <r>
    <n v="32"/>
    <x v="2"/>
    <x v="1"/>
    <x v="1"/>
    <n v="1316"/>
    <x v="1"/>
    <n v="2"/>
    <x v="0"/>
    <n v="2"/>
    <s v="College"/>
    <s v="Life Sciences"/>
    <n v="1235"/>
    <n v="4"/>
    <x v="3"/>
    <s v="Female"/>
    <n v="38"/>
    <n v="3"/>
    <s v="High"/>
    <n v="2"/>
    <x v="0"/>
    <x v="1"/>
    <n v="3"/>
    <s v="High"/>
    <x v="0"/>
    <n v="4998"/>
    <n v="2338"/>
    <n v="4"/>
    <x v="0"/>
    <n v="14"/>
    <n v="3"/>
    <s v="Excellent"/>
    <n v="4"/>
    <s v="Very High"/>
    <n v="0"/>
    <n v="10"/>
    <n v="2"/>
    <n v="3"/>
    <s v="High"/>
    <n v="8"/>
    <n v="7"/>
    <n v="0"/>
    <n v="7"/>
  </r>
  <r>
    <n v="36"/>
    <x v="0"/>
    <x v="1"/>
    <x v="0"/>
    <n v="363"/>
    <x v="1"/>
    <n v="1"/>
    <x v="0"/>
    <n v="3"/>
    <s v="Bachelor"/>
    <s v="Technical Degree"/>
    <n v="1237"/>
    <n v="3"/>
    <x v="1"/>
    <s v="Female"/>
    <n v="77"/>
    <n v="1"/>
    <s v="Low"/>
    <n v="3"/>
    <x v="2"/>
    <x v="3"/>
    <n v="1"/>
    <s v="Low"/>
    <x v="2"/>
    <n v="10252"/>
    <n v="4235"/>
    <n v="2"/>
    <x v="0"/>
    <n v="21"/>
    <n v="4"/>
    <s v="Outstanding"/>
    <n v="3"/>
    <s v="High"/>
    <n v="1"/>
    <n v="17"/>
    <n v="2"/>
    <n v="3"/>
    <s v="High"/>
    <n v="7"/>
    <n v="7"/>
    <n v="7"/>
    <n v="7"/>
  </r>
  <r>
    <n v="33"/>
    <x v="2"/>
    <x v="1"/>
    <x v="0"/>
    <n v="117"/>
    <x v="1"/>
    <n v="9"/>
    <x v="0"/>
    <n v="3"/>
    <s v="Bachelor"/>
    <s v="Medical"/>
    <n v="1238"/>
    <n v="1"/>
    <x v="2"/>
    <s v="Male"/>
    <n v="60"/>
    <n v="3"/>
    <s v="High"/>
    <n v="1"/>
    <x v="1"/>
    <x v="1"/>
    <n v="4"/>
    <s v="Very High"/>
    <x v="1"/>
    <n v="2781"/>
    <n v="6311"/>
    <n v="0"/>
    <x v="1"/>
    <n v="13"/>
    <n v="3"/>
    <s v="Excellent"/>
    <n v="2"/>
    <s v="Medium"/>
    <n v="1"/>
    <n v="15"/>
    <n v="5"/>
    <n v="3"/>
    <s v="High"/>
    <n v="14"/>
    <n v="10"/>
    <n v="4"/>
    <n v="10"/>
  </r>
  <r>
    <n v="40"/>
    <x v="0"/>
    <x v="1"/>
    <x v="0"/>
    <n v="107"/>
    <x v="0"/>
    <n v="10"/>
    <x v="0"/>
    <n v="3"/>
    <s v="Bachelor"/>
    <s v="Technical Degree"/>
    <n v="1239"/>
    <n v="2"/>
    <x v="0"/>
    <s v="Female"/>
    <n v="84"/>
    <n v="2"/>
    <s v="Medium"/>
    <n v="2"/>
    <x v="0"/>
    <x v="0"/>
    <n v="2"/>
    <s v="Medium"/>
    <x v="2"/>
    <n v="6852"/>
    <n v="11591"/>
    <n v="7"/>
    <x v="1"/>
    <n v="12"/>
    <n v="3"/>
    <s v="Excellent"/>
    <n v="2"/>
    <s v="Medium"/>
    <n v="1"/>
    <n v="7"/>
    <n v="2"/>
    <n v="4"/>
    <s v="Very High"/>
    <n v="5"/>
    <n v="1"/>
    <n v="1"/>
    <n v="3"/>
  </r>
  <r>
    <n v="25"/>
    <x v="4"/>
    <x v="1"/>
    <x v="0"/>
    <n v="1356"/>
    <x v="0"/>
    <n v="10"/>
    <x v="0"/>
    <n v="4"/>
    <s v="Master"/>
    <s v="Life Sciences"/>
    <n v="1240"/>
    <n v="3"/>
    <x v="1"/>
    <s v="Male"/>
    <n v="57"/>
    <n v="3"/>
    <s v="High"/>
    <n v="2"/>
    <x v="0"/>
    <x v="0"/>
    <n v="4"/>
    <s v="Very High"/>
    <x v="0"/>
    <n v="4950"/>
    <n v="20623"/>
    <n v="0"/>
    <x v="1"/>
    <n v="14"/>
    <n v="3"/>
    <s v="Excellent"/>
    <n v="2"/>
    <s v="Medium"/>
    <n v="0"/>
    <n v="5"/>
    <n v="4"/>
    <n v="3"/>
    <s v="High"/>
    <n v="4"/>
    <n v="3"/>
    <n v="1"/>
    <n v="1"/>
  </r>
  <r>
    <n v="30"/>
    <x v="2"/>
    <x v="1"/>
    <x v="0"/>
    <n v="1465"/>
    <x v="1"/>
    <n v="1"/>
    <x v="0"/>
    <n v="3"/>
    <s v="Bachelor"/>
    <s v="Medical"/>
    <n v="1241"/>
    <n v="4"/>
    <x v="3"/>
    <s v="Male"/>
    <n v="63"/>
    <n v="3"/>
    <s v="High"/>
    <n v="1"/>
    <x v="1"/>
    <x v="1"/>
    <n v="2"/>
    <s v="Medium"/>
    <x v="1"/>
    <n v="3579"/>
    <n v="9369"/>
    <n v="0"/>
    <x v="0"/>
    <n v="21"/>
    <n v="4"/>
    <s v="Outstanding"/>
    <n v="1"/>
    <s v="Low"/>
    <n v="1"/>
    <n v="12"/>
    <n v="2"/>
    <n v="3"/>
    <s v="High"/>
    <n v="11"/>
    <n v="9"/>
    <n v="5"/>
    <n v="7"/>
  </r>
  <r>
    <n v="42"/>
    <x v="0"/>
    <x v="1"/>
    <x v="1"/>
    <n v="458"/>
    <x v="1"/>
    <n v="26"/>
    <x v="1"/>
    <n v="5"/>
    <s v="Doctor"/>
    <s v="Medical"/>
    <n v="1242"/>
    <n v="1"/>
    <x v="2"/>
    <s v="Female"/>
    <n v="60"/>
    <n v="3"/>
    <s v="High"/>
    <n v="3"/>
    <x v="2"/>
    <x v="7"/>
    <n v="1"/>
    <s v="Low"/>
    <x v="1"/>
    <n v="13191"/>
    <n v="23281"/>
    <n v="3"/>
    <x v="0"/>
    <n v="17"/>
    <n v="3"/>
    <s v="Excellent"/>
    <n v="3"/>
    <s v="High"/>
    <n v="0"/>
    <n v="20"/>
    <n v="6"/>
    <n v="3"/>
    <s v="High"/>
    <n v="1"/>
    <n v="0"/>
    <n v="0"/>
    <n v="0"/>
  </r>
  <r>
    <n v="35"/>
    <x v="2"/>
    <x v="1"/>
    <x v="2"/>
    <n v="1212"/>
    <x v="0"/>
    <n v="8"/>
    <x v="0"/>
    <n v="2"/>
    <s v="College"/>
    <s v="Marketing"/>
    <n v="1243"/>
    <n v="3"/>
    <x v="1"/>
    <s v="Female"/>
    <n v="78"/>
    <n v="2"/>
    <s v="Medium"/>
    <n v="3"/>
    <x v="2"/>
    <x v="0"/>
    <n v="4"/>
    <s v="Very High"/>
    <x v="1"/>
    <n v="10377"/>
    <n v="13755"/>
    <n v="4"/>
    <x v="0"/>
    <n v="11"/>
    <n v="3"/>
    <s v="Excellent"/>
    <n v="2"/>
    <s v="Medium"/>
    <n v="1"/>
    <n v="16"/>
    <n v="6"/>
    <n v="2"/>
    <s v="Medium"/>
    <n v="13"/>
    <n v="2"/>
    <n v="4"/>
    <n v="12"/>
  </r>
  <r>
    <n v="27"/>
    <x v="2"/>
    <x v="1"/>
    <x v="0"/>
    <n v="1103"/>
    <x v="1"/>
    <n v="14"/>
    <x v="2"/>
    <n v="3"/>
    <s v="Bachelor"/>
    <s v="Life Sciences"/>
    <n v="1244"/>
    <n v="1"/>
    <x v="2"/>
    <s v="Male"/>
    <n v="42"/>
    <n v="3"/>
    <s v="High"/>
    <n v="1"/>
    <x v="1"/>
    <x v="1"/>
    <n v="1"/>
    <s v="Low"/>
    <x v="1"/>
    <n v="2235"/>
    <n v="14377"/>
    <n v="1"/>
    <x v="0"/>
    <n v="14"/>
    <n v="3"/>
    <s v="Excellent"/>
    <n v="4"/>
    <s v="Very High"/>
    <n v="2"/>
    <n v="9"/>
    <n v="3"/>
    <n v="2"/>
    <s v="Medium"/>
    <n v="9"/>
    <n v="7"/>
    <n v="6"/>
    <n v="8"/>
  </r>
  <r>
    <n v="54"/>
    <x v="1"/>
    <x v="1"/>
    <x v="1"/>
    <n v="966"/>
    <x v="1"/>
    <n v="1"/>
    <x v="0"/>
    <n v="4"/>
    <s v="Master"/>
    <s v="Life Sciences"/>
    <n v="1245"/>
    <n v="4"/>
    <x v="3"/>
    <s v="Female"/>
    <n v="53"/>
    <n v="3"/>
    <s v="High"/>
    <n v="3"/>
    <x v="2"/>
    <x v="3"/>
    <n v="3"/>
    <s v="High"/>
    <x v="2"/>
    <n v="10502"/>
    <n v="9659"/>
    <n v="7"/>
    <x v="1"/>
    <n v="17"/>
    <n v="3"/>
    <s v="Excellent"/>
    <n v="1"/>
    <s v="Low"/>
    <n v="1"/>
    <n v="33"/>
    <n v="2"/>
    <n v="1"/>
    <s v="Low"/>
    <n v="5"/>
    <n v="4"/>
    <n v="1"/>
    <n v="4"/>
  </r>
  <r>
    <n v="44"/>
    <x v="0"/>
    <x v="1"/>
    <x v="0"/>
    <n v="1117"/>
    <x v="1"/>
    <n v="2"/>
    <x v="0"/>
    <n v="1"/>
    <s v="Below College"/>
    <s v="Life Sciences"/>
    <n v="1246"/>
    <n v="1"/>
    <x v="2"/>
    <s v="Female"/>
    <n v="72"/>
    <n v="4"/>
    <s v="Very High"/>
    <n v="1"/>
    <x v="1"/>
    <x v="1"/>
    <n v="4"/>
    <s v="Very High"/>
    <x v="1"/>
    <n v="2011"/>
    <n v="19982"/>
    <n v="1"/>
    <x v="1"/>
    <n v="13"/>
    <n v="3"/>
    <s v="Excellent"/>
    <n v="4"/>
    <s v="Very High"/>
    <n v="1"/>
    <n v="10"/>
    <n v="5"/>
    <n v="3"/>
    <s v="High"/>
    <n v="10"/>
    <n v="5"/>
    <n v="7"/>
    <n v="7"/>
  </r>
  <r>
    <n v="19"/>
    <x v="4"/>
    <x v="0"/>
    <x v="2"/>
    <n v="504"/>
    <x v="1"/>
    <n v="10"/>
    <x v="0"/>
    <n v="3"/>
    <s v="Bachelor"/>
    <s v="Medical"/>
    <n v="1248"/>
    <n v="1"/>
    <x v="2"/>
    <s v="Female"/>
    <n v="96"/>
    <n v="2"/>
    <s v="Medium"/>
    <n v="1"/>
    <x v="1"/>
    <x v="1"/>
    <n v="2"/>
    <s v="Medium"/>
    <x v="0"/>
    <n v="1859"/>
    <n v="6148"/>
    <n v="1"/>
    <x v="0"/>
    <n v="25"/>
    <n v="4"/>
    <s v="Outstanding"/>
    <n v="2"/>
    <s v="Medium"/>
    <n v="0"/>
    <n v="1"/>
    <n v="2"/>
    <n v="4"/>
    <s v="Very High"/>
    <n v="1"/>
    <n v="1"/>
    <n v="0"/>
    <n v="0"/>
  </r>
  <r>
    <n v="29"/>
    <x v="2"/>
    <x v="1"/>
    <x v="0"/>
    <n v="1010"/>
    <x v="1"/>
    <n v="1"/>
    <x v="0"/>
    <n v="3"/>
    <s v="Bachelor"/>
    <s v="Life Sciences"/>
    <n v="1249"/>
    <n v="1"/>
    <x v="2"/>
    <s v="Female"/>
    <n v="97"/>
    <n v="3"/>
    <s v="High"/>
    <n v="1"/>
    <x v="1"/>
    <x v="1"/>
    <n v="4"/>
    <s v="Very High"/>
    <x v="2"/>
    <n v="3760"/>
    <n v="5598"/>
    <n v="1"/>
    <x v="1"/>
    <n v="15"/>
    <n v="3"/>
    <s v="Excellent"/>
    <n v="1"/>
    <s v="Low"/>
    <n v="3"/>
    <n v="3"/>
    <n v="5"/>
    <n v="3"/>
    <s v="High"/>
    <n v="3"/>
    <n v="2"/>
    <n v="1"/>
    <n v="2"/>
  </r>
  <r>
    <n v="54"/>
    <x v="1"/>
    <x v="1"/>
    <x v="0"/>
    <n v="685"/>
    <x v="1"/>
    <n v="3"/>
    <x v="0"/>
    <n v="3"/>
    <s v="Bachelor"/>
    <s v="Life Sciences"/>
    <n v="1250"/>
    <n v="4"/>
    <x v="3"/>
    <s v="Male"/>
    <n v="85"/>
    <n v="3"/>
    <s v="High"/>
    <n v="4"/>
    <x v="3"/>
    <x v="7"/>
    <n v="4"/>
    <s v="Very High"/>
    <x v="1"/>
    <n v="17779"/>
    <n v="23474"/>
    <n v="3"/>
    <x v="1"/>
    <n v="14"/>
    <n v="3"/>
    <s v="Excellent"/>
    <n v="1"/>
    <s v="Low"/>
    <n v="0"/>
    <n v="36"/>
    <n v="2"/>
    <n v="3"/>
    <s v="High"/>
    <n v="10"/>
    <n v="9"/>
    <n v="0"/>
    <n v="9"/>
  </r>
  <r>
    <n v="31"/>
    <x v="2"/>
    <x v="1"/>
    <x v="0"/>
    <n v="1332"/>
    <x v="1"/>
    <n v="11"/>
    <x v="2"/>
    <n v="2"/>
    <s v="College"/>
    <s v="Medical"/>
    <n v="1251"/>
    <n v="3"/>
    <x v="1"/>
    <s v="Male"/>
    <n v="80"/>
    <n v="3"/>
    <s v="High"/>
    <n v="2"/>
    <x v="0"/>
    <x v="4"/>
    <n v="1"/>
    <s v="Low"/>
    <x v="1"/>
    <n v="6833"/>
    <n v="17089"/>
    <n v="1"/>
    <x v="0"/>
    <n v="12"/>
    <n v="3"/>
    <s v="Excellent"/>
    <n v="4"/>
    <s v="Very High"/>
    <n v="0"/>
    <n v="6"/>
    <n v="2"/>
    <n v="2"/>
    <s v="Medium"/>
    <n v="6"/>
    <n v="5"/>
    <n v="0"/>
    <n v="1"/>
  </r>
  <r>
    <n v="31"/>
    <x v="2"/>
    <x v="1"/>
    <x v="0"/>
    <n v="1062"/>
    <x v="1"/>
    <n v="24"/>
    <x v="1"/>
    <n v="3"/>
    <s v="Bachelor"/>
    <s v="Medical"/>
    <n v="1252"/>
    <n v="3"/>
    <x v="1"/>
    <s v="Female"/>
    <n v="96"/>
    <n v="2"/>
    <s v="Medium"/>
    <n v="2"/>
    <x v="0"/>
    <x v="4"/>
    <n v="1"/>
    <s v="Low"/>
    <x v="0"/>
    <n v="6812"/>
    <n v="17198"/>
    <n v="1"/>
    <x v="1"/>
    <n v="19"/>
    <n v="3"/>
    <s v="Excellent"/>
    <n v="2"/>
    <s v="Medium"/>
    <n v="0"/>
    <n v="10"/>
    <n v="2"/>
    <n v="3"/>
    <s v="High"/>
    <n v="10"/>
    <n v="9"/>
    <n v="1"/>
    <n v="8"/>
  </r>
  <r>
    <n v="59"/>
    <x v="3"/>
    <x v="1"/>
    <x v="0"/>
    <n v="326"/>
    <x v="0"/>
    <n v="3"/>
    <x v="0"/>
    <n v="3"/>
    <s v="Bachelor"/>
    <s v="Life Sciences"/>
    <n v="1254"/>
    <n v="3"/>
    <x v="1"/>
    <s v="Female"/>
    <n v="48"/>
    <n v="2"/>
    <s v="Medium"/>
    <n v="2"/>
    <x v="0"/>
    <x v="0"/>
    <n v="4"/>
    <s v="Very High"/>
    <x v="0"/>
    <n v="5171"/>
    <n v="16490"/>
    <n v="5"/>
    <x v="1"/>
    <n v="17"/>
    <n v="3"/>
    <s v="Excellent"/>
    <n v="4"/>
    <s v="Very High"/>
    <n v="0"/>
    <n v="13"/>
    <n v="2"/>
    <n v="3"/>
    <s v="High"/>
    <n v="6"/>
    <n v="1"/>
    <n v="0"/>
    <n v="5"/>
  </r>
  <r>
    <n v="43"/>
    <x v="0"/>
    <x v="1"/>
    <x v="0"/>
    <n v="920"/>
    <x v="1"/>
    <n v="3"/>
    <x v="0"/>
    <n v="3"/>
    <s v="Bachelor"/>
    <s v="Life Sciences"/>
    <n v="1255"/>
    <n v="3"/>
    <x v="1"/>
    <s v="Male"/>
    <n v="96"/>
    <n v="1"/>
    <s v="Low"/>
    <n v="5"/>
    <x v="4"/>
    <x v="7"/>
    <n v="4"/>
    <s v="Very High"/>
    <x v="1"/>
    <n v="19740"/>
    <n v="18625"/>
    <n v="3"/>
    <x v="1"/>
    <n v="14"/>
    <n v="3"/>
    <s v="Excellent"/>
    <n v="2"/>
    <s v="Medium"/>
    <n v="1"/>
    <n v="25"/>
    <n v="2"/>
    <n v="3"/>
    <s v="High"/>
    <n v="8"/>
    <n v="7"/>
    <n v="0"/>
    <n v="7"/>
  </r>
  <r>
    <n v="49"/>
    <x v="1"/>
    <x v="1"/>
    <x v="0"/>
    <n v="1098"/>
    <x v="1"/>
    <n v="4"/>
    <x v="0"/>
    <n v="2"/>
    <s v="College"/>
    <s v="Medical"/>
    <n v="1256"/>
    <n v="1"/>
    <x v="2"/>
    <s v="Male"/>
    <n v="85"/>
    <n v="2"/>
    <s v="Medium"/>
    <n v="5"/>
    <x v="4"/>
    <x v="5"/>
    <n v="3"/>
    <s v="High"/>
    <x v="1"/>
    <n v="18711"/>
    <n v="12124"/>
    <n v="2"/>
    <x v="1"/>
    <n v="13"/>
    <n v="3"/>
    <s v="Excellent"/>
    <n v="3"/>
    <s v="High"/>
    <n v="1"/>
    <n v="23"/>
    <n v="2"/>
    <n v="4"/>
    <s v="Very High"/>
    <n v="1"/>
    <n v="0"/>
    <n v="0"/>
    <n v="0"/>
  </r>
  <r>
    <n v="36"/>
    <x v="0"/>
    <x v="1"/>
    <x v="1"/>
    <n v="469"/>
    <x v="1"/>
    <n v="3"/>
    <x v="0"/>
    <n v="3"/>
    <s v="Bachelor"/>
    <s v="Technical Degree"/>
    <n v="1257"/>
    <n v="3"/>
    <x v="1"/>
    <s v="Male"/>
    <n v="46"/>
    <n v="3"/>
    <s v="High"/>
    <n v="1"/>
    <x v="1"/>
    <x v="1"/>
    <n v="2"/>
    <s v="Medium"/>
    <x v="1"/>
    <n v="3692"/>
    <n v="9256"/>
    <n v="1"/>
    <x v="1"/>
    <n v="12"/>
    <n v="3"/>
    <s v="Excellent"/>
    <n v="3"/>
    <s v="High"/>
    <n v="0"/>
    <n v="12"/>
    <n v="2"/>
    <n v="2"/>
    <s v="Medium"/>
    <n v="11"/>
    <n v="10"/>
    <n v="0"/>
    <n v="7"/>
  </r>
  <r>
    <n v="48"/>
    <x v="1"/>
    <x v="1"/>
    <x v="0"/>
    <n v="969"/>
    <x v="1"/>
    <n v="2"/>
    <x v="0"/>
    <n v="2"/>
    <s v="College"/>
    <s v="Technical Degree"/>
    <n v="1258"/>
    <n v="4"/>
    <x v="3"/>
    <s v="Male"/>
    <n v="76"/>
    <n v="4"/>
    <s v="Very High"/>
    <n v="1"/>
    <x v="1"/>
    <x v="2"/>
    <n v="2"/>
    <s v="Medium"/>
    <x v="0"/>
    <n v="2559"/>
    <n v="16620"/>
    <n v="5"/>
    <x v="1"/>
    <n v="11"/>
    <n v="3"/>
    <s v="Excellent"/>
    <n v="3"/>
    <s v="High"/>
    <n v="0"/>
    <n v="7"/>
    <n v="4"/>
    <n v="2"/>
    <s v="Medium"/>
    <n v="1"/>
    <n v="0"/>
    <n v="0"/>
    <n v="0"/>
  </r>
  <r>
    <n v="27"/>
    <x v="2"/>
    <x v="1"/>
    <x v="0"/>
    <n v="1167"/>
    <x v="1"/>
    <n v="4"/>
    <x v="0"/>
    <n v="2"/>
    <s v="College"/>
    <s v="Life Sciences"/>
    <n v="1259"/>
    <n v="1"/>
    <x v="2"/>
    <s v="Male"/>
    <n v="76"/>
    <n v="3"/>
    <s v="High"/>
    <n v="1"/>
    <x v="1"/>
    <x v="1"/>
    <n v="3"/>
    <s v="High"/>
    <x v="2"/>
    <n v="2517"/>
    <n v="3208"/>
    <n v="1"/>
    <x v="1"/>
    <n v="11"/>
    <n v="3"/>
    <s v="Excellent"/>
    <n v="2"/>
    <s v="Medium"/>
    <n v="3"/>
    <n v="5"/>
    <n v="2"/>
    <n v="3"/>
    <s v="High"/>
    <n v="5"/>
    <n v="3"/>
    <n v="0"/>
    <n v="3"/>
  </r>
  <r>
    <n v="29"/>
    <x v="2"/>
    <x v="1"/>
    <x v="0"/>
    <n v="1329"/>
    <x v="1"/>
    <n v="7"/>
    <x v="0"/>
    <n v="3"/>
    <s v="Bachelor"/>
    <s v="Life Sciences"/>
    <n v="1260"/>
    <n v="3"/>
    <x v="1"/>
    <s v="Male"/>
    <n v="82"/>
    <n v="3"/>
    <s v="High"/>
    <n v="2"/>
    <x v="0"/>
    <x v="4"/>
    <n v="4"/>
    <s v="Very High"/>
    <x v="2"/>
    <n v="6623"/>
    <n v="4204"/>
    <n v="1"/>
    <x v="0"/>
    <n v="11"/>
    <n v="3"/>
    <s v="Excellent"/>
    <n v="2"/>
    <s v="Medium"/>
    <n v="2"/>
    <n v="6"/>
    <n v="2"/>
    <n v="3"/>
    <s v="High"/>
    <n v="6"/>
    <n v="0"/>
    <n v="1"/>
    <n v="0"/>
  </r>
  <r>
    <n v="48"/>
    <x v="1"/>
    <x v="1"/>
    <x v="0"/>
    <n v="715"/>
    <x v="1"/>
    <n v="1"/>
    <x v="0"/>
    <n v="3"/>
    <s v="Bachelor"/>
    <s v="Life Sciences"/>
    <n v="1263"/>
    <n v="4"/>
    <x v="3"/>
    <s v="Male"/>
    <n v="76"/>
    <n v="2"/>
    <s v="Medium"/>
    <n v="5"/>
    <x v="4"/>
    <x v="7"/>
    <n v="4"/>
    <s v="Very High"/>
    <x v="0"/>
    <n v="18265"/>
    <n v="8733"/>
    <n v="6"/>
    <x v="1"/>
    <n v="12"/>
    <n v="3"/>
    <s v="Excellent"/>
    <n v="3"/>
    <s v="High"/>
    <n v="0"/>
    <n v="25"/>
    <n v="3"/>
    <n v="4"/>
    <s v="Very High"/>
    <n v="1"/>
    <n v="0"/>
    <n v="0"/>
    <n v="0"/>
  </r>
  <r>
    <n v="29"/>
    <x v="2"/>
    <x v="1"/>
    <x v="0"/>
    <n v="694"/>
    <x v="1"/>
    <n v="1"/>
    <x v="0"/>
    <n v="3"/>
    <s v="Bachelor"/>
    <s v="Life Sciences"/>
    <n v="1264"/>
    <n v="4"/>
    <x v="3"/>
    <s v="Female"/>
    <n v="87"/>
    <n v="2"/>
    <s v="Medium"/>
    <n v="4"/>
    <x v="3"/>
    <x v="7"/>
    <n v="4"/>
    <s v="Very High"/>
    <x v="2"/>
    <n v="16124"/>
    <n v="3423"/>
    <n v="3"/>
    <x v="1"/>
    <n v="14"/>
    <n v="3"/>
    <s v="Excellent"/>
    <n v="2"/>
    <s v="Medium"/>
    <n v="2"/>
    <n v="9"/>
    <n v="2"/>
    <n v="2"/>
    <s v="Medium"/>
    <n v="7"/>
    <n v="7"/>
    <n v="1"/>
    <n v="7"/>
  </r>
  <r>
    <n v="34"/>
    <x v="2"/>
    <x v="1"/>
    <x v="0"/>
    <n v="1320"/>
    <x v="1"/>
    <n v="20"/>
    <x v="2"/>
    <n v="3"/>
    <s v="Bachelor"/>
    <s v="Technical Degree"/>
    <n v="1265"/>
    <n v="3"/>
    <x v="1"/>
    <s v="Female"/>
    <n v="89"/>
    <n v="4"/>
    <s v="Very High"/>
    <n v="1"/>
    <x v="1"/>
    <x v="1"/>
    <n v="3"/>
    <s v="High"/>
    <x v="1"/>
    <n v="2585"/>
    <n v="21643"/>
    <n v="0"/>
    <x v="1"/>
    <n v="17"/>
    <n v="3"/>
    <s v="Excellent"/>
    <n v="4"/>
    <s v="Very High"/>
    <n v="0"/>
    <n v="2"/>
    <n v="5"/>
    <n v="2"/>
    <s v="Medium"/>
    <n v="1"/>
    <n v="0"/>
    <n v="0"/>
    <n v="0"/>
  </r>
  <r>
    <n v="44"/>
    <x v="0"/>
    <x v="1"/>
    <x v="0"/>
    <n v="1099"/>
    <x v="0"/>
    <n v="5"/>
    <x v="0"/>
    <n v="3"/>
    <s v="Bachelor"/>
    <s v="Marketing"/>
    <n v="1267"/>
    <n v="2"/>
    <x v="0"/>
    <s v="Male"/>
    <n v="88"/>
    <n v="3"/>
    <s v="High"/>
    <n v="5"/>
    <x v="4"/>
    <x v="5"/>
    <n v="2"/>
    <s v="Medium"/>
    <x v="1"/>
    <n v="18213"/>
    <n v="8751"/>
    <n v="7"/>
    <x v="1"/>
    <n v="11"/>
    <n v="3"/>
    <s v="Excellent"/>
    <n v="3"/>
    <s v="High"/>
    <n v="1"/>
    <n v="26"/>
    <n v="5"/>
    <n v="3"/>
    <s v="High"/>
    <n v="22"/>
    <n v="9"/>
    <n v="3"/>
    <n v="10"/>
  </r>
  <r>
    <n v="33"/>
    <x v="2"/>
    <x v="1"/>
    <x v="0"/>
    <n v="536"/>
    <x v="0"/>
    <n v="10"/>
    <x v="0"/>
    <n v="5"/>
    <s v="Doctor"/>
    <s v="Marketing"/>
    <n v="1268"/>
    <n v="4"/>
    <x v="3"/>
    <s v="Male"/>
    <n v="82"/>
    <n v="4"/>
    <s v="Very High"/>
    <n v="3"/>
    <x v="2"/>
    <x v="0"/>
    <n v="3"/>
    <s v="High"/>
    <x v="2"/>
    <n v="8380"/>
    <n v="21708"/>
    <n v="0"/>
    <x v="0"/>
    <n v="14"/>
    <n v="3"/>
    <s v="Excellent"/>
    <n v="4"/>
    <s v="Very High"/>
    <n v="2"/>
    <n v="10"/>
    <n v="3"/>
    <n v="3"/>
    <s v="High"/>
    <n v="9"/>
    <n v="8"/>
    <n v="0"/>
    <n v="8"/>
  </r>
  <r>
    <n v="19"/>
    <x v="4"/>
    <x v="1"/>
    <x v="0"/>
    <n v="265"/>
    <x v="1"/>
    <n v="25"/>
    <x v="1"/>
    <n v="3"/>
    <s v="Bachelor"/>
    <s v="Life Sciences"/>
    <n v="1269"/>
    <n v="2"/>
    <x v="0"/>
    <s v="Female"/>
    <n v="57"/>
    <n v="4"/>
    <s v="Very High"/>
    <n v="1"/>
    <x v="1"/>
    <x v="1"/>
    <n v="4"/>
    <s v="Very High"/>
    <x v="0"/>
    <n v="2994"/>
    <n v="21221"/>
    <n v="1"/>
    <x v="0"/>
    <n v="12"/>
    <n v="3"/>
    <s v="Excellent"/>
    <n v="4"/>
    <s v="Very High"/>
    <n v="0"/>
    <n v="1"/>
    <n v="2"/>
    <n v="3"/>
    <s v="High"/>
    <n v="1"/>
    <n v="0"/>
    <n v="0"/>
    <n v="1"/>
  </r>
  <r>
    <n v="23"/>
    <x v="4"/>
    <x v="1"/>
    <x v="0"/>
    <n v="373"/>
    <x v="1"/>
    <n v="1"/>
    <x v="0"/>
    <n v="2"/>
    <s v="College"/>
    <s v="Life Sciences"/>
    <n v="1270"/>
    <n v="4"/>
    <x v="3"/>
    <s v="Male"/>
    <n v="47"/>
    <n v="3"/>
    <s v="High"/>
    <n v="1"/>
    <x v="1"/>
    <x v="1"/>
    <n v="3"/>
    <s v="High"/>
    <x v="1"/>
    <n v="1223"/>
    <n v="16901"/>
    <n v="1"/>
    <x v="1"/>
    <n v="22"/>
    <n v="4"/>
    <s v="Outstanding"/>
    <n v="4"/>
    <s v="Very High"/>
    <n v="1"/>
    <n v="1"/>
    <n v="2"/>
    <n v="3"/>
    <s v="High"/>
    <n v="1"/>
    <n v="0"/>
    <n v="0"/>
    <n v="1"/>
  </r>
  <r>
    <n v="25"/>
    <x v="4"/>
    <x v="0"/>
    <x v="1"/>
    <n v="599"/>
    <x v="0"/>
    <n v="24"/>
    <x v="1"/>
    <n v="1"/>
    <s v="Below College"/>
    <s v="Life Sciences"/>
    <n v="1273"/>
    <n v="3"/>
    <x v="1"/>
    <s v="Male"/>
    <n v="73"/>
    <n v="1"/>
    <s v="Low"/>
    <n v="1"/>
    <x v="1"/>
    <x v="6"/>
    <n v="4"/>
    <s v="Very High"/>
    <x v="0"/>
    <n v="1118"/>
    <n v="8040"/>
    <n v="1"/>
    <x v="0"/>
    <n v="14"/>
    <n v="3"/>
    <s v="Excellent"/>
    <n v="4"/>
    <s v="Very High"/>
    <n v="0"/>
    <n v="1"/>
    <n v="4"/>
    <n v="3"/>
    <s v="High"/>
    <n v="1"/>
    <n v="0"/>
    <n v="1"/>
    <n v="0"/>
  </r>
  <r>
    <n v="26"/>
    <x v="2"/>
    <x v="1"/>
    <x v="0"/>
    <n v="583"/>
    <x v="1"/>
    <n v="4"/>
    <x v="0"/>
    <n v="2"/>
    <s v="College"/>
    <s v="Life Sciences"/>
    <n v="1275"/>
    <n v="3"/>
    <x v="1"/>
    <s v="Male"/>
    <n v="53"/>
    <n v="3"/>
    <s v="High"/>
    <n v="1"/>
    <x v="1"/>
    <x v="1"/>
    <n v="4"/>
    <s v="Very High"/>
    <x v="0"/>
    <n v="2875"/>
    <n v="9973"/>
    <n v="1"/>
    <x v="0"/>
    <n v="20"/>
    <n v="4"/>
    <s v="Outstanding"/>
    <n v="2"/>
    <s v="Medium"/>
    <n v="0"/>
    <n v="8"/>
    <n v="2"/>
    <n v="2"/>
    <s v="Medium"/>
    <n v="8"/>
    <n v="5"/>
    <n v="2"/>
    <n v="2"/>
  </r>
  <r>
    <n v="45"/>
    <x v="0"/>
    <x v="0"/>
    <x v="0"/>
    <n v="1449"/>
    <x v="0"/>
    <n v="2"/>
    <x v="0"/>
    <n v="3"/>
    <s v="Bachelor"/>
    <s v="Marketing"/>
    <n v="1277"/>
    <n v="1"/>
    <x v="2"/>
    <s v="Female"/>
    <n v="94"/>
    <n v="1"/>
    <s v="Low"/>
    <n v="5"/>
    <x v="4"/>
    <x v="5"/>
    <n v="2"/>
    <s v="Medium"/>
    <x v="0"/>
    <n v="18824"/>
    <n v="2493"/>
    <n v="2"/>
    <x v="0"/>
    <n v="16"/>
    <n v="3"/>
    <s v="Excellent"/>
    <n v="1"/>
    <s v="Low"/>
    <n v="0"/>
    <n v="26"/>
    <n v="2"/>
    <n v="3"/>
    <s v="High"/>
    <n v="24"/>
    <n v="10"/>
    <n v="1"/>
    <n v="11"/>
  </r>
  <r>
    <n v="55"/>
    <x v="1"/>
    <x v="1"/>
    <x v="2"/>
    <n v="177"/>
    <x v="1"/>
    <n v="8"/>
    <x v="0"/>
    <n v="1"/>
    <s v="Below College"/>
    <s v="Medical"/>
    <n v="1278"/>
    <n v="4"/>
    <x v="3"/>
    <s v="Male"/>
    <n v="37"/>
    <n v="2"/>
    <s v="Medium"/>
    <n v="4"/>
    <x v="3"/>
    <x v="4"/>
    <n v="2"/>
    <s v="Medium"/>
    <x v="2"/>
    <n v="13577"/>
    <n v="25592"/>
    <n v="1"/>
    <x v="0"/>
    <n v="15"/>
    <n v="3"/>
    <s v="Excellent"/>
    <n v="4"/>
    <s v="Very High"/>
    <n v="1"/>
    <n v="34"/>
    <n v="3"/>
    <n v="3"/>
    <s v="High"/>
    <n v="33"/>
    <n v="9"/>
    <n v="15"/>
    <n v="0"/>
  </r>
  <r>
    <n v="21"/>
    <x v="4"/>
    <x v="0"/>
    <x v="1"/>
    <n v="251"/>
    <x v="1"/>
    <n v="10"/>
    <x v="0"/>
    <n v="2"/>
    <s v="College"/>
    <s v="Life Sciences"/>
    <n v="1279"/>
    <n v="1"/>
    <x v="2"/>
    <s v="Female"/>
    <n v="45"/>
    <n v="2"/>
    <s v="Medium"/>
    <n v="1"/>
    <x v="1"/>
    <x v="2"/>
    <n v="3"/>
    <s v="High"/>
    <x v="0"/>
    <n v="2625"/>
    <n v="25308"/>
    <n v="1"/>
    <x v="1"/>
    <n v="20"/>
    <n v="4"/>
    <s v="Outstanding"/>
    <n v="3"/>
    <s v="High"/>
    <n v="0"/>
    <n v="2"/>
    <n v="2"/>
    <n v="1"/>
    <s v="Low"/>
    <n v="2"/>
    <n v="2"/>
    <n v="2"/>
    <n v="2"/>
  </r>
  <r>
    <n v="46"/>
    <x v="1"/>
    <x v="1"/>
    <x v="0"/>
    <n v="168"/>
    <x v="0"/>
    <n v="4"/>
    <x v="0"/>
    <n v="2"/>
    <s v="College"/>
    <s v="Marketing"/>
    <n v="1280"/>
    <n v="4"/>
    <x v="3"/>
    <s v="Female"/>
    <n v="33"/>
    <n v="2"/>
    <s v="Medium"/>
    <n v="5"/>
    <x v="4"/>
    <x v="5"/>
    <n v="2"/>
    <s v="Medium"/>
    <x v="1"/>
    <n v="18789"/>
    <n v="9946"/>
    <n v="2"/>
    <x v="1"/>
    <n v="14"/>
    <n v="3"/>
    <s v="Excellent"/>
    <n v="3"/>
    <s v="High"/>
    <n v="1"/>
    <n v="26"/>
    <n v="2"/>
    <n v="3"/>
    <s v="High"/>
    <n v="11"/>
    <n v="4"/>
    <n v="0"/>
    <n v="8"/>
  </r>
  <r>
    <n v="34"/>
    <x v="2"/>
    <x v="1"/>
    <x v="0"/>
    <n v="131"/>
    <x v="0"/>
    <n v="2"/>
    <x v="0"/>
    <n v="3"/>
    <s v="Bachelor"/>
    <s v="Marketing"/>
    <n v="1281"/>
    <n v="3"/>
    <x v="1"/>
    <s v="Female"/>
    <n v="86"/>
    <n v="3"/>
    <s v="High"/>
    <n v="2"/>
    <x v="0"/>
    <x v="0"/>
    <n v="1"/>
    <s v="Low"/>
    <x v="0"/>
    <n v="4538"/>
    <n v="6039"/>
    <n v="0"/>
    <x v="0"/>
    <n v="12"/>
    <n v="3"/>
    <s v="Excellent"/>
    <n v="4"/>
    <s v="Very High"/>
    <n v="0"/>
    <n v="4"/>
    <n v="3"/>
    <n v="3"/>
    <s v="High"/>
    <n v="3"/>
    <n v="2"/>
    <n v="0"/>
    <n v="2"/>
  </r>
  <r>
    <n v="51"/>
    <x v="1"/>
    <x v="1"/>
    <x v="1"/>
    <n v="237"/>
    <x v="0"/>
    <n v="9"/>
    <x v="0"/>
    <n v="3"/>
    <s v="Bachelor"/>
    <s v="Life Sciences"/>
    <n v="1282"/>
    <n v="4"/>
    <x v="3"/>
    <s v="Male"/>
    <n v="83"/>
    <n v="3"/>
    <s v="High"/>
    <n v="5"/>
    <x v="4"/>
    <x v="5"/>
    <n v="2"/>
    <s v="Medium"/>
    <x v="2"/>
    <n v="19847"/>
    <n v="19196"/>
    <n v="4"/>
    <x v="0"/>
    <n v="24"/>
    <n v="4"/>
    <s v="Outstanding"/>
    <n v="1"/>
    <s v="Low"/>
    <n v="1"/>
    <n v="31"/>
    <n v="5"/>
    <n v="2"/>
    <s v="Medium"/>
    <n v="29"/>
    <n v="10"/>
    <n v="11"/>
    <n v="10"/>
  </r>
  <r>
    <n v="59"/>
    <x v="3"/>
    <x v="1"/>
    <x v="0"/>
    <n v="1429"/>
    <x v="1"/>
    <n v="18"/>
    <x v="2"/>
    <n v="4"/>
    <s v="Master"/>
    <s v="Medical"/>
    <n v="1283"/>
    <n v="4"/>
    <x v="3"/>
    <s v="Male"/>
    <n v="67"/>
    <n v="3"/>
    <s v="High"/>
    <n v="3"/>
    <x v="2"/>
    <x v="3"/>
    <n v="4"/>
    <s v="Very High"/>
    <x v="0"/>
    <n v="10512"/>
    <n v="20002"/>
    <n v="6"/>
    <x v="1"/>
    <n v="12"/>
    <n v="3"/>
    <s v="Excellent"/>
    <n v="4"/>
    <s v="Very High"/>
    <n v="0"/>
    <n v="25"/>
    <n v="6"/>
    <n v="2"/>
    <s v="Medium"/>
    <n v="9"/>
    <n v="7"/>
    <n v="5"/>
    <n v="4"/>
  </r>
  <r>
    <n v="34"/>
    <x v="2"/>
    <x v="1"/>
    <x v="1"/>
    <n v="135"/>
    <x v="1"/>
    <n v="19"/>
    <x v="2"/>
    <n v="3"/>
    <s v="Bachelor"/>
    <s v="Medical"/>
    <n v="1285"/>
    <n v="3"/>
    <x v="1"/>
    <s v="Female"/>
    <n v="46"/>
    <n v="3"/>
    <s v="High"/>
    <n v="2"/>
    <x v="0"/>
    <x v="2"/>
    <n v="2"/>
    <s v="Medium"/>
    <x v="2"/>
    <n v="4444"/>
    <n v="22534"/>
    <n v="4"/>
    <x v="1"/>
    <n v="13"/>
    <n v="3"/>
    <s v="Excellent"/>
    <n v="3"/>
    <s v="High"/>
    <n v="2"/>
    <n v="15"/>
    <n v="2"/>
    <n v="4"/>
    <s v="Very High"/>
    <n v="11"/>
    <n v="8"/>
    <n v="5"/>
    <n v="10"/>
  </r>
  <r>
    <n v="28"/>
    <x v="2"/>
    <x v="1"/>
    <x v="1"/>
    <n v="791"/>
    <x v="1"/>
    <n v="1"/>
    <x v="0"/>
    <n v="4"/>
    <s v="Master"/>
    <s v="Medical"/>
    <n v="1286"/>
    <n v="4"/>
    <x v="3"/>
    <s v="Male"/>
    <n v="44"/>
    <n v="3"/>
    <s v="High"/>
    <n v="1"/>
    <x v="1"/>
    <x v="2"/>
    <n v="3"/>
    <s v="High"/>
    <x v="0"/>
    <n v="2154"/>
    <n v="6842"/>
    <n v="0"/>
    <x v="0"/>
    <n v="11"/>
    <n v="3"/>
    <s v="Excellent"/>
    <n v="3"/>
    <s v="High"/>
    <n v="0"/>
    <n v="5"/>
    <n v="2"/>
    <n v="2"/>
    <s v="Medium"/>
    <n v="4"/>
    <n v="2"/>
    <n v="0"/>
    <n v="2"/>
  </r>
  <r>
    <n v="44"/>
    <x v="0"/>
    <x v="1"/>
    <x v="0"/>
    <n v="1199"/>
    <x v="1"/>
    <n v="4"/>
    <x v="0"/>
    <n v="2"/>
    <s v="College"/>
    <s v="Life Sciences"/>
    <n v="1288"/>
    <n v="3"/>
    <x v="1"/>
    <s v="Male"/>
    <n v="92"/>
    <n v="4"/>
    <s v="Very High"/>
    <n v="5"/>
    <x v="4"/>
    <x v="5"/>
    <n v="1"/>
    <s v="Low"/>
    <x v="2"/>
    <n v="19190"/>
    <n v="17477"/>
    <n v="1"/>
    <x v="1"/>
    <n v="14"/>
    <n v="3"/>
    <s v="Excellent"/>
    <n v="4"/>
    <s v="Very High"/>
    <n v="2"/>
    <n v="26"/>
    <n v="4"/>
    <n v="2"/>
    <s v="Medium"/>
    <n v="25"/>
    <n v="9"/>
    <n v="14"/>
    <n v="13"/>
  </r>
  <r>
    <n v="34"/>
    <x v="2"/>
    <x v="1"/>
    <x v="1"/>
    <n v="648"/>
    <x v="2"/>
    <n v="11"/>
    <x v="2"/>
    <n v="3"/>
    <s v="Bachelor"/>
    <s v="Life Sciences"/>
    <n v="1289"/>
    <n v="3"/>
    <x v="1"/>
    <s v="Male"/>
    <n v="56"/>
    <n v="2"/>
    <s v="Medium"/>
    <n v="2"/>
    <x v="0"/>
    <x v="8"/>
    <n v="2"/>
    <s v="Medium"/>
    <x v="1"/>
    <n v="4490"/>
    <n v="21833"/>
    <n v="4"/>
    <x v="1"/>
    <n v="11"/>
    <n v="3"/>
    <s v="Excellent"/>
    <n v="4"/>
    <s v="Very High"/>
    <n v="2"/>
    <n v="14"/>
    <n v="5"/>
    <n v="4"/>
    <s v="Very High"/>
    <n v="10"/>
    <n v="9"/>
    <n v="1"/>
    <n v="8"/>
  </r>
  <r>
    <n v="35"/>
    <x v="2"/>
    <x v="1"/>
    <x v="0"/>
    <n v="735"/>
    <x v="1"/>
    <n v="6"/>
    <x v="0"/>
    <n v="1"/>
    <s v="Below College"/>
    <s v="Life Sciences"/>
    <n v="1291"/>
    <n v="3"/>
    <x v="1"/>
    <s v="Male"/>
    <n v="66"/>
    <n v="3"/>
    <s v="High"/>
    <n v="1"/>
    <x v="1"/>
    <x v="1"/>
    <n v="3"/>
    <s v="High"/>
    <x v="1"/>
    <n v="3506"/>
    <n v="6020"/>
    <n v="0"/>
    <x v="0"/>
    <n v="14"/>
    <n v="3"/>
    <s v="Excellent"/>
    <n v="4"/>
    <s v="Very High"/>
    <n v="0"/>
    <n v="4"/>
    <n v="3"/>
    <n v="3"/>
    <s v="High"/>
    <n v="3"/>
    <n v="2"/>
    <n v="2"/>
    <n v="2"/>
  </r>
  <r>
    <n v="42"/>
    <x v="0"/>
    <x v="1"/>
    <x v="0"/>
    <n v="603"/>
    <x v="1"/>
    <n v="7"/>
    <x v="0"/>
    <n v="4"/>
    <s v="Master"/>
    <s v="Medical"/>
    <n v="1292"/>
    <n v="2"/>
    <x v="0"/>
    <s v="Female"/>
    <n v="78"/>
    <n v="4"/>
    <s v="Very High"/>
    <n v="2"/>
    <x v="0"/>
    <x v="1"/>
    <n v="2"/>
    <s v="Medium"/>
    <x v="1"/>
    <n v="2372"/>
    <n v="5628"/>
    <n v="6"/>
    <x v="0"/>
    <n v="16"/>
    <n v="3"/>
    <s v="Excellent"/>
    <n v="4"/>
    <s v="Very High"/>
    <n v="0"/>
    <n v="18"/>
    <n v="2"/>
    <n v="3"/>
    <s v="High"/>
    <n v="1"/>
    <n v="0"/>
    <n v="0"/>
    <n v="0"/>
  </r>
  <r>
    <n v="43"/>
    <x v="0"/>
    <x v="1"/>
    <x v="0"/>
    <n v="531"/>
    <x v="0"/>
    <n v="4"/>
    <x v="0"/>
    <n v="4"/>
    <s v="Master"/>
    <s v="Marketing"/>
    <n v="1293"/>
    <n v="4"/>
    <x v="3"/>
    <s v="Female"/>
    <n v="56"/>
    <n v="2"/>
    <s v="Medium"/>
    <n v="3"/>
    <x v="2"/>
    <x v="0"/>
    <n v="4"/>
    <s v="Very High"/>
    <x v="0"/>
    <n v="10231"/>
    <n v="20364"/>
    <n v="3"/>
    <x v="1"/>
    <n v="14"/>
    <n v="3"/>
    <s v="Excellent"/>
    <n v="4"/>
    <s v="Very High"/>
    <n v="0"/>
    <n v="23"/>
    <n v="3"/>
    <n v="4"/>
    <s v="Very High"/>
    <n v="21"/>
    <n v="7"/>
    <n v="15"/>
    <n v="17"/>
  </r>
  <r>
    <n v="36"/>
    <x v="0"/>
    <x v="1"/>
    <x v="0"/>
    <n v="429"/>
    <x v="1"/>
    <n v="2"/>
    <x v="0"/>
    <n v="4"/>
    <s v="Master"/>
    <s v="Life Sciences"/>
    <n v="1294"/>
    <n v="3"/>
    <x v="1"/>
    <s v="Female"/>
    <n v="53"/>
    <n v="3"/>
    <s v="High"/>
    <n v="2"/>
    <x v="0"/>
    <x v="3"/>
    <n v="2"/>
    <s v="Medium"/>
    <x v="0"/>
    <n v="5410"/>
    <n v="2323"/>
    <n v="9"/>
    <x v="0"/>
    <n v="11"/>
    <n v="3"/>
    <s v="Excellent"/>
    <n v="4"/>
    <s v="Very High"/>
    <n v="0"/>
    <n v="18"/>
    <n v="2"/>
    <n v="3"/>
    <s v="High"/>
    <n v="16"/>
    <n v="14"/>
    <n v="5"/>
    <n v="12"/>
  </r>
  <r>
    <n v="44"/>
    <x v="0"/>
    <x v="0"/>
    <x v="0"/>
    <n v="621"/>
    <x v="1"/>
    <n v="15"/>
    <x v="2"/>
    <n v="3"/>
    <s v="Bachelor"/>
    <s v="Medical"/>
    <n v="1295"/>
    <n v="1"/>
    <x v="2"/>
    <s v="Female"/>
    <n v="73"/>
    <n v="3"/>
    <s v="High"/>
    <n v="3"/>
    <x v="2"/>
    <x v="4"/>
    <n v="4"/>
    <s v="Very High"/>
    <x v="1"/>
    <n v="7978"/>
    <n v="14075"/>
    <n v="1"/>
    <x v="1"/>
    <n v="11"/>
    <n v="3"/>
    <s v="Excellent"/>
    <n v="4"/>
    <s v="Very High"/>
    <n v="1"/>
    <n v="10"/>
    <n v="2"/>
    <n v="3"/>
    <s v="High"/>
    <n v="10"/>
    <n v="7"/>
    <n v="0"/>
    <n v="5"/>
  </r>
  <r>
    <n v="28"/>
    <x v="2"/>
    <x v="1"/>
    <x v="1"/>
    <n v="193"/>
    <x v="1"/>
    <n v="2"/>
    <x v="0"/>
    <n v="3"/>
    <s v="Bachelor"/>
    <s v="Life Sciences"/>
    <n v="1296"/>
    <n v="4"/>
    <x v="3"/>
    <s v="Male"/>
    <n v="52"/>
    <n v="2"/>
    <s v="Medium"/>
    <n v="1"/>
    <x v="1"/>
    <x v="2"/>
    <n v="4"/>
    <s v="Very High"/>
    <x v="1"/>
    <n v="3867"/>
    <n v="14222"/>
    <n v="1"/>
    <x v="0"/>
    <n v="12"/>
    <n v="3"/>
    <s v="Excellent"/>
    <n v="2"/>
    <s v="Medium"/>
    <n v="1"/>
    <n v="2"/>
    <n v="2"/>
    <n v="3"/>
    <s v="High"/>
    <n v="2"/>
    <n v="2"/>
    <n v="2"/>
    <n v="2"/>
  </r>
  <r>
    <n v="51"/>
    <x v="1"/>
    <x v="1"/>
    <x v="1"/>
    <n v="968"/>
    <x v="1"/>
    <n v="6"/>
    <x v="0"/>
    <n v="2"/>
    <s v="College"/>
    <s v="Medical"/>
    <n v="1297"/>
    <n v="2"/>
    <x v="0"/>
    <s v="Female"/>
    <n v="40"/>
    <n v="2"/>
    <s v="Medium"/>
    <n v="1"/>
    <x v="1"/>
    <x v="2"/>
    <n v="3"/>
    <s v="High"/>
    <x v="0"/>
    <n v="2838"/>
    <n v="4257"/>
    <n v="0"/>
    <x v="1"/>
    <n v="14"/>
    <n v="3"/>
    <s v="Excellent"/>
    <n v="2"/>
    <s v="Medium"/>
    <n v="0"/>
    <n v="8"/>
    <n v="6"/>
    <n v="2"/>
    <s v="Medium"/>
    <n v="7"/>
    <n v="0"/>
    <n v="7"/>
    <n v="7"/>
  </r>
  <r>
    <n v="30"/>
    <x v="2"/>
    <x v="1"/>
    <x v="2"/>
    <n v="879"/>
    <x v="1"/>
    <n v="9"/>
    <x v="0"/>
    <n v="2"/>
    <s v="College"/>
    <s v="Medical"/>
    <n v="1298"/>
    <n v="3"/>
    <x v="1"/>
    <s v="Female"/>
    <n v="72"/>
    <n v="3"/>
    <s v="High"/>
    <n v="2"/>
    <x v="0"/>
    <x v="3"/>
    <n v="3"/>
    <s v="High"/>
    <x v="0"/>
    <n v="4695"/>
    <n v="12858"/>
    <n v="7"/>
    <x v="0"/>
    <n v="18"/>
    <n v="3"/>
    <s v="Excellent"/>
    <n v="3"/>
    <s v="High"/>
    <n v="0"/>
    <n v="10"/>
    <n v="3"/>
    <n v="3"/>
    <s v="High"/>
    <n v="8"/>
    <n v="4"/>
    <n v="1"/>
    <n v="7"/>
  </r>
  <r>
    <n v="29"/>
    <x v="2"/>
    <x v="0"/>
    <x v="0"/>
    <n v="806"/>
    <x v="1"/>
    <n v="7"/>
    <x v="0"/>
    <n v="3"/>
    <s v="Bachelor"/>
    <s v="Technical Degree"/>
    <n v="1299"/>
    <n v="2"/>
    <x v="0"/>
    <s v="Female"/>
    <n v="39"/>
    <n v="3"/>
    <s v="High"/>
    <n v="1"/>
    <x v="1"/>
    <x v="2"/>
    <n v="3"/>
    <s v="High"/>
    <x v="2"/>
    <n v="3339"/>
    <n v="17285"/>
    <n v="3"/>
    <x v="0"/>
    <n v="13"/>
    <n v="3"/>
    <s v="Excellent"/>
    <n v="1"/>
    <s v="Low"/>
    <n v="2"/>
    <n v="10"/>
    <n v="2"/>
    <n v="3"/>
    <s v="High"/>
    <n v="7"/>
    <n v="7"/>
    <n v="7"/>
    <n v="7"/>
  </r>
  <r>
    <n v="28"/>
    <x v="2"/>
    <x v="1"/>
    <x v="0"/>
    <n v="640"/>
    <x v="1"/>
    <n v="1"/>
    <x v="0"/>
    <n v="3"/>
    <s v="Bachelor"/>
    <s v="Technical Degree"/>
    <n v="1301"/>
    <n v="4"/>
    <x v="3"/>
    <s v="Male"/>
    <n v="84"/>
    <n v="3"/>
    <s v="High"/>
    <n v="1"/>
    <x v="1"/>
    <x v="1"/>
    <n v="1"/>
    <s v="Low"/>
    <x v="0"/>
    <n v="2080"/>
    <n v="4732"/>
    <n v="2"/>
    <x v="1"/>
    <n v="11"/>
    <n v="3"/>
    <s v="Excellent"/>
    <n v="2"/>
    <s v="Medium"/>
    <n v="0"/>
    <n v="5"/>
    <n v="2"/>
    <n v="2"/>
    <s v="Medium"/>
    <n v="3"/>
    <n v="2"/>
    <n v="1"/>
    <n v="2"/>
  </r>
  <r>
    <n v="25"/>
    <x v="4"/>
    <x v="1"/>
    <x v="0"/>
    <n v="266"/>
    <x v="1"/>
    <n v="1"/>
    <x v="0"/>
    <n v="3"/>
    <s v="Bachelor"/>
    <s v="Medical"/>
    <n v="1303"/>
    <n v="4"/>
    <x v="3"/>
    <s v="Female"/>
    <n v="40"/>
    <n v="3"/>
    <s v="High"/>
    <n v="1"/>
    <x v="1"/>
    <x v="1"/>
    <n v="2"/>
    <s v="Medium"/>
    <x v="0"/>
    <n v="2096"/>
    <n v="18830"/>
    <n v="1"/>
    <x v="1"/>
    <n v="18"/>
    <n v="3"/>
    <s v="Excellent"/>
    <n v="4"/>
    <s v="Very High"/>
    <n v="0"/>
    <n v="2"/>
    <n v="3"/>
    <n v="2"/>
    <s v="Medium"/>
    <n v="2"/>
    <n v="2"/>
    <n v="2"/>
    <n v="1"/>
  </r>
  <r>
    <n v="32"/>
    <x v="2"/>
    <x v="1"/>
    <x v="0"/>
    <n v="604"/>
    <x v="0"/>
    <n v="8"/>
    <x v="0"/>
    <n v="3"/>
    <s v="Bachelor"/>
    <s v="Medical"/>
    <n v="1304"/>
    <n v="3"/>
    <x v="1"/>
    <s v="Male"/>
    <n v="56"/>
    <n v="4"/>
    <s v="Very High"/>
    <n v="2"/>
    <x v="0"/>
    <x v="0"/>
    <n v="4"/>
    <s v="Very High"/>
    <x v="1"/>
    <n v="6209"/>
    <n v="11693"/>
    <n v="1"/>
    <x v="1"/>
    <n v="15"/>
    <n v="3"/>
    <s v="Excellent"/>
    <n v="3"/>
    <s v="High"/>
    <n v="2"/>
    <n v="10"/>
    <n v="4"/>
    <n v="4"/>
    <s v="Very High"/>
    <n v="10"/>
    <n v="7"/>
    <n v="0"/>
    <n v="8"/>
  </r>
  <r>
    <n v="45"/>
    <x v="0"/>
    <x v="1"/>
    <x v="1"/>
    <n v="364"/>
    <x v="1"/>
    <n v="25"/>
    <x v="1"/>
    <n v="3"/>
    <s v="Bachelor"/>
    <s v="Medical"/>
    <n v="1306"/>
    <n v="2"/>
    <x v="0"/>
    <s v="Female"/>
    <n v="83"/>
    <n v="3"/>
    <s v="High"/>
    <n v="5"/>
    <x v="4"/>
    <x v="5"/>
    <n v="2"/>
    <s v="Medium"/>
    <x v="0"/>
    <n v="18061"/>
    <n v="13035"/>
    <n v="3"/>
    <x v="1"/>
    <n v="22"/>
    <n v="4"/>
    <s v="Outstanding"/>
    <n v="3"/>
    <s v="High"/>
    <n v="0"/>
    <n v="22"/>
    <n v="4"/>
    <n v="3"/>
    <s v="High"/>
    <n v="0"/>
    <n v="0"/>
    <n v="0"/>
    <n v="0"/>
  </r>
  <r>
    <n v="39"/>
    <x v="0"/>
    <x v="1"/>
    <x v="0"/>
    <n v="412"/>
    <x v="1"/>
    <n v="13"/>
    <x v="2"/>
    <n v="4"/>
    <s v="Master"/>
    <s v="Medical"/>
    <n v="1307"/>
    <n v="3"/>
    <x v="1"/>
    <s v="Female"/>
    <n v="94"/>
    <n v="2"/>
    <s v="Medium"/>
    <n v="4"/>
    <x v="3"/>
    <x v="5"/>
    <n v="2"/>
    <s v="Medium"/>
    <x v="2"/>
    <n v="17123"/>
    <n v="17334"/>
    <n v="6"/>
    <x v="0"/>
    <n v="13"/>
    <n v="3"/>
    <s v="Excellent"/>
    <n v="4"/>
    <s v="Very High"/>
    <n v="2"/>
    <n v="21"/>
    <n v="4"/>
    <n v="3"/>
    <s v="High"/>
    <n v="19"/>
    <n v="9"/>
    <n v="15"/>
    <n v="2"/>
  </r>
  <r>
    <n v="58"/>
    <x v="3"/>
    <x v="1"/>
    <x v="0"/>
    <n v="848"/>
    <x v="1"/>
    <n v="23"/>
    <x v="1"/>
    <n v="4"/>
    <s v="Master"/>
    <s v="Life Sciences"/>
    <n v="1308"/>
    <n v="1"/>
    <x v="2"/>
    <s v="Male"/>
    <n v="88"/>
    <n v="3"/>
    <s v="High"/>
    <n v="1"/>
    <x v="1"/>
    <x v="1"/>
    <n v="3"/>
    <s v="High"/>
    <x v="2"/>
    <n v="2372"/>
    <n v="26076"/>
    <n v="1"/>
    <x v="1"/>
    <n v="12"/>
    <n v="3"/>
    <s v="Excellent"/>
    <n v="4"/>
    <s v="Very High"/>
    <n v="2"/>
    <n v="2"/>
    <n v="3"/>
    <n v="3"/>
    <s v="High"/>
    <n v="2"/>
    <n v="2"/>
    <n v="2"/>
    <n v="2"/>
  </r>
  <r>
    <n v="32"/>
    <x v="2"/>
    <x v="0"/>
    <x v="0"/>
    <n v="1089"/>
    <x v="1"/>
    <n v="7"/>
    <x v="0"/>
    <n v="2"/>
    <s v="College"/>
    <s v="Life Sciences"/>
    <n v="1309"/>
    <n v="4"/>
    <x v="3"/>
    <s v="Male"/>
    <n v="79"/>
    <n v="3"/>
    <s v="High"/>
    <n v="2"/>
    <x v="0"/>
    <x v="2"/>
    <n v="3"/>
    <s v="High"/>
    <x v="1"/>
    <n v="4883"/>
    <n v="22845"/>
    <n v="1"/>
    <x v="1"/>
    <n v="18"/>
    <n v="3"/>
    <s v="Excellent"/>
    <n v="1"/>
    <s v="Low"/>
    <n v="1"/>
    <n v="10"/>
    <n v="3"/>
    <n v="3"/>
    <s v="High"/>
    <n v="10"/>
    <n v="4"/>
    <n v="1"/>
    <n v="1"/>
  </r>
  <r>
    <n v="39"/>
    <x v="0"/>
    <x v="0"/>
    <x v="0"/>
    <n v="360"/>
    <x v="1"/>
    <n v="23"/>
    <x v="1"/>
    <n v="3"/>
    <s v="Bachelor"/>
    <s v="Medical"/>
    <n v="1310"/>
    <n v="3"/>
    <x v="1"/>
    <s v="Male"/>
    <n v="93"/>
    <n v="3"/>
    <s v="High"/>
    <n v="1"/>
    <x v="1"/>
    <x v="1"/>
    <n v="1"/>
    <s v="Low"/>
    <x v="0"/>
    <n v="3904"/>
    <n v="22154"/>
    <n v="0"/>
    <x v="1"/>
    <n v="13"/>
    <n v="3"/>
    <s v="Excellent"/>
    <n v="1"/>
    <s v="Low"/>
    <n v="0"/>
    <n v="6"/>
    <n v="2"/>
    <n v="3"/>
    <s v="High"/>
    <n v="5"/>
    <n v="2"/>
    <n v="0"/>
    <n v="3"/>
  </r>
  <r>
    <n v="30"/>
    <x v="2"/>
    <x v="1"/>
    <x v="0"/>
    <n v="1138"/>
    <x v="1"/>
    <n v="6"/>
    <x v="0"/>
    <n v="3"/>
    <s v="Bachelor"/>
    <s v="Technical Degree"/>
    <n v="1311"/>
    <n v="1"/>
    <x v="2"/>
    <s v="Female"/>
    <n v="48"/>
    <n v="2"/>
    <s v="Medium"/>
    <n v="2"/>
    <x v="0"/>
    <x v="2"/>
    <n v="4"/>
    <s v="Very High"/>
    <x v="1"/>
    <n v="4627"/>
    <n v="23631"/>
    <n v="0"/>
    <x v="1"/>
    <n v="12"/>
    <n v="3"/>
    <s v="Excellent"/>
    <n v="1"/>
    <s v="Low"/>
    <n v="1"/>
    <n v="10"/>
    <n v="6"/>
    <n v="3"/>
    <s v="High"/>
    <n v="9"/>
    <n v="2"/>
    <n v="6"/>
    <n v="7"/>
  </r>
  <r>
    <n v="36"/>
    <x v="0"/>
    <x v="1"/>
    <x v="0"/>
    <n v="325"/>
    <x v="1"/>
    <n v="10"/>
    <x v="0"/>
    <n v="4"/>
    <s v="Master"/>
    <s v="Technical Degree"/>
    <n v="1312"/>
    <n v="4"/>
    <x v="3"/>
    <s v="Female"/>
    <n v="63"/>
    <n v="3"/>
    <s v="High"/>
    <n v="3"/>
    <x v="2"/>
    <x v="4"/>
    <n v="3"/>
    <s v="High"/>
    <x v="1"/>
    <n v="7094"/>
    <n v="5747"/>
    <n v="3"/>
    <x v="1"/>
    <n v="12"/>
    <n v="3"/>
    <s v="Excellent"/>
    <n v="1"/>
    <s v="Low"/>
    <n v="0"/>
    <n v="10"/>
    <n v="0"/>
    <n v="3"/>
    <s v="High"/>
    <n v="7"/>
    <n v="7"/>
    <n v="1"/>
    <n v="7"/>
  </r>
  <r>
    <n v="46"/>
    <x v="1"/>
    <x v="1"/>
    <x v="0"/>
    <n v="991"/>
    <x v="2"/>
    <n v="1"/>
    <x v="0"/>
    <n v="2"/>
    <s v="College"/>
    <s v="Life Sciences"/>
    <n v="1314"/>
    <n v="4"/>
    <x v="3"/>
    <s v="Female"/>
    <n v="44"/>
    <n v="3"/>
    <s v="High"/>
    <n v="1"/>
    <x v="1"/>
    <x v="8"/>
    <n v="1"/>
    <s v="Low"/>
    <x v="0"/>
    <n v="3423"/>
    <n v="22957"/>
    <n v="6"/>
    <x v="1"/>
    <n v="12"/>
    <n v="3"/>
    <s v="Excellent"/>
    <n v="3"/>
    <s v="High"/>
    <n v="0"/>
    <n v="10"/>
    <n v="3"/>
    <n v="4"/>
    <s v="Very High"/>
    <n v="7"/>
    <n v="6"/>
    <n v="5"/>
    <n v="7"/>
  </r>
  <r>
    <n v="28"/>
    <x v="2"/>
    <x v="1"/>
    <x v="2"/>
    <n v="1476"/>
    <x v="1"/>
    <n v="1"/>
    <x v="0"/>
    <n v="3"/>
    <s v="Bachelor"/>
    <s v="Life Sciences"/>
    <n v="1315"/>
    <n v="3"/>
    <x v="1"/>
    <s v="Female"/>
    <n v="55"/>
    <n v="1"/>
    <s v="Low"/>
    <n v="2"/>
    <x v="0"/>
    <x v="2"/>
    <n v="4"/>
    <s v="Very High"/>
    <x v="1"/>
    <n v="6674"/>
    <n v="16392"/>
    <n v="0"/>
    <x v="1"/>
    <n v="11"/>
    <n v="3"/>
    <s v="Excellent"/>
    <n v="1"/>
    <s v="Low"/>
    <n v="3"/>
    <n v="10"/>
    <n v="6"/>
    <n v="3"/>
    <s v="High"/>
    <n v="9"/>
    <n v="8"/>
    <n v="7"/>
    <n v="5"/>
  </r>
  <r>
    <n v="50"/>
    <x v="1"/>
    <x v="1"/>
    <x v="0"/>
    <n v="1322"/>
    <x v="1"/>
    <n v="28"/>
    <x v="1"/>
    <n v="3"/>
    <s v="Bachelor"/>
    <s v="Life Sciences"/>
    <n v="1317"/>
    <n v="4"/>
    <x v="3"/>
    <s v="Female"/>
    <n v="43"/>
    <n v="3"/>
    <s v="High"/>
    <n v="4"/>
    <x v="3"/>
    <x v="7"/>
    <n v="1"/>
    <s v="Low"/>
    <x v="1"/>
    <n v="16880"/>
    <n v="22422"/>
    <n v="4"/>
    <x v="0"/>
    <n v="11"/>
    <n v="3"/>
    <s v="Excellent"/>
    <n v="2"/>
    <s v="Medium"/>
    <n v="0"/>
    <n v="25"/>
    <n v="2"/>
    <n v="3"/>
    <s v="High"/>
    <n v="3"/>
    <n v="2"/>
    <n v="1"/>
    <n v="2"/>
  </r>
  <r>
    <n v="40"/>
    <x v="0"/>
    <x v="0"/>
    <x v="0"/>
    <n v="299"/>
    <x v="0"/>
    <n v="25"/>
    <x v="1"/>
    <n v="4"/>
    <s v="Master"/>
    <s v="Marketing"/>
    <n v="1318"/>
    <n v="4"/>
    <x v="3"/>
    <s v="Male"/>
    <n v="57"/>
    <n v="2"/>
    <s v="Medium"/>
    <n v="3"/>
    <x v="2"/>
    <x v="0"/>
    <n v="2"/>
    <s v="Medium"/>
    <x v="0"/>
    <n v="9094"/>
    <n v="17235"/>
    <n v="2"/>
    <x v="0"/>
    <n v="12"/>
    <n v="3"/>
    <s v="Excellent"/>
    <n v="3"/>
    <s v="High"/>
    <n v="0"/>
    <n v="9"/>
    <n v="2"/>
    <n v="3"/>
    <s v="High"/>
    <n v="5"/>
    <n v="4"/>
    <n v="1"/>
    <n v="0"/>
  </r>
  <r>
    <n v="52"/>
    <x v="1"/>
    <x v="0"/>
    <x v="0"/>
    <n v="1030"/>
    <x v="0"/>
    <n v="5"/>
    <x v="0"/>
    <n v="3"/>
    <s v="Bachelor"/>
    <s v="Life Sciences"/>
    <n v="1319"/>
    <n v="2"/>
    <x v="0"/>
    <s v="Male"/>
    <n v="64"/>
    <n v="3"/>
    <s v="High"/>
    <n v="3"/>
    <x v="2"/>
    <x v="0"/>
    <n v="2"/>
    <s v="Medium"/>
    <x v="0"/>
    <n v="8446"/>
    <n v="21534"/>
    <n v="9"/>
    <x v="0"/>
    <n v="19"/>
    <n v="3"/>
    <s v="Excellent"/>
    <n v="3"/>
    <s v="High"/>
    <n v="0"/>
    <n v="10"/>
    <n v="2"/>
    <n v="2"/>
    <s v="Medium"/>
    <n v="8"/>
    <n v="7"/>
    <n v="7"/>
    <n v="7"/>
  </r>
  <r>
    <n v="30"/>
    <x v="2"/>
    <x v="1"/>
    <x v="0"/>
    <n v="634"/>
    <x v="1"/>
    <n v="17"/>
    <x v="2"/>
    <n v="4"/>
    <s v="Master"/>
    <s v="Medical"/>
    <n v="1321"/>
    <n v="2"/>
    <x v="0"/>
    <s v="Female"/>
    <n v="95"/>
    <n v="3"/>
    <s v="High"/>
    <n v="3"/>
    <x v="2"/>
    <x v="5"/>
    <n v="1"/>
    <s v="Low"/>
    <x v="1"/>
    <n v="11916"/>
    <n v="25927"/>
    <n v="1"/>
    <x v="0"/>
    <n v="23"/>
    <n v="4"/>
    <s v="Outstanding"/>
    <n v="4"/>
    <s v="Very High"/>
    <n v="2"/>
    <n v="9"/>
    <n v="2"/>
    <n v="3"/>
    <s v="High"/>
    <n v="9"/>
    <n v="1"/>
    <n v="0"/>
    <n v="8"/>
  </r>
  <r>
    <n v="39"/>
    <x v="0"/>
    <x v="1"/>
    <x v="0"/>
    <n v="524"/>
    <x v="1"/>
    <n v="18"/>
    <x v="2"/>
    <n v="2"/>
    <s v="College"/>
    <s v="Life Sciences"/>
    <n v="1322"/>
    <n v="1"/>
    <x v="2"/>
    <s v="Male"/>
    <n v="32"/>
    <n v="3"/>
    <s v="High"/>
    <n v="2"/>
    <x v="0"/>
    <x v="3"/>
    <n v="3"/>
    <s v="High"/>
    <x v="0"/>
    <n v="4534"/>
    <n v="13352"/>
    <n v="0"/>
    <x v="1"/>
    <n v="11"/>
    <n v="3"/>
    <s v="Excellent"/>
    <n v="1"/>
    <s v="Low"/>
    <n v="0"/>
    <n v="9"/>
    <n v="6"/>
    <n v="3"/>
    <s v="High"/>
    <n v="8"/>
    <n v="7"/>
    <n v="1"/>
    <n v="7"/>
  </r>
  <r>
    <n v="31"/>
    <x v="2"/>
    <x v="1"/>
    <x v="2"/>
    <n v="587"/>
    <x v="0"/>
    <n v="2"/>
    <x v="0"/>
    <n v="4"/>
    <s v="Master"/>
    <s v="Life Sciences"/>
    <n v="1324"/>
    <n v="4"/>
    <x v="3"/>
    <s v="Female"/>
    <n v="57"/>
    <n v="3"/>
    <s v="High"/>
    <n v="3"/>
    <x v="2"/>
    <x v="0"/>
    <n v="3"/>
    <s v="High"/>
    <x v="2"/>
    <n v="9852"/>
    <n v="8935"/>
    <n v="1"/>
    <x v="0"/>
    <n v="19"/>
    <n v="3"/>
    <s v="Excellent"/>
    <n v="1"/>
    <s v="Low"/>
    <n v="1"/>
    <n v="10"/>
    <n v="5"/>
    <n v="2"/>
    <s v="Medium"/>
    <n v="10"/>
    <n v="8"/>
    <n v="9"/>
    <n v="6"/>
  </r>
  <r>
    <n v="41"/>
    <x v="0"/>
    <x v="1"/>
    <x v="2"/>
    <n v="256"/>
    <x v="0"/>
    <n v="10"/>
    <x v="0"/>
    <n v="2"/>
    <s v="College"/>
    <s v="Medical"/>
    <n v="1329"/>
    <n v="3"/>
    <x v="1"/>
    <s v="Male"/>
    <n v="40"/>
    <n v="1"/>
    <s v="Low"/>
    <n v="2"/>
    <x v="0"/>
    <x v="0"/>
    <n v="2"/>
    <s v="Medium"/>
    <x v="0"/>
    <n v="6151"/>
    <n v="22074"/>
    <n v="1"/>
    <x v="1"/>
    <n v="13"/>
    <n v="3"/>
    <s v="Excellent"/>
    <n v="1"/>
    <s v="Low"/>
    <n v="0"/>
    <n v="19"/>
    <n v="4"/>
    <n v="3"/>
    <s v="High"/>
    <n v="19"/>
    <n v="2"/>
    <n v="11"/>
    <n v="9"/>
  </r>
  <r>
    <n v="31"/>
    <x v="2"/>
    <x v="0"/>
    <x v="1"/>
    <n v="1060"/>
    <x v="0"/>
    <n v="1"/>
    <x v="0"/>
    <n v="3"/>
    <s v="Bachelor"/>
    <s v="Life Sciences"/>
    <n v="1331"/>
    <n v="4"/>
    <x v="3"/>
    <s v="Female"/>
    <n v="54"/>
    <n v="3"/>
    <s v="High"/>
    <n v="1"/>
    <x v="1"/>
    <x v="6"/>
    <n v="2"/>
    <s v="Medium"/>
    <x v="0"/>
    <n v="2302"/>
    <n v="8319"/>
    <n v="1"/>
    <x v="0"/>
    <n v="11"/>
    <n v="3"/>
    <s v="Excellent"/>
    <n v="1"/>
    <s v="Low"/>
    <n v="0"/>
    <n v="3"/>
    <n v="2"/>
    <n v="4"/>
    <s v="Very High"/>
    <n v="3"/>
    <n v="2"/>
    <n v="2"/>
    <n v="2"/>
  </r>
  <r>
    <n v="44"/>
    <x v="0"/>
    <x v="0"/>
    <x v="0"/>
    <n v="935"/>
    <x v="1"/>
    <n v="3"/>
    <x v="0"/>
    <n v="3"/>
    <s v="Bachelor"/>
    <s v="Life Sciences"/>
    <n v="1333"/>
    <n v="1"/>
    <x v="2"/>
    <s v="Male"/>
    <n v="89"/>
    <n v="3"/>
    <s v="High"/>
    <n v="1"/>
    <x v="1"/>
    <x v="2"/>
    <n v="1"/>
    <s v="Low"/>
    <x v="1"/>
    <n v="2362"/>
    <n v="14669"/>
    <n v="4"/>
    <x v="1"/>
    <n v="12"/>
    <n v="3"/>
    <s v="Excellent"/>
    <n v="3"/>
    <s v="High"/>
    <n v="0"/>
    <n v="10"/>
    <n v="4"/>
    <n v="4"/>
    <s v="Very High"/>
    <n v="3"/>
    <n v="2"/>
    <n v="1"/>
    <n v="2"/>
  </r>
  <r>
    <n v="42"/>
    <x v="0"/>
    <x v="1"/>
    <x v="2"/>
    <n v="495"/>
    <x v="1"/>
    <n v="2"/>
    <x v="0"/>
    <n v="1"/>
    <s v="Below College"/>
    <s v="Life Sciences"/>
    <n v="1334"/>
    <n v="3"/>
    <x v="1"/>
    <s v="Male"/>
    <n v="37"/>
    <n v="3"/>
    <s v="High"/>
    <n v="4"/>
    <x v="3"/>
    <x v="5"/>
    <n v="3"/>
    <s v="High"/>
    <x v="1"/>
    <n v="17861"/>
    <n v="26582"/>
    <n v="0"/>
    <x v="0"/>
    <n v="13"/>
    <n v="3"/>
    <s v="Excellent"/>
    <n v="4"/>
    <s v="Very High"/>
    <n v="0"/>
    <n v="21"/>
    <n v="3"/>
    <n v="2"/>
    <s v="Medium"/>
    <n v="20"/>
    <n v="8"/>
    <n v="2"/>
    <n v="10"/>
  </r>
  <r>
    <n v="55"/>
    <x v="1"/>
    <x v="1"/>
    <x v="0"/>
    <n v="282"/>
    <x v="1"/>
    <n v="2"/>
    <x v="0"/>
    <n v="2"/>
    <s v="College"/>
    <s v="Medical"/>
    <n v="1336"/>
    <n v="4"/>
    <x v="3"/>
    <s v="Female"/>
    <n v="58"/>
    <n v="1"/>
    <s v="Low"/>
    <n v="5"/>
    <x v="4"/>
    <x v="5"/>
    <n v="3"/>
    <s v="High"/>
    <x v="1"/>
    <n v="19187"/>
    <n v="6992"/>
    <n v="4"/>
    <x v="1"/>
    <n v="14"/>
    <n v="3"/>
    <s v="Excellent"/>
    <n v="4"/>
    <s v="Very High"/>
    <n v="1"/>
    <n v="23"/>
    <n v="5"/>
    <n v="3"/>
    <s v="High"/>
    <n v="19"/>
    <n v="9"/>
    <n v="9"/>
    <n v="11"/>
  </r>
  <r>
    <n v="56"/>
    <x v="3"/>
    <x v="1"/>
    <x v="0"/>
    <n v="206"/>
    <x v="2"/>
    <n v="8"/>
    <x v="0"/>
    <n v="4"/>
    <s v="Master"/>
    <s v="Life Sciences"/>
    <n v="1338"/>
    <n v="4"/>
    <x v="3"/>
    <s v="Male"/>
    <n v="99"/>
    <n v="3"/>
    <s v="High"/>
    <n v="5"/>
    <x v="4"/>
    <x v="5"/>
    <n v="2"/>
    <s v="Medium"/>
    <x v="0"/>
    <n v="19717"/>
    <n v="4022"/>
    <n v="6"/>
    <x v="1"/>
    <n v="14"/>
    <n v="3"/>
    <s v="Excellent"/>
    <n v="1"/>
    <s v="Low"/>
    <n v="0"/>
    <n v="36"/>
    <n v="4"/>
    <n v="3"/>
    <s v="High"/>
    <n v="7"/>
    <n v="3"/>
    <n v="7"/>
    <n v="7"/>
  </r>
  <r>
    <n v="40"/>
    <x v="0"/>
    <x v="1"/>
    <x v="2"/>
    <n v="458"/>
    <x v="1"/>
    <n v="16"/>
    <x v="2"/>
    <n v="2"/>
    <s v="College"/>
    <s v="Life Sciences"/>
    <n v="1340"/>
    <n v="3"/>
    <x v="1"/>
    <s v="Male"/>
    <n v="74"/>
    <n v="3"/>
    <s v="High"/>
    <n v="1"/>
    <x v="1"/>
    <x v="1"/>
    <n v="3"/>
    <s v="High"/>
    <x v="2"/>
    <n v="3544"/>
    <n v="8532"/>
    <n v="9"/>
    <x v="1"/>
    <n v="16"/>
    <n v="3"/>
    <s v="Excellent"/>
    <n v="2"/>
    <s v="Medium"/>
    <n v="1"/>
    <n v="6"/>
    <n v="0"/>
    <n v="3"/>
    <s v="High"/>
    <n v="4"/>
    <n v="2"/>
    <n v="0"/>
    <n v="0"/>
  </r>
  <r>
    <n v="34"/>
    <x v="2"/>
    <x v="1"/>
    <x v="0"/>
    <n v="943"/>
    <x v="1"/>
    <n v="9"/>
    <x v="0"/>
    <n v="3"/>
    <s v="Bachelor"/>
    <s v="Life Sciences"/>
    <n v="1344"/>
    <n v="4"/>
    <x v="3"/>
    <s v="Male"/>
    <n v="86"/>
    <n v="3"/>
    <s v="High"/>
    <n v="3"/>
    <x v="2"/>
    <x v="4"/>
    <n v="4"/>
    <s v="Very High"/>
    <x v="2"/>
    <n v="8500"/>
    <n v="5494"/>
    <n v="0"/>
    <x v="1"/>
    <n v="11"/>
    <n v="3"/>
    <s v="Excellent"/>
    <n v="4"/>
    <s v="Very High"/>
    <n v="1"/>
    <n v="10"/>
    <n v="0"/>
    <n v="2"/>
    <s v="Medium"/>
    <n v="9"/>
    <n v="7"/>
    <n v="1"/>
    <n v="6"/>
  </r>
  <r>
    <n v="40"/>
    <x v="0"/>
    <x v="1"/>
    <x v="0"/>
    <n v="523"/>
    <x v="1"/>
    <n v="2"/>
    <x v="0"/>
    <n v="3"/>
    <s v="Bachelor"/>
    <s v="Life Sciences"/>
    <n v="1346"/>
    <n v="3"/>
    <x v="1"/>
    <s v="Male"/>
    <n v="98"/>
    <n v="3"/>
    <s v="High"/>
    <n v="2"/>
    <x v="0"/>
    <x v="1"/>
    <n v="4"/>
    <s v="Very High"/>
    <x v="0"/>
    <n v="4661"/>
    <n v="22455"/>
    <n v="1"/>
    <x v="1"/>
    <n v="13"/>
    <n v="3"/>
    <s v="Excellent"/>
    <n v="3"/>
    <s v="High"/>
    <n v="0"/>
    <n v="9"/>
    <n v="4"/>
    <n v="3"/>
    <s v="High"/>
    <n v="9"/>
    <n v="8"/>
    <n v="8"/>
    <n v="8"/>
  </r>
  <r>
    <n v="41"/>
    <x v="0"/>
    <x v="1"/>
    <x v="1"/>
    <n v="1018"/>
    <x v="0"/>
    <n v="1"/>
    <x v="0"/>
    <n v="3"/>
    <s v="Bachelor"/>
    <s v="Marketing"/>
    <n v="1349"/>
    <n v="3"/>
    <x v="1"/>
    <s v="Female"/>
    <n v="66"/>
    <n v="3"/>
    <s v="High"/>
    <n v="2"/>
    <x v="0"/>
    <x v="0"/>
    <n v="1"/>
    <s v="Low"/>
    <x v="2"/>
    <n v="4103"/>
    <n v="4297"/>
    <n v="0"/>
    <x v="1"/>
    <n v="17"/>
    <n v="3"/>
    <s v="Excellent"/>
    <n v="4"/>
    <s v="Very High"/>
    <n v="1"/>
    <n v="10"/>
    <n v="2"/>
    <n v="3"/>
    <s v="High"/>
    <n v="9"/>
    <n v="3"/>
    <n v="1"/>
    <n v="7"/>
  </r>
  <r>
    <n v="35"/>
    <x v="2"/>
    <x v="1"/>
    <x v="1"/>
    <n v="482"/>
    <x v="1"/>
    <n v="4"/>
    <x v="0"/>
    <n v="4"/>
    <s v="Master"/>
    <s v="Life Sciences"/>
    <n v="1350"/>
    <n v="3"/>
    <x v="1"/>
    <s v="Male"/>
    <n v="87"/>
    <n v="3"/>
    <s v="High"/>
    <n v="2"/>
    <x v="0"/>
    <x v="1"/>
    <n v="3"/>
    <s v="High"/>
    <x v="0"/>
    <n v="4249"/>
    <n v="2690"/>
    <n v="1"/>
    <x v="0"/>
    <n v="11"/>
    <n v="3"/>
    <s v="Excellent"/>
    <n v="2"/>
    <s v="Medium"/>
    <n v="0"/>
    <n v="9"/>
    <n v="3"/>
    <n v="3"/>
    <s v="High"/>
    <n v="9"/>
    <n v="6"/>
    <n v="1"/>
    <n v="1"/>
  </r>
  <r>
    <n v="51"/>
    <x v="1"/>
    <x v="1"/>
    <x v="0"/>
    <n v="770"/>
    <x v="2"/>
    <n v="5"/>
    <x v="0"/>
    <n v="3"/>
    <s v="Bachelor"/>
    <s v="Life Sciences"/>
    <n v="1352"/>
    <n v="3"/>
    <x v="1"/>
    <s v="Male"/>
    <n v="84"/>
    <n v="3"/>
    <s v="High"/>
    <n v="4"/>
    <x v="3"/>
    <x v="5"/>
    <n v="2"/>
    <s v="Medium"/>
    <x v="2"/>
    <n v="14026"/>
    <n v="17588"/>
    <n v="1"/>
    <x v="0"/>
    <n v="11"/>
    <n v="3"/>
    <s v="Excellent"/>
    <n v="2"/>
    <s v="Medium"/>
    <n v="1"/>
    <n v="33"/>
    <n v="2"/>
    <n v="3"/>
    <s v="High"/>
    <n v="33"/>
    <n v="9"/>
    <n v="0"/>
    <n v="10"/>
  </r>
  <r>
    <n v="38"/>
    <x v="0"/>
    <x v="1"/>
    <x v="0"/>
    <n v="1009"/>
    <x v="0"/>
    <n v="2"/>
    <x v="0"/>
    <n v="2"/>
    <s v="College"/>
    <s v="Life Sciences"/>
    <n v="1355"/>
    <n v="2"/>
    <x v="0"/>
    <s v="Female"/>
    <n v="31"/>
    <n v="3"/>
    <s v="High"/>
    <n v="2"/>
    <x v="0"/>
    <x v="0"/>
    <n v="1"/>
    <s v="Low"/>
    <x v="2"/>
    <n v="6893"/>
    <n v="19461"/>
    <n v="3"/>
    <x v="1"/>
    <n v="15"/>
    <n v="3"/>
    <s v="Excellent"/>
    <n v="4"/>
    <s v="Very High"/>
    <n v="1"/>
    <n v="11"/>
    <n v="3"/>
    <n v="3"/>
    <s v="High"/>
    <n v="7"/>
    <n v="7"/>
    <n v="1"/>
    <n v="7"/>
  </r>
  <r>
    <n v="34"/>
    <x v="2"/>
    <x v="1"/>
    <x v="0"/>
    <n v="507"/>
    <x v="0"/>
    <n v="15"/>
    <x v="2"/>
    <n v="2"/>
    <s v="College"/>
    <s v="Medical"/>
    <n v="1356"/>
    <n v="3"/>
    <x v="1"/>
    <s v="Female"/>
    <n v="66"/>
    <n v="3"/>
    <s v="High"/>
    <n v="2"/>
    <x v="0"/>
    <x v="0"/>
    <n v="1"/>
    <s v="Low"/>
    <x v="0"/>
    <n v="6125"/>
    <n v="23553"/>
    <n v="1"/>
    <x v="1"/>
    <n v="12"/>
    <n v="3"/>
    <s v="Excellent"/>
    <n v="4"/>
    <s v="Very High"/>
    <n v="0"/>
    <n v="10"/>
    <n v="6"/>
    <n v="4"/>
    <s v="Very High"/>
    <n v="10"/>
    <n v="8"/>
    <n v="9"/>
    <n v="6"/>
  </r>
  <r>
    <n v="25"/>
    <x v="4"/>
    <x v="1"/>
    <x v="0"/>
    <n v="882"/>
    <x v="1"/>
    <n v="19"/>
    <x v="2"/>
    <n v="1"/>
    <s v="Below College"/>
    <s v="Medical"/>
    <n v="1358"/>
    <n v="4"/>
    <x v="3"/>
    <s v="Male"/>
    <n v="67"/>
    <n v="3"/>
    <s v="High"/>
    <n v="1"/>
    <x v="1"/>
    <x v="2"/>
    <n v="4"/>
    <s v="Very High"/>
    <x v="1"/>
    <n v="3669"/>
    <n v="9075"/>
    <n v="3"/>
    <x v="1"/>
    <n v="11"/>
    <n v="3"/>
    <s v="Excellent"/>
    <n v="3"/>
    <s v="High"/>
    <n v="3"/>
    <n v="7"/>
    <n v="6"/>
    <n v="2"/>
    <s v="Medium"/>
    <n v="3"/>
    <n v="2"/>
    <n v="1"/>
    <n v="2"/>
  </r>
  <r>
    <n v="58"/>
    <x v="3"/>
    <x v="0"/>
    <x v="0"/>
    <n v="601"/>
    <x v="1"/>
    <n v="7"/>
    <x v="0"/>
    <n v="4"/>
    <s v="Master"/>
    <s v="Medical"/>
    <n v="1360"/>
    <n v="3"/>
    <x v="1"/>
    <s v="Female"/>
    <n v="53"/>
    <n v="2"/>
    <s v="Medium"/>
    <n v="3"/>
    <x v="2"/>
    <x v="3"/>
    <n v="1"/>
    <s v="Low"/>
    <x v="1"/>
    <n v="10008"/>
    <n v="12023"/>
    <n v="7"/>
    <x v="0"/>
    <n v="14"/>
    <n v="3"/>
    <s v="Excellent"/>
    <n v="4"/>
    <s v="Very High"/>
    <n v="0"/>
    <n v="31"/>
    <n v="0"/>
    <n v="2"/>
    <s v="Medium"/>
    <n v="10"/>
    <n v="9"/>
    <n v="5"/>
    <n v="9"/>
  </r>
  <r>
    <n v="40"/>
    <x v="0"/>
    <x v="1"/>
    <x v="0"/>
    <n v="329"/>
    <x v="1"/>
    <n v="1"/>
    <x v="0"/>
    <n v="4"/>
    <s v="Master"/>
    <s v="Life Sciences"/>
    <n v="1361"/>
    <n v="2"/>
    <x v="0"/>
    <s v="Male"/>
    <n v="88"/>
    <n v="3"/>
    <s v="High"/>
    <n v="1"/>
    <x v="1"/>
    <x v="2"/>
    <n v="2"/>
    <s v="Medium"/>
    <x v="1"/>
    <n v="2387"/>
    <n v="6762"/>
    <n v="3"/>
    <x v="1"/>
    <n v="22"/>
    <n v="4"/>
    <s v="Outstanding"/>
    <n v="3"/>
    <s v="High"/>
    <n v="1"/>
    <n v="7"/>
    <n v="3"/>
    <n v="3"/>
    <s v="High"/>
    <n v="4"/>
    <n v="2"/>
    <n v="0"/>
    <n v="3"/>
  </r>
  <r>
    <n v="36"/>
    <x v="0"/>
    <x v="1"/>
    <x v="1"/>
    <n v="607"/>
    <x v="0"/>
    <n v="7"/>
    <x v="0"/>
    <n v="3"/>
    <s v="Bachelor"/>
    <s v="Marketing"/>
    <n v="1362"/>
    <n v="1"/>
    <x v="2"/>
    <s v="Female"/>
    <n v="83"/>
    <n v="4"/>
    <s v="Very High"/>
    <n v="2"/>
    <x v="0"/>
    <x v="0"/>
    <n v="1"/>
    <s v="Low"/>
    <x v="1"/>
    <n v="4639"/>
    <n v="2261"/>
    <n v="2"/>
    <x v="1"/>
    <n v="16"/>
    <n v="3"/>
    <s v="Excellent"/>
    <n v="4"/>
    <s v="Very High"/>
    <n v="1"/>
    <n v="17"/>
    <n v="2"/>
    <n v="2"/>
    <s v="Medium"/>
    <n v="15"/>
    <n v="7"/>
    <n v="6"/>
    <n v="13"/>
  </r>
  <r>
    <n v="48"/>
    <x v="1"/>
    <x v="1"/>
    <x v="0"/>
    <n v="855"/>
    <x v="1"/>
    <n v="4"/>
    <x v="0"/>
    <n v="3"/>
    <s v="Bachelor"/>
    <s v="Life Sciences"/>
    <n v="1363"/>
    <n v="4"/>
    <x v="3"/>
    <s v="Male"/>
    <n v="54"/>
    <n v="3"/>
    <s v="High"/>
    <n v="3"/>
    <x v="2"/>
    <x v="3"/>
    <n v="4"/>
    <s v="Very High"/>
    <x v="0"/>
    <n v="7898"/>
    <n v="18706"/>
    <n v="1"/>
    <x v="1"/>
    <n v="11"/>
    <n v="3"/>
    <s v="Excellent"/>
    <n v="3"/>
    <s v="High"/>
    <n v="0"/>
    <n v="11"/>
    <n v="2"/>
    <n v="3"/>
    <s v="High"/>
    <n v="10"/>
    <n v="9"/>
    <n v="0"/>
    <n v="8"/>
  </r>
  <r>
    <n v="27"/>
    <x v="2"/>
    <x v="1"/>
    <x v="0"/>
    <n v="1291"/>
    <x v="0"/>
    <n v="11"/>
    <x v="2"/>
    <n v="3"/>
    <s v="Bachelor"/>
    <s v="Medical"/>
    <n v="1364"/>
    <n v="3"/>
    <x v="1"/>
    <s v="Female"/>
    <n v="98"/>
    <n v="4"/>
    <s v="Very High"/>
    <n v="1"/>
    <x v="1"/>
    <x v="6"/>
    <n v="4"/>
    <s v="Very High"/>
    <x v="1"/>
    <n v="2534"/>
    <n v="6527"/>
    <n v="8"/>
    <x v="1"/>
    <n v="14"/>
    <n v="3"/>
    <s v="Excellent"/>
    <n v="2"/>
    <s v="Medium"/>
    <n v="1"/>
    <n v="5"/>
    <n v="4"/>
    <n v="3"/>
    <s v="High"/>
    <n v="1"/>
    <n v="0"/>
    <n v="0"/>
    <n v="0"/>
  </r>
  <r>
    <n v="51"/>
    <x v="1"/>
    <x v="1"/>
    <x v="0"/>
    <n v="1405"/>
    <x v="1"/>
    <n v="11"/>
    <x v="2"/>
    <n v="2"/>
    <s v="College"/>
    <s v="Technical Degree"/>
    <n v="1367"/>
    <n v="4"/>
    <x v="3"/>
    <s v="Female"/>
    <n v="82"/>
    <n v="2"/>
    <s v="Medium"/>
    <n v="4"/>
    <x v="3"/>
    <x v="3"/>
    <n v="2"/>
    <s v="Medium"/>
    <x v="0"/>
    <n v="13142"/>
    <n v="24439"/>
    <n v="3"/>
    <x v="1"/>
    <n v="16"/>
    <n v="3"/>
    <s v="Excellent"/>
    <n v="2"/>
    <s v="Medium"/>
    <n v="0"/>
    <n v="29"/>
    <n v="1"/>
    <n v="2"/>
    <s v="Medium"/>
    <n v="5"/>
    <n v="2"/>
    <n v="0"/>
    <n v="3"/>
  </r>
  <r>
    <n v="18"/>
    <x v="4"/>
    <x v="1"/>
    <x v="2"/>
    <n v="1124"/>
    <x v="1"/>
    <n v="1"/>
    <x v="0"/>
    <n v="3"/>
    <s v="Bachelor"/>
    <s v="Life Sciences"/>
    <n v="1368"/>
    <n v="4"/>
    <x v="3"/>
    <s v="Female"/>
    <n v="97"/>
    <n v="3"/>
    <s v="High"/>
    <n v="1"/>
    <x v="1"/>
    <x v="2"/>
    <n v="4"/>
    <s v="Very High"/>
    <x v="0"/>
    <n v="1611"/>
    <n v="19305"/>
    <n v="1"/>
    <x v="1"/>
    <n v="15"/>
    <n v="3"/>
    <s v="Excellent"/>
    <n v="3"/>
    <s v="High"/>
    <n v="0"/>
    <n v="0"/>
    <n v="5"/>
    <n v="4"/>
    <s v="Very High"/>
    <n v="0"/>
    <n v="0"/>
    <n v="0"/>
    <n v="0"/>
  </r>
  <r>
    <n v="35"/>
    <x v="2"/>
    <x v="1"/>
    <x v="0"/>
    <n v="817"/>
    <x v="1"/>
    <n v="1"/>
    <x v="0"/>
    <n v="3"/>
    <s v="Bachelor"/>
    <s v="Medical"/>
    <n v="1369"/>
    <n v="4"/>
    <x v="3"/>
    <s v="Female"/>
    <n v="60"/>
    <n v="2"/>
    <s v="Medium"/>
    <n v="2"/>
    <x v="0"/>
    <x v="2"/>
    <n v="4"/>
    <s v="Very High"/>
    <x v="1"/>
    <n v="5363"/>
    <n v="10846"/>
    <n v="0"/>
    <x v="1"/>
    <n v="12"/>
    <n v="3"/>
    <s v="Excellent"/>
    <n v="2"/>
    <s v="Medium"/>
    <n v="1"/>
    <n v="10"/>
    <n v="0"/>
    <n v="3"/>
    <s v="High"/>
    <n v="9"/>
    <n v="7"/>
    <n v="0"/>
    <n v="0"/>
  </r>
  <r>
    <n v="27"/>
    <x v="2"/>
    <x v="1"/>
    <x v="1"/>
    <n v="793"/>
    <x v="0"/>
    <n v="2"/>
    <x v="0"/>
    <n v="1"/>
    <s v="Below College"/>
    <s v="Life Sciences"/>
    <n v="1371"/>
    <n v="4"/>
    <x v="3"/>
    <s v="Male"/>
    <n v="43"/>
    <n v="1"/>
    <s v="Low"/>
    <n v="2"/>
    <x v="0"/>
    <x v="0"/>
    <n v="4"/>
    <s v="Very High"/>
    <x v="0"/>
    <n v="5071"/>
    <n v="20392"/>
    <n v="3"/>
    <x v="1"/>
    <n v="20"/>
    <n v="4"/>
    <s v="Outstanding"/>
    <n v="2"/>
    <s v="Medium"/>
    <n v="0"/>
    <n v="8"/>
    <n v="3"/>
    <n v="3"/>
    <s v="High"/>
    <n v="6"/>
    <n v="2"/>
    <n v="0"/>
    <n v="0"/>
  </r>
  <r>
    <n v="55"/>
    <x v="1"/>
    <x v="0"/>
    <x v="0"/>
    <n v="267"/>
    <x v="0"/>
    <n v="13"/>
    <x v="2"/>
    <n v="4"/>
    <s v="Master"/>
    <s v="Marketing"/>
    <n v="1372"/>
    <n v="1"/>
    <x v="2"/>
    <s v="Male"/>
    <n v="85"/>
    <n v="4"/>
    <s v="Very High"/>
    <n v="4"/>
    <x v="3"/>
    <x v="0"/>
    <n v="3"/>
    <s v="High"/>
    <x v="0"/>
    <n v="13695"/>
    <n v="9277"/>
    <n v="6"/>
    <x v="0"/>
    <n v="17"/>
    <n v="3"/>
    <s v="Excellent"/>
    <n v="3"/>
    <s v="High"/>
    <n v="0"/>
    <n v="24"/>
    <n v="2"/>
    <n v="2"/>
    <s v="Medium"/>
    <n v="19"/>
    <n v="7"/>
    <n v="3"/>
    <n v="8"/>
  </r>
  <r>
    <n v="56"/>
    <x v="3"/>
    <x v="1"/>
    <x v="0"/>
    <n v="1369"/>
    <x v="1"/>
    <n v="23"/>
    <x v="1"/>
    <n v="3"/>
    <s v="Bachelor"/>
    <s v="Life Sciences"/>
    <n v="1373"/>
    <n v="4"/>
    <x v="3"/>
    <s v="Male"/>
    <n v="68"/>
    <n v="3"/>
    <s v="High"/>
    <n v="4"/>
    <x v="3"/>
    <x v="3"/>
    <n v="2"/>
    <s v="Medium"/>
    <x v="1"/>
    <n v="13402"/>
    <n v="18235"/>
    <n v="4"/>
    <x v="0"/>
    <n v="12"/>
    <n v="3"/>
    <s v="Excellent"/>
    <n v="1"/>
    <s v="Low"/>
    <n v="1"/>
    <n v="33"/>
    <n v="0"/>
    <n v="3"/>
    <s v="High"/>
    <n v="19"/>
    <n v="16"/>
    <n v="15"/>
    <n v="9"/>
  </r>
  <r>
    <n v="34"/>
    <x v="2"/>
    <x v="1"/>
    <x v="2"/>
    <n v="999"/>
    <x v="1"/>
    <n v="26"/>
    <x v="1"/>
    <n v="1"/>
    <s v="Below College"/>
    <s v="Technical Degree"/>
    <n v="1374"/>
    <n v="1"/>
    <x v="2"/>
    <s v="Female"/>
    <n v="92"/>
    <n v="2"/>
    <s v="Medium"/>
    <n v="1"/>
    <x v="1"/>
    <x v="1"/>
    <n v="3"/>
    <s v="High"/>
    <x v="2"/>
    <n v="2029"/>
    <n v="15891"/>
    <n v="1"/>
    <x v="1"/>
    <n v="20"/>
    <n v="4"/>
    <s v="Outstanding"/>
    <n v="3"/>
    <s v="High"/>
    <n v="3"/>
    <n v="5"/>
    <n v="2"/>
    <n v="3"/>
    <s v="High"/>
    <n v="5"/>
    <n v="4"/>
    <n v="0"/>
    <n v="0"/>
  </r>
  <r>
    <n v="40"/>
    <x v="0"/>
    <x v="1"/>
    <x v="0"/>
    <n v="1202"/>
    <x v="1"/>
    <n v="2"/>
    <x v="0"/>
    <n v="1"/>
    <s v="Below College"/>
    <s v="Medical"/>
    <n v="1375"/>
    <n v="2"/>
    <x v="0"/>
    <s v="Female"/>
    <n v="89"/>
    <n v="4"/>
    <s v="Very High"/>
    <n v="2"/>
    <x v="0"/>
    <x v="4"/>
    <n v="3"/>
    <s v="High"/>
    <x v="2"/>
    <n v="6377"/>
    <n v="13888"/>
    <n v="5"/>
    <x v="1"/>
    <n v="20"/>
    <n v="4"/>
    <s v="Outstanding"/>
    <n v="2"/>
    <s v="Medium"/>
    <n v="3"/>
    <n v="15"/>
    <n v="0"/>
    <n v="3"/>
    <s v="High"/>
    <n v="12"/>
    <n v="11"/>
    <n v="11"/>
    <n v="8"/>
  </r>
  <r>
    <n v="34"/>
    <x v="2"/>
    <x v="1"/>
    <x v="0"/>
    <n v="285"/>
    <x v="1"/>
    <n v="29"/>
    <x v="1"/>
    <n v="3"/>
    <s v="Bachelor"/>
    <s v="Medical"/>
    <n v="1377"/>
    <n v="2"/>
    <x v="0"/>
    <s v="Male"/>
    <n v="86"/>
    <n v="3"/>
    <s v="High"/>
    <n v="2"/>
    <x v="0"/>
    <x v="2"/>
    <n v="3"/>
    <s v="High"/>
    <x v="1"/>
    <n v="5429"/>
    <n v="17491"/>
    <n v="4"/>
    <x v="1"/>
    <n v="13"/>
    <n v="3"/>
    <s v="Excellent"/>
    <n v="1"/>
    <s v="Low"/>
    <n v="2"/>
    <n v="10"/>
    <n v="1"/>
    <n v="3"/>
    <s v="High"/>
    <n v="8"/>
    <n v="7"/>
    <n v="7"/>
    <n v="7"/>
  </r>
  <r>
    <n v="31"/>
    <x v="2"/>
    <x v="0"/>
    <x v="1"/>
    <n v="703"/>
    <x v="0"/>
    <n v="2"/>
    <x v="0"/>
    <n v="3"/>
    <s v="Bachelor"/>
    <s v="Life Sciences"/>
    <n v="1379"/>
    <n v="3"/>
    <x v="1"/>
    <s v="Female"/>
    <n v="90"/>
    <n v="2"/>
    <s v="Medium"/>
    <n v="1"/>
    <x v="1"/>
    <x v="6"/>
    <n v="4"/>
    <s v="Very High"/>
    <x v="0"/>
    <n v="2785"/>
    <n v="11882"/>
    <n v="7"/>
    <x v="1"/>
    <n v="14"/>
    <n v="3"/>
    <s v="Excellent"/>
    <n v="3"/>
    <s v="High"/>
    <n v="0"/>
    <n v="3"/>
    <n v="3"/>
    <n v="4"/>
    <s v="Very High"/>
    <n v="1"/>
    <n v="0"/>
    <n v="0"/>
    <n v="0"/>
  </r>
  <r>
    <n v="35"/>
    <x v="2"/>
    <x v="0"/>
    <x v="1"/>
    <n v="662"/>
    <x v="0"/>
    <n v="18"/>
    <x v="2"/>
    <n v="4"/>
    <s v="Master"/>
    <s v="Marketing"/>
    <n v="1380"/>
    <n v="4"/>
    <x v="3"/>
    <s v="Female"/>
    <n v="67"/>
    <n v="3"/>
    <s v="High"/>
    <n v="2"/>
    <x v="0"/>
    <x v="0"/>
    <n v="3"/>
    <s v="High"/>
    <x v="1"/>
    <n v="4614"/>
    <n v="23288"/>
    <n v="0"/>
    <x v="0"/>
    <n v="18"/>
    <n v="3"/>
    <s v="Excellent"/>
    <n v="3"/>
    <s v="High"/>
    <n v="1"/>
    <n v="5"/>
    <n v="0"/>
    <n v="2"/>
    <s v="Medium"/>
    <n v="4"/>
    <n v="2"/>
    <n v="3"/>
    <n v="2"/>
  </r>
  <r>
    <n v="38"/>
    <x v="0"/>
    <x v="1"/>
    <x v="1"/>
    <n v="693"/>
    <x v="1"/>
    <n v="7"/>
    <x v="0"/>
    <n v="3"/>
    <s v="Bachelor"/>
    <s v="Life Sciences"/>
    <n v="1382"/>
    <n v="4"/>
    <x v="3"/>
    <s v="Male"/>
    <n v="57"/>
    <n v="4"/>
    <s v="Very High"/>
    <n v="1"/>
    <x v="1"/>
    <x v="1"/>
    <n v="3"/>
    <s v="High"/>
    <x v="2"/>
    <n v="2610"/>
    <n v="15748"/>
    <n v="1"/>
    <x v="1"/>
    <n v="11"/>
    <n v="3"/>
    <s v="Excellent"/>
    <n v="4"/>
    <s v="Very High"/>
    <n v="3"/>
    <n v="4"/>
    <n v="2"/>
    <n v="3"/>
    <s v="High"/>
    <n v="4"/>
    <n v="2"/>
    <n v="0"/>
    <n v="3"/>
  </r>
  <r>
    <n v="34"/>
    <x v="2"/>
    <x v="1"/>
    <x v="0"/>
    <n v="404"/>
    <x v="1"/>
    <n v="2"/>
    <x v="0"/>
    <n v="4"/>
    <s v="Master"/>
    <s v="Technical Degree"/>
    <n v="1383"/>
    <n v="3"/>
    <x v="1"/>
    <s v="Female"/>
    <n v="98"/>
    <n v="3"/>
    <s v="High"/>
    <n v="2"/>
    <x v="0"/>
    <x v="4"/>
    <n v="4"/>
    <s v="Very High"/>
    <x v="0"/>
    <n v="6687"/>
    <n v="6163"/>
    <n v="1"/>
    <x v="1"/>
    <n v="11"/>
    <n v="3"/>
    <s v="Excellent"/>
    <n v="4"/>
    <s v="Very High"/>
    <n v="0"/>
    <n v="14"/>
    <n v="2"/>
    <n v="4"/>
    <s v="Very High"/>
    <n v="14"/>
    <n v="11"/>
    <n v="4"/>
    <n v="11"/>
  </r>
  <r>
    <n v="28"/>
    <x v="2"/>
    <x v="1"/>
    <x v="0"/>
    <n v="736"/>
    <x v="0"/>
    <n v="26"/>
    <x v="1"/>
    <n v="3"/>
    <s v="Bachelor"/>
    <s v="Life Sciences"/>
    <n v="1387"/>
    <n v="3"/>
    <x v="1"/>
    <s v="Male"/>
    <n v="48"/>
    <n v="2"/>
    <s v="Medium"/>
    <n v="2"/>
    <x v="0"/>
    <x v="0"/>
    <n v="1"/>
    <s v="Low"/>
    <x v="1"/>
    <n v="4724"/>
    <n v="24232"/>
    <n v="1"/>
    <x v="1"/>
    <n v="11"/>
    <n v="3"/>
    <s v="Excellent"/>
    <n v="3"/>
    <s v="High"/>
    <n v="1"/>
    <n v="5"/>
    <n v="0"/>
    <n v="3"/>
    <s v="High"/>
    <n v="5"/>
    <n v="3"/>
    <n v="0"/>
    <n v="4"/>
  </r>
  <r>
    <n v="31"/>
    <x v="2"/>
    <x v="0"/>
    <x v="0"/>
    <n v="330"/>
    <x v="1"/>
    <n v="22"/>
    <x v="1"/>
    <n v="4"/>
    <s v="Master"/>
    <s v="Medical"/>
    <n v="1389"/>
    <n v="4"/>
    <x v="3"/>
    <s v="Male"/>
    <n v="98"/>
    <n v="3"/>
    <s v="High"/>
    <n v="2"/>
    <x v="0"/>
    <x v="3"/>
    <n v="3"/>
    <s v="High"/>
    <x v="1"/>
    <n v="6179"/>
    <n v="21057"/>
    <n v="1"/>
    <x v="0"/>
    <n v="15"/>
    <n v="3"/>
    <s v="Excellent"/>
    <n v="4"/>
    <s v="Very High"/>
    <n v="2"/>
    <n v="10"/>
    <n v="3"/>
    <n v="2"/>
    <s v="Medium"/>
    <n v="10"/>
    <n v="2"/>
    <n v="6"/>
    <n v="7"/>
  </r>
  <r>
    <n v="39"/>
    <x v="0"/>
    <x v="1"/>
    <x v="0"/>
    <n v="1498"/>
    <x v="0"/>
    <n v="21"/>
    <x v="1"/>
    <n v="4"/>
    <s v="Master"/>
    <s v="Life Sciences"/>
    <n v="1390"/>
    <n v="1"/>
    <x v="2"/>
    <s v="Male"/>
    <n v="44"/>
    <n v="2"/>
    <s v="Medium"/>
    <n v="2"/>
    <x v="0"/>
    <x v="0"/>
    <n v="4"/>
    <s v="Very High"/>
    <x v="1"/>
    <n v="6120"/>
    <n v="3567"/>
    <n v="3"/>
    <x v="0"/>
    <n v="12"/>
    <n v="3"/>
    <s v="Excellent"/>
    <n v="4"/>
    <s v="Very High"/>
    <n v="2"/>
    <n v="8"/>
    <n v="2"/>
    <n v="4"/>
    <s v="Very High"/>
    <n v="5"/>
    <n v="4"/>
    <n v="1"/>
    <n v="4"/>
  </r>
  <r>
    <n v="51"/>
    <x v="1"/>
    <x v="1"/>
    <x v="1"/>
    <n v="541"/>
    <x v="0"/>
    <n v="2"/>
    <x v="0"/>
    <n v="3"/>
    <s v="Bachelor"/>
    <s v="Marketing"/>
    <n v="1391"/>
    <n v="2"/>
    <x v="0"/>
    <s v="Male"/>
    <n v="52"/>
    <n v="3"/>
    <s v="High"/>
    <n v="3"/>
    <x v="2"/>
    <x v="0"/>
    <n v="2"/>
    <s v="Medium"/>
    <x v="1"/>
    <n v="10596"/>
    <n v="15395"/>
    <n v="2"/>
    <x v="1"/>
    <n v="11"/>
    <n v="3"/>
    <s v="Excellent"/>
    <n v="2"/>
    <s v="Medium"/>
    <n v="0"/>
    <n v="14"/>
    <n v="5"/>
    <n v="3"/>
    <s v="High"/>
    <n v="4"/>
    <n v="2"/>
    <n v="3"/>
    <n v="2"/>
  </r>
  <r>
    <n v="41"/>
    <x v="0"/>
    <x v="1"/>
    <x v="1"/>
    <n v="1200"/>
    <x v="1"/>
    <n v="22"/>
    <x v="1"/>
    <n v="3"/>
    <s v="Bachelor"/>
    <s v="Life Sciences"/>
    <n v="1392"/>
    <n v="4"/>
    <x v="3"/>
    <s v="Female"/>
    <n v="75"/>
    <n v="3"/>
    <s v="High"/>
    <n v="2"/>
    <x v="0"/>
    <x v="1"/>
    <n v="4"/>
    <s v="Very High"/>
    <x v="2"/>
    <n v="5467"/>
    <n v="13953"/>
    <n v="3"/>
    <x v="0"/>
    <n v="14"/>
    <n v="3"/>
    <s v="Excellent"/>
    <n v="1"/>
    <s v="Low"/>
    <n v="2"/>
    <n v="12"/>
    <n v="4"/>
    <n v="2"/>
    <s v="Medium"/>
    <n v="6"/>
    <n v="2"/>
    <n v="3"/>
    <n v="3"/>
  </r>
  <r>
    <n v="37"/>
    <x v="0"/>
    <x v="1"/>
    <x v="0"/>
    <n v="1439"/>
    <x v="1"/>
    <n v="4"/>
    <x v="0"/>
    <n v="1"/>
    <s v="Below College"/>
    <s v="Life Sciences"/>
    <n v="1394"/>
    <n v="3"/>
    <x v="1"/>
    <s v="Male"/>
    <n v="54"/>
    <n v="3"/>
    <s v="High"/>
    <n v="1"/>
    <x v="1"/>
    <x v="1"/>
    <n v="3"/>
    <s v="High"/>
    <x v="1"/>
    <n v="2996"/>
    <n v="5182"/>
    <n v="7"/>
    <x v="0"/>
    <n v="15"/>
    <n v="3"/>
    <s v="Excellent"/>
    <n v="4"/>
    <s v="Very High"/>
    <n v="0"/>
    <n v="8"/>
    <n v="2"/>
    <n v="3"/>
    <s v="High"/>
    <n v="6"/>
    <n v="4"/>
    <n v="1"/>
    <n v="3"/>
  </r>
  <r>
    <n v="33"/>
    <x v="2"/>
    <x v="1"/>
    <x v="1"/>
    <n v="1111"/>
    <x v="0"/>
    <n v="5"/>
    <x v="0"/>
    <n v="1"/>
    <s v="Below College"/>
    <s v="Life Sciences"/>
    <n v="1395"/>
    <n v="2"/>
    <x v="0"/>
    <s v="Male"/>
    <n v="61"/>
    <n v="3"/>
    <s v="High"/>
    <n v="2"/>
    <x v="0"/>
    <x v="0"/>
    <n v="4"/>
    <s v="Very High"/>
    <x v="1"/>
    <n v="9998"/>
    <n v="19293"/>
    <n v="6"/>
    <x v="1"/>
    <n v="13"/>
    <n v="3"/>
    <s v="Excellent"/>
    <n v="1"/>
    <s v="Low"/>
    <n v="0"/>
    <n v="8"/>
    <n v="2"/>
    <n v="4"/>
    <s v="Very High"/>
    <n v="5"/>
    <n v="4"/>
    <n v="1"/>
    <n v="2"/>
  </r>
  <r>
    <n v="32"/>
    <x v="2"/>
    <x v="1"/>
    <x v="0"/>
    <n v="499"/>
    <x v="0"/>
    <n v="2"/>
    <x v="0"/>
    <n v="1"/>
    <s v="Below College"/>
    <s v="Marketing"/>
    <n v="1396"/>
    <n v="3"/>
    <x v="1"/>
    <s v="Male"/>
    <n v="36"/>
    <n v="3"/>
    <s v="High"/>
    <n v="2"/>
    <x v="0"/>
    <x v="0"/>
    <n v="2"/>
    <s v="Medium"/>
    <x v="1"/>
    <n v="4078"/>
    <n v="20497"/>
    <n v="0"/>
    <x v="0"/>
    <n v="13"/>
    <n v="3"/>
    <s v="Excellent"/>
    <n v="1"/>
    <s v="Low"/>
    <n v="3"/>
    <n v="4"/>
    <n v="3"/>
    <n v="2"/>
    <s v="Medium"/>
    <n v="3"/>
    <n v="2"/>
    <n v="1"/>
    <n v="2"/>
  </r>
  <r>
    <n v="39"/>
    <x v="0"/>
    <x v="1"/>
    <x v="2"/>
    <n v="1485"/>
    <x v="1"/>
    <n v="25"/>
    <x v="1"/>
    <n v="2"/>
    <s v="College"/>
    <s v="Life Sciences"/>
    <n v="1397"/>
    <n v="3"/>
    <x v="1"/>
    <s v="Male"/>
    <n v="71"/>
    <n v="3"/>
    <s v="High"/>
    <n v="3"/>
    <x v="2"/>
    <x v="4"/>
    <n v="3"/>
    <s v="High"/>
    <x v="1"/>
    <n v="10920"/>
    <n v="3449"/>
    <n v="3"/>
    <x v="1"/>
    <n v="21"/>
    <n v="4"/>
    <s v="Outstanding"/>
    <n v="2"/>
    <s v="Medium"/>
    <n v="1"/>
    <n v="13"/>
    <n v="2"/>
    <n v="3"/>
    <s v="High"/>
    <n v="6"/>
    <n v="4"/>
    <n v="0"/>
    <n v="5"/>
  </r>
  <r>
    <n v="25"/>
    <x v="4"/>
    <x v="1"/>
    <x v="0"/>
    <n v="1372"/>
    <x v="0"/>
    <n v="18"/>
    <x v="2"/>
    <n v="1"/>
    <s v="Below College"/>
    <s v="Life Sciences"/>
    <n v="1399"/>
    <n v="1"/>
    <x v="2"/>
    <s v="Male"/>
    <n v="93"/>
    <n v="4"/>
    <s v="Very High"/>
    <n v="2"/>
    <x v="0"/>
    <x v="0"/>
    <n v="3"/>
    <s v="High"/>
    <x v="1"/>
    <n v="6232"/>
    <n v="12477"/>
    <n v="2"/>
    <x v="1"/>
    <n v="11"/>
    <n v="3"/>
    <s v="Excellent"/>
    <n v="2"/>
    <s v="Medium"/>
    <n v="0"/>
    <n v="6"/>
    <n v="3"/>
    <n v="2"/>
    <s v="Medium"/>
    <n v="3"/>
    <n v="2"/>
    <n v="1"/>
    <n v="2"/>
  </r>
  <r>
    <n v="52"/>
    <x v="1"/>
    <x v="1"/>
    <x v="1"/>
    <n v="322"/>
    <x v="1"/>
    <n v="28"/>
    <x v="1"/>
    <n v="2"/>
    <s v="College"/>
    <s v="Medical"/>
    <n v="1401"/>
    <n v="4"/>
    <x v="3"/>
    <s v="Female"/>
    <n v="59"/>
    <n v="4"/>
    <s v="Very High"/>
    <n v="4"/>
    <x v="3"/>
    <x v="3"/>
    <n v="3"/>
    <s v="High"/>
    <x v="1"/>
    <n v="13247"/>
    <n v="9731"/>
    <n v="2"/>
    <x v="0"/>
    <n v="11"/>
    <n v="3"/>
    <s v="Excellent"/>
    <n v="2"/>
    <s v="Medium"/>
    <n v="1"/>
    <n v="24"/>
    <n v="3"/>
    <n v="2"/>
    <s v="Medium"/>
    <n v="5"/>
    <n v="3"/>
    <n v="0"/>
    <n v="2"/>
  </r>
  <r>
    <n v="43"/>
    <x v="0"/>
    <x v="1"/>
    <x v="0"/>
    <n v="930"/>
    <x v="1"/>
    <n v="6"/>
    <x v="0"/>
    <n v="3"/>
    <s v="Bachelor"/>
    <s v="Medical"/>
    <n v="1402"/>
    <n v="1"/>
    <x v="2"/>
    <s v="Female"/>
    <n v="73"/>
    <n v="2"/>
    <s v="Medium"/>
    <n v="2"/>
    <x v="0"/>
    <x v="1"/>
    <n v="3"/>
    <s v="High"/>
    <x v="0"/>
    <n v="4081"/>
    <n v="20003"/>
    <n v="1"/>
    <x v="0"/>
    <n v="14"/>
    <n v="3"/>
    <s v="Excellent"/>
    <n v="1"/>
    <s v="Low"/>
    <n v="0"/>
    <n v="20"/>
    <n v="3"/>
    <n v="1"/>
    <s v="Low"/>
    <n v="20"/>
    <n v="7"/>
    <n v="1"/>
    <n v="8"/>
  </r>
  <r>
    <n v="27"/>
    <x v="2"/>
    <x v="1"/>
    <x v="0"/>
    <n v="205"/>
    <x v="0"/>
    <n v="10"/>
    <x v="0"/>
    <n v="3"/>
    <s v="Bachelor"/>
    <s v="Marketing"/>
    <n v="1403"/>
    <n v="4"/>
    <x v="3"/>
    <s v="Female"/>
    <n v="98"/>
    <n v="2"/>
    <s v="Medium"/>
    <n v="2"/>
    <x v="0"/>
    <x v="0"/>
    <n v="4"/>
    <s v="Very High"/>
    <x v="1"/>
    <n v="5769"/>
    <n v="7100"/>
    <n v="1"/>
    <x v="0"/>
    <n v="11"/>
    <n v="3"/>
    <s v="Excellent"/>
    <n v="4"/>
    <s v="Very High"/>
    <n v="0"/>
    <n v="6"/>
    <n v="3"/>
    <n v="3"/>
    <s v="High"/>
    <n v="6"/>
    <n v="2"/>
    <n v="4"/>
    <n v="4"/>
  </r>
  <r>
    <n v="27"/>
    <x v="2"/>
    <x v="0"/>
    <x v="0"/>
    <n v="135"/>
    <x v="1"/>
    <n v="17"/>
    <x v="2"/>
    <n v="4"/>
    <s v="Master"/>
    <s v="Life Sciences"/>
    <n v="1405"/>
    <n v="4"/>
    <x v="3"/>
    <s v="Female"/>
    <n v="51"/>
    <n v="3"/>
    <s v="High"/>
    <n v="1"/>
    <x v="1"/>
    <x v="1"/>
    <n v="3"/>
    <s v="High"/>
    <x v="0"/>
    <n v="2394"/>
    <n v="25681"/>
    <n v="1"/>
    <x v="0"/>
    <n v="13"/>
    <n v="3"/>
    <s v="Excellent"/>
    <n v="4"/>
    <s v="Very High"/>
    <n v="0"/>
    <n v="8"/>
    <n v="2"/>
    <n v="3"/>
    <s v="High"/>
    <n v="8"/>
    <n v="2"/>
    <n v="7"/>
    <n v="7"/>
  </r>
  <r>
    <n v="26"/>
    <x v="2"/>
    <x v="1"/>
    <x v="0"/>
    <n v="683"/>
    <x v="1"/>
    <n v="2"/>
    <x v="0"/>
    <n v="1"/>
    <s v="Below College"/>
    <s v="Medical"/>
    <n v="1407"/>
    <n v="1"/>
    <x v="2"/>
    <s v="Male"/>
    <n v="36"/>
    <n v="2"/>
    <s v="Medium"/>
    <n v="1"/>
    <x v="1"/>
    <x v="1"/>
    <n v="4"/>
    <s v="Very High"/>
    <x v="0"/>
    <n v="3904"/>
    <n v="4050"/>
    <n v="0"/>
    <x v="1"/>
    <n v="12"/>
    <n v="3"/>
    <s v="Excellent"/>
    <n v="4"/>
    <s v="Very High"/>
    <n v="0"/>
    <n v="5"/>
    <n v="2"/>
    <n v="3"/>
    <s v="High"/>
    <n v="4"/>
    <n v="3"/>
    <n v="1"/>
    <n v="1"/>
  </r>
  <r>
    <n v="42"/>
    <x v="0"/>
    <x v="1"/>
    <x v="0"/>
    <n v="1147"/>
    <x v="2"/>
    <n v="10"/>
    <x v="0"/>
    <n v="3"/>
    <s v="Bachelor"/>
    <s v="Human Resources"/>
    <n v="1408"/>
    <n v="3"/>
    <x v="1"/>
    <s v="Female"/>
    <n v="31"/>
    <n v="3"/>
    <s v="High"/>
    <n v="4"/>
    <x v="3"/>
    <x v="5"/>
    <n v="1"/>
    <s v="Low"/>
    <x v="1"/>
    <n v="16799"/>
    <n v="16616"/>
    <n v="0"/>
    <x v="1"/>
    <n v="14"/>
    <n v="3"/>
    <s v="Excellent"/>
    <n v="3"/>
    <s v="High"/>
    <n v="1"/>
    <n v="21"/>
    <n v="5"/>
    <n v="3"/>
    <s v="High"/>
    <n v="20"/>
    <n v="7"/>
    <n v="0"/>
    <n v="9"/>
  </r>
  <r>
    <n v="52"/>
    <x v="1"/>
    <x v="1"/>
    <x v="0"/>
    <n v="258"/>
    <x v="1"/>
    <n v="8"/>
    <x v="0"/>
    <n v="4"/>
    <s v="Master"/>
    <s v="Other"/>
    <n v="1409"/>
    <n v="3"/>
    <x v="1"/>
    <s v="Female"/>
    <n v="54"/>
    <n v="3"/>
    <s v="High"/>
    <n v="1"/>
    <x v="1"/>
    <x v="2"/>
    <n v="1"/>
    <s v="Low"/>
    <x v="1"/>
    <n v="2950"/>
    <n v="17363"/>
    <n v="9"/>
    <x v="1"/>
    <n v="13"/>
    <n v="3"/>
    <s v="Excellent"/>
    <n v="3"/>
    <s v="High"/>
    <n v="0"/>
    <n v="12"/>
    <n v="2"/>
    <n v="1"/>
    <s v="Low"/>
    <n v="5"/>
    <n v="4"/>
    <n v="0"/>
    <n v="4"/>
  </r>
  <r>
    <n v="37"/>
    <x v="0"/>
    <x v="1"/>
    <x v="0"/>
    <n v="1462"/>
    <x v="1"/>
    <n v="11"/>
    <x v="2"/>
    <n v="3"/>
    <s v="Bachelor"/>
    <s v="Medical"/>
    <n v="1411"/>
    <n v="1"/>
    <x v="2"/>
    <s v="Female"/>
    <n v="94"/>
    <n v="3"/>
    <s v="High"/>
    <n v="1"/>
    <x v="1"/>
    <x v="2"/>
    <n v="3"/>
    <s v="High"/>
    <x v="0"/>
    <n v="3629"/>
    <n v="19106"/>
    <n v="4"/>
    <x v="1"/>
    <n v="18"/>
    <n v="3"/>
    <s v="Excellent"/>
    <n v="1"/>
    <s v="Low"/>
    <n v="0"/>
    <n v="8"/>
    <n v="6"/>
    <n v="3"/>
    <s v="High"/>
    <n v="3"/>
    <n v="2"/>
    <n v="0"/>
    <n v="2"/>
  </r>
  <r>
    <n v="35"/>
    <x v="2"/>
    <x v="1"/>
    <x v="1"/>
    <n v="200"/>
    <x v="1"/>
    <n v="18"/>
    <x v="2"/>
    <n v="2"/>
    <s v="College"/>
    <s v="Life Sciences"/>
    <n v="1412"/>
    <n v="3"/>
    <x v="1"/>
    <s v="Male"/>
    <n v="60"/>
    <n v="3"/>
    <s v="High"/>
    <n v="3"/>
    <x v="2"/>
    <x v="3"/>
    <n v="4"/>
    <s v="Very High"/>
    <x v="0"/>
    <n v="9362"/>
    <n v="19944"/>
    <n v="2"/>
    <x v="1"/>
    <n v="11"/>
    <n v="3"/>
    <s v="Excellent"/>
    <n v="3"/>
    <s v="High"/>
    <n v="0"/>
    <n v="10"/>
    <n v="2"/>
    <n v="3"/>
    <s v="High"/>
    <n v="2"/>
    <n v="2"/>
    <n v="2"/>
    <n v="2"/>
  </r>
  <r>
    <n v="25"/>
    <x v="4"/>
    <x v="1"/>
    <x v="0"/>
    <n v="949"/>
    <x v="1"/>
    <n v="1"/>
    <x v="0"/>
    <n v="3"/>
    <s v="Bachelor"/>
    <s v="Technical Degree"/>
    <n v="1415"/>
    <n v="1"/>
    <x v="2"/>
    <s v="Male"/>
    <n v="81"/>
    <n v="3"/>
    <s v="High"/>
    <n v="1"/>
    <x v="1"/>
    <x v="2"/>
    <n v="4"/>
    <s v="Very High"/>
    <x v="1"/>
    <n v="3229"/>
    <n v="4910"/>
    <n v="4"/>
    <x v="1"/>
    <n v="11"/>
    <n v="3"/>
    <s v="Excellent"/>
    <n v="2"/>
    <s v="Medium"/>
    <n v="1"/>
    <n v="7"/>
    <n v="2"/>
    <n v="2"/>
    <s v="Medium"/>
    <n v="3"/>
    <n v="2"/>
    <n v="0"/>
    <n v="2"/>
  </r>
  <r>
    <n v="26"/>
    <x v="2"/>
    <x v="1"/>
    <x v="0"/>
    <n v="652"/>
    <x v="1"/>
    <n v="7"/>
    <x v="0"/>
    <n v="3"/>
    <s v="Bachelor"/>
    <s v="Other"/>
    <n v="1417"/>
    <n v="3"/>
    <x v="1"/>
    <s v="Male"/>
    <n v="100"/>
    <n v="4"/>
    <s v="Very High"/>
    <n v="1"/>
    <x v="1"/>
    <x v="2"/>
    <n v="1"/>
    <s v="Low"/>
    <x v="0"/>
    <n v="3578"/>
    <n v="23577"/>
    <n v="0"/>
    <x v="1"/>
    <n v="12"/>
    <n v="3"/>
    <s v="Excellent"/>
    <n v="4"/>
    <s v="Very High"/>
    <n v="0"/>
    <n v="8"/>
    <n v="2"/>
    <n v="3"/>
    <s v="High"/>
    <n v="7"/>
    <n v="7"/>
    <n v="0"/>
    <n v="7"/>
  </r>
  <r>
    <n v="29"/>
    <x v="2"/>
    <x v="1"/>
    <x v="0"/>
    <n v="332"/>
    <x v="2"/>
    <n v="17"/>
    <x v="2"/>
    <n v="3"/>
    <s v="Bachelor"/>
    <s v="Other"/>
    <n v="1419"/>
    <n v="2"/>
    <x v="0"/>
    <s v="Male"/>
    <n v="51"/>
    <n v="2"/>
    <s v="Medium"/>
    <n v="3"/>
    <x v="2"/>
    <x v="8"/>
    <n v="1"/>
    <s v="Low"/>
    <x v="0"/>
    <n v="7988"/>
    <n v="9769"/>
    <n v="1"/>
    <x v="1"/>
    <n v="13"/>
    <n v="3"/>
    <s v="Excellent"/>
    <n v="1"/>
    <s v="Low"/>
    <n v="0"/>
    <n v="10"/>
    <n v="3"/>
    <n v="2"/>
    <s v="Medium"/>
    <n v="10"/>
    <n v="9"/>
    <n v="0"/>
    <n v="9"/>
  </r>
  <r>
    <n v="49"/>
    <x v="1"/>
    <x v="0"/>
    <x v="1"/>
    <n v="1475"/>
    <x v="1"/>
    <n v="28"/>
    <x v="1"/>
    <n v="2"/>
    <s v="College"/>
    <s v="Life Sciences"/>
    <n v="1420"/>
    <n v="1"/>
    <x v="2"/>
    <s v="Male"/>
    <n v="97"/>
    <n v="2"/>
    <s v="Medium"/>
    <n v="2"/>
    <x v="0"/>
    <x v="2"/>
    <n v="1"/>
    <s v="Low"/>
    <x v="0"/>
    <n v="4284"/>
    <n v="22710"/>
    <n v="3"/>
    <x v="1"/>
    <n v="20"/>
    <n v="4"/>
    <s v="Outstanding"/>
    <n v="1"/>
    <s v="Low"/>
    <n v="0"/>
    <n v="20"/>
    <n v="2"/>
    <n v="3"/>
    <s v="High"/>
    <n v="4"/>
    <n v="3"/>
    <n v="1"/>
    <n v="3"/>
  </r>
  <r>
    <n v="29"/>
    <x v="2"/>
    <x v="0"/>
    <x v="1"/>
    <n v="337"/>
    <x v="1"/>
    <n v="14"/>
    <x v="2"/>
    <n v="1"/>
    <s v="Below College"/>
    <s v="Other"/>
    <n v="1421"/>
    <n v="3"/>
    <x v="1"/>
    <s v="Female"/>
    <n v="84"/>
    <n v="3"/>
    <s v="High"/>
    <n v="3"/>
    <x v="2"/>
    <x v="4"/>
    <n v="4"/>
    <s v="Very High"/>
    <x v="0"/>
    <n v="7553"/>
    <n v="22930"/>
    <n v="0"/>
    <x v="0"/>
    <n v="12"/>
    <n v="3"/>
    <s v="Excellent"/>
    <n v="1"/>
    <s v="Low"/>
    <n v="0"/>
    <n v="9"/>
    <n v="1"/>
    <n v="3"/>
    <s v="High"/>
    <n v="8"/>
    <n v="7"/>
    <n v="7"/>
    <n v="7"/>
  </r>
  <r>
    <n v="54"/>
    <x v="1"/>
    <x v="1"/>
    <x v="0"/>
    <n v="971"/>
    <x v="1"/>
    <n v="1"/>
    <x v="0"/>
    <n v="3"/>
    <s v="Bachelor"/>
    <s v="Medical"/>
    <n v="1422"/>
    <n v="4"/>
    <x v="3"/>
    <s v="Female"/>
    <n v="54"/>
    <n v="3"/>
    <s v="High"/>
    <n v="4"/>
    <x v="3"/>
    <x v="7"/>
    <n v="4"/>
    <s v="Very High"/>
    <x v="0"/>
    <n v="17328"/>
    <n v="5652"/>
    <n v="6"/>
    <x v="1"/>
    <n v="19"/>
    <n v="3"/>
    <s v="Excellent"/>
    <n v="4"/>
    <s v="Very High"/>
    <n v="0"/>
    <n v="29"/>
    <n v="3"/>
    <n v="2"/>
    <s v="Medium"/>
    <n v="20"/>
    <n v="7"/>
    <n v="12"/>
    <n v="7"/>
  </r>
  <r>
    <n v="58"/>
    <x v="3"/>
    <x v="1"/>
    <x v="0"/>
    <n v="1055"/>
    <x v="1"/>
    <n v="1"/>
    <x v="0"/>
    <n v="3"/>
    <s v="Bachelor"/>
    <s v="Medical"/>
    <n v="1423"/>
    <n v="4"/>
    <x v="3"/>
    <s v="Female"/>
    <n v="76"/>
    <n v="3"/>
    <s v="High"/>
    <n v="5"/>
    <x v="4"/>
    <x v="7"/>
    <n v="1"/>
    <s v="Low"/>
    <x v="1"/>
    <n v="19701"/>
    <n v="22456"/>
    <n v="3"/>
    <x v="0"/>
    <n v="21"/>
    <n v="4"/>
    <s v="Outstanding"/>
    <n v="3"/>
    <s v="High"/>
    <n v="1"/>
    <n v="32"/>
    <n v="3"/>
    <n v="3"/>
    <s v="High"/>
    <n v="9"/>
    <n v="8"/>
    <n v="1"/>
    <n v="5"/>
  </r>
  <r>
    <n v="55"/>
    <x v="1"/>
    <x v="1"/>
    <x v="0"/>
    <n v="1136"/>
    <x v="1"/>
    <n v="1"/>
    <x v="0"/>
    <n v="4"/>
    <s v="Master"/>
    <s v="Medical"/>
    <n v="1424"/>
    <n v="2"/>
    <x v="0"/>
    <s v="Male"/>
    <n v="81"/>
    <n v="4"/>
    <s v="Very High"/>
    <n v="4"/>
    <x v="3"/>
    <x v="7"/>
    <n v="4"/>
    <s v="Very High"/>
    <x v="2"/>
    <n v="14732"/>
    <n v="12414"/>
    <n v="2"/>
    <x v="1"/>
    <n v="13"/>
    <n v="3"/>
    <s v="Excellent"/>
    <n v="4"/>
    <s v="Very High"/>
    <n v="2"/>
    <n v="31"/>
    <n v="4"/>
    <n v="4"/>
    <s v="Very High"/>
    <n v="7"/>
    <n v="7"/>
    <n v="0"/>
    <n v="0"/>
  </r>
  <r>
    <n v="36"/>
    <x v="0"/>
    <x v="1"/>
    <x v="0"/>
    <n v="1174"/>
    <x v="0"/>
    <n v="3"/>
    <x v="0"/>
    <n v="4"/>
    <s v="Master"/>
    <s v="Marketing"/>
    <n v="1425"/>
    <n v="1"/>
    <x v="2"/>
    <s v="Female"/>
    <n v="99"/>
    <n v="3"/>
    <s v="High"/>
    <n v="2"/>
    <x v="0"/>
    <x v="0"/>
    <n v="2"/>
    <s v="Medium"/>
    <x v="0"/>
    <n v="9278"/>
    <n v="20763"/>
    <n v="3"/>
    <x v="0"/>
    <n v="16"/>
    <n v="3"/>
    <s v="Excellent"/>
    <n v="4"/>
    <s v="Very High"/>
    <n v="0"/>
    <n v="15"/>
    <n v="3"/>
    <n v="3"/>
    <s v="High"/>
    <n v="5"/>
    <n v="4"/>
    <n v="0"/>
    <n v="1"/>
  </r>
  <r>
    <n v="31"/>
    <x v="2"/>
    <x v="0"/>
    <x v="1"/>
    <n v="667"/>
    <x v="0"/>
    <n v="1"/>
    <x v="0"/>
    <n v="4"/>
    <s v="Master"/>
    <s v="Life Sciences"/>
    <n v="1427"/>
    <n v="2"/>
    <x v="0"/>
    <s v="Female"/>
    <n v="50"/>
    <n v="1"/>
    <s v="Low"/>
    <n v="1"/>
    <x v="1"/>
    <x v="6"/>
    <n v="3"/>
    <s v="High"/>
    <x v="0"/>
    <n v="1359"/>
    <n v="16154"/>
    <n v="1"/>
    <x v="1"/>
    <n v="12"/>
    <n v="3"/>
    <s v="Excellent"/>
    <n v="2"/>
    <s v="Medium"/>
    <n v="0"/>
    <n v="1"/>
    <n v="3"/>
    <n v="3"/>
    <s v="High"/>
    <n v="1"/>
    <n v="0"/>
    <n v="0"/>
    <n v="0"/>
  </r>
  <r>
    <n v="30"/>
    <x v="2"/>
    <x v="1"/>
    <x v="0"/>
    <n v="855"/>
    <x v="0"/>
    <n v="7"/>
    <x v="0"/>
    <n v="4"/>
    <s v="Master"/>
    <s v="Marketing"/>
    <n v="1428"/>
    <n v="4"/>
    <x v="3"/>
    <s v="Female"/>
    <n v="73"/>
    <n v="3"/>
    <s v="High"/>
    <n v="2"/>
    <x v="0"/>
    <x v="0"/>
    <n v="1"/>
    <s v="Low"/>
    <x v="2"/>
    <n v="4779"/>
    <n v="12761"/>
    <n v="7"/>
    <x v="1"/>
    <n v="14"/>
    <n v="3"/>
    <s v="Excellent"/>
    <n v="2"/>
    <s v="Medium"/>
    <n v="2"/>
    <n v="8"/>
    <n v="3"/>
    <n v="3"/>
    <s v="High"/>
    <n v="3"/>
    <n v="2"/>
    <n v="0"/>
    <n v="2"/>
  </r>
  <r>
    <n v="31"/>
    <x v="2"/>
    <x v="1"/>
    <x v="0"/>
    <n v="182"/>
    <x v="1"/>
    <n v="8"/>
    <x v="0"/>
    <n v="5"/>
    <s v="Doctor"/>
    <s v="Life Sciences"/>
    <n v="1430"/>
    <n v="1"/>
    <x v="2"/>
    <s v="Female"/>
    <n v="93"/>
    <n v="3"/>
    <s v="High"/>
    <n v="4"/>
    <x v="3"/>
    <x v="7"/>
    <n v="2"/>
    <s v="Medium"/>
    <x v="0"/>
    <n v="16422"/>
    <n v="8847"/>
    <n v="3"/>
    <x v="1"/>
    <n v="11"/>
    <n v="3"/>
    <s v="Excellent"/>
    <n v="3"/>
    <s v="High"/>
    <n v="0"/>
    <n v="9"/>
    <n v="3"/>
    <n v="4"/>
    <s v="Very High"/>
    <n v="3"/>
    <n v="2"/>
    <n v="1"/>
    <n v="0"/>
  </r>
  <r>
    <n v="34"/>
    <x v="2"/>
    <x v="1"/>
    <x v="1"/>
    <n v="560"/>
    <x v="1"/>
    <n v="1"/>
    <x v="0"/>
    <n v="4"/>
    <s v="Master"/>
    <s v="Other"/>
    <n v="1431"/>
    <n v="4"/>
    <x v="3"/>
    <s v="Male"/>
    <n v="91"/>
    <n v="3"/>
    <s v="High"/>
    <n v="1"/>
    <x v="1"/>
    <x v="1"/>
    <n v="1"/>
    <s v="Low"/>
    <x v="2"/>
    <n v="2996"/>
    <n v="20284"/>
    <n v="5"/>
    <x v="1"/>
    <n v="14"/>
    <n v="3"/>
    <s v="Excellent"/>
    <n v="3"/>
    <s v="High"/>
    <n v="2"/>
    <n v="10"/>
    <n v="2"/>
    <n v="3"/>
    <s v="High"/>
    <n v="4"/>
    <n v="3"/>
    <n v="1"/>
    <n v="3"/>
  </r>
  <r>
    <n v="31"/>
    <x v="2"/>
    <x v="0"/>
    <x v="0"/>
    <n v="202"/>
    <x v="1"/>
    <n v="8"/>
    <x v="0"/>
    <n v="3"/>
    <s v="Bachelor"/>
    <s v="Life Sciences"/>
    <n v="1433"/>
    <n v="1"/>
    <x v="2"/>
    <s v="Female"/>
    <n v="34"/>
    <n v="2"/>
    <s v="Medium"/>
    <n v="1"/>
    <x v="1"/>
    <x v="1"/>
    <n v="2"/>
    <s v="Medium"/>
    <x v="0"/>
    <n v="1261"/>
    <n v="22262"/>
    <n v="1"/>
    <x v="1"/>
    <n v="12"/>
    <n v="3"/>
    <s v="Excellent"/>
    <n v="3"/>
    <s v="High"/>
    <n v="0"/>
    <n v="1"/>
    <n v="3"/>
    <n v="4"/>
    <s v="Very High"/>
    <n v="1"/>
    <n v="0"/>
    <n v="0"/>
    <n v="0"/>
  </r>
  <r>
    <n v="27"/>
    <x v="2"/>
    <x v="1"/>
    <x v="0"/>
    <n v="1377"/>
    <x v="1"/>
    <n v="11"/>
    <x v="2"/>
    <n v="1"/>
    <s v="Below College"/>
    <s v="Life Sciences"/>
    <n v="1434"/>
    <n v="2"/>
    <x v="0"/>
    <s v="Male"/>
    <n v="91"/>
    <n v="3"/>
    <s v="High"/>
    <n v="1"/>
    <x v="1"/>
    <x v="2"/>
    <n v="1"/>
    <s v="Low"/>
    <x v="1"/>
    <n v="2099"/>
    <n v="7679"/>
    <n v="0"/>
    <x v="1"/>
    <n v="14"/>
    <n v="3"/>
    <s v="Excellent"/>
    <n v="2"/>
    <s v="Medium"/>
    <n v="0"/>
    <n v="6"/>
    <n v="3"/>
    <n v="4"/>
    <s v="Very High"/>
    <n v="5"/>
    <n v="0"/>
    <n v="1"/>
    <n v="4"/>
  </r>
  <r>
    <n v="36"/>
    <x v="0"/>
    <x v="1"/>
    <x v="0"/>
    <n v="172"/>
    <x v="1"/>
    <n v="4"/>
    <x v="0"/>
    <n v="4"/>
    <s v="Master"/>
    <s v="Life Sciences"/>
    <n v="1435"/>
    <n v="1"/>
    <x v="2"/>
    <s v="Male"/>
    <n v="37"/>
    <n v="2"/>
    <s v="Medium"/>
    <n v="2"/>
    <x v="0"/>
    <x v="2"/>
    <n v="4"/>
    <s v="Very High"/>
    <x v="0"/>
    <n v="5810"/>
    <n v="22604"/>
    <n v="1"/>
    <x v="1"/>
    <n v="16"/>
    <n v="3"/>
    <s v="Excellent"/>
    <n v="3"/>
    <s v="High"/>
    <n v="0"/>
    <n v="10"/>
    <n v="2"/>
    <n v="2"/>
    <s v="Medium"/>
    <n v="10"/>
    <n v="4"/>
    <n v="1"/>
    <n v="8"/>
  </r>
  <r>
    <n v="36"/>
    <x v="0"/>
    <x v="1"/>
    <x v="0"/>
    <n v="329"/>
    <x v="0"/>
    <n v="16"/>
    <x v="2"/>
    <n v="4"/>
    <s v="Master"/>
    <s v="Marketing"/>
    <n v="1436"/>
    <n v="3"/>
    <x v="1"/>
    <s v="Female"/>
    <n v="98"/>
    <n v="2"/>
    <s v="Medium"/>
    <n v="2"/>
    <x v="0"/>
    <x v="0"/>
    <n v="1"/>
    <s v="Low"/>
    <x v="1"/>
    <n v="5647"/>
    <n v="13494"/>
    <n v="4"/>
    <x v="1"/>
    <n v="13"/>
    <n v="3"/>
    <s v="Excellent"/>
    <n v="1"/>
    <s v="Low"/>
    <n v="2"/>
    <n v="11"/>
    <n v="3"/>
    <n v="2"/>
    <s v="Medium"/>
    <n v="3"/>
    <n v="2"/>
    <n v="0"/>
    <n v="2"/>
  </r>
  <r>
    <n v="47"/>
    <x v="1"/>
    <x v="1"/>
    <x v="0"/>
    <n v="465"/>
    <x v="1"/>
    <n v="1"/>
    <x v="0"/>
    <n v="3"/>
    <s v="Bachelor"/>
    <s v="Technical Degree"/>
    <n v="1438"/>
    <n v="1"/>
    <x v="2"/>
    <s v="Male"/>
    <n v="74"/>
    <n v="3"/>
    <s v="High"/>
    <n v="1"/>
    <x v="1"/>
    <x v="1"/>
    <n v="4"/>
    <s v="Very High"/>
    <x v="1"/>
    <n v="3420"/>
    <n v="10205"/>
    <n v="7"/>
    <x v="1"/>
    <n v="12"/>
    <n v="3"/>
    <s v="Excellent"/>
    <n v="3"/>
    <s v="High"/>
    <n v="1"/>
    <n v="17"/>
    <n v="2"/>
    <n v="2"/>
    <s v="Medium"/>
    <n v="6"/>
    <n v="5"/>
    <n v="1"/>
    <n v="2"/>
  </r>
  <r>
    <n v="25"/>
    <x v="4"/>
    <x v="0"/>
    <x v="0"/>
    <n v="383"/>
    <x v="0"/>
    <n v="9"/>
    <x v="0"/>
    <n v="2"/>
    <s v="College"/>
    <s v="Life Sciences"/>
    <n v="1439"/>
    <n v="1"/>
    <x v="2"/>
    <s v="Male"/>
    <n v="68"/>
    <n v="2"/>
    <s v="Medium"/>
    <n v="1"/>
    <x v="1"/>
    <x v="6"/>
    <n v="1"/>
    <s v="Low"/>
    <x v="1"/>
    <n v="4400"/>
    <n v="15182"/>
    <n v="3"/>
    <x v="1"/>
    <n v="12"/>
    <n v="3"/>
    <s v="Excellent"/>
    <n v="1"/>
    <s v="Low"/>
    <n v="0"/>
    <n v="6"/>
    <n v="2"/>
    <n v="3"/>
    <s v="High"/>
    <n v="3"/>
    <n v="2"/>
    <n v="2"/>
    <n v="2"/>
  </r>
  <r>
    <n v="37"/>
    <x v="0"/>
    <x v="1"/>
    <x v="2"/>
    <n v="1413"/>
    <x v="1"/>
    <n v="5"/>
    <x v="0"/>
    <n v="2"/>
    <s v="College"/>
    <s v="Technical Degree"/>
    <n v="1440"/>
    <n v="3"/>
    <x v="1"/>
    <s v="Male"/>
    <n v="84"/>
    <n v="4"/>
    <s v="Very High"/>
    <n v="1"/>
    <x v="1"/>
    <x v="2"/>
    <n v="3"/>
    <s v="High"/>
    <x v="0"/>
    <n v="3500"/>
    <n v="25470"/>
    <n v="0"/>
    <x v="1"/>
    <n v="14"/>
    <n v="3"/>
    <s v="Excellent"/>
    <n v="1"/>
    <s v="Low"/>
    <n v="0"/>
    <n v="7"/>
    <n v="2"/>
    <n v="1"/>
    <s v="Low"/>
    <n v="6"/>
    <n v="5"/>
    <n v="1"/>
    <n v="3"/>
  </r>
  <r>
    <n v="56"/>
    <x v="3"/>
    <x v="1"/>
    <x v="0"/>
    <n v="1255"/>
    <x v="1"/>
    <n v="1"/>
    <x v="0"/>
    <n v="2"/>
    <s v="College"/>
    <s v="Life Sciences"/>
    <n v="1441"/>
    <n v="1"/>
    <x v="2"/>
    <s v="Female"/>
    <n v="90"/>
    <n v="3"/>
    <s v="High"/>
    <n v="1"/>
    <x v="1"/>
    <x v="1"/>
    <n v="1"/>
    <s v="Low"/>
    <x v="1"/>
    <n v="2066"/>
    <n v="10494"/>
    <n v="2"/>
    <x v="1"/>
    <n v="22"/>
    <n v="4"/>
    <s v="Outstanding"/>
    <n v="4"/>
    <s v="Very High"/>
    <n v="1"/>
    <n v="5"/>
    <n v="3"/>
    <n v="4"/>
    <s v="Very High"/>
    <n v="3"/>
    <n v="2"/>
    <n v="1"/>
    <n v="0"/>
  </r>
  <r>
    <n v="47"/>
    <x v="1"/>
    <x v="1"/>
    <x v="0"/>
    <n v="359"/>
    <x v="1"/>
    <n v="2"/>
    <x v="0"/>
    <n v="4"/>
    <s v="Master"/>
    <s v="Medical"/>
    <n v="1443"/>
    <n v="1"/>
    <x v="2"/>
    <s v="Female"/>
    <n v="82"/>
    <n v="3"/>
    <s v="High"/>
    <n v="4"/>
    <x v="3"/>
    <x v="7"/>
    <n v="3"/>
    <s v="High"/>
    <x v="1"/>
    <n v="17169"/>
    <n v="26703"/>
    <n v="3"/>
    <x v="1"/>
    <n v="19"/>
    <n v="3"/>
    <s v="Excellent"/>
    <n v="2"/>
    <s v="Medium"/>
    <n v="2"/>
    <n v="26"/>
    <n v="2"/>
    <n v="4"/>
    <s v="Very High"/>
    <n v="20"/>
    <n v="17"/>
    <n v="5"/>
    <n v="6"/>
  </r>
  <r>
    <n v="24"/>
    <x v="4"/>
    <x v="1"/>
    <x v="0"/>
    <n v="1476"/>
    <x v="0"/>
    <n v="4"/>
    <x v="0"/>
    <n v="1"/>
    <s v="Below College"/>
    <s v="Medical"/>
    <n v="1445"/>
    <n v="4"/>
    <x v="3"/>
    <s v="Female"/>
    <n v="42"/>
    <n v="3"/>
    <s v="High"/>
    <n v="2"/>
    <x v="0"/>
    <x v="0"/>
    <n v="3"/>
    <s v="High"/>
    <x v="1"/>
    <n v="4162"/>
    <n v="15211"/>
    <n v="1"/>
    <x v="0"/>
    <n v="12"/>
    <n v="3"/>
    <s v="Excellent"/>
    <n v="3"/>
    <s v="High"/>
    <n v="2"/>
    <n v="5"/>
    <n v="3"/>
    <n v="3"/>
    <s v="High"/>
    <n v="5"/>
    <n v="4"/>
    <n v="0"/>
    <n v="3"/>
  </r>
  <r>
    <n v="32"/>
    <x v="2"/>
    <x v="1"/>
    <x v="0"/>
    <n v="601"/>
    <x v="0"/>
    <n v="7"/>
    <x v="0"/>
    <n v="5"/>
    <s v="Doctor"/>
    <s v="Marketing"/>
    <n v="1446"/>
    <n v="4"/>
    <x v="3"/>
    <s v="Male"/>
    <n v="97"/>
    <n v="3"/>
    <s v="High"/>
    <n v="2"/>
    <x v="0"/>
    <x v="0"/>
    <n v="4"/>
    <s v="Very High"/>
    <x v="1"/>
    <n v="9204"/>
    <n v="23343"/>
    <n v="4"/>
    <x v="1"/>
    <n v="12"/>
    <n v="3"/>
    <s v="Excellent"/>
    <n v="3"/>
    <s v="High"/>
    <n v="1"/>
    <n v="7"/>
    <n v="3"/>
    <n v="2"/>
    <s v="Medium"/>
    <n v="4"/>
    <n v="3"/>
    <n v="0"/>
    <n v="3"/>
  </r>
  <r>
    <n v="34"/>
    <x v="2"/>
    <x v="1"/>
    <x v="0"/>
    <n v="401"/>
    <x v="1"/>
    <n v="1"/>
    <x v="0"/>
    <n v="3"/>
    <s v="Bachelor"/>
    <s v="Life Sciences"/>
    <n v="1447"/>
    <n v="4"/>
    <x v="3"/>
    <s v="Female"/>
    <n v="86"/>
    <n v="2"/>
    <s v="Medium"/>
    <n v="1"/>
    <x v="1"/>
    <x v="2"/>
    <n v="2"/>
    <s v="Medium"/>
    <x v="1"/>
    <n v="3294"/>
    <n v="3708"/>
    <n v="5"/>
    <x v="1"/>
    <n v="17"/>
    <n v="3"/>
    <s v="Excellent"/>
    <n v="1"/>
    <s v="Low"/>
    <n v="1"/>
    <n v="7"/>
    <n v="2"/>
    <n v="2"/>
    <s v="Medium"/>
    <n v="5"/>
    <n v="4"/>
    <n v="0"/>
    <n v="2"/>
  </r>
  <r>
    <n v="41"/>
    <x v="0"/>
    <x v="1"/>
    <x v="0"/>
    <n v="1283"/>
    <x v="1"/>
    <n v="5"/>
    <x v="0"/>
    <n v="5"/>
    <s v="Doctor"/>
    <s v="Medical"/>
    <n v="1448"/>
    <n v="2"/>
    <x v="0"/>
    <s v="Male"/>
    <n v="90"/>
    <n v="4"/>
    <s v="Very High"/>
    <n v="1"/>
    <x v="1"/>
    <x v="1"/>
    <n v="3"/>
    <s v="High"/>
    <x v="1"/>
    <n v="2127"/>
    <n v="5561"/>
    <n v="2"/>
    <x v="0"/>
    <n v="12"/>
    <n v="3"/>
    <s v="Excellent"/>
    <n v="1"/>
    <s v="Low"/>
    <n v="0"/>
    <n v="7"/>
    <n v="5"/>
    <n v="2"/>
    <s v="Medium"/>
    <n v="4"/>
    <n v="2"/>
    <n v="0"/>
    <n v="3"/>
  </r>
  <r>
    <n v="40"/>
    <x v="0"/>
    <x v="1"/>
    <x v="2"/>
    <n v="663"/>
    <x v="1"/>
    <n v="9"/>
    <x v="0"/>
    <n v="4"/>
    <s v="Master"/>
    <s v="Other"/>
    <n v="1449"/>
    <n v="3"/>
    <x v="1"/>
    <s v="Male"/>
    <n v="81"/>
    <n v="3"/>
    <s v="High"/>
    <n v="2"/>
    <x v="0"/>
    <x v="2"/>
    <n v="3"/>
    <s v="High"/>
    <x v="2"/>
    <n v="3975"/>
    <n v="23099"/>
    <n v="3"/>
    <x v="1"/>
    <n v="11"/>
    <n v="3"/>
    <s v="Excellent"/>
    <n v="3"/>
    <s v="High"/>
    <n v="2"/>
    <n v="11"/>
    <n v="2"/>
    <n v="4"/>
    <s v="Very High"/>
    <n v="8"/>
    <n v="7"/>
    <n v="0"/>
    <n v="7"/>
  </r>
  <r>
    <n v="31"/>
    <x v="2"/>
    <x v="1"/>
    <x v="0"/>
    <n v="326"/>
    <x v="0"/>
    <n v="8"/>
    <x v="0"/>
    <n v="2"/>
    <s v="College"/>
    <s v="Life Sciences"/>
    <n v="1453"/>
    <n v="1"/>
    <x v="2"/>
    <s v="Male"/>
    <n v="31"/>
    <n v="3"/>
    <s v="High"/>
    <n v="3"/>
    <x v="2"/>
    <x v="0"/>
    <n v="4"/>
    <s v="Very High"/>
    <x v="2"/>
    <n v="10793"/>
    <n v="8386"/>
    <n v="1"/>
    <x v="1"/>
    <n v="18"/>
    <n v="3"/>
    <s v="Excellent"/>
    <n v="1"/>
    <s v="Low"/>
    <n v="1"/>
    <n v="13"/>
    <n v="5"/>
    <n v="3"/>
    <s v="High"/>
    <n v="13"/>
    <n v="7"/>
    <n v="9"/>
    <n v="9"/>
  </r>
  <r>
    <n v="46"/>
    <x v="1"/>
    <x v="0"/>
    <x v="0"/>
    <n v="377"/>
    <x v="0"/>
    <n v="9"/>
    <x v="0"/>
    <n v="3"/>
    <s v="Bachelor"/>
    <s v="Marketing"/>
    <n v="1457"/>
    <n v="1"/>
    <x v="2"/>
    <s v="Male"/>
    <n v="52"/>
    <n v="3"/>
    <s v="High"/>
    <n v="3"/>
    <x v="2"/>
    <x v="0"/>
    <n v="4"/>
    <s v="Very High"/>
    <x v="2"/>
    <n v="10096"/>
    <n v="15986"/>
    <n v="4"/>
    <x v="1"/>
    <n v="11"/>
    <n v="3"/>
    <s v="Excellent"/>
    <n v="1"/>
    <s v="Low"/>
    <n v="1"/>
    <n v="28"/>
    <n v="1"/>
    <n v="4"/>
    <s v="Very High"/>
    <n v="7"/>
    <n v="7"/>
    <n v="4"/>
    <n v="3"/>
  </r>
  <r>
    <n v="39"/>
    <x v="0"/>
    <x v="0"/>
    <x v="2"/>
    <n v="592"/>
    <x v="1"/>
    <n v="2"/>
    <x v="0"/>
    <n v="3"/>
    <s v="Bachelor"/>
    <s v="Life Sciences"/>
    <n v="1458"/>
    <n v="1"/>
    <x v="2"/>
    <s v="Female"/>
    <n v="54"/>
    <n v="2"/>
    <s v="Medium"/>
    <n v="1"/>
    <x v="1"/>
    <x v="2"/>
    <n v="1"/>
    <s v="Low"/>
    <x v="0"/>
    <n v="3646"/>
    <n v="17181"/>
    <n v="2"/>
    <x v="0"/>
    <n v="23"/>
    <n v="4"/>
    <s v="Outstanding"/>
    <n v="2"/>
    <s v="Medium"/>
    <n v="0"/>
    <n v="11"/>
    <n v="2"/>
    <n v="4"/>
    <s v="Very High"/>
    <n v="1"/>
    <n v="0"/>
    <n v="0"/>
    <n v="0"/>
  </r>
  <r>
    <n v="31"/>
    <x v="2"/>
    <x v="0"/>
    <x v="1"/>
    <n v="1445"/>
    <x v="1"/>
    <n v="1"/>
    <x v="0"/>
    <n v="5"/>
    <s v="Doctor"/>
    <s v="Life Sciences"/>
    <n v="1459"/>
    <n v="3"/>
    <x v="1"/>
    <s v="Female"/>
    <n v="100"/>
    <n v="4"/>
    <s v="Very High"/>
    <n v="3"/>
    <x v="2"/>
    <x v="3"/>
    <n v="2"/>
    <s v="Medium"/>
    <x v="0"/>
    <n v="7446"/>
    <n v="8931"/>
    <n v="1"/>
    <x v="1"/>
    <n v="11"/>
    <n v="3"/>
    <s v="Excellent"/>
    <n v="1"/>
    <s v="Low"/>
    <n v="0"/>
    <n v="10"/>
    <n v="2"/>
    <n v="3"/>
    <s v="High"/>
    <n v="10"/>
    <n v="8"/>
    <n v="4"/>
    <n v="7"/>
  </r>
  <r>
    <n v="45"/>
    <x v="0"/>
    <x v="1"/>
    <x v="0"/>
    <n v="1038"/>
    <x v="1"/>
    <n v="20"/>
    <x v="2"/>
    <n v="3"/>
    <s v="Bachelor"/>
    <s v="Medical"/>
    <n v="1460"/>
    <n v="2"/>
    <x v="0"/>
    <s v="Male"/>
    <n v="95"/>
    <n v="1"/>
    <s v="Low"/>
    <n v="3"/>
    <x v="2"/>
    <x v="4"/>
    <n v="1"/>
    <s v="Low"/>
    <x v="2"/>
    <n v="10851"/>
    <n v="19863"/>
    <n v="2"/>
    <x v="0"/>
    <n v="18"/>
    <n v="3"/>
    <s v="Excellent"/>
    <n v="2"/>
    <s v="Medium"/>
    <n v="1"/>
    <n v="24"/>
    <n v="2"/>
    <n v="3"/>
    <s v="High"/>
    <n v="7"/>
    <n v="7"/>
    <n v="0"/>
    <n v="7"/>
  </r>
  <r>
    <n v="31"/>
    <x v="2"/>
    <x v="1"/>
    <x v="0"/>
    <n v="1398"/>
    <x v="2"/>
    <n v="8"/>
    <x v="0"/>
    <n v="2"/>
    <s v="College"/>
    <s v="Medical"/>
    <n v="1461"/>
    <n v="4"/>
    <x v="3"/>
    <s v="Female"/>
    <n v="96"/>
    <n v="4"/>
    <s v="Very High"/>
    <n v="1"/>
    <x v="1"/>
    <x v="8"/>
    <n v="2"/>
    <s v="Medium"/>
    <x v="0"/>
    <n v="2109"/>
    <n v="24609"/>
    <n v="9"/>
    <x v="1"/>
    <n v="18"/>
    <n v="3"/>
    <s v="Excellent"/>
    <n v="4"/>
    <s v="Very High"/>
    <n v="0"/>
    <n v="8"/>
    <n v="3"/>
    <n v="3"/>
    <s v="High"/>
    <n v="3"/>
    <n v="2"/>
    <n v="0"/>
    <n v="2"/>
  </r>
  <r>
    <n v="31"/>
    <x v="2"/>
    <x v="0"/>
    <x v="1"/>
    <n v="523"/>
    <x v="1"/>
    <n v="2"/>
    <x v="0"/>
    <n v="3"/>
    <s v="Bachelor"/>
    <s v="Life Sciences"/>
    <n v="1464"/>
    <n v="2"/>
    <x v="0"/>
    <s v="Male"/>
    <n v="94"/>
    <n v="3"/>
    <s v="High"/>
    <n v="1"/>
    <x v="1"/>
    <x v="2"/>
    <n v="4"/>
    <s v="Very High"/>
    <x v="1"/>
    <n v="3722"/>
    <n v="21081"/>
    <n v="6"/>
    <x v="0"/>
    <n v="13"/>
    <n v="3"/>
    <s v="Excellent"/>
    <n v="3"/>
    <s v="High"/>
    <n v="1"/>
    <n v="7"/>
    <n v="2"/>
    <n v="1"/>
    <s v="Low"/>
    <n v="2"/>
    <n v="2"/>
    <n v="2"/>
    <n v="2"/>
  </r>
  <r>
    <n v="45"/>
    <x v="0"/>
    <x v="1"/>
    <x v="0"/>
    <n v="1448"/>
    <x v="1"/>
    <n v="29"/>
    <x v="1"/>
    <n v="3"/>
    <s v="Bachelor"/>
    <s v="Technical Degree"/>
    <n v="1465"/>
    <n v="2"/>
    <x v="0"/>
    <s v="Male"/>
    <n v="55"/>
    <n v="3"/>
    <s v="High"/>
    <n v="3"/>
    <x v="2"/>
    <x v="3"/>
    <n v="4"/>
    <s v="Very High"/>
    <x v="1"/>
    <n v="9380"/>
    <n v="14720"/>
    <n v="4"/>
    <x v="0"/>
    <n v="18"/>
    <n v="3"/>
    <s v="Excellent"/>
    <n v="4"/>
    <s v="Very High"/>
    <n v="2"/>
    <n v="10"/>
    <n v="4"/>
    <n v="4"/>
    <s v="Very High"/>
    <n v="3"/>
    <n v="1"/>
    <n v="1"/>
    <n v="2"/>
  </r>
  <r>
    <n v="48"/>
    <x v="1"/>
    <x v="1"/>
    <x v="0"/>
    <n v="1221"/>
    <x v="0"/>
    <n v="7"/>
    <x v="0"/>
    <n v="3"/>
    <s v="Bachelor"/>
    <s v="Marketing"/>
    <n v="1466"/>
    <n v="3"/>
    <x v="1"/>
    <s v="Male"/>
    <n v="96"/>
    <n v="3"/>
    <s v="High"/>
    <n v="2"/>
    <x v="0"/>
    <x v="0"/>
    <n v="1"/>
    <s v="Low"/>
    <x v="2"/>
    <n v="5486"/>
    <n v="24795"/>
    <n v="4"/>
    <x v="1"/>
    <n v="11"/>
    <n v="3"/>
    <s v="Excellent"/>
    <n v="1"/>
    <s v="Low"/>
    <n v="3"/>
    <n v="15"/>
    <n v="3"/>
    <n v="3"/>
    <s v="High"/>
    <n v="2"/>
    <n v="2"/>
    <n v="2"/>
    <n v="2"/>
  </r>
  <r>
    <n v="34"/>
    <x v="2"/>
    <x v="0"/>
    <x v="0"/>
    <n v="1107"/>
    <x v="2"/>
    <n v="9"/>
    <x v="0"/>
    <n v="4"/>
    <s v="Master"/>
    <s v="Technical Degree"/>
    <n v="1467"/>
    <n v="1"/>
    <x v="2"/>
    <s v="Female"/>
    <n v="52"/>
    <n v="3"/>
    <s v="High"/>
    <n v="1"/>
    <x v="1"/>
    <x v="8"/>
    <n v="3"/>
    <s v="High"/>
    <x v="1"/>
    <n v="2742"/>
    <n v="3072"/>
    <n v="1"/>
    <x v="1"/>
    <n v="15"/>
    <n v="3"/>
    <s v="Excellent"/>
    <n v="4"/>
    <s v="Very High"/>
    <n v="0"/>
    <n v="2"/>
    <n v="0"/>
    <n v="3"/>
    <s v="High"/>
    <n v="2"/>
    <n v="2"/>
    <n v="2"/>
    <n v="2"/>
  </r>
  <r>
    <n v="40"/>
    <x v="0"/>
    <x v="1"/>
    <x v="2"/>
    <n v="218"/>
    <x v="1"/>
    <n v="8"/>
    <x v="0"/>
    <n v="1"/>
    <s v="Below College"/>
    <s v="Medical"/>
    <n v="1468"/>
    <n v="4"/>
    <x v="3"/>
    <s v="Male"/>
    <n v="55"/>
    <n v="2"/>
    <s v="Medium"/>
    <n v="3"/>
    <x v="2"/>
    <x v="7"/>
    <n v="2"/>
    <s v="Medium"/>
    <x v="2"/>
    <n v="13757"/>
    <n v="25178"/>
    <n v="2"/>
    <x v="1"/>
    <n v="11"/>
    <n v="3"/>
    <s v="Excellent"/>
    <n v="3"/>
    <s v="High"/>
    <n v="1"/>
    <n v="16"/>
    <n v="5"/>
    <n v="3"/>
    <s v="High"/>
    <n v="9"/>
    <n v="8"/>
    <n v="4"/>
    <n v="8"/>
  </r>
  <r>
    <n v="28"/>
    <x v="2"/>
    <x v="1"/>
    <x v="0"/>
    <n v="866"/>
    <x v="0"/>
    <n v="5"/>
    <x v="0"/>
    <n v="3"/>
    <s v="Bachelor"/>
    <s v="Medical"/>
    <n v="1469"/>
    <n v="4"/>
    <x v="3"/>
    <s v="Male"/>
    <n v="84"/>
    <n v="3"/>
    <s v="High"/>
    <n v="2"/>
    <x v="0"/>
    <x v="0"/>
    <n v="1"/>
    <s v="Low"/>
    <x v="0"/>
    <n v="8463"/>
    <n v="23490"/>
    <n v="0"/>
    <x v="1"/>
    <n v="18"/>
    <n v="3"/>
    <s v="Excellent"/>
    <n v="4"/>
    <s v="Very High"/>
    <n v="0"/>
    <n v="6"/>
    <n v="4"/>
    <n v="3"/>
    <s v="High"/>
    <n v="5"/>
    <n v="4"/>
    <n v="1"/>
    <n v="3"/>
  </r>
  <r>
    <n v="44"/>
    <x v="0"/>
    <x v="1"/>
    <x v="2"/>
    <n v="981"/>
    <x v="1"/>
    <n v="5"/>
    <x v="0"/>
    <n v="3"/>
    <s v="Bachelor"/>
    <s v="Life Sciences"/>
    <n v="1471"/>
    <n v="3"/>
    <x v="1"/>
    <s v="Male"/>
    <n v="90"/>
    <n v="2"/>
    <s v="Medium"/>
    <n v="1"/>
    <x v="1"/>
    <x v="2"/>
    <n v="3"/>
    <s v="High"/>
    <x v="0"/>
    <n v="3162"/>
    <n v="7973"/>
    <n v="3"/>
    <x v="1"/>
    <n v="14"/>
    <n v="3"/>
    <s v="Excellent"/>
    <n v="4"/>
    <s v="Very High"/>
    <n v="0"/>
    <n v="7"/>
    <n v="5"/>
    <n v="3"/>
    <s v="High"/>
    <n v="5"/>
    <n v="2"/>
    <n v="0"/>
    <n v="3"/>
  </r>
  <r>
    <n v="53"/>
    <x v="1"/>
    <x v="1"/>
    <x v="0"/>
    <n v="447"/>
    <x v="1"/>
    <n v="2"/>
    <x v="0"/>
    <n v="3"/>
    <s v="Bachelor"/>
    <s v="Medical"/>
    <n v="1472"/>
    <n v="4"/>
    <x v="3"/>
    <s v="Male"/>
    <n v="39"/>
    <n v="4"/>
    <s v="Very High"/>
    <n v="4"/>
    <x v="3"/>
    <x v="7"/>
    <n v="2"/>
    <s v="Medium"/>
    <x v="0"/>
    <n v="16598"/>
    <n v="19764"/>
    <n v="4"/>
    <x v="1"/>
    <n v="12"/>
    <n v="3"/>
    <s v="Excellent"/>
    <n v="2"/>
    <s v="Medium"/>
    <n v="0"/>
    <n v="35"/>
    <n v="2"/>
    <n v="2"/>
    <s v="Medium"/>
    <n v="9"/>
    <n v="8"/>
    <n v="8"/>
    <n v="8"/>
  </r>
  <r>
    <n v="49"/>
    <x v="1"/>
    <x v="1"/>
    <x v="0"/>
    <n v="1495"/>
    <x v="1"/>
    <n v="5"/>
    <x v="0"/>
    <n v="4"/>
    <s v="Master"/>
    <s v="Technical Degree"/>
    <n v="1473"/>
    <n v="1"/>
    <x v="2"/>
    <s v="Male"/>
    <n v="96"/>
    <n v="3"/>
    <s v="High"/>
    <n v="2"/>
    <x v="0"/>
    <x v="4"/>
    <n v="3"/>
    <s v="High"/>
    <x v="1"/>
    <n v="6651"/>
    <n v="21534"/>
    <n v="2"/>
    <x v="1"/>
    <n v="14"/>
    <n v="3"/>
    <s v="Excellent"/>
    <n v="2"/>
    <s v="Medium"/>
    <n v="1"/>
    <n v="20"/>
    <n v="0"/>
    <n v="2"/>
    <s v="Medium"/>
    <n v="3"/>
    <n v="2"/>
    <n v="1"/>
    <n v="2"/>
  </r>
  <r>
    <n v="40"/>
    <x v="0"/>
    <x v="1"/>
    <x v="0"/>
    <n v="896"/>
    <x v="1"/>
    <n v="2"/>
    <x v="0"/>
    <n v="3"/>
    <s v="Bachelor"/>
    <s v="Medical"/>
    <n v="1474"/>
    <n v="3"/>
    <x v="1"/>
    <s v="Male"/>
    <n v="68"/>
    <n v="3"/>
    <s v="High"/>
    <n v="1"/>
    <x v="1"/>
    <x v="1"/>
    <n v="3"/>
    <s v="High"/>
    <x v="2"/>
    <n v="2345"/>
    <n v="8045"/>
    <n v="2"/>
    <x v="1"/>
    <n v="14"/>
    <n v="3"/>
    <s v="Excellent"/>
    <n v="3"/>
    <s v="High"/>
    <n v="1"/>
    <n v="8"/>
    <n v="3"/>
    <n v="4"/>
    <s v="Very High"/>
    <n v="3"/>
    <n v="1"/>
    <n v="1"/>
    <n v="2"/>
  </r>
  <r>
    <n v="44"/>
    <x v="0"/>
    <x v="1"/>
    <x v="0"/>
    <n v="1467"/>
    <x v="1"/>
    <n v="20"/>
    <x v="2"/>
    <n v="3"/>
    <s v="Bachelor"/>
    <s v="Life Sciences"/>
    <n v="1475"/>
    <n v="4"/>
    <x v="3"/>
    <s v="Male"/>
    <n v="49"/>
    <n v="3"/>
    <s v="High"/>
    <n v="1"/>
    <x v="1"/>
    <x v="1"/>
    <n v="2"/>
    <s v="Medium"/>
    <x v="0"/>
    <n v="3420"/>
    <n v="21158"/>
    <n v="1"/>
    <x v="1"/>
    <n v="13"/>
    <n v="3"/>
    <s v="Excellent"/>
    <n v="3"/>
    <s v="High"/>
    <n v="0"/>
    <n v="6"/>
    <n v="3"/>
    <n v="2"/>
    <s v="Medium"/>
    <n v="5"/>
    <n v="2"/>
    <n v="1"/>
    <n v="3"/>
  </r>
  <r>
    <n v="33"/>
    <x v="2"/>
    <x v="1"/>
    <x v="1"/>
    <n v="430"/>
    <x v="0"/>
    <n v="7"/>
    <x v="0"/>
    <n v="3"/>
    <s v="Bachelor"/>
    <s v="Medical"/>
    <n v="1477"/>
    <n v="4"/>
    <x v="3"/>
    <s v="Male"/>
    <n v="54"/>
    <n v="3"/>
    <s v="High"/>
    <n v="2"/>
    <x v="0"/>
    <x v="0"/>
    <n v="1"/>
    <s v="Low"/>
    <x v="1"/>
    <n v="4373"/>
    <n v="17456"/>
    <n v="0"/>
    <x v="1"/>
    <n v="14"/>
    <n v="3"/>
    <s v="Excellent"/>
    <n v="1"/>
    <s v="Low"/>
    <n v="2"/>
    <n v="5"/>
    <n v="2"/>
    <n v="3"/>
    <s v="High"/>
    <n v="4"/>
    <n v="3"/>
    <n v="0"/>
    <n v="3"/>
  </r>
  <r>
    <n v="34"/>
    <x v="2"/>
    <x v="1"/>
    <x v="0"/>
    <n v="1326"/>
    <x v="0"/>
    <n v="3"/>
    <x v="0"/>
    <n v="3"/>
    <s v="Bachelor"/>
    <s v="Other"/>
    <n v="1478"/>
    <n v="4"/>
    <x v="3"/>
    <s v="Male"/>
    <n v="81"/>
    <n v="1"/>
    <s v="Low"/>
    <n v="2"/>
    <x v="0"/>
    <x v="0"/>
    <n v="1"/>
    <s v="Low"/>
    <x v="0"/>
    <n v="4759"/>
    <n v="15891"/>
    <n v="3"/>
    <x v="1"/>
    <n v="18"/>
    <n v="3"/>
    <s v="Excellent"/>
    <n v="4"/>
    <s v="Very High"/>
    <n v="0"/>
    <n v="15"/>
    <n v="2"/>
    <n v="3"/>
    <s v="High"/>
    <n v="13"/>
    <n v="9"/>
    <n v="3"/>
    <n v="12"/>
  </r>
  <r>
    <n v="30"/>
    <x v="2"/>
    <x v="1"/>
    <x v="0"/>
    <n v="1358"/>
    <x v="0"/>
    <n v="16"/>
    <x v="2"/>
    <n v="1"/>
    <s v="Below College"/>
    <s v="Life Sciences"/>
    <n v="1479"/>
    <n v="4"/>
    <x v="3"/>
    <s v="Male"/>
    <n v="96"/>
    <n v="3"/>
    <s v="High"/>
    <n v="2"/>
    <x v="0"/>
    <x v="0"/>
    <n v="3"/>
    <s v="High"/>
    <x v="1"/>
    <n v="5301"/>
    <n v="2939"/>
    <n v="8"/>
    <x v="1"/>
    <n v="15"/>
    <n v="3"/>
    <s v="Excellent"/>
    <n v="3"/>
    <s v="High"/>
    <n v="2"/>
    <n v="4"/>
    <n v="2"/>
    <n v="2"/>
    <s v="Medium"/>
    <n v="2"/>
    <n v="1"/>
    <n v="2"/>
    <n v="2"/>
  </r>
  <r>
    <n v="42"/>
    <x v="0"/>
    <x v="1"/>
    <x v="1"/>
    <n v="748"/>
    <x v="1"/>
    <n v="9"/>
    <x v="0"/>
    <n v="2"/>
    <s v="College"/>
    <s v="Medical"/>
    <n v="1480"/>
    <n v="1"/>
    <x v="2"/>
    <s v="Female"/>
    <n v="74"/>
    <n v="3"/>
    <s v="High"/>
    <n v="1"/>
    <x v="1"/>
    <x v="2"/>
    <n v="4"/>
    <s v="Very High"/>
    <x v="0"/>
    <n v="3673"/>
    <n v="16458"/>
    <n v="1"/>
    <x v="1"/>
    <n v="13"/>
    <n v="3"/>
    <s v="Excellent"/>
    <n v="3"/>
    <s v="High"/>
    <n v="0"/>
    <n v="12"/>
    <n v="3"/>
    <n v="3"/>
    <s v="High"/>
    <n v="12"/>
    <n v="9"/>
    <n v="5"/>
    <n v="8"/>
  </r>
  <r>
    <n v="44"/>
    <x v="0"/>
    <x v="1"/>
    <x v="1"/>
    <n v="383"/>
    <x v="0"/>
    <n v="1"/>
    <x v="0"/>
    <n v="5"/>
    <s v="Doctor"/>
    <s v="Marketing"/>
    <n v="1481"/>
    <n v="1"/>
    <x v="2"/>
    <s v="Female"/>
    <n v="79"/>
    <n v="3"/>
    <s v="High"/>
    <n v="2"/>
    <x v="0"/>
    <x v="0"/>
    <n v="3"/>
    <s v="High"/>
    <x v="1"/>
    <n v="4768"/>
    <n v="9282"/>
    <n v="7"/>
    <x v="1"/>
    <n v="12"/>
    <n v="3"/>
    <s v="Excellent"/>
    <n v="3"/>
    <s v="High"/>
    <n v="1"/>
    <n v="11"/>
    <n v="4"/>
    <n v="2"/>
    <s v="Medium"/>
    <n v="1"/>
    <n v="0"/>
    <n v="0"/>
    <n v="0"/>
  </r>
  <r>
    <n v="30"/>
    <x v="2"/>
    <x v="1"/>
    <x v="2"/>
    <n v="990"/>
    <x v="1"/>
    <n v="7"/>
    <x v="0"/>
    <n v="3"/>
    <s v="Bachelor"/>
    <s v="Technical Degree"/>
    <n v="1482"/>
    <n v="3"/>
    <x v="1"/>
    <s v="Male"/>
    <n v="64"/>
    <n v="3"/>
    <s v="High"/>
    <n v="1"/>
    <x v="1"/>
    <x v="1"/>
    <n v="3"/>
    <s v="High"/>
    <x v="2"/>
    <n v="1274"/>
    <n v="7152"/>
    <n v="1"/>
    <x v="1"/>
    <n v="13"/>
    <n v="3"/>
    <s v="Excellent"/>
    <n v="2"/>
    <s v="Medium"/>
    <n v="2"/>
    <n v="1"/>
    <n v="2"/>
    <n v="2"/>
    <s v="Medium"/>
    <n v="1"/>
    <n v="0"/>
    <n v="0"/>
    <n v="0"/>
  </r>
  <r>
    <n v="57"/>
    <x v="3"/>
    <x v="1"/>
    <x v="0"/>
    <n v="405"/>
    <x v="1"/>
    <n v="1"/>
    <x v="0"/>
    <n v="2"/>
    <s v="College"/>
    <s v="Life Sciences"/>
    <n v="1483"/>
    <n v="2"/>
    <x v="0"/>
    <s v="Male"/>
    <n v="93"/>
    <n v="4"/>
    <s v="Very High"/>
    <n v="2"/>
    <x v="0"/>
    <x v="1"/>
    <n v="3"/>
    <s v="High"/>
    <x v="1"/>
    <n v="4900"/>
    <n v="2721"/>
    <n v="0"/>
    <x v="1"/>
    <n v="24"/>
    <n v="4"/>
    <s v="Outstanding"/>
    <n v="1"/>
    <s v="Low"/>
    <n v="1"/>
    <n v="13"/>
    <n v="2"/>
    <n v="2"/>
    <s v="Medium"/>
    <n v="12"/>
    <n v="9"/>
    <n v="2"/>
    <n v="8"/>
  </r>
  <r>
    <n v="49"/>
    <x v="1"/>
    <x v="1"/>
    <x v="0"/>
    <n v="1490"/>
    <x v="1"/>
    <n v="7"/>
    <x v="0"/>
    <n v="4"/>
    <s v="Master"/>
    <s v="Life Sciences"/>
    <n v="1484"/>
    <n v="3"/>
    <x v="1"/>
    <s v="Male"/>
    <n v="35"/>
    <n v="3"/>
    <s v="High"/>
    <n v="3"/>
    <x v="2"/>
    <x v="4"/>
    <n v="2"/>
    <s v="Medium"/>
    <x v="2"/>
    <n v="10466"/>
    <n v="20948"/>
    <n v="3"/>
    <x v="1"/>
    <n v="14"/>
    <n v="3"/>
    <s v="Excellent"/>
    <n v="2"/>
    <s v="Medium"/>
    <n v="2"/>
    <n v="29"/>
    <n v="3"/>
    <n v="3"/>
    <s v="High"/>
    <n v="8"/>
    <n v="7"/>
    <n v="0"/>
    <n v="7"/>
  </r>
  <r>
    <n v="34"/>
    <x v="2"/>
    <x v="1"/>
    <x v="1"/>
    <n v="829"/>
    <x v="1"/>
    <n v="15"/>
    <x v="2"/>
    <n v="3"/>
    <s v="Bachelor"/>
    <s v="Medical"/>
    <n v="1485"/>
    <n v="2"/>
    <x v="0"/>
    <s v="Male"/>
    <n v="71"/>
    <n v="3"/>
    <s v="High"/>
    <n v="4"/>
    <x v="3"/>
    <x v="7"/>
    <n v="1"/>
    <s v="Low"/>
    <x v="2"/>
    <n v="17007"/>
    <n v="11929"/>
    <n v="7"/>
    <x v="1"/>
    <n v="14"/>
    <n v="3"/>
    <s v="Excellent"/>
    <n v="4"/>
    <s v="Very High"/>
    <n v="2"/>
    <n v="16"/>
    <n v="3"/>
    <n v="2"/>
    <s v="Medium"/>
    <n v="14"/>
    <n v="8"/>
    <n v="6"/>
    <n v="9"/>
  </r>
  <r>
    <n v="28"/>
    <x v="2"/>
    <x v="0"/>
    <x v="1"/>
    <n v="1496"/>
    <x v="0"/>
    <n v="1"/>
    <x v="0"/>
    <n v="3"/>
    <s v="Bachelor"/>
    <s v="Technical Degree"/>
    <n v="1486"/>
    <n v="1"/>
    <x v="2"/>
    <s v="Male"/>
    <n v="92"/>
    <n v="3"/>
    <s v="High"/>
    <n v="1"/>
    <x v="1"/>
    <x v="6"/>
    <n v="3"/>
    <s v="High"/>
    <x v="1"/>
    <n v="2909"/>
    <n v="15747"/>
    <n v="3"/>
    <x v="1"/>
    <n v="15"/>
    <n v="3"/>
    <s v="Excellent"/>
    <n v="4"/>
    <s v="Very High"/>
    <n v="1"/>
    <n v="5"/>
    <n v="3"/>
    <n v="4"/>
    <s v="Very High"/>
    <n v="3"/>
    <n v="2"/>
    <n v="1"/>
    <n v="2"/>
  </r>
  <r>
    <n v="29"/>
    <x v="2"/>
    <x v="0"/>
    <x v="1"/>
    <n v="115"/>
    <x v="0"/>
    <n v="13"/>
    <x v="2"/>
    <n v="3"/>
    <s v="Bachelor"/>
    <s v="Technical Degree"/>
    <n v="1487"/>
    <n v="1"/>
    <x v="2"/>
    <s v="Female"/>
    <n v="51"/>
    <n v="3"/>
    <s v="High"/>
    <n v="2"/>
    <x v="0"/>
    <x v="0"/>
    <n v="2"/>
    <s v="Medium"/>
    <x v="0"/>
    <n v="5765"/>
    <n v="17485"/>
    <n v="5"/>
    <x v="1"/>
    <n v="11"/>
    <n v="3"/>
    <s v="Excellent"/>
    <n v="1"/>
    <s v="Low"/>
    <n v="0"/>
    <n v="7"/>
    <n v="4"/>
    <n v="1"/>
    <s v="Low"/>
    <n v="5"/>
    <n v="3"/>
    <n v="0"/>
    <n v="0"/>
  </r>
  <r>
    <n v="34"/>
    <x v="2"/>
    <x v="0"/>
    <x v="0"/>
    <n v="790"/>
    <x v="0"/>
    <n v="24"/>
    <x v="1"/>
    <n v="4"/>
    <s v="Master"/>
    <s v="Medical"/>
    <n v="1489"/>
    <n v="1"/>
    <x v="2"/>
    <s v="Female"/>
    <n v="40"/>
    <n v="2"/>
    <s v="Medium"/>
    <n v="2"/>
    <x v="0"/>
    <x v="0"/>
    <n v="2"/>
    <s v="Medium"/>
    <x v="0"/>
    <n v="4599"/>
    <n v="7815"/>
    <n v="0"/>
    <x v="0"/>
    <n v="23"/>
    <n v="4"/>
    <s v="Outstanding"/>
    <n v="3"/>
    <s v="High"/>
    <n v="0"/>
    <n v="16"/>
    <n v="2"/>
    <n v="4"/>
    <s v="Very High"/>
    <n v="15"/>
    <n v="9"/>
    <n v="10"/>
    <n v="10"/>
  </r>
  <r>
    <n v="35"/>
    <x v="2"/>
    <x v="1"/>
    <x v="0"/>
    <n v="660"/>
    <x v="0"/>
    <n v="7"/>
    <x v="0"/>
    <n v="1"/>
    <s v="Below College"/>
    <s v="Life Sciences"/>
    <n v="1492"/>
    <n v="4"/>
    <x v="3"/>
    <s v="Male"/>
    <n v="76"/>
    <n v="3"/>
    <s v="High"/>
    <n v="1"/>
    <x v="1"/>
    <x v="6"/>
    <n v="3"/>
    <s v="High"/>
    <x v="1"/>
    <n v="2404"/>
    <n v="16192"/>
    <n v="1"/>
    <x v="1"/>
    <n v="13"/>
    <n v="3"/>
    <s v="Excellent"/>
    <n v="1"/>
    <s v="Low"/>
    <n v="1"/>
    <n v="1"/>
    <n v="3"/>
    <n v="3"/>
    <s v="High"/>
    <n v="1"/>
    <n v="0"/>
    <n v="0"/>
    <n v="0"/>
  </r>
  <r>
    <n v="24"/>
    <x v="4"/>
    <x v="0"/>
    <x v="1"/>
    <n v="381"/>
    <x v="1"/>
    <n v="9"/>
    <x v="0"/>
    <n v="3"/>
    <s v="Bachelor"/>
    <s v="Medical"/>
    <n v="1494"/>
    <n v="2"/>
    <x v="0"/>
    <s v="Male"/>
    <n v="89"/>
    <n v="3"/>
    <s v="High"/>
    <n v="1"/>
    <x v="1"/>
    <x v="2"/>
    <n v="1"/>
    <s v="Low"/>
    <x v="0"/>
    <n v="3172"/>
    <n v="16998"/>
    <n v="2"/>
    <x v="0"/>
    <n v="11"/>
    <n v="3"/>
    <s v="Excellent"/>
    <n v="3"/>
    <s v="High"/>
    <n v="0"/>
    <n v="4"/>
    <n v="2"/>
    <n v="2"/>
    <s v="Medium"/>
    <n v="0"/>
    <n v="0"/>
    <n v="0"/>
    <n v="0"/>
  </r>
  <r>
    <n v="24"/>
    <x v="4"/>
    <x v="1"/>
    <x v="2"/>
    <n v="830"/>
    <x v="0"/>
    <n v="13"/>
    <x v="2"/>
    <n v="2"/>
    <s v="College"/>
    <s v="Life Sciences"/>
    <n v="1495"/>
    <n v="4"/>
    <x v="3"/>
    <s v="Female"/>
    <n v="78"/>
    <n v="3"/>
    <s v="High"/>
    <n v="1"/>
    <x v="1"/>
    <x v="6"/>
    <n v="2"/>
    <s v="Medium"/>
    <x v="1"/>
    <n v="2033"/>
    <n v="7103"/>
    <n v="1"/>
    <x v="1"/>
    <n v="13"/>
    <n v="3"/>
    <s v="Excellent"/>
    <n v="3"/>
    <s v="High"/>
    <n v="1"/>
    <n v="1"/>
    <n v="2"/>
    <n v="3"/>
    <s v="High"/>
    <n v="1"/>
    <n v="0"/>
    <n v="0"/>
    <n v="0"/>
  </r>
  <r>
    <n v="44"/>
    <x v="0"/>
    <x v="1"/>
    <x v="1"/>
    <n v="1193"/>
    <x v="1"/>
    <n v="2"/>
    <x v="0"/>
    <n v="1"/>
    <s v="Below College"/>
    <s v="Medical"/>
    <n v="1496"/>
    <n v="2"/>
    <x v="0"/>
    <s v="Male"/>
    <n v="86"/>
    <n v="3"/>
    <s v="High"/>
    <n v="3"/>
    <x v="2"/>
    <x v="3"/>
    <n v="3"/>
    <s v="High"/>
    <x v="0"/>
    <n v="10209"/>
    <n v="19719"/>
    <n v="5"/>
    <x v="0"/>
    <n v="18"/>
    <n v="3"/>
    <s v="Excellent"/>
    <n v="2"/>
    <s v="Medium"/>
    <n v="0"/>
    <n v="16"/>
    <n v="2"/>
    <n v="2"/>
    <s v="Medium"/>
    <n v="2"/>
    <n v="2"/>
    <n v="2"/>
    <n v="2"/>
  </r>
  <r>
    <n v="29"/>
    <x v="2"/>
    <x v="1"/>
    <x v="0"/>
    <n v="1246"/>
    <x v="0"/>
    <n v="19"/>
    <x v="2"/>
    <n v="3"/>
    <s v="Bachelor"/>
    <s v="Life Sciences"/>
    <n v="1497"/>
    <n v="3"/>
    <x v="1"/>
    <s v="Male"/>
    <n v="77"/>
    <n v="2"/>
    <s v="Medium"/>
    <n v="2"/>
    <x v="0"/>
    <x v="0"/>
    <n v="3"/>
    <s v="High"/>
    <x v="2"/>
    <n v="8620"/>
    <n v="23757"/>
    <n v="1"/>
    <x v="1"/>
    <n v="14"/>
    <n v="3"/>
    <s v="Excellent"/>
    <n v="3"/>
    <s v="High"/>
    <n v="2"/>
    <n v="10"/>
    <n v="3"/>
    <n v="3"/>
    <s v="High"/>
    <n v="10"/>
    <n v="7"/>
    <n v="0"/>
    <n v="4"/>
  </r>
  <r>
    <n v="30"/>
    <x v="2"/>
    <x v="1"/>
    <x v="0"/>
    <n v="330"/>
    <x v="2"/>
    <n v="1"/>
    <x v="0"/>
    <n v="3"/>
    <s v="Bachelor"/>
    <s v="Life Sciences"/>
    <n v="1499"/>
    <n v="3"/>
    <x v="1"/>
    <s v="Male"/>
    <n v="46"/>
    <n v="3"/>
    <s v="High"/>
    <n v="1"/>
    <x v="1"/>
    <x v="8"/>
    <n v="3"/>
    <s v="High"/>
    <x v="2"/>
    <n v="2064"/>
    <n v="15428"/>
    <n v="0"/>
    <x v="1"/>
    <n v="21"/>
    <n v="4"/>
    <s v="Outstanding"/>
    <n v="1"/>
    <s v="Low"/>
    <n v="1"/>
    <n v="6"/>
    <n v="3"/>
    <n v="4"/>
    <s v="Very High"/>
    <n v="5"/>
    <n v="3"/>
    <n v="1"/>
    <n v="3"/>
  </r>
  <r>
    <n v="55"/>
    <x v="1"/>
    <x v="1"/>
    <x v="0"/>
    <n v="1229"/>
    <x v="1"/>
    <n v="4"/>
    <x v="0"/>
    <n v="4"/>
    <s v="Master"/>
    <s v="Life Sciences"/>
    <n v="1501"/>
    <n v="4"/>
    <x v="3"/>
    <s v="Male"/>
    <n v="30"/>
    <n v="3"/>
    <s v="High"/>
    <n v="2"/>
    <x v="0"/>
    <x v="4"/>
    <n v="3"/>
    <s v="High"/>
    <x v="1"/>
    <n v="4035"/>
    <n v="16143"/>
    <n v="0"/>
    <x v="0"/>
    <n v="16"/>
    <n v="3"/>
    <s v="Excellent"/>
    <n v="2"/>
    <s v="Medium"/>
    <n v="0"/>
    <n v="4"/>
    <n v="2"/>
    <n v="3"/>
    <s v="High"/>
    <n v="3"/>
    <n v="2"/>
    <n v="1"/>
    <n v="2"/>
  </r>
  <r>
    <n v="33"/>
    <x v="2"/>
    <x v="1"/>
    <x v="0"/>
    <n v="1099"/>
    <x v="1"/>
    <n v="4"/>
    <x v="0"/>
    <n v="4"/>
    <s v="Master"/>
    <s v="Medical"/>
    <n v="1502"/>
    <n v="1"/>
    <x v="2"/>
    <s v="Female"/>
    <n v="82"/>
    <n v="2"/>
    <s v="Medium"/>
    <n v="1"/>
    <x v="1"/>
    <x v="2"/>
    <n v="2"/>
    <s v="Medium"/>
    <x v="1"/>
    <n v="3838"/>
    <n v="8192"/>
    <n v="8"/>
    <x v="1"/>
    <n v="11"/>
    <n v="3"/>
    <s v="Excellent"/>
    <n v="4"/>
    <s v="Very High"/>
    <n v="0"/>
    <n v="8"/>
    <n v="5"/>
    <n v="3"/>
    <s v="High"/>
    <n v="5"/>
    <n v="4"/>
    <n v="0"/>
    <n v="2"/>
  </r>
  <r>
    <n v="47"/>
    <x v="1"/>
    <x v="1"/>
    <x v="0"/>
    <n v="571"/>
    <x v="0"/>
    <n v="14"/>
    <x v="2"/>
    <n v="3"/>
    <s v="Bachelor"/>
    <s v="Medical"/>
    <n v="1503"/>
    <n v="3"/>
    <x v="1"/>
    <s v="Female"/>
    <n v="78"/>
    <n v="3"/>
    <s v="High"/>
    <n v="2"/>
    <x v="0"/>
    <x v="0"/>
    <n v="3"/>
    <s v="High"/>
    <x v="1"/>
    <n v="4591"/>
    <n v="24200"/>
    <n v="3"/>
    <x v="0"/>
    <n v="17"/>
    <n v="3"/>
    <s v="Excellent"/>
    <n v="3"/>
    <s v="High"/>
    <n v="1"/>
    <n v="11"/>
    <n v="4"/>
    <n v="2"/>
    <s v="Medium"/>
    <n v="5"/>
    <n v="4"/>
    <n v="1"/>
    <n v="2"/>
  </r>
  <r>
    <n v="28"/>
    <x v="2"/>
    <x v="0"/>
    <x v="1"/>
    <n v="289"/>
    <x v="1"/>
    <n v="2"/>
    <x v="0"/>
    <n v="2"/>
    <s v="College"/>
    <s v="Medical"/>
    <n v="1504"/>
    <n v="3"/>
    <x v="1"/>
    <s v="Male"/>
    <n v="38"/>
    <n v="2"/>
    <s v="Medium"/>
    <n v="1"/>
    <x v="1"/>
    <x v="2"/>
    <n v="1"/>
    <s v="Low"/>
    <x v="0"/>
    <n v="2561"/>
    <n v="5355"/>
    <n v="7"/>
    <x v="1"/>
    <n v="11"/>
    <n v="3"/>
    <s v="Excellent"/>
    <n v="3"/>
    <s v="High"/>
    <n v="0"/>
    <n v="8"/>
    <n v="2"/>
    <n v="2"/>
    <s v="Medium"/>
    <n v="0"/>
    <n v="0"/>
    <n v="0"/>
    <n v="0"/>
  </r>
  <r>
    <n v="28"/>
    <x v="2"/>
    <x v="1"/>
    <x v="0"/>
    <n v="1423"/>
    <x v="1"/>
    <n v="1"/>
    <x v="0"/>
    <n v="3"/>
    <s v="Bachelor"/>
    <s v="Life Sciences"/>
    <n v="1506"/>
    <n v="1"/>
    <x v="2"/>
    <s v="Male"/>
    <n v="72"/>
    <n v="2"/>
    <s v="Medium"/>
    <n v="1"/>
    <x v="1"/>
    <x v="1"/>
    <n v="3"/>
    <s v="High"/>
    <x v="2"/>
    <n v="1563"/>
    <n v="12530"/>
    <n v="1"/>
    <x v="1"/>
    <n v="14"/>
    <n v="3"/>
    <s v="Excellent"/>
    <n v="4"/>
    <s v="Very High"/>
    <n v="1"/>
    <n v="1"/>
    <n v="2"/>
    <n v="1"/>
    <s v="Low"/>
    <n v="1"/>
    <n v="0"/>
    <n v="0"/>
    <n v="0"/>
  </r>
  <r>
    <n v="28"/>
    <x v="2"/>
    <x v="1"/>
    <x v="1"/>
    <n v="467"/>
    <x v="0"/>
    <n v="7"/>
    <x v="0"/>
    <n v="3"/>
    <s v="Bachelor"/>
    <s v="Life Sciences"/>
    <n v="1507"/>
    <n v="3"/>
    <x v="1"/>
    <s v="Male"/>
    <n v="55"/>
    <n v="3"/>
    <s v="High"/>
    <n v="2"/>
    <x v="0"/>
    <x v="0"/>
    <n v="1"/>
    <s v="Low"/>
    <x v="0"/>
    <n v="4898"/>
    <n v="11827"/>
    <n v="0"/>
    <x v="1"/>
    <n v="14"/>
    <n v="3"/>
    <s v="Excellent"/>
    <n v="4"/>
    <s v="Very High"/>
    <n v="0"/>
    <n v="5"/>
    <n v="5"/>
    <n v="3"/>
    <s v="High"/>
    <n v="4"/>
    <n v="2"/>
    <n v="1"/>
    <n v="3"/>
  </r>
  <r>
    <n v="49"/>
    <x v="1"/>
    <x v="1"/>
    <x v="0"/>
    <n v="271"/>
    <x v="1"/>
    <n v="3"/>
    <x v="0"/>
    <n v="2"/>
    <s v="College"/>
    <s v="Medical"/>
    <n v="1509"/>
    <n v="3"/>
    <x v="1"/>
    <s v="Female"/>
    <n v="43"/>
    <n v="2"/>
    <s v="Medium"/>
    <n v="2"/>
    <x v="0"/>
    <x v="2"/>
    <n v="1"/>
    <s v="Low"/>
    <x v="1"/>
    <n v="4789"/>
    <n v="23070"/>
    <n v="4"/>
    <x v="1"/>
    <n v="25"/>
    <n v="4"/>
    <s v="Outstanding"/>
    <n v="1"/>
    <s v="Low"/>
    <n v="1"/>
    <n v="10"/>
    <n v="3"/>
    <n v="3"/>
    <s v="High"/>
    <n v="3"/>
    <n v="2"/>
    <n v="1"/>
    <n v="2"/>
  </r>
  <r>
    <n v="29"/>
    <x v="2"/>
    <x v="1"/>
    <x v="1"/>
    <n v="410"/>
    <x v="1"/>
    <n v="2"/>
    <x v="0"/>
    <n v="1"/>
    <s v="Below College"/>
    <s v="Life Sciences"/>
    <n v="1513"/>
    <n v="4"/>
    <x v="3"/>
    <s v="Female"/>
    <n v="97"/>
    <n v="3"/>
    <s v="High"/>
    <n v="1"/>
    <x v="1"/>
    <x v="2"/>
    <n v="2"/>
    <s v="Medium"/>
    <x v="1"/>
    <n v="3180"/>
    <n v="4668"/>
    <n v="0"/>
    <x v="1"/>
    <n v="13"/>
    <n v="3"/>
    <s v="Excellent"/>
    <n v="3"/>
    <s v="High"/>
    <n v="3"/>
    <n v="4"/>
    <n v="3"/>
    <n v="3"/>
    <s v="High"/>
    <n v="3"/>
    <n v="2"/>
    <n v="0"/>
    <n v="2"/>
  </r>
  <r>
    <n v="28"/>
    <x v="2"/>
    <x v="1"/>
    <x v="0"/>
    <n v="1083"/>
    <x v="1"/>
    <n v="29"/>
    <x v="1"/>
    <n v="1"/>
    <s v="Below College"/>
    <s v="Life Sciences"/>
    <n v="1514"/>
    <n v="3"/>
    <x v="1"/>
    <s v="Male"/>
    <n v="96"/>
    <n v="1"/>
    <s v="Low"/>
    <n v="2"/>
    <x v="0"/>
    <x v="3"/>
    <n v="2"/>
    <s v="Medium"/>
    <x v="1"/>
    <n v="6549"/>
    <n v="3173"/>
    <n v="1"/>
    <x v="1"/>
    <n v="14"/>
    <n v="3"/>
    <s v="Excellent"/>
    <n v="2"/>
    <s v="Medium"/>
    <n v="2"/>
    <n v="8"/>
    <n v="2"/>
    <n v="2"/>
    <s v="Medium"/>
    <n v="8"/>
    <n v="6"/>
    <n v="1"/>
    <n v="7"/>
  </r>
  <r>
    <n v="33"/>
    <x v="2"/>
    <x v="1"/>
    <x v="0"/>
    <n v="516"/>
    <x v="1"/>
    <n v="8"/>
    <x v="0"/>
    <n v="5"/>
    <s v="Doctor"/>
    <s v="Life Sciences"/>
    <n v="1515"/>
    <n v="4"/>
    <x v="3"/>
    <s v="Male"/>
    <n v="69"/>
    <n v="3"/>
    <s v="High"/>
    <n v="2"/>
    <x v="0"/>
    <x v="4"/>
    <n v="3"/>
    <s v="High"/>
    <x v="0"/>
    <n v="6388"/>
    <n v="22049"/>
    <n v="2"/>
    <x v="0"/>
    <n v="17"/>
    <n v="3"/>
    <s v="Excellent"/>
    <n v="1"/>
    <s v="Low"/>
    <n v="0"/>
    <n v="14"/>
    <n v="6"/>
    <n v="3"/>
    <s v="High"/>
    <n v="0"/>
    <n v="0"/>
    <n v="0"/>
    <n v="0"/>
  </r>
  <r>
    <n v="32"/>
    <x v="2"/>
    <x v="1"/>
    <x v="0"/>
    <n v="495"/>
    <x v="1"/>
    <n v="10"/>
    <x v="0"/>
    <n v="3"/>
    <s v="Bachelor"/>
    <s v="Medical"/>
    <n v="1516"/>
    <n v="3"/>
    <x v="1"/>
    <s v="Male"/>
    <n v="64"/>
    <n v="3"/>
    <s v="High"/>
    <n v="3"/>
    <x v="2"/>
    <x v="5"/>
    <n v="4"/>
    <s v="Very High"/>
    <x v="0"/>
    <n v="11244"/>
    <n v="21072"/>
    <n v="2"/>
    <x v="1"/>
    <n v="25"/>
    <n v="4"/>
    <s v="Outstanding"/>
    <n v="2"/>
    <s v="Medium"/>
    <n v="0"/>
    <n v="10"/>
    <n v="5"/>
    <n v="4"/>
    <s v="Very High"/>
    <n v="5"/>
    <n v="2"/>
    <n v="0"/>
    <n v="0"/>
  </r>
  <r>
    <n v="54"/>
    <x v="1"/>
    <x v="1"/>
    <x v="1"/>
    <n v="1050"/>
    <x v="1"/>
    <n v="11"/>
    <x v="2"/>
    <n v="4"/>
    <s v="Master"/>
    <s v="Medical"/>
    <n v="1520"/>
    <n v="2"/>
    <x v="0"/>
    <s v="Female"/>
    <n v="87"/>
    <n v="3"/>
    <s v="High"/>
    <n v="4"/>
    <x v="3"/>
    <x v="5"/>
    <n v="4"/>
    <s v="Very High"/>
    <x v="2"/>
    <n v="16032"/>
    <n v="24456"/>
    <n v="3"/>
    <x v="1"/>
    <n v="20"/>
    <n v="4"/>
    <s v="Outstanding"/>
    <n v="1"/>
    <s v="Low"/>
    <n v="1"/>
    <n v="26"/>
    <n v="2"/>
    <n v="3"/>
    <s v="High"/>
    <n v="14"/>
    <n v="9"/>
    <n v="1"/>
    <n v="12"/>
  </r>
  <r>
    <n v="29"/>
    <x v="2"/>
    <x v="0"/>
    <x v="0"/>
    <n v="224"/>
    <x v="1"/>
    <n v="1"/>
    <x v="0"/>
    <n v="4"/>
    <s v="Master"/>
    <s v="Technical Degree"/>
    <n v="1522"/>
    <n v="1"/>
    <x v="2"/>
    <s v="Male"/>
    <n v="100"/>
    <n v="2"/>
    <s v="Medium"/>
    <n v="1"/>
    <x v="1"/>
    <x v="1"/>
    <n v="1"/>
    <s v="Low"/>
    <x v="0"/>
    <n v="2362"/>
    <n v="7568"/>
    <n v="6"/>
    <x v="1"/>
    <n v="13"/>
    <n v="3"/>
    <s v="Excellent"/>
    <n v="3"/>
    <s v="High"/>
    <n v="0"/>
    <n v="11"/>
    <n v="2"/>
    <n v="1"/>
    <s v="Low"/>
    <n v="9"/>
    <n v="7"/>
    <n v="0"/>
    <n v="7"/>
  </r>
  <r>
    <n v="44"/>
    <x v="0"/>
    <x v="1"/>
    <x v="0"/>
    <n v="136"/>
    <x v="1"/>
    <n v="28"/>
    <x v="1"/>
    <n v="3"/>
    <s v="Bachelor"/>
    <s v="Life Sciences"/>
    <n v="1523"/>
    <n v="4"/>
    <x v="3"/>
    <s v="Male"/>
    <n v="32"/>
    <n v="3"/>
    <s v="High"/>
    <n v="4"/>
    <x v="3"/>
    <x v="7"/>
    <n v="1"/>
    <s v="Low"/>
    <x v="1"/>
    <n v="16328"/>
    <n v="22074"/>
    <n v="3"/>
    <x v="1"/>
    <n v="13"/>
    <n v="3"/>
    <s v="Excellent"/>
    <n v="3"/>
    <s v="High"/>
    <n v="1"/>
    <n v="24"/>
    <n v="1"/>
    <n v="4"/>
    <s v="Very High"/>
    <n v="20"/>
    <n v="6"/>
    <n v="14"/>
    <n v="17"/>
  </r>
  <r>
    <n v="39"/>
    <x v="0"/>
    <x v="1"/>
    <x v="0"/>
    <n v="1089"/>
    <x v="1"/>
    <n v="6"/>
    <x v="0"/>
    <n v="3"/>
    <s v="Bachelor"/>
    <s v="Life Sciences"/>
    <n v="1525"/>
    <n v="2"/>
    <x v="0"/>
    <s v="Female"/>
    <n v="32"/>
    <n v="3"/>
    <s v="High"/>
    <n v="3"/>
    <x v="2"/>
    <x v="3"/>
    <n v="2"/>
    <s v="Medium"/>
    <x v="0"/>
    <n v="8376"/>
    <n v="9150"/>
    <n v="4"/>
    <x v="1"/>
    <n v="18"/>
    <n v="3"/>
    <s v="Excellent"/>
    <n v="4"/>
    <s v="Very High"/>
    <n v="0"/>
    <n v="9"/>
    <n v="3"/>
    <n v="3"/>
    <s v="High"/>
    <n v="2"/>
    <n v="0"/>
    <n v="2"/>
    <n v="2"/>
  </r>
  <r>
    <n v="46"/>
    <x v="1"/>
    <x v="1"/>
    <x v="0"/>
    <n v="228"/>
    <x v="0"/>
    <n v="3"/>
    <x v="0"/>
    <n v="3"/>
    <s v="Bachelor"/>
    <s v="Life Sciences"/>
    <n v="1527"/>
    <n v="3"/>
    <x v="1"/>
    <s v="Female"/>
    <n v="51"/>
    <n v="3"/>
    <s v="High"/>
    <n v="4"/>
    <x v="3"/>
    <x v="5"/>
    <n v="2"/>
    <s v="Medium"/>
    <x v="1"/>
    <n v="16606"/>
    <n v="11380"/>
    <n v="8"/>
    <x v="1"/>
    <n v="12"/>
    <n v="3"/>
    <s v="Excellent"/>
    <n v="4"/>
    <s v="Very High"/>
    <n v="1"/>
    <n v="23"/>
    <n v="2"/>
    <n v="4"/>
    <s v="Very High"/>
    <n v="13"/>
    <n v="12"/>
    <n v="5"/>
    <n v="1"/>
  </r>
  <r>
    <n v="35"/>
    <x v="2"/>
    <x v="1"/>
    <x v="0"/>
    <n v="1029"/>
    <x v="1"/>
    <n v="16"/>
    <x v="2"/>
    <n v="3"/>
    <s v="Bachelor"/>
    <s v="Life Sciences"/>
    <n v="1529"/>
    <n v="4"/>
    <x v="3"/>
    <s v="Female"/>
    <n v="91"/>
    <n v="2"/>
    <s v="Medium"/>
    <n v="3"/>
    <x v="2"/>
    <x v="4"/>
    <n v="2"/>
    <s v="Medium"/>
    <x v="0"/>
    <n v="8606"/>
    <n v="21195"/>
    <n v="1"/>
    <x v="1"/>
    <n v="19"/>
    <n v="3"/>
    <s v="Excellent"/>
    <n v="4"/>
    <s v="Very High"/>
    <n v="0"/>
    <n v="11"/>
    <n v="3"/>
    <n v="1"/>
    <s v="Low"/>
    <n v="11"/>
    <n v="8"/>
    <n v="3"/>
    <n v="3"/>
  </r>
  <r>
    <n v="23"/>
    <x v="4"/>
    <x v="1"/>
    <x v="0"/>
    <n v="507"/>
    <x v="1"/>
    <n v="20"/>
    <x v="2"/>
    <n v="1"/>
    <s v="Below College"/>
    <s v="Life Sciences"/>
    <n v="1533"/>
    <n v="1"/>
    <x v="2"/>
    <s v="Male"/>
    <n v="97"/>
    <n v="3"/>
    <s v="High"/>
    <n v="2"/>
    <x v="0"/>
    <x v="2"/>
    <n v="3"/>
    <s v="High"/>
    <x v="0"/>
    <n v="2272"/>
    <n v="24812"/>
    <n v="0"/>
    <x v="1"/>
    <n v="14"/>
    <n v="3"/>
    <s v="Excellent"/>
    <n v="2"/>
    <s v="Medium"/>
    <n v="0"/>
    <n v="5"/>
    <n v="2"/>
    <n v="3"/>
    <s v="High"/>
    <n v="4"/>
    <n v="3"/>
    <n v="1"/>
    <n v="2"/>
  </r>
  <r>
    <n v="40"/>
    <x v="0"/>
    <x v="0"/>
    <x v="0"/>
    <n v="676"/>
    <x v="1"/>
    <n v="9"/>
    <x v="0"/>
    <n v="4"/>
    <s v="Master"/>
    <s v="Life Sciences"/>
    <n v="1534"/>
    <n v="4"/>
    <x v="3"/>
    <s v="Male"/>
    <n v="86"/>
    <n v="3"/>
    <s v="High"/>
    <n v="1"/>
    <x v="1"/>
    <x v="2"/>
    <n v="1"/>
    <s v="Low"/>
    <x v="0"/>
    <n v="2018"/>
    <n v="21831"/>
    <n v="3"/>
    <x v="1"/>
    <n v="14"/>
    <n v="3"/>
    <s v="Excellent"/>
    <n v="2"/>
    <s v="Medium"/>
    <n v="0"/>
    <n v="15"/>
    <n v="3"/>
    <n v="1"/>
    <s v="Low"/>
    <n v="5"/>
    <n v="4"/>
    <n v="1"/>
    <n v="0"/>
  </r>
  <r>
    <n v="34"/>
    <x v="2"/>
    <x v="1"/>
    <x v="0"/>
    <n v="971"/>
    <x v="0"/>
    <n v="1"/>
    <x v="0"/>
    <n v="3"/>
    <s v="Bachelor"/>
    <s v="Technical Degree"/>
    <n v="1535"/>
    <n v="4"/>
    <x v="3"/>
    <s v="Male"/>
    <n v="64"/>
    <n v="2"/>
    <s v="Medium"/>
    <n v="3"/>
    <x v="2"/>
    <x v="0"/>
    <n v="3"/>
    <s v="High"/>
    <x v="1"/>
    <n v="7083"/>
    <n v="12288"/>
    <n v="1"/>
    <x v="0"/>
    <n v="14"/>
    <n v="3"/>
    <s v="Excellent"/>
    <n v="4"/>
    <s v="Very High"/>
    <n v="0"/>
    <n v="10"/>
    <n v="3"/>
    <n v="3"/>
    <s v="High"/>
    <n v="10"/>
    <n v="9"/>
    <n v="8"/>
    <n v="6"/>
  </r>
  <r>
    <n v="31"/>
    <x v="2"/>
    <x v="0"/>
    <x v="1"/>
    <n v="561"/>
    <x v="1"/>
    <n v="3"/>
    <x v="0"/>
    <n v="3"/>
    <s v="Bachelor"/>
    <s v="Life Sciences"/>
    <n v="1537"/>
    <n v="4"/>
    <x v="3"/>
    <s v="Female"/>
    <n v="33"/>
    <n v="3"/>
    <s v="High"/>
    <n v="1"/>
    <x v="1"/>
    <x v="1"/>
    <n v="3"/>
    <s v="High"/>
    <x v="0"/>
    <n v="4084"/>
    <n v="4156"/>
    <n v="1"/>
    <x v="1"/>
    <n v="12"/>
    <n v="3"/>
    <s v="Excellent"/>
    <n v="1"/>
    <s v="Low"/>
    <n v="0"/>
    <n v="7"/>
    <n v="2"/>
    <n v="1"/>
    <s v="Low"/>
    <n v="7"/>
    <n v="2"/>
    <n v="7"/>
    <n v="7"/>
  </r>
  <r>
    <n v="50"/>
    <x v="1"/>
    <x v="1"/>
    <x v="1"/>
    <n v="333"/>
    <x v="1"/>
    <n v="22"/>
    <x v="1"/>
    <n v="5"/>
    <s v="Doctor"/>
    <s v="Medical"/>
    <n v="1539"/>
    <n v="3"/>
    <x v="1"/>
    <s v="Male"/>
    <n v="88"/>
    <n v="1"/>
    <s v="Low"/>
    <n v="4"/>
    <x v="3"/>
    <x v="7"/>
    <n v="4"/>
    <s v="Very High"/>
    <x v="0"/>
    <n v="14411"/>
    <n v="24450"/>
    <n v="1"/>
    <x v="0"/>
    <n v="13"/>
    <n v="3"/>
    <s v="Excellent"/>
    <n v="4"/>
    <s v="Very High"/>
    <n v="0"/>
    <n v="32"/>
    <n v="2"/>
    <n v="3"/>
    <s v="High"/>
    <n v="32"/>
    <n v="6"/>
    <n v="13"/>
    <n v="9"/>
  </r>
  <r>
    <n v="34"/>
    <x v="2"/>
    <x v="1"/>
    <x v="0"/>
    <n v="1440"/>
    <x v="0"/>
    <n v="7"/>
    <x v="0"/>
    <n v="2"/>
    <s v="College"/>
    <s v="Technical Degree"/>
    <n v="1541"/>
    <n v="2"/>
    <x v="0"/>
    <s v="Male"/>
    <n v="55"/>
    <n v="3"/>
    <s v="High"/>
    <n v="1"/>
    <x v="1"/>
    <x v="6"/>
    <n v="3"/>
    <s v="High"/>
    <x v="1"/>
    <n v="2308"/>
    <n v="4944"/>
    <n v="0"/>
    <x v="0"/>
    <n v="25"/>
    <n v="4"/>
    <s v="Outstanding"/>
    <n v="2"/>
    <s v="Medium"/>
    <n v="1"/>
    <n v="12"/>
    <n v="4"/>
    <n v="3"/>
    <s v="High"/>
    <n v="11"/>
    <n v="10"/>
    <n v="5"/>
    <n v="7"/>
  </r>
  <r>
    <n v="42"/>
    <x v="0"/>
    <x v="1"/>
    <x v="0"/>
    <n v="1210"/>
    <x v="1"/>
    <n v="2"/>
    <x v="0"/>
    <n v="3"/>
    <s v="Bachelor"/>
    <s v="Medical"/>
    <n v="1542"/>
    <n v="3"/>
    <x v="1"/>
    <s v="Male"/>
    <n v="68"/>
    <n v="2"/>
    <s v="Medium"/>
    <n v="1"/>
    <x v="1"/>
    <x v="2"/>
    <n v="2"/>
    <s v="Medium"/>
    <x v="1"/>
    <n v="4841"/>
    <n v="24052"/>
    <n v="4"/>
    <x v="1"/>
    <n v="14"/>
    <n v="3"/>
    <s v="Excellent"/>
    <n v="2"/>
    <s v="Medium"/>
    <n v="1"/>
    <n v="4"/>
    <n v="3"/>
    <n v="3"/>
    <s v="High"/>
    <n v="1"/>
    <n v="0"/>
    <n v="0"/>
    <n v="0"/>
  </r>
  <r>
    <n v="37"/>
    <x v="0"/>
    <x v="1"/>
    <x v="0"/>
    <n v="674"/>
    <x v="1"/>
    <n v="13"/>
    <x v="2"/>
    <n v="3"/>
    <s v="Bachelor"/>
    <s v="Medical"/>
    <n v="1543"/>
    <n v="1"/>
    <x v="2"/>
    <s v="Male"/>
    <n v="47"/>
    <n v="3"/>
    <s v="High"/>
    <n v="2"/>
    <x v="0"/>
    <x v="1"/>
    <n v="4"/>
    <s v="Very High"/>
    <x v="1"/>
    <n v="4285"/>
    <n v="3031"/>
    <n v="1"/>
    <x v="1"/>
    <n v="17"/>
    <n v="3"/>
    <s v="Excellent"/>
    <n v="1"/>
    <s v="Low"/>
    <n v="0"/>
    <n v="10"/>
    <n v="2"/>
    <n v="3"/>
    <s v="High"/>
    <n v="10"/>
    <n v="8"/>
    <n v="3"/>
    <n v="7"/>
  </r>
  <r>
    <n v="29"/>
    <x v="2"/>
    <x v="1"/>
    <x v="0"/>
    <n v="441"/>
    <x v="1"/>
    <n v="8"/>
    <x v="0"/>
    <n v="1"/>
    <s v="Below College"/>
    <s v="Other"/>
    <n v="1544"/>
    <n v="3"/>
    <x v="1"/>
    <s v="Female"/>
    <n v="39"/>
    <n v="1"/>
    <s v="Low"/>
    <n v="2"/>
    <x v="0"/>
    <x v="4"/>
    <n v="1"/>
    <s v="Low"/>
    <x v="1"/>
    <n v="9715"/>
    <n v="7288"/>
    <n v="3"/>
    <x v="1"/>
    <n v="13"/>
    <n v="3"/>
    <s v="Excellent"/>
    <n v="3"/>
    <s v="High"/>
    <n v="1"/>
    <n v="9"/>
    <n v="3"/>
    <n v="3"/>
    <s v="High"/>
    <n v="7"/>
    <n v="7"/>
    <n v="0"/>
    <n v="7"/>
  </r>
  <r>
    <n v="33"/>
    <x v="2"/>
    <x v="1"/>
    <x v="0"/>
    <n v="575"/>
    <x v="1"/>
    <n v="25"/>
    <x v="1"/>
    <n v="3"/>
    <s v="Bachelor"/>
    <s v="Life Sciences"/>
    <n v="1545"/>
    <n v="4"/>
    <x v="3"/>
    <s v="Male"/>
    <n v="44"/>
    <n v="2"/>
    <s v="Medium"/>
    <n v="2"/>
    <x v="0"/>
    <x v="3"/>
    <n v="2"/>
    <s v="Medium"/>
    <x v="0"/>
    <n v="4320"/>
    <n v="24152"/>
    <n v="1"/>
    <x v="1"/>
    <n v="13"/>
    <n v="3"/>
    <s v="Excellent"/>
    <n v="4"/>
    <s v="Very High"/>
    <n v="0"/>
    <n v="5"/>
    <n v="2"/>
    <n v="3"/>
    <s v="High"/>
    <n v="5"/>
    <n v="3"/>
    <n v="0"/>
    <n v="2"/>
  </r>
  <r>
    <n v="45"/>
    <x v="0"/>
    <x v="1"/>
    <x v="0"/>
    <n v="950"/>
    <x v="1"/>
    <n v="28"/>
    <x v="1"/>
    <n v="3"/>
    <s v="Bachelor"/>
    <s v="Technical Degree"/>
    <n v="1546"/>
    <n v="4"/>
    <x v="3"/>
    <s v="Male"/>
    <n v="97"/>
    <n v="3"/>
    <s v="High"/>
    <n v="1"/>
    <x v="1"/>
    <x v="1"/>
    <n v="4"/>
    <s v="Very High"/>
    <x v="1"/>
    <n v="2132"/>
    <n v="4585"/>
    <n v="4"/>
    <x v="1"/>
    <n v="20"/>
    <n v="4"/>
    <s v="Outstanding"/>
    <n v="4"/>
    <s v="Very High"/>
    <n v="1"/>
    <n v="8"/>
    <n v="3"/>
    <n v="3"/>
    <s v="High"/>
    <n v="5"/>
    <n v="4"/>
    <n v="0"/>
    <n v="3"/>
  </r>
  <r>
    <n v="42"/>
    <x v="0"/>
    <x v="1"/>
    <x v="1"/>
    <n v="288"/>
    <x v="1"/>
    <n v="2"/>
    <x v="0"/>
    <n v="3"/>
    <s v="Bachelor"/>
    <s v="Life Sciences"/>
    <n v="1547"/>
    <n v="4"/>
    <x v="3"/>
    <s v="Male"/>
    <n v="40"/>
    <n v="3"/>
    <s v="High"/>
    <n v="3"/>
    <x v="2"/>
    <x v="4"/>
    <n v="4"/>
    <s v="Very High"/>
    <x v="1"/>
    <n v="10124"/>
    <n v="18611"/>
    <n v="2"/>
    <x v="0"/>
    <n v="14"/>
    <n v="3"/>
    <s v="Excellent"/>
    <n v="3"/>
    <s v="High"/>
    <n v="1"/>
    <n v="24"/>
    <n v="3"/>
    <n v="1"/>
    <s v="Low"/>
    <n v="20"/>
    <n v="8"/>
    <n v="13"/>
    <n v="9"/>
  </r>
  <r>
    <n v="40"/>
    <x v="0"/>
    <x v="1"/>
    <x v="0"/>
    <n v="1342"/>
    <x v="0"/>
    <n v="9"/>
    <x v="0"/>
    <n v="2"/>
    <s v="College"/>
    <s v="Medical"/>
    <n v="1548"/>
    <n v="1"/>
    <x v="2"/>
    <s v="Male"/>
    <n v="47"/>
    <n v="3"/>
    <s v="High"/>
    <n v="2"/>
    <x v="0"/>
    <x v="0"/>
    <n v="1"/>
    <s v="Low"/>
    <x v="1"/>
    <n v="5473"/>
    <n v="19345"/>
    <n v="0"/>
    <x v="1"/>
    <n v="12"/>
    <n v="3"/>
    <s v="Excellent"/>
    <n v="4"/>
    <s v="Very High"/>
    <n v="0"/>
    <n v="9"/>
    <n v="5"/>
    <n v="4"/>
    <s v="Very High"/>
    <n v="8"/>
    <n v="4"/>
    <n v="7"/>
    <n v="1"/>
  </r>
  <r>
    <n v="33"/>
    <x v="2"/>
    <x v="1"/>
    <x v="0"/>
    <n v="589"/>
    <x v="1"/>
    <n v="28"/>
    <x v="1"/>
    <n v="4"/>
    <s v="Master"/>
    <s v="Life Sciences"/>
    <n v="1549"/>
    <n v="2"/>
    <x v="0"/>
    <s v="Male"/>
    <n v="79"/>
    <n v="3"/>
    <s v="High"/>
    <n v="2"/>
    <x v="0"/>
    <x v="2"/>
    <n v="3"/>
    <s v="High"/>
    <x v="1"/>
    <n v="5207"/>
    <n v="22949"/>
    <n v="1"/>
    <x v="0"/>
    <n v="12"/>
    <n v="3"/>
    <s v="Excellent"/>
    <n v="2"/>
    <s v="Medium"/>
    <n v="1"/>
    <n v="15"/>
    <n v="3"/>
    <n v="3"/>
    <s v="High"/>
    <n v="15"/>
    <n v="14"/>
    <n v="5"/>
    <n v="7"/>
  </r>
  <r>
    <n v="40"/>
    <x v="0"/>
    <x v="1"/>
    <x v="0"/>
    <n v="898"/>
    <x v="2"/>
    <n v="6"/>
    <x v="0"/>
    <n v="2"/>
    <s v="College"/>
    <s v="Medical"/>
    <n v="1550"/>
    <n v="3"/>
    <x v="1"/>
    <s v="Male"/>
    <n v="38"/>
    <n v="3"/>
    <s v="High"/>
    <n v="4"/>
    <x v="3"/>
    <x v="5"/>
    <n v="4"/>
    <s v="Very High"/>
    <x v="0"/>
    <n v="16437"/>
    <n v="17381"/>
    <n v="1"/>
    <x v="0"/>
    <n v="21"/>
    <n v="4"/>
    <s v="Outstanding"/>
    <n v="4"/>
    <s v="Very High"/>
    <n v="0"/>
    <n v="21"/>
    <n v="2"/>
    <n v="3"/>
    <s v="High"/>
    <n v="21"/>
    <n v="7"/>
    <n v="7"/>
    <n v="7"/>
  </r>
  <r>
    <n v="24"/>
    <x v="4"/>
    <x v="1"/>
    <x v="0"/>
    <n v="350"/>
    <x v="1"/>
    <n v="21"/>
    <x v="1"/>
    <n v="2"/>
    <s v="College"/>
    <s v="Technical Degree"/>
    <n v="1551"/>
    <n v="3"/>
    <x v="1"/>
    <s v="Male"/>
    <n v="57"/>
    <n v="2"/>
    <s v="Medium"/>
    <n v="1"/>
    <x v="1"/>
    <x v="2"/>
    <n v="1"/>
    <s v="Low"/>
    <x v="2"/>
    <n v="2296"/>
    <n v="10036"/>
    <n v="0"/>
    <x v="1"/>
    <n v="14"/>
    <n v="3"/>
    <s v="Excellent"/>
    <n v="2"/>
    <s v="Medium"/>
    <n v="3"/>
    <n v="2"/>
    <n v="3"/>
    <n v="3"/>
    <s v="High"/>
    <n v="1"/>
    <n v="1"/>
    <n v="0"/>
    <n v="0"/>
  </r>
  <r>
    <n v="40"/>
    <x v="0"/>
    <x v="1"/>
    <x v="2"/>
    <n v="1142"/>
    <x v="1"/>
    <n v="8"/>
    <x v="0"/>
    <n v="2"/>
    <s v="College"/>
    <s v="Life Sciences"/>
    <n v="1552"/>
    <n v="4"/>
    <x v="3"/>
    <s v="Male"/>
    <n v="72"/>
    <n v="3"/>
    <s v="High"/>
    <n v="2"/>
    <x v="0"/>
    <x v="4"/>
    <n v="4"/>
    <s v="Very High"/>
    <x v="2"/>
    <n v="4069"/>
    <n v="8841"/>
    <n v="3"/>
    <x v="0"/>
    <n v="18"/>
    <n v="3"/>
    <s v="Excellent"/>
    <n v="3"/>
    <s v="High"/>
    <n v="0"/>
    <n v="8"/>
    <n v="2"/>
    <n v="3"/>
    <s v="High"/>
    <n v="2"/>
    <n v="2"/>
    <n v="2"/>
    <n v="2"/>
  </r>
  <r>
    <n v="45"/>
    <x v="0"/>
    <x v="1"/>
    <x v="0"/>
    <n v="538"/>
    <x v="1"/>
    <n v="1"/>
    <x v="0"/>
    <n v="4"/>
    <s v="Master"/>
    <s v="Technical Degree"/>
    <n v="1553"/>
    <n v="1"/>
    <x v="2"/>
    <s v="Male"/>
    <n v="66"/>
    <n v="3"/>
    <s v="High"/>
    <n v="3"/>
    <x v="2"/>
    <x v="4"/>
    <n v="2"/>
    <s v="Medium"/>
    <x v="2"/>
    <n v="7441"/>
    <n v="20933"/>
    <n v="1"/>
    <x v="1"/>
    <n v="12"/>
    <n v="3"/>
    <s v="Excellent"/>
    <n v="1"/>
    <s v="Low"/>
    <n v="3"/>
    <n v="10"/>
    <n v="4"/>
    <n v="3"/>
    <s v="High"/>
    <n v="10"/>
    <n v="8"/>
    <n v="7"/>
    <n v="7"/>
  </r>
  <r>
    <n v="35"/>
    <x v="2"/>
    <x v="1"/>
    <x v="0"/>
    <n v="1402"/>
    <x v="0"/>
    <n v="28"/>
    <x v="1"/>
    <n v="4"/>
    <s v="Master"/>
    <s v="Life Sciences"/>
    <n v="1554"/>
    <n v="2"/>
    <x v="0"/>
    <s v="Female"/>
    <n v="98"/>
    <n v="2"/>
    <s v="Medium"/>
    <n v="1"/>
    <x v="1"/>
    <x v="6"/>
    <n v="3"/>
    <s v="High"/>
    <x v="1"/>
    <n v="2430"/>
    <n v="26204"/>
    <n v="0"/>
    <x v="1"/>
    <n v="23"/>
    <n v="4"/>
    <s v="Outstanding"/>
    <n v="1"/>
    <s v="Low"/>
    <n v="2"/>
    <n v="6"/>
    <n v="5"/>
    <n v="3"/>
    <s v="High"/>
    <n v="5"/>
    <n v="3"/>
    <n v="4"/>
    <n v="2"/>
  </r>
  <r>
    <n v="32"/>
    <x v="2"/>
    <x v="1"/>
    <x v="0"/>
    <n v="824"/>
    <x v="1"/>
    <n v="5"/>
    <x v="0"/>
    <n v="2"/>
    <s v="College"/>
    <s v="Life Sciences"/>
    <n v="1555"/>
    <n v="4"/>
    <x v="3"/>
    <s v="Female"/>
    <n v="67"/>
    <n v="2"/>
    <s v="Medium"/>
    <n v="2"/>
    <x v="0"/>
    <x v="1"/>
    <n v="2"/>
    <s v="Medium"/>
    <x v="1"/>
    <n v="5878"/>
    <n v="15624"/>
    <n v="3"/>
    <x v="1"/>
    <n v="12"/>
    <n v="3"/>
    <s v="Excellent"/>
    <n v="1"/>
    <s v="Low"/>
    <n v="1"/>
    <n v="12"/>
    <n v="2"/>
    <n v="3"/>
    <s v="High"/>
    <n v="7"/>
    <n v="1"/>
    <n v="2"/>
    <n v="5"/>
  </r>
  <r>
    <n v="36"/>
    <x v="0"/>
    <x v="1"/>
    <x v="0"/>
    <n v="1157"/>
    <x v="0"/>
    <n v="2"/>
    <x v="0"/>
    <n v="4"/>
    <s v="Master"/>
    <s v="Life Sciences"/>
    <n v="1556"/>
    <n v="3"/>
    <x v="1"/>
    <s v="Male"/>
    <n v="70"/>
    <n v="3"/>
    <s v="High"/>
    <n v="1"/>
    <x v="1"/>
    <x v="6"/>
    <n v="4"/>
    <s v="Very High"/>
    <x v="0"/>
    <n v="2644"/>
    <n v="17001"/>
    <n v="3"/>
    <x v="0"/>
    <n v="21"/>
    <n v="4"/>
    <s v="Outstanding"/>
    <n v="4"/>
    <s v="Very High"/>
    <n v="0"/>
    <n v="7"/>
    <n v="3"/>
    <n v="2"/>
    <s v="Medium"/>
    <n v="3"/>
    <n v="2"/>
    <n v="1"/>
    <n v="2"/>
  </r>
  <r>
    <n v="48"/>
    <x v="1"/>
    <x v="1"/>
    <x v="0"/>
    <n v="492"/>
    <x v="0"/>
    <n v="16"/>
    <x v="2"/>
    <n v="4"/>
    <s v="Master"/>
    <s v="Life Sciences"/>
    <n v="1557"/>
    <n v="3"/>
    <x v="1"/>
    <s v="Female"/>
    <n v="96"/>
    <n v="3"/>
    <s v="High"/>
    <n v="2"/>
    <x v="0"/>
    <x v="0"/>
    <n v="3"/>
    <s v="High"/>
    <x v="2"/>
    <n v="6439"/>
    <n v="13693"/>
    <n v="8"/>
    <x v="1"/>
    <n v="14"/>
    <n v="3"/>
    <s v="Excellent"/>
    <n v="3"/>
    <s v="High"/>
    <n v="1"/>
    <n v="18"/>
    <n v="2"/>
    <n v="3"/>
    <s v="High"/>
    <n v="8"/>
    <n v="7"/>
    <n v="7"/>
    <n v="7"/>
  </r>
  <r>
    <n v="29"/>
    <x v="2"/>
    <x v="1"/>
    <x v="0"/>
    <n v="598"/>
    <x v="1"/>
    <n v="9"/>
    <x v="0"/>
    <n v="3"/>
    <s v="Bachelor"/>
    <s v="Life Sciences"/>
    <n v="1558"/>
    <n v="3"/>
    <x v="1"/>
    <s v="Male"/>
    <n v="91"/>
    <n v="4"/>
    <s v="Very High"/>
    <n v="1"/>
    <x v="1"/>
    <x v="1"/>
    <n v="3"/>
    <s v="High"/>
    <x v="1"/>
    <n v="2451"/>
    <n v="22376"/>
    <n v="6"/>
    <x v="1"/>
    <n v="18"/>
    <n v="3"/>
    <s v="Excellent"/>
    <n v="1"/>
    <s v="Low"/>
    <n v="2"/>
    <n v="5"/>
    <n v="2"/>
    <n v="2"/>
    <s v="Medium"/>
    <n v="1"/>
    <n v="0"/>
    <n v="0"/>
    <n v="0"/>
  </r>
  <r>
    <n v="33"/>
    <x v="2"/>
    <x v="1"/>
    <x v="0"/>
    <n v="1242"/>
    <x v="0"/>
    <n v="8"/>
    <x v="0"/>
    <n v="4"/>
    <s v="Master"/>
    <s v="Life Sciences"/>
    <n v="1560"/>
    <n v="1"/>
    <x v="2"/>
    <s v="Male"/>
    <n v="46"/>
    <n v="3"/>
    <s v="High"/>
    <n v="2"/>
    <x v="0"/>
    <x v="0"/>
    <n v="1"/>
    <s v="Low"/>
    <x v="1"/>
    <n v="6392"/>
    <n v="10589"/>
    <n v="2"/>
    <x v="1"/>
    <n v="13"/>
    <n v="3"/>
    <s v="Excellent"/>
    <n v="4"/>
    <s v="Very High"/>
    <n v="1"/>
    <n v="8"/>
    <n v="6"/>
    <n v="1"/>
    <s v="Low"/>
    <n v="2"/>
    <n v="2"/>
    <n v="2"/>
    <n v="2"/>
  </r>
  <r>
    <n v="30"/>
    <x v="2"/>
    <x v="0"/>
    <x v="0"/>
    <n v="740"/>
    <x v="0"/>
    <n v="1"/>
    <x v="0"/>
    <n v="3"/>
    <s v="Bachelor"/>
    <s v="Life Sciences"/>
    <n v="1562"/>
    <n v="2"/>
    <x v="0"/>
    <s v="Male"/>
    <n v="64"/>
    <n v="2"/>
    <s v="Medium"/>
    <n v="2"/>
    <x v="0"/>
    <x v="0"/>
    <n v="1"/>
    <s v="Low"/>
    <x v="1"/>
    <n v="9714"/>
    <n v="5323"/>
    <n v="1"/>
    <x v="1"/>
    <n v="11"/>
    <n v="3"/>
    <s v="Excellent"/>
    <n v="4"/>
    <s v="Very High"/>
    <n v="1"/>
    <n v="10"/>
    <n v="4"/>
    <n v="3"/>
    <s v="High"/>
    <n v="10"/>
    <n v="8"/>
    <n v="6"/>
    <n v="7"/>
  </r>
  <r>
    <n v="38"/>
    <x v="0"/>
    <x v="1"/>
    <x v="1"/>
    <n v="888"/>
    <x v="2"/>
    <n v="10"/>
    <x v="0"/>
    <n v="4"/>
    <s v="Master"/>
    <s v="Human Resources"/>
    <n v="1563"/>
    <n v="3"/>
    <x v="1"/>
    <s v="Male"/>
    <n v="71"/>
    <n v="3"/>
    <s v="High"/>
    <n v="2"/>
    <x v="0"/>
    <x v="8"/>
    <n v="3"/>
    <s v="High"/>
    <x v="1"/>
    <n v="6077"/>
    <n v="14814"/>
    <n v="3"/>
    <x v="1"/>
    <n v="11"/>
    <n v="3"/>
    <s v="Excellent"/>
    <n v="3"/>
    <s v="High"/>
    <n v="0"/>
    <n v="10"/>
    <n v="2"/>
    <n v="3"/>
    <s v="High"/>
    <n v="6"/>
    <n v="3"/>
    <n v="1"/>
    <n v="2"/>
  </r>
  <r>
    <n v="35"/>
    <x v="2"/>
    <x v="1"/>
    <x v="0"/>
    <n v="992"/>
    <x v="1"/>
    <n v="1"/>
    <x v="0"/>
    <n v="3"/>
    <s v="Bachelor"/>
    <s v="Medical"/>
    <n v="1564"/>
    <n v="4"/>
    <x v="3"/>
    <s v="Male"/>
    <n v="68"/>
    <n v="2"/>
    <s v="Medium"/>
    <n v="1"/>
    <x v="1"/>
    <x v="2"/>
    <n v="1"/>
    <s v="Low"/>
    <x v="0"/>
    <n v="2450"/>
    <n v="21731"/>
    <n v="1"/>
    <x v="1"/>
    <n v="19"/>
    <n v="3"/>
    <s v="Excellent"/>
    <n v="2"/>
    <s v="Medium"/>
    <n v="0"/>
    <n v="3"/>
    <n v="3"/>
    <n v="3"/>
    <s v="High"/>
    <n v="3"/>
    <n v="0"/>
    <n v="1"/>
    <n v="2"/>
  </r>
  <r>
    <n v="30"/>
    <x v="2"/>
    <x v="1"/>
    <x v="0"/>
    <n v="1288"/>
    <x v="0"/>
    <n v="29"/>
    <x v="1"/>
    <n v="4"/>
    <s v="Master"/>
    <s v="Technical Degree"/>
    <n v="1568"/>
    <n v="3"/>
    <x v="1"/>
    <s v="Male"/>
    <n v="33"/>
    <n v="3"/>
    <s v="High"/>
    <n v="3"/>
    <x v="2"/>
    <x v="0"/>
    <n v="2"/>
    <s v="Medium"/>
    <x v="1"/>
    <n v="9250"/>
    <n v="17799"/>
    <n v="3"/>
    <x v="1"/>
    <n v="12"/>
    <n v="3"/>
    <s v="Excellent"/>
    <n v="2"/>
    <s v="Medium"/>
    <n v="1"/>
    <n v="9"/>
    <n v="3"/>
    <n v="3"/>
    <s v="High"/>
    <n v="4"/>
    <n v="2"/>
    <n v="1"/>
    <n v="3"/>
  </r>
  <r>
    <n v="35"/>
    <x v="2"/>
    <x v="0"/>
    <x v="0"/>
    <n v="104"/>
    <x v="1"/>
    <n v="2"/>
    <x v="0"/>
    <n v="3"/>
    <s v="Bachelor"/>
    <s v="Life Sciences"/>
    <n v="1569"/>
    <n v="1"/>
    <x v="2"/>
    <s v="Female"/>
    <n v="69"/>
    <n v="3"/>
    <s v="High"/>
    <n v="1"/>
    <x v="1"/>
    <x v="2"/>
    <n v="1"/>
    <s v="Low"/>
    <x v="2"/>
    <n v="2074"/>
    <n v="26619"/>
    <n v="1"/>
    <x v="0"/>
    <n v="12"/>
    <n v="3"/>
    <s v="Excellent"/>
    <n v="4"/>
    <s v="Very High"/>
    <n v="1"/>
    <n v="1"/>
    <n v="2"/>
    <n v="3"/>
    <s v="High"/>
    <n v="1"/>
    <n v="0"/>
    <n v="0"/>
    <n v="0"/>
  </r>
  <r>
    <n v="53"/>
    <x v="1"/>
    <x v="0"/>
    <x v="0"/>
    <n v="607"/>
    <x v="1"/>
    <n v="2"/>
    <x v="0"/>
    <n v="5"/>
    <s v="Doctor"/>
    <s v="Technical Degree"/>
    <n v="1572"/>
    <n v="3"/>
    <x v="1"/>
    <s v="Female"/>
    <n v="78"/>
    <n v="2"/>
    <s v="Medium"/>
    <n v="3"/>
    <x v="2"/>
    <x v="3"/>
    <n v="4"/>
    <s v="Very High"/>
    <x v="1"/>
    <n v="10169"/>
    <n v="14618"/>
    <n v="0"/>
    <x v="1"/>
    <n v="16"/>
    <n v="3"/>
    <s v="Excellent"/>
    <n v="2"/>
    <s v="Medium"/>
    <n v="1"/>
    <n v="34"/>
    <n v="4"/>
    <n v="3"/>
    <s v="High"/>
    <n v="33"/>
    <n v="7"/>
    <n v="1"/>
    <n v="9"/>
  </r>
  <r>
    <n v="38"/>
    <x v="0"/>
    <x v="0"/>
    <x v="0"/>
    <n v="903"/>
    <x v="1"/>
    <n v="2"/>
    <x v="0"/>
    <n v="3"/>
    <s v="Bachelor"/>
    <s v="Medical"/>
    <n v="1573"/>
    <n v="3"/>
    <x v="1"/>
    <s v="Male"/>
    <n v="81"/>
    <n v="3"/>
    <s v="High"/>
    <n v="2"/>
    <x v="0"/>
    <x v="3"/>
    <n v="2"/>
    <s v="Medium"/>
    <x v="1"/>
    <n v="4855"/>
    <n v="7653"/>
    <n v="4"/>
    <x v="1"/>
    <n v="11"/>
    <n v="3"/>
    <s v="Excellent"/>
    <n v="1"/>
    <s v="Low"/>
    <n v="2"/>
    <n v="7"/>
    <n v="2"/>
    <n v="3"/>
    <s v="High"/>
    <n v="5"/>
    <n v="2"/>
    <n v="1"/>
    <n v="4"/>
  </r>
  <r>
    <n v="32"/>
    <x v="2"/>
    <x v="1"/>
    <x v="2"/>
    <n v="1200"/>
    <x v="1"/>
    <n v="1"/>
    <x v="0"/>
    <n v="4"/>
    <s v="Master"/>
    <s v="Technical Degree"/>
    <n v="1574"/>
    <n v="4"/>
    <x v="3"/>
    <s v="Male"/>
    <n v="62"/>
    <n v="3"/>
    <s v="High"/>
    <n v="2"/>
    <x v="0"/>
    <x v="1"/>
    <n v="1"/>
    <s v="Low"/>
    <x v="1"/>
    <n v="4087"/>
    <n v="25174"/>
    <n v="4"/>
    <x v="1"/>
    <n v="14"/>
    <n v="3"/>
    <s v="Excellent"/>
    <n v="2"/>
    <s v="Medium"/>
    <n v="1"/>
    <n v="9"/>
    <n v="3"/>
    <n v="2"/>
    <s v="Medium"/>
    <n v="6"/>
    <n v="5"/>
    <n v="1"/>
    <n v="2"/>
  </r>
  <r>
    <n v="48"/>
    <x v="1"/>
    <x v="1"/>
    <x v="0"/>
    <n v="1108"/>
    <x v="1"/>
    <n v="15"/>
    <x v="2"/>
    <n v="4"/>
    <s v="Master"/>
    <s v="Other"/>
    <n v="1576"/>
    <n v="3"/>
    <x v="1"/>
    <s v="Female"/>
    <n v="65"/>
    <n v="3"/>
    <s v="High"/>
    <n v="1"/>
    <x v="1"/>
    <x v="1"/>
    <n v="1"/>
    <s v="Low"/>
    <x v="1"/>
    <n v="2367"/>
    <n v="16530"/>
    <n v="8"/>
    <x v="1"/>
    <n v="12"/>
    <n v="3"/>
    <s v="Excellent"/>
    <n v="4"/>
    <s v="Very High"/>
    <n v="1"/>
    <n v="10"/>
    <n v="3"/>
    <n v="2"/>
    <s v="Medium"/>
    <n v="8"/>
    <n v="2"/>
    <n v="7"/>
    <n v="6"/>
  </r>
  <r>
    <n v="34"/>
    <x v="2"/>
    <x v="1"/>
    <x v="0"/>
    <n v="479"/>
    <x v="1"/>
    <n v="7"/>
    <x v="0"/>
    <n v="4"/>
    <s v="Master"/>
    <s v="Medical"/>
    <n v="1577"/>
    <n v="1"/>
    <x v="2"/>
    <s v="Male"/>
    <n v="35"/>
    <n v="3"/>
    <s v="High"/>
    <n v="1"/>
    <x v="1"/>
    <x v="1"/>
    <n v="4"/>
    <s v="Very High"/>
    <x v="0"/>
    <n v="2972"/>
    <n v="22061"/>
    <n v="1"/>
    <x v="1"/>
    <n v="13"/>
    <n v="3"/>
    <s v="Excellent"/>
    <n v="3"/>
    <s v="High"/>
    <n v="0"/>
    <n v="1"/>
    <n v="4"/>
    <n v="1"/>
    <s v="Low"/>
    <n v="1"/>
    <n v="0"/>
    <n v="0"/>
    <n v="0"/>
  </r>
  <r>
    <n v="55"/>
    <x v="1"/>
    <x v="1"/>
    <x v="0"/>
    <n v="685"/>
    <x v="0"/>
    <n v="26"/>
    <x v="1"/>
    <n v="5"/>
    <s v="Doctor"/>
    <s v="Marketing"/>
    <n v="1578"/>
    <n v="3"/>
    <x v="1"/>
    <s v="Male"/>
    <n v="60"/>
    <n v="2"/>
    <s v="Medium"/>
    <n v="5"/>
    <x v="4"/>
    <x v="5"/>
    <n v="4"/>
    <s v="Very High"/>
    <x v="1"/>
    <n v="19586"/>
    <n v="23037"/>
    <n v="1"/>
    <x v="1"/>
    <n v="21"/>
    <n v="4"/>
    <s v="Outstanding"/>
    <n v="3"/>
    <s v="High"/>
    <n v="1"/>
    <n v="36"/>
    <n v="3"/>
    <n v="3"/>
    <s v="High"/>
    <n v="36"/>
    <n v="6"/>
    <n v="2"/>
    <n v="13"/>
  </r>
  <r>
    <n v="34"/>
    <x v="2"/>
    <x v="1"/>
    <x v="0"/>
    <n v="1351"/>
    <x v="1"/>
    <n v="1"/>
    <x v="0"/>
    <n v="4"/>
    <s v="Master"/>
    <s v="Life Sciences"/>
    <n v="1580"/>
    <n v="2"/>
    <x v="0"/>
    <s v="Male"/>
    <n v="45"/>
    <n v="3"/>
    <s v="High"/>
    <n v="2"/>
    <x v="0"/>
    <x v="1"/>
    <n v="4"/>
    <s v="Very High"/>
    <x v="1"/>
    <n v="5484"/>
    <n v="13008"/>
    <n v="9"/>
    <x v="1"/>
    <n v="17"/>
    <n v="3"/>
    <s v="Excellent"/>
    <n v="2"/>
    <s v="Medium"/>
    <n v="1"/>
    <n v="9"/>
    <n v="3"/>
    <n v="2"/>
    <s v="Medium"/>
    <n v="2"/>
    <n v="2"/>
    <n v="2"/>
    <n v="1"/>
  </r>
  <r>
    <n v="26"/>
    <x v="2"/>
    <x v="1"/>
    <x v="0"/>
    <n v="474"/>
    <x v="1"/>
    <n v="3"/>
    <x v="0"/>
    <n v="3"/>
    <s v="Bachelor"/>
    <s v="Life Sciences"/>
    <n v="1581"/>
    <n v="1"/>
    <x v="2"/>
    <s v="Female"/>
    <n v="89"/>
    <n v="3"/>
    <s v="High"/>
    <n v="1"/>
    <x v="1"/>
    <x v="1"/>
    <n v="4"/>
    <s v="Very High"/>
    <x v="1"/>
    <n v="2061"/>
    <n v="11133"/>
    <n v="1"/>
    <x v="1"/>
    <n v="21"/>
    <n v="4"/>
    <s v="Outstanding"/>
    <n v="1"/>
    <s v="Low"/>
    <n v="0"/>
    <n v="1"/>
    <n v="5"/>
    <n v="3"/>
    <s v="High"/>
    <n v="1"/>
    <n v="0"/>
    <n v="0"/>
    <n v="0"/>
  </r>
  <r>
    <n v="38"/>
    <x v="0"/>
    <x v="1"/>
    <x v="0"/>
    <n v="1245"/>
    <x v="0"/>
    <n v="14"/>
    <x v="2"/>
    <n v="3"/>
    <s v="Bachelor"/>
    <s v="Life Sciences"/>
    <n v="1582"/>
    <n v="3"/>
    <x v="1"/>
    <s v="Male"/>
    <n v="80"/>
    <n v="3"/>
    <s v="High"/>
    <n v="2"/>
    <x v="0"/>
    <x v="0"/>
    <n v="2"/>
    <s v="Medium"/>
    <x v="1"/>
    <n v="9924"/>
    <n v="12355"/>
    <n v="0"/>
    <x v="1"/>
    <n v="11"/>
    <n v="3"/>
    <s v="Excellent"/>
    <n v="4"/>
    <s v="Very High"/>
    <n v="1"/>
    <n v="10"/>
    <n v="3"/>
    <n v="3"/>
    <s v="High"/>
    <n v="9"/>
    <n v="8"/>
    <n v="7"/>
    <n v="7"/>
  </r>
  <r>
    <n v="38"/>
    <x v="0"/>
    <x v="1"/>
    <x v="0"/>
    <n v="437"/>
    <x v="0"/>
    <n v="16"/>
    <x v="2"/>
    <n v="3"/>
    <s v="Bachelor"/>
    <s v="Life Sciences"/>
    <n v="1583"/>
    <n v="2"/>
    <x v="0"/>
    <s v="Female"/>
    <n v="90"/>
    <n v="3"/>
    <s v="High"/>
    <n v="2"/>
    <x v="0"/>
    <x v="0"/>
    <n v="2"/>
    <s v="Medium"/>
    <x v="0"/>
    <n v="4198"/>
    <n v="16379"/>
    <n v="2"/>
    <x v="1"/>
    <n v="12"/>
    <n v="3"/>
    <s v="Excellent"/>
    <n v="2"/>
    <s v="Medium"/>
    <n v="0"/>
    <n v="8"/>
    <n v="5"/>
    <n v="4"/>
    <s v="Very High"/>
    <n v="3"/>
    <n v="2"/>
    <n v="1"/>
    <n v="2"/>
  </r>
  <r>
    <n v="36"/>
    <x v="0"/>
    <x v="1"/>
    <x v="0"/>
    <n v="884"/>
    <x v="0"/>
    <n v="1"/>
    <x v="0"/>
    <n v="4"/>
    <s v="Master"/>
    <s v="Life Sciences"/>
    <n v="1585"/>
    <n v="2"/>
    <x v="0"/>
    <s v="Female"/>
    <n v="73"/>
    <n v="3"/>
    <s v="High"/>
    <n v="2"/>
    <x v="0"/>
    <x v="0"/>
    <n v="3"/>
    <s v="High"/>
    <x v="0"/>
    <n v="6815"/>
    <n v="21447"/>
    <n v="6"/>
    <x v="1"/>
    <n v="13"/>
    <n v="3"/>
    <s v="Excellent"/>
    <n v="1"/>
    <s v="Low"/>
    <n v="0"/>
    <n v="15"/>
    <n v="5"/>
    <n v="3"/>
    <s v="High"/>
    <n v="1"/>
    <n v="0"/>
    <n v="0"/>
    <n v="0"/>
  </r>
  <r>
    <n v="29"/>
    <x v="2"/>
    <x v="1"/>
    <x v="0"/>
    <n v="1370"/>
    <x v="1"/>
    <n v="3"/>
    <x v="0"/>
    <n v="1"/>
    <s v="Below College"/>
    <s v="Medical"/>
    <n v="1586"/>
    <n v="2"/>
    <x v="0"/>
    <s v="Male"/>
    <n v="87"/>
    <n v="3"/>
    <s v="High"/>
    <n v="1"/>
    <x v="1"/>
    <x v="2"/>
    <n v="1"/>
    <s v="Low"/>
    <x v="0"/>
    <n v="4723"/>
    <n v="16213"/>
    <n v="1"/>
    <x v="0"/>
    <n v="18"/>
    <n v="3"/>
    <s v="Excellent"/>
    <n v="4"/>
    <s v="Very High"/>
    <n v="0"/>
    <n v="10"/>
    <n v="3"/>
    <n v="3"/>
    <s v="High"/>
    <n v="10"/>
    <n v="9"/>
    <n v="1"/>
    <n v="5"/>
  </r>
  <r>
    <n v="35"/>
    <x v="2"/>
    <x v="1"/>
    <x v="0"/>
    <n v="670"/>
    <x v="1"/>
    <n v="10"/>
    <x v="0"/>
    <n v="4"/>
    <s v="Master"/>
    <s v="Medical"/>
    <n v="1587"/>
    <n v="1"/>
    <x v="2"/>
    <s v="Female"/>
    <n v="51"/>
    <n v="3"/>
    <s v="High"/>
    <n v="2"/>
    <x v="0"/>
    <x v="4"/>
    <n v="3"/>
    <s v="High"/>
    <x v="0"/>
    <n v="6142"/>
    <n v="4223"/>
    <n v="3"/>
    <x v="0"/>
    <n v="16"/>
    <n v="3"/>
    <s v="Excellent"/>
    <n v="3"/>
    <s v="High"/>
    <n v="0"/>
    <n v="10"/>
    <n v="4"/>
    <n v="3"/>
    <s v="High"/>
    <n v="5"/>
    <n v="2"/>
    <n v="0"/>
    <n v="4"/>
  </r>
  <r>
    <n v="39"/>
    <x v="0"/>
    <x v="1"/>
    <x v="0"/>
    <n v="1462"/>
    <x v="0"/>
    <n v="6"/>
    <x v="0"/>
    <n v="3"/>
    <s v="Bachelor"/>
    <s v="Medical"/>
    <n v="1588"/>
    <n v="4"/>
    <x v="3"/>
    <s v="Male"/>
    <n v="38"/>
    <n v="4"/>
    <s v="Very High"/>
    <n v="3"/>
    <x v="2"/>
    <x v="0"/>
    <n v="3"/>
    <s v="High"/>
    <x v="1"/>
    <n v="8237"/>
    <n v="4658"/>
    <n v="2"/>
    <x v="1"/>
    <n v="11"/>
    <n v="3"/>
    <s v="Excellent"/>
    <n v="1"/>
    <s v="Low"/>
    <n v="1"/>
    <n v="11"/>
    <n v="3"/>
    <n v="3"/>
    <s v="High"/>
    <n v="7"/>
    <n v="6"/>
    <n v="7"/>
    <n v="6"/>
  </r>
  <r>
    <n v="29"/>
    <x v="2"/>
    <x v="1"/>
    <x v="1"/>
    <n v="995"/>
    <x v="1"/>
    <n v="2"/>
    <x v="0"/>
    <n v="1"/>
    <s v="Below College"/>
    <s v="Life Sciences"/>
    <n v="1590"/>
    <n v="1"/>
    <x v="2"/>
    <s v="Male"/>
    <n v="87"/>
    <n v="3"/>
    <s v="High"/>
    <n v="2"/>
    <x v="0"/>
    <x v="4"/>
    <n v="4"/>
    <s v="Very High"/>
    <x v="2"/>
    <n v="8853"/>
    <n v="24483"/>
    <n v="1"/>
    <x v="1"/>
    <n v="19"/>
    <n v="3"/>
    <s v="Excellent"/>
    <n v="4"/>
    <s v="Very High"/>
    <n v="1"/>
    <n v="6"/>
    <n v="0"/>
    <n v="4"/>
    <s v="Very High"/>
    <n v="6"/>
    <n v="4"/>
    <n v="1"/>
    <n v="3"/>
  </r>
  <r>
    <n v="50"/>
    <x v="1"/>
    <x v="1"/>
    <x v="0"/>
    <n v="264"/>
    <x v="0"/>
    <n v="9"/>
    <x v="0"/>
    <n v="3"/>
    <s v="Bachelor"/>
    <s v="Marketing"/>
    <n v="1591"/>
    <n v="3"/>
    <x v="1"/>
    <s v="Male"/>
    <n v="59"/>
    <n v="3"/>
    <s v="High"/>
    <n v="5"/>
    <x v="4"/>
    <x v="5"/>
    <n v="3"/>
    <s v="High"/>
    <x v="1"/>
    <n v="19331"/>
    <n v="19519"/>
    <n v="4"/>
    <x v="0"/>
    <n v="16"/>
    <n v="3"/>
    <s v="Excellent"/>
    <n v="3"/>
    <s v="High"/>
    <n v="1"/>
    <n v="27"/>
    <n v="2"/>
    <n v="3"/>
    <s v="High"/>
    <n v="1"/>
    <n v="0"/>
    <n v="0"/>
    <n v="0"/>
  </r>
  <r>
    <n v="23"/>
    <x v="4"/>
    <x v="1"/>
    <x v="0"/>
    <n v="977"/>
    <x v="1"/>
    <n v="10"/>
    <x v="0"/>
    <n v="3"/>
    <s v="Bachelor"/>
    <s v="Technical Degree"/>
    <n v="1592"/>
    <n v="4"/>
    <x v="3"/>
    <s v="Male"/>
    <n v="45"/>
    <n v="4"/>
    <s v="Very High"/>
    <n v="1"/>
    <x v="1"/>
    <x v="1"/>
    <n v="3"/>
    <s v="High"/>
    <x v="1"/>
    <n v="2073"/>
    <n v="12826"/>
    <n v="2"/>
    <x v="1"/>
    <n v="16"/>
    <n v="3"/>
    <s v="Excellent"/>
    <n v="4"/>
    <s v="Very High"/>
    <n v="1"/>
    <n v="4"/>
    <n v="2"/>
    <n v="3"/>
    <s v="High"/>
    <n v="2"/>
    <n v="2"/>
    <n v="2"/>
    <n v="2"/>
  </r>
  <r>
    <n v="36"/>
    <x v="0"/>
    <x v="1"/>
    <x v="1"/>
    <n v="1302"/>
    <x v="1"/>
    <n v="6"/>
    <x v="0"/>
    <n v="4"/>
    <s v="Master"/>
    <s v="Life Sciences"/>
    <n v="1594"/>
    <n v="1"/>
    <x v="2"/>
    <s v="Male"/>
    <n v="80"/>
    <n v="4"/>
    <s v="Very High"/>
    <n v="2"/>
    <x v="0"/>
    <x v="2"/>
    <n v="1"/>
    <s v="Low"/>
    <x v="1"/>
    <n v="5562"/>
    <n v="19711"/>
    <n v="3"/>
    <x v="0"/>
    <n v="13"/>
    <n v="3"/>
    <s v="Excellent"/>
    <n v="4"/>
    <s v="Very High"/>
    <n v="1"/>
    <n v="9"/>
    <n v="3"/>
    <n v="3"/>
    <s v="High"/>
    <n v="3"/>
    <n v="2"/>
    <n v="0"/>
    <n v="2"/>
  </r>
  <r>
    <n v="42"/>
    <x v="0"/>
    <x v="1"/>
    <x v="0"/>
    <n v="1059"/>
    <x v="1"/>
    <n v="9"/>
    <x v="0"/>
    <n v="2"/>
    <s v="College"/>
    <s v="Other"/>
    <n v="1595"/>
    <n v="4"/>
    <x v="3"/>
    <s v="Male"/>
    <n v="93"/>
    <n v="2"/>
    <s v="Medium"/>
    <n v="5"/>
    <x v="4"/>
    <x v="5"/>
    <n v="4"/>
    <s v="Very High"/>
    <x v="0"/>
    <n v="19613"/>
    <n v="26362"/>
    <n v="8"/>
    <x v="1"/>
    <n v="22"/>
    <n v="4"/>
    <s v="Outstanding"/>
    <n v="4"/>
    <s v="Very High"/>
    <n v="0"/>
    <n v="24"/>
    <n v="2"/>
    <n v="3"/>
    <s v="High"/>
    <n v="1"/>
    <n v="0"/>
    <n v="0"/>
    <n v="1"/>
  </r>
  <r>
    <n v="35"/>
    <x v="2"/>
    <x v="1"/>
    <x v="0"/>
    <n v="750"/>
    <x v="1"/>
    <n v="28"/>
    <x v="1"/>
    <n v="3"/>
    <s v="Bachelor"/>
    <s v="Life Sciences"/>
    <n v="1596"/>
    <n v="2"/>
    <x v="0"/>
    <s v="Male"/>
    <n v="46"/>
    <n v="4"/>
    <s v="Very High"/>
    <n v="2"/>
    <x v="0"/>
    <x v="2"/>
    <n v="3"/>
    <s v="High"/>
    <x v="1"/>
    <n v="3407"/>
    <n v="25348"/>
    <n v="1"/>
    <x v="1"/>
    <n v="17"/>
    <n v="3"/>
    <s v="Excellent"/>
    <n v="4"/>
    <s v="Very High"/>
    <n v="2"/>
    <n v="10"/>
    <n v="3"/>
    <n v="2"/>
    <s v="Medium"/>
    <n v="10"/>
    <n v="9"/>
    <n v="6"/>
    <n v="8"/>
  </r>
  <r>
    <n v="34"/>
    <x v="2"/>
    <x v="1"/>
    <x v="1"/>
    <n v="653"/>
    <x v="1"/>
    <n v="10"/>
    <x v="0"/>
    <n v="4"/>
    <s v="Master"/>
    <s v="Technical Degree"/>
    <n v="1597"/>
    <n v="4"/>
    <x v="3"/>
    <s v="Male"/>
    <n v="92"/>
    <n v="2"/>
    <s v="Medium"/>
    <n v="2"/>
    <x v="0"/>
    <x v="4"/>
    <n v="3"/>
    <s v="High"/>
    <x v="1"/>
    <n v="5063"/>
    <n v="15332"/>
    <n v="1"/>
    <x v="1"/>
    <n v="14"/>
    <n v="3"/>
    <s v="Excellent"/>
    <n v="2"/>
    <s v="Medium"/>
    <n v="1"/>
    <n v="8"/>
    <n v="3"/>
    <n v="2"/>
    <s v="Medium"/>
    <n v="8"/>
    <n v="2"/>
    <n v="7"/>
    <n v="7"/>
  </r>
  <r>
    <n v="40"/>
    <x v="0"/>
    <x v="1"/>
    <x v="0"/>
    <n v="118"/>
    <x v="0"/>
    <n v="14"/>
    <x v="2"/>
    <n v="2"/>
    <s v="College"/>
    <s v="Life Sciences"/>
    <n v="1598"/>
    <n v="4"/>
    <x v="3"/>
    <s v="Female"/>
    <n v="84"/>
    <n v="3"/>
    <s v="High"/>
    <n v="2"/>
    <x v="0"/>
    <x v="0"/>
    <n v="1"/>
    <s v="Low"/>
    <x v="1"/>
    <n v="4639"/>
    <n v="11262"/>
    <n v="1"/>
    <x v="1"/>
    <n v="15"/>
    <n v="3"/>
    <s v="Excellent"/>
    <n v="3"/>
    <s v="High"/>
    <n v="1"/>
    <n v="5"/>
    <n v="2"/>
    <n v="3"/>
    <s v="High"/>
    <n v="5"/>
    <n v="4"/>
    <n v="1"/>
    <n v="2"/>
  </r>
  <r>
    <n v="43"/>
    <x v="0"/>
    <x v="1"/>
    <x v="0"/>
    <n v="990"/>
    <x v="1"/>
    <n v="27"/>
    <x v="1"/>
    <n v="3"/>
    <s v="Bachelor"/>
    <s v="Technical Degree"/>
    <n v="1599"/>
    <n v="4"/>
    <x v="3"/>
    <s v="Male"/>
    <n v="87"/>
    <n v="4"/>
    <s v="Very High"/>
    <n v="1"/>
    <x v="1"/>
    <x v="2"/>
    <n v="2"/>
    <s v="Medium"/>
    <x v="2"/>
    <n v="4876"/>
    <n v="5855"/>
    <n v="5"/>
    <x v="1"/>
    <n v="12"/>
    <n v="3"/>
    <s v="Excellent"/>
    <n v="3"/>
    <s v="High"/>
    <n v="1"/>
    <n v="8"/>
    <n v="0"/>
    <n v="3"/>
    <s v="High"/>
    <n v="6"/>
    <n v="4"/>
    <n v="0"/>
    <n v="2"/>
  </r>
  <r>
    <n v="35"/>
    <x v="2"/>
    <x v="1"/>
    <x v="0"/>
    <n v="1349"/>
    <x v="1"/>
    <n v="7"/>
    <x v="0"/>
    <n v="2"/>
    <s v="College"/>
    <s v="Life Sciences"/>
    <n v="1601"/>
    <n v="3"/>
    <x v="1"/>
    <s v="Male"/>
    <n v="63"/>
    <n v="2"/>
    <s v="Medium"/>
    <n v="1"/>
    <x v="1"/>
    <x v="2"/>
    <n v="4"/>
    <s v="Very High"/>
    <x v="1"/>
    <n v="2690"/>
    <n v="7713"/>
    <n v="1"/>
    <x v="1"/>
    <n v="18"/>
    <n v="3"/>
    <s v="Excellent"/>
    <n v="4"/>
    <s v="Very High"/>
    <n v="1"/>
    <n v="1"/>
    <n v="5"/>
    <n v="2"/>
    <s v="Medium"/>
    <n v="1"/>
    <n v="0"/>
    <n v="0"/>
    <n v="1"/>
  </r>
  <r>
    <n v="46"/>
    <x v="1"/>
    <x v="1"/>
    <x v="0"/>
    <n v="563"/>
    <x v="0"/>
    <n v="1"/>
    <x v="0"/>
    <n v="4"/>
    <s v="Master"/>
    <s v="Life Sciences"/>
    <n v="1602"/>
    <n v="4"/>
    <x v="3"/>
    <s v="Male"/>
    <n v="56"/>
    <n v="4"/>
    <s v="Very High"/>
    <n v="4"/>
    <x v="3"/>
    <x v="5"/>
    <n v="1"/>
    <s v="Low"/>
    <x v="0"/>
    <n v="17567"/>
    <n v="3156"/>
    <n v="1"/>
    <x v="1"/>
    <n v="15"/>
    <n v="3"/>
    <s v="Excellent"/>
    <n v="2"/>
    <s v="Medium"/>
    <n v="0"/>
    <n v="27"/>
    <n v="5"/>
    <n v="1"/>
    <s v="Low"/>
    <n v="26"/>
    <n v="0"/>
    <n v="0"/>
    <n v="12"/>
  </r>
  <r>
    <n v="28"/>
    <x v="2"/>
    <x v="0"/>
    <x v="0"/>
    <n v="329"/>
    <x v="1"/>
    <n v="24"/>
    <x v="1"/>
    <n v="3"/>
    <s v="Bachelor"/>
    <s v="Medical"/>
    <n v="1604"/>
    <n v="3"/>
    <x v="1"/>
    <s v="Male"/>
    <n v="51"/>
    <n v="3"/>
    <s v="High"/>
    <n v="1"/>
    <x v="1"/>
    <x v="2"/>
    <n v="2"/>
    <s v="Medium"/>
    <x v="1"/>
    <n v="2408"/>
    <n v="7324"/>
    <n v="1"/>
    <x v="0"/>
    <n v="17"/>
    <n v="3"/>
    <s v="Excellent"/>
    <n v="3"/>
    <s v="High"/>
    <n v="3"/>
    <n v="1"/>
    <n v="3"/>
    <n v="3"/>
    <s v="High"/>
    <n v="1"/>
    <n v="1"/>
    <n v="0"/>
    <n v="0"/>
  </r>
  <r>
    <n v="22"/>
    <x v="4"/>
    <x v="1"/>
    <x v="2"/>
    <n v="457"/>
    <x v="1"/>
    <n v="26"/>
    <x v="1"/>
    <n v="2"/>
    <s v="College"/>
    <s v="Other"/>
    <n v="1605"/>
    <n v="2"/>
    <x v="0"/>
    <s v="Female"/>
    <n v="85"/>
    <n v="2"/>
    <s v="Medium"/>
    <n v="1"/>
    <x v="1"/>
    <x v="1"/>
    <n v="3"/>
    <s v="High"/>
    <x v="1"/>
    <n v="2814"/>
    <n v="10293"/>
    <n v="1"/>
    <x v="0"/>
    <n v="14"/>
    <n v="3"/>
    <s v="Excellent"/>
    <n v="2"/>
    <s v="Medium"/>
    <n v="0"/>
    <n v="4"/>
    <n v="2"/>
    <n v="2"/>
    <s v="Medium"/>
    <n v="4"/>
    <n v="2"/>
    <n v="1"/>
    <n v="3"/>
  </r>
  <r>
    <n v="50"/>
    <x v="1"/>
    <x v="1"/>
    <x v="1"/>
    <n v="1234"/>
    <x v="1"/>
    <n v="20"/>
    <x v="2"/>
    <n v="5"/>
    <s v="Doctor"/>
    <s v="Medical"/>
    <n v="1606"/>
    <n v="2"/>
    <x v="0"/>
    <s v="Male"/>
    <n v="41"/>
    <n v="3"/>
    <s v="High"/>
    <n v="4"/>
    <x v="3"/>
    <x v="4"/>
    <n v="3"/>
    <s v="High"/>
    <x v="1"/>
    <n v="11245"/>
    <n v="20689"/>
    <n v="2"/>
    <x v="0"/>
    <n v="15"/>
    <n v="3"/>
    <s v="Excellent"/>
    <n v="3"/>
    <s v="High"/>
    <n v="1"/>
    <n v="32"/>
    <n v="3"/>
    <n v="3"/>
    <s v="High"/>
    <n v="30"/>
    <n v="8"/>
    <n v="12"/>
    <n v="13"/>
  </r>
  <r>
    <n v="32"/>
    <x v="2"/>
    <x v="1"/>
    <x v="0"/>
    <n v="634"/>
    <x v="1"/>
    <n v="5"/>
    <x v="0"/>
    <n v="4"/>
    <s v="Master"/>
    <s v="Other"/>
    <n v="1607"/>
    <n v="2"/>
    <x v="0"/>
    <s v="Female"/>
    <n v="35"/>
    <n v="4"/>
    <s v="Very High"/>
    <n v="1"/>
    <x v="1"/>
    <x v="1"/>
    <n v="4"/>
    <s v="Very High"/>
    <x v="1"/>
    <n v="3312"/>
    <n v="18783"/>
    <n v="3"/>
    <x v="1"/>
    <n v="17"/>
    <n v="3"/>
    <s v="Excellent"/>
    <n v="4"/>
    <s v="Very High"/>
    <n v="2"/>
    <n v="6"/>
    <n v="3"/>
    <n v="3"/>
    <s v="High"/>
    <n v="3"/>
    <n v="2"/>
    <n v="0"/>
    <n v="2"/>
  </r>
  <r>
    <n v="44"/>
    <x v="0"/>
    <x v="1"/>
    <x v="0"/>
    <n v="1313"/>
    <x v="1"/>
    <n v="7"/>
    <x v="0"/>
    <n v="3"/>
    <s v="Bachelor"/>
    <s v="Medical"/>
    <n v="1608"/>
    <n v="2"/>
    <x v="0"/>
    <s v="Female"/>
    <n v="31"/>
    <n v="3"/>
    <s v="High"/>
    <n v="5"/>
    <x v="4"/>
    <x v="7"/>
    <n v="4"/>
    <s v="Very High"/>
    <x v="2"/>
    <n v="19049"/>
    <n v="3549"/>
    <n v="0"/>
    <x v="0"/>
    <n v="14"/>
    <n v="3"/>
    <s v="Excellent"/>
    <n v="4"/>
    <s v="Very High"/>
    <n v="1"/>
    <n v="23"/>
    <n v="4"/>
    <n v="2"/>
    <s v="Medium"/>
    <n v="22"/>
    <n v="7"/>
    <n v="1"/>
    <n v="10"/>
  </r>
  <r>
    <n v="30"/>
    <x v="2"/>
    <x v="1"/>
    <x v="0"/>
    <n v="241"/>
    <x v="1"/>
    <n v="7"/>
    <x v="0"/>
    <n v="3"/>
    <s v="Bachelor"/>
    <s v="Medical"/>
    <n v="1609"/>
    <n v="2"/>
    <x v="0"/>
    <s v="Male"/>
    <n v="48"/>
    <n v="2"/>
    <s v="Medium"/>
    <n v="1"/>
    <x v="1"/>
    <x v="1"/>
    <n v="2"/>
    <s v="Medium"/>
    <x v="1"/>
    <n v="2141"/>
    <n v="5348"/>
    <n v="1"/>
    <x v="1"/>
    <n v="12"/>
    <n v="3"/>
    <s v="Excellent"/>
    <n v="2"/>
    <s v="Medium"/>
    <n v="1"/>
    <n v="6"/>
    <n v="3"/>
    <n v="2"/>
    <s v="Medium"/>
    <n v="6"/>
    <n v="4"/>
    <n v="1"/>
    <n v="1"/>
  </r>
  <r>
    <n v="45"/>
    <x v="0"/>
    <x v="1"/>
    <x v="0"/>
    <n v="1015"/>
    <x v="1"/>
    <n v="5"/>
    <x v="0"/>
    <n v="5"/>
    <s v="Doctor"/>
    <s v="Medical"/>
    <n v="1611"/>
    <n v="3"/>
    <x v="1"/>
    <s v="Female"/>
    <n v="50"/>
    <n v="1"/>
    <s v="Low"/>
    <n v="2"/>
    <x v="0"/>
    <x v="2"/>
    <n v="1"/>
    <s v="Low"/>
    <x v="0"/>
    <n v="5769"/>
    <n v="23447"/>
    <n v="1"/>
    <x v="0"/>
    <n v="14"/>
    <n v="3"/>
    <s v="Excellent"/>
    <n v="1"/>
    <s v="Low"/>
    <n v="0"/>
    <n v="10"/>
    <n v="3"/>
    <n v="3"/>
    <s v="High"/>
    <n v="10"/>
    <n v="7"/>
    <n v="1"/>
    <n v="4"/>
  </r>
  <r>
    <n v="45"/>
    <x v="0"/>
    <x v="1"/>
    <x v="2"/>
    <n v="336"/>
    <x v="0"/>
    <n v="26"/>
    <x v="1"/>
    <n v="3"/>
    <s v="Bachelor"/>
    <s v="Marketing"/>
    <n v="1612"/>
    <n v="1"/>
    <x v="2"/>
    <s v="Male"/>
    <n v="52"/>
    <n v="2"/>
    <s v="Medium"/>
    <n v="2"/>
    <x v="0"/>
    <x v="0"/>
    <n v="1"/>
    <s v="Low"/>
    <x v="1"/>
    <n v="4385"/>
    <n v="24162"/>
    <n v="1"/>
    <x v="1"/>
    <n v="15"/>
    <n v="3"/>
    <s v="Excellent"/>
    <n v="1"/>
    <s v="Low"/>
    <n v="1"/>
    <n v="10"/>
    <n v="2"/>
    <n v="3"/>
    <s v="High"/>
    <n v="10"/>
    <n v="7"/>
    <n v="4"/>
    <n v="5"/>
  </r>
  <r>
    <n v="31"/>
    <x v="2"/>
    <x v="1"/>
    <x v="1"/>
    <n v="715"/>
    <x v="0"/>
    <n v="2"/>
    <x v="0"/>
    <n v="4"/>
    <s v="Master"/>
    <s v="Other"/>
    <n v="1613"/>
    <n v="4"/>
    <x v="3"/>
    <s v="Male"/>
    <n v="54"/>
    <n v="3"/>
    <s v="High"/>
    <n v="2"/>
    <x v="0"/>
    <x v="0"/>
    <n v="1"/>
    <s v="Low"/>
    <x v="0"/>
    <n v="5332"/>
    <n v="21602"/>
    <n v="7"/>
    <x v="1"/>
    <n v="13"/>
    <n v="3"/>
    <s v="Excellent"/>
    <n v="4"/>
    <s v="Very High"/>
    <n v="0"/>
    <n v="10"/>
    <n v="3"/>
    <n v="3"/>
    <s v="High"/>
    <n v="5"/>
    <n v="2"/>
    <n v="0"/>
    <n v="3"/>
  </r>
  <r>
    <n v="36"/>
    <x v="0"/>
    <x v="1"/>
    <x v="0"/>
    <n v="559"/>
    <x v="1"/>
    <n v="12"/>
    <x v="2"/>
    <n v="4"/>
    <s v="Master"/>
    <s v="Life Sciences"/>
    <n v="1614"/>
    <n v="3"/>
    <x v="1"/>
    <s v="Female"/>
    <n v="76"/>
    <n v="3"/>
    <s v="High"/>
    <n v="2"/>
    <x v="0"/>
    <x v="3"/>
    <n v="3"/>
    <s v="High"/>
    <x v="1"/>
    <n v="4663"/>
    <n v="12421"/>
    <n v="9"/>
    <x v="0"/>
    <n v="12"/>
    <n v="3"/>
    <s v="Excellent"/>
    <n v="2"/>
    <s v="Medium"/>
    <n v="2"/>
    <n v="7"/>
    <n v="2"/>
    <n v="3"/>
    <s v="High"/>
    <n v="3"/>
    <n v="2"/>
    <n v="1"/>
    <n v="1"/>
  </r>
  <r>
    <n v="34"/>
    <x v="2"/>
    <x v="1"/>
    <x v="1"/>
    <n v="426"/>
    <x v="1"/>
    <n v="10"/>
    <x v="0"/>
    <n v="4"/>
    <s v="Master"/>
    <s v="Life Sciences"/>
    <n v="1615"/>
    <n v="3"/>
    <x v="1"/>
    <s v="Male"/>
    <n v="42"/>
    <n v="4"/>
    <s v="Very High"/>
    <n v="2"/>
    <x v="0"/>
    <x v="3"/>
    <n v="4"/>
    <s v="Very High"/>
    <x v="2"/>
    <n v="4724"/>
    <n v="17000"/>
    <n v="1"/>
    <x v="1"/>
    <n v="13"/>
    <n v="3"/>
    <s v="Excellent"/>
    <n v="1"/>
    <s v="Low"/>
    <n v="1"/>
    <n v="9"/>
    <n v="3"/>
    <n v="3"/>
    <s v="High"/>
    <n v="9"/>
    <n v="7"/>
    <n v="7"/>
    <n v="2"/>
  </r>
  <r>
    <n v="49"/>
    <x v="1"/>
    <x v="1"/>
    <x v="0"/>
    <n v="722"/>
    <x v="1"/>
    <n v="25"/>
    <x v="1"/>
    <n v="4"/>
    <s v="Master"/>
    <s v="Life Sciences"/>
    <n v="1617"/>
    <n v="3"/>
    <x v="1"/>
    <s v="Female"/>
    <n v="84"/>
    <n v="3"/>
    <s v="High"/>
    <n v="1"/>
    <x v="1"/>
    <x v="2"/>
    <n v="1"/>
    <s v="Low"/>
    <x v="1"/>
    <n v="3211"/>
    <n v="22102"/>
    <n v="1"/>
    <x v="1"/>
    <n v="14"/>
    <n v="3"/>
    <s v="Excellent"/>
    <n v="4"/>
    <s v="Very High"/>
    <n v="1"/>
    <n v="10"/>
    <n v="3"/>
    <n v="2"/>
    <s v="Medium"/>
    <n v="9"/>
    <n v="6"/>
    <n v="1"/>
    <n v="4"/>
  </r>
  <r>
    <n v="39"/>
    <x v="0"/>
    <x v="1"/>
    <x v="0"/>
    <n v="1387"/>
    <x v="1"/>
    <n v="10"/>
    <x v="0"/>
    <n v="5"/>
    <s v="Doctor"/>
    <s v="Medical"/>
    <n v="1618"/>
    <n v="2"/>
    <x v="0"/>
    <s v="Male"/>
    <n v="76"/>
    <n v="3"/>
    <s v="High"/>
    <n v="2"/>
    <x v="0"/>
    <x v="3"/>
    <n v="1"/>
    <s v="Low"/>
    <x v="1"/>
    <n v="5377"/>
    <n v="3835"/>
    <n v="2"/>
    <x v="1"/>
    <n v="13"/>
    <n v="3"/>
    <s v="Excellent"/>
    <n v="4"/>
    <s v="Very High"/>
    <n v="3"/>
    <n v="10"/>
    <n v="3"/>
    <n v="3"/>
    <s v="High"/>
    <n v="7"/>
    <n v="7"/>
    <n v="7"/>
    <n v="7"/>
  </r>
  <r>
    <n v="27"/>
    <x v="2"/>
    <x v="1"/>
    <x v="0"/>
    <n v="1302"/>
    <x v="1"/>
    <n v="19"/>
    <x v="2"/>
    <n v="3"/>
    <s v="Bachelor"/>
    <s v="Other"/>
    <n v="1619"/>
    <n v="4"/>
    <x v="3"/>
    <s v="Male"/>
    <n v="67"/>
    <n v="2"/>
    <s v="Medium"/>
    <n v="1"/>
    <x v="1"/>
    <x v="2"/>
    <n v="1"/>
    <s v="Low"/>
    <x v="2"/>
    <n v="4066"/>
    <n v="16290"/>
    <n v="1"/>
    <x v="1"/>
    <n v="11"/>
    <n v="3"/>
    <s v="Excellent"/>
    <n v="1"/>
    <s v="Low"/>
    <n v="2"/>
    <n v="7"/>
    <n v="3"/>
    <n v="3"/>
    <s v="High"/>
    <n v="7"/>
    <n v="7"/>
    <n v="0"/>
    <n v="7"/>
  </r>
  <r>
    <n v="35"/>
    <x v="2"/>
    <x v="1"/>
    <x v="0"/>
    <n v="819"/>
    <x v="1"/>
    <n v="18"/>
    <x v="2"/>
    <n v="5"/>
    <s v="Doctor"/>
    <s v="Life Sciences"/>
    <n v="1621"/>
    <n v="2"/>
    <x v="0"/>
    <s v="Male"/>
    <n v="48"/>
    <n v="4"/>
    <s v="Very High"/>
    <n v="2"/>
    <x v="0"/>
    <x v="1"/>
    <n v="1"/>
    <s v="Low"/>
    <x v="1"/>
    <n v="5208"/>
    <n v="26312"/>
    <n v="1"/>
    <x v="1"/>
    <n v="11"/>
    <n v="3"/>
    <s v="Excellent"/>
    <n v="4"/>
    <s v="Very High"/>
    <n v="0"/>
    <n v="16"/>
    <n v="2"/>
    <n v="3"/>
    <s v="High"/>
    <n v="16"/>
    <n v="15"/>
    <n v="1"/>
    <n v="10"/>
  </r>
  <r>
    <n v="28"/>
    <x v="2"/>
    <x v="1"/>
    <x v="0"/>
    <n v="580"/>
    <x v="1"/>
    <n v="27"/>
    <x v="1"/>
    <n v="3"/>
    <s v="Bachelor"/>
    <s v="Medical"/>
    <n v="1622"/>
    <n v="2"/>
    <x v="0"/>
    <s v="Female"/>
    <n v="39"/>
    <n v="1"/>
    <s v="Low"/>
    <n v="2"/>
    <x v="0"/>
    <x v="3"/>
    <n v="1"/>
    <s v="Low"/>
    <x v="2"/>
    <n v="4877"/>
    <n v="20460"/>
    <n v="0"/>
    <x v="1"/>
    <n v="21"/>
    <n v="4"/>
    <s v="Outstanding"/>
    <n v="2"/>
    <s v="Medium"/>
    <n v="1"/>
    <n v="6"/>
    <n v="5"/>
    <n v="2"/>
    <s v="Medium"/>
    <n v="5"/>
    <n v="3"/>
    <n v="0"/>
    <n v="0"/>
  </r>
  <r>
    <n v="21"/>
    <x v="4"/>
    <x v="1"/>
    <x v="0"/>
    <n v="546"/>
    <x v="1"/>
    <n v="5"/>
    <x v="0"/>
    <n v="1"/>
    <s v="Below College"/>
    <s v="Medical"/>
    <n v="1623"/>
    <n v="3"/>
    <x v="1"/>
    <s v="Male"/>
    <n v="97"/>
    <n v="3"/>
    <s v="High"/>
    <n v="1"/>
    <x v="1"/>
    <x v="1"/>
    <n v="4"/>
    <s v="Very High"/>
    <x v="0"/>
    <n v="3117"/>
    <n v="26009"/>
    <n v="1"/>
    <x v="1"/>
    <n v="18"/>
    <n v="3"/>
    <s v="Excellent"/>
    <n v="3"/>
    <s v="High"/>
    <n v="0"/>
    <n v="3"/>
    <n v="2"/>
    <n v="3"/>
    <s v="High"/>
    <n v="2"/>
    <n v="2"/>
    <n v="2"/>
    <n v="2"/>
  </r>
  <r>
    <n v="18"/>
    <x v="4"/>
    <x v="0"/>
    <x v="1"/>
    <n v="544"/>
    <x v="0"/>
    <n v="3"/>
    <x v="0"/>
    <n v="2"/>
    <s v="College"/>
    <s v="Medical"/>
    <n v="1624"/>
    <n v="2"/>
    <x v="0"/>
    <s v="Female"/>
    <n v="70"/>
    <n v="3"/>
    <s v="High"/>
    <n v="1"/>
    <x v="1"/>
    <x v="6"/>
    <n v="4"/>
    <s v="Very High"/>
    <x v="0"/>
    <n v="1569"/>
    <n v="18420"/>
    <n v="1"/>
    <x v="0"/>
    <n v="12"/>
    <n v="3"/>
    <s v="Excellent"/>
    <n v="3"/>
    <s v="High"/>
    <n v="0"/>
    <n v="0"/>
    <n v="2"/>
    <n v="4"/>
    <s v="Very High"/>
    <n v="0"/>
    <n v="0"/>
    <n v="0"/>
    <n v="0"/>
  </r>
  <r>
    <n v="47"/>
    <x v="1"/>
    <x v="1"/>
    <x v="0"/>
    <n v="1176"/>
    <x v="2"/>
    <n v="26"/>
    <x v="1"/>
    <n v="4"/>
    <s v="Master"/>
    <s v="Life Sciences"/>
    <n v="1625"/>
    <n v="4"/>
    <x v="3"/>
    <s v="Female"/>
    <n v="98"/>
    <n v="3"/>
    <s v="High"/>
    <n v="5"/>
    <x v="4"/>
    <x v="5"/>
    <n v="3"/>
    <s v="High"/>
    <x v="1"/>
    <n v="19658"/>
    <n v="5220"/>
    <n v="3"/>
    <x v="1"/>
    <n v="11"/>
    <n v="3"/>
    <s v="Excellent"/>
    <n v="3"/>
    <s v="High"/>
    <n v="1"/>
    <n v="27"/>
    <n v="2"/>
    <n v="3"/>
    <s v="High"/>
    <n v="5"/>
    <n v="2"/>
    <n v="1"/>
    <n v="0"/>
  </r>
  <r>
    <n v="39"/>
    <x v="0"/>
    <x v="1"/>
    <x v="0"/>
    <n v="170"/>
    <x v="1"/>
    <n v="3"/>
    <x v="0"/>
    <n v="2"/>
    <s v="College"/>
    <s v="Medical"/>
    <n v="1627"/>
    <n v="3"/>
    <x v="1"/>
    <s v="Male"/>
    <n v="76"/>
    <n v="2"/>
    <s v="Medium"/>
    <n v="2"/>
    <x v="0"/>
    <x v="2"/>
    <n v="3"/>
    <s v="High"/>
    <x v="2"/>
    <n v="3069"/>
    <n v="10302"/>
    <n v="0"/>
    <x v="1"/>
    <n v="15"/>
    <n v="3"/>
    <s v="Excellent"/>
    <n v="4"/>
    <s v="Very High"/>
    <n v="1"/>
    <n v="11"/>
    <n v="3"/>
    <n v="3"/>
    <s v="High"/>
    <n v="10"/>
    <n v="8"/>
    <n v="0"/>
    <n v="7"/>
  </r>
  <r>
    <n v="40"/>
    <x v="0"/>
    <x v="1"/>
    <x v="0"/>
    <n v="884"/>
    <x v="1"/>
    <n v="15"/>
    <x v="2"/>
    <n v="3"/>
    <s v="Bachelor"/>
    <s v="Life Sciences"/>
    <n v="1628"/>
    <n v="1"/>
    <x v="2"/>
    <s v="Female"/>
    <n v="80"/>
    <n v="2"/>
    <s v="Medium"/>
    <n v="3"/>
    <x v="2"/>
    <x v="3"/>
    <n v="3"/>
    <s v="High"/>
    <x v="1"/>
    <n v="10435"/>
    <n v="25800"/>
    <n v="1"/>
    <x v="1"/>
    <n v="13"/>
    <n v="3"/>
    <s v="Excellent"/>
    <n v="4"/>
    <s v="Very High"/>
    <n v="2"/>
    <n v="18"/>
    <n v="2"/>
    <n v="3"/>
    <s v="High"/>
    <n v="18"/>
    <n v="15"/>
    <n v="14"/>
    <n v="12"/>
  </r>
  <r>
    <n v="35"/>
    <x v="2"/>
    <x v="1"/>
    <x v="2"/>
    <n v="208"/>
    <x v="1"/>
    <n v="8"/>
    <x v="0"/>
    <n v="4"/>
    <s v="Master"/>
    <s v="Life Sciences"/>
    <n v="1630"/>
    <n v="3"/>
    <x v="1"/>
    <s v="Female"/>
    <n v="52"/>
    <n v="3"/>
    <s v="High"/>
    <n v="2"/>
    <x v="0"/>
    <x v="4"/>
    <n v="3"/>
    <s v="High"/>
    <x v="1"/>
    <n v="4148"/>
    <n v="12250"/>
    <n v="1"/>
    <x v="1"/>
    <n v="12"/>
    <n v="3"/>
    <s v="Excellent"/>
    <n v="4"/>
    <s v="Very High"/>
    <n v="1"/>
    <n v="15"/>
    <n v="5"/>
    <n v="3"/>
    <s v="High"/>
    <n v="14"/>
    <n v="11"/>
    <n v="2"/>
    <n v="9"/>
  </r>
  <r>
    <n v="37"/>
    <x v="0"/>
    <x v="1"/>
    <x v="0"/>
    <n v="671"/>
    <x v="1"/>
    <n v="19"/>
    <x v="2"/>
    <n v="3"/>
    <s v="Bachelor"/>
    <s v="Life Sciences"/>
    <n v="1631"/>
    <n v="3"/>
    <x v="1"/>
    <s v="Male"/>
    <n v="85"/>
    <n v="3"/>
    <s v="High"/>
    <n v="2"/>
    <x v="0"/>
    <x v="3"/>
    <n v="3"/>
    <s v="High"/>
    <x v="1"/>
    <n v="5768"/>
    <n v="26493"/>
    <n v="3"/>
    <x v="1"/>
    <n v="17"/>
    <n v="3"/>
    <s v="Excellent"/>
    <n v="1"/>
    <s v="Low"/>
    <n v="3"/>
    <n v="9"/>
    <n v="2"/>
    <n v="2"/>
    <s v="Medium"/>
    <n v="4"/>
    <n v="3"/>
    <n v="0"/>
    <n v="2"/>
  </r>
  <r>
    <n v="39"/>
    <x v="0"/>
    <x v="1"/>
    <x v="1"/>
    <n v="711"/>
    <x v="1"/>
    <n v="4"/>
    <x v="0"/>
    <n v="3"/>
    <s v="Bachelor"/>
    <s v="Medical"/>
    <n v="1633"/>
    <n v="1"/>
    <x v="2"/>
    <s v="Female"/>
    <n v="81"/>
    <n v="3"/>
    <s v="High"/>
    <n v="2"/>
    <x v="0"/>
    <x v="3"/>
    <n v="3"/>
    <s v="High"/>
    <x v="0"/>
    <n v="5042"/>
    <n v="3140"/>
    <n v="0"/>
    <x v="1"/>
    <n v="13"/>
    <n v="3"/>
    <s v="Excellent"/>
    <n v="4"/>
    <s v="Very High"/>
    <n v="0"/>
    <n v="10"/>
    <n v="2"/>
    <n v="1"/>
    <s v="Low"/>
    <n v="9"/>
    <n v="2"/>
    <n v="3"/>
    <n v="8"/>
  </r>
  <r>
    <n v="45"/>
    <x v="0"/>
    <x v="1"/>
    <x v="0"/>
    <n v="1329"/>
    <x v="1"/>
    <n v="2"/>
    <x v="0"/>
    <n v="2"/>
    <s v="College"/>
    <s v="Other"/>
    <n v="1635"/>
    <n v="4"/>
    <x v="3"/>
    <s v="Female"/>
    <n v="59"/>
    <n v="2"/>
    <s v="Medium"/>
    <n v="2"/>
    <x v="0"/>
    <x v="3"/>
    <n v="4"/>
    <s v="Very High"/>
    <x v="2"/>
    <n v="5770"/>
    <n v="5388"/>
    <n v="1"/>
    <x v="1"/>
    <n v="19"/>
    <n v="3"/>
    <s v="Excellent"/>
    <n v="1"/>
    <s v="Low"/>
    <n v="2"/>
    <n v="10"/>
    <n v="3"/>
    <n v="3"/>
    <s v="High"/>
    <n v="10"/>
    <n v="7"/>
    <n v="3"/>
    <n v="9"/>
  </r>
  <r>
    <n v="38"/>
    <x v="0"/>
    <x v="1"/>
    <x v="0"/>
    <n v="397"/>
    <x v="1"/>
    <n v="2"/>
    <x v="0"/>
    <n v="2"/>
    <s v="College"/>
    <s v="Medical"/>
    <n v="1638"/>
    <n v="4"/>
    <x v="3"/>
    <s v="Female"/>
    <n v="54"/>
    <n v="2"/>
    <s v="Medium"/>
    <n v="3"/>
    <x v="2"/>
    <x v="3"/>
    <n v="3"/>
    <s v="High"/>
    <x v="1"/>
    <n v="7756"/>
    <n v="14199"/>
    <n v="3"/>
    <x v="0"/>
    <n v="19"/>
    <n v="3"/>
    <s v="Excellent"/>
    <n v="4"/>
    <s v="Very High"/>
    <n v="1"/>
    <n v="10"/>
    <n v="6"/>
    <n v="4"/>
    <s v="Very High"/>
    <n v="5"/>
    <n v="4"/>
    <n v="0"/>
    <n v="2"/>
  </r>
  <r>
    <n v="35"/>
    <x v="2"/>
    <x v="0"/>
    <x v="0"/>
    <n v="737"/>
    <x v="0"/>
    <n v="10"/>
    <x v="0"/>
    <n v="3"/>
    <s v="Bachelor"/>
    <s v="Medical"/>
    <n v="1639"/>
    <n v="4"/>
    <x v="3"/>
    <s v="Male"/>
    <n v="55"/>
    <n v="2"/>
    <s v="Medium"/>
    <n v="3"/>
    <x v="2"/>
    <x v="0"/>
    <n v="1"/>
    <s v="Low"/>
    <x v="1"/>
    <n v="10306"/>
    <n v="21530"/>
    <n v="9"/>
    <x v="1"/>
    <n v="17"/>
    <n v="3"/>
    <s v="Excellent"/>
    <n v="3"/>
    <s v="High"/>
    <n v="0"/>
    <n v="15"/>
    <n v="3"/>
    <n v="3"/>
    <s v="High"/>
    <n v="13"/>
    <n v="12"/>
    <n v="6"/>
    <n v="0"/>
  </r>
  <r>
    <n v="37"/>
    <x v="0"/>
    <x v="1"/>
    <x v="0"/>
    <n v="1470"/>
    <x v="1"/>
    <n v="10"/>
    <x v="0"/>
    <n v="3"/>
    <s v="Bachelor"/>
    <s v="Medical"/>
    <n v="1640"/>
    <n v="2"/>
    <x v="0"/>
    <s v="Female"/>
    <n v="71"/>
    <n v="3"/>
    <s v="High"/>
    <n v="1"/>
    <x v="1"/>
    <x v="1"/>
    <n v="2"/>
    <s v="Medium"/>
    <x v="1"/>
    <n v="3936"/>
    <n v="9953"/>
    <n v="1"/>
    <x v="1"/>
    <n v="11"/>
    <n v="3"/>
    <s v="Excellent"/>
    <n v="1"/>
    <s v="Low"/>
    <n v="1"/>
    <n v="8"/>
    <n v="2"/>
    <n v="1"/>
    <s v="Low"/>
    <n v="8"/>
    <n v="4"/>
    <n v="7"/>
    <n v="7"/>
  </r>
  <r>
    <n v="40"/>
    <x v="0"/>
    <x v="1"/>
    <x v="0"/>
    <n v="448"/>
    <x v="1"/>
    <n v="16"/>
    <x v="2"/>
    <n v="3"/>
    <s v="Bachelor"/>
    <s v="Life Sciences"/>
    <n v="1641"/>
    <n v="3"/>
    <x v="1"/>
    <s v="Female"/>
    <n v="84"/>
    <n v="3"/>
    <s v="High"/>
    <n v="3"/>
    <x v="2"/>
    <x v="3"/>
    <n v="4"/>
    <s v="Very High"/>
    <x v="0"/>
    <n v="7945"/>
    <n v="19948"/>
    <n v="6"/>
    <x v="0"/>
    <n v="15"/>
    <n v="3"/>
    <s v="Excellent"/>
    <n v="4"/>
    <s v="Very High"/>
    <n v="0"/>
    <n v="18"/>
    <n v="2"/>
    <n v="2"/>
    <s v="Medium"/>
    <n v="4"/>
    <n v="2"/>
    <n v="3"/>
    <n v="3"/>
  </r>
  <r>
    <n v="44"/>
    <x v="0"/>
    <x v="1"/>
    <x v="1"/>
    <n v="602"/>
    <x v="2"/>
    <n v="1"/>
    <x v="0"/>
    <n v="5"/>
    <s v="Doctor"/>
    <s v="Human Resources"/>
    <n v="1642"/>
    <n v="1"/>
    <x v="2"/>
    <s v="Male"/>
    <n v="37"/>
    <n v="3"/>
    <s v="High"/>
    <n v="2"/>
    <x v="0"/>
    <x v="8"/>
    <n v="4"/>
    <s v="Very High"/>
    <x v="1"/>
    <n v="5743"/>
    <n v="10503"/>
    <n v="4"/>
    <x v="0"/>
    <n v="11"/>
    <n v="3"/>
    <s v="Excellent"/>
    <n v="3"/>
    <s v="High"/>
    <n v="0"/>
    <n v="14"/>
    <n v="3"/>
    <n v="3"/>
    <s v="High"/>
    <n v="10"/>
    <n v="7"/>
    <n v="0"/>
    <n v="2"/>
  </r>
  <r>
    <n v="48"/>
    <x v="1"/>
    <x v="1"/>
    <x v="1"/>
    <n v="365"/>
    <x v="1"/>
    <n v="4"/>
    <x v="0"/>
    <n v="5"/>
    <s v="Doctor"/>
    <s v="Medical"/>
    <n v="1644"/>
    <n v="3"/>
    <x v="1"/>
    <s v="Male"/>
    <n v="89"/>
    <n v="2"/>
    <s v="Medium"/>
    <n v="4"/>
    <x v="3"/>
    <x v="5"/>
    <n v="4"/>
    <s v="Very High"/>
    <x v="1"/>
    <n v="15202"/>
    <n v="5602"/>
    <n v="2"/>
    <x v="1"/>
    <n v="25"/>
    <n v="4"/>
    <s v="Outstanding"/>
    <n v="2"/>
    <s v="Medium"/>
    <n v="1"/>
    <n v="23"/>
    <n v="3"/>
    <n v="3"/>
    <s v="High"/>
    <n v="2"/>
    <n v="2"/>
    <n v="2"/>
    <n v="2"/>
  </r>
  <r>
    <n v="35"/>
    <x v="2"/>
    <x v="0"/>
    <x v="0"/>
    <n v="763"/>
    <x v="0"/>
    <n v="15"/>
    <x v="2"/>
    <n v="2"/>
    <s v="College"/>
    <s v="Medical"/>
    <n v="1645"/>
    <n v="1"/>
    <x v="2"/>
    <s v="Male"/>
    <n v="59"/>
    <n v="1"/>
    <s v="Low"/>
    <n v="2"/>
    <x v="0"/>
    <x v="0"/>
    <n v="4"/>
    <s v="Very High"/>
    <x v="2"/>
    <n v="5440"/>
    <n v="22098"/>
    <n v="6"/>
    <x v="0"/>
    <n v="14"/>
    <n v="3"/>
    <s v="Excellent"/>
    <n v="4"/>
    <s v="Very High"/>
    <n v="2"/>
    <n v="7"/>
    <n v="2"/>
    <n v="2"/>
    <s v="Medium"/>
    <n v="2"/>
    <n v="2"/>
    <n v="2"/>
    <n v="2"/>
  </r>
  <r>
    <n v="24"/>
    <x v="4"/>
    <x v="1"/>
    <x v="1"/>
    <n v="567"/>
    <x v="1"/>
    <n v="2"/>
    <x v="0"/>
    <n v="1"/>
    <s v="Below College"/>
    <s v="Technical Degree"/>
    <n v="1646"/>
    <n v="1"/>
    <x v="2"/>
    <s v="Female"/>
    <n v="32"/>
    <n v="3"/>
    <s v="High"/>
    <n v="1"/>
    <x v="1"/>
    <x v="1"/>
    <n v="4"/>
    <s v="Very High"/>
    <x v="0"/>
    <n v="3760"/>
    <n v="17218"/>
    <n v="1"/>
    <x v="0"/>
    <n v="13"/>
    <n v="3"/>
    <s v="Excellent"/>
    <n v="3"/>
    <s v="High"/>
    <n v="0"/>
    <n v="6"/>
    <n v="2"/>
    <n v="3"/>
    <s v="High"/>
    <n v="6"/>
    <n v="3"/>
    <n v="1"/>
    <n v="3"/>
  </r>
  <r>
    <n v="27"/>
    <x v="2"/>
    <x v="1"/>
    <x v="0"/>
    <n v="486"/>
    <x v="1"/>
    <n v="8"/>
    <x v="0"/>
    <n v="3"/>
    <s v="Bachelor"/>
    <s v="Medical"/>
    <n v="1647"/>
    <n v="2"/>
    <x v="0"/>
    <s v="Female"/>
    <n v="86"/>
    <n v="4"/>
    <s v="Very High"/>
    <n v="1"/>
    <x v="1"/>
    <x v="1"/>
    <n v="3"/>
    <s v="High"/>
    <x v="1"/>
    <n v="3517"/>
    <n v="22490"/>
    <n v="7"/>
    <x v="1"/>
    <n v="17"/>
    <n v="3"/>
    <s v="Excellent"/>
    <n v="1"/>
    <s v="Low"/>
    <n v="0"/>
    <n v="5"/>
    <n v="0"/>
    <n v="3"/>
    <s v="High"/>
    <n v="3"/>
    <n v="2"/>
    <n v="0"/>
    <n v="2"/>
  </r>
  <r>
    <n v="27"/>
    <x v="2"/>
    <x v="1"/>
    <x v="1"/>
    <n v="591"/>
    <x v="1"/>
    <n v="2"/>
    <x v="0"/>
    <n v="3"/>
    <s v="Bachelor"/>
    <s v="Medical"/>
    <n v="1648"/>
    <n v="4"/>
    <x v="3"/>
    <s v="Male"/>
    <n v="87"/>
    <n v="3"/>
    <s v="High"/>
    <n v="1"/>
    <x v="1"/>
    <x v="1"/>
    <n v="4"/>
    <s v="Very High"/>
    <x v="0"/>
    <n v="2580"/>
    <n v="6297"/>
    <n v="2"/>
    <x v="1"/>
    <n v="13"/>
    <n v="3"/>
    <s v="Excellent"/>
    <n v="3"/>
    <s v="High"/>
    <n v="0"/>
    <n v="6"/>
    <n v="0"/>
    <n v="2"/>
    <s v="Medium"/>
    <n v="4"/>
    <n v="2"/>
    <n v="1"/>
    <n v="2"/>
  </r>
  <r>
    <n v="40"/>
    <x v="0"/>
    <x v="0"/>
    <x v="0"/>
    <n v="1329"/>
    <x v="1"/>
    <n v="7"/>
    <x v="0"/>
    <n v="3"/>
    <s v="Bachelor"/>
    <s v="Life Sciences"/>
    <n v="1649"/>
    <n v="1"/>
    <x v="2"/>
    <s v="Male"/>
    <n v="73"/>
    <n v="3"/>
    <s v="High"/>
    <n v="1"/>
    <x v="1"/>
    <x v="2"/>
    <n v="1"/>
    <s v="Low"/>
    <x v="0"/>
    <n v="2166"/>
    <n v="3339"/>
    <n v="3"/>
    <x v="0"/>
    <n v="14"/>
    <n v="3"/>
    <s v="Excellent"/>
    <n v="2"/>
    <s v="Medium"/>
    <n v="0"/>
    <n v="10"/>
    <n v="3"/>
    <n v="1"/>
    <s v="Low"/>
    <n v="4"/>
    <n v="2"/>
    <n v="0"/>
    <n v="3"/>
  </r>
  <r>
    <n v="29"/>
    <x v="2"/>
    <x v="1"/>
    <x v="0"/>
    <n v="469"/>
    <x v="0"/>
    <n v="10"/>
    <x v="0"/>
    <n v="3"/>
    <s v="Bachelor"/>
    <s v="Medical"/>
    <n v="1650"/>
    <n v="3"/>
    <x v="1"/>
    <s v="Male"/>
    <n v="42"/>
    <n v="2"/>
    <s v="Medium"/>
    <n v="2"/>
    <x v="0"/>
    <x v="0"/>
    <n v="3"/>
    <s v="High"/>
    <x v="0"/>
    <n v="5869"/>
    <n v="23413"/>
    <n v="9"/>
    <x v="1"/>
    <n v="11"/>
    <n v="3"/>
    <s v="Excellent"/>
    <n v="3"/>
    <s v="High"/>
    <n v="0"/>
    <n v="8"/>
    <n v="2"/>
    <n v="3"/>
    <s v="High"/>
    <n v="5"/>
    <n v="2"/>
    <n v="1"/>
    <n v="4"/>
  </r>
  <r>
    <n v="36"/>
    <x v="0"/>
    <x v="1"/>
    <x v="0"/>
    <n v="711"/>
    <x v="1"/>
    <n v="5"/>
    <x v="0"/>
    <n v="4"/>
    <s v="Master"/>
    <s v="Life Sciences"/>
    <n v="1651"/>
    <n v="2"/>
    <x v="0"/>
    <s v="Female"/>
    <n v="42"/>
    <n v="3"/>
    <s v="High"/>
    <n v="3"/>
    <x v="2"/>
    <x v="4"/>
    <n v="1"/>
    <s v="Low"/>
    <x v="1"/>
    <n v="8008"/>
    <n v="22792"/>
    <n v="4"/>
    <x v="1"/>
    <n v="12"/>
    <n v="3"/>
    <s v="Excellent"/>
    <n v="3"/>
    <s v="High"/>
    <n v="2"/>
    <n v="9"/>
    <n v="6"/>
    <n v="3"/>
    <s v="High"/>
    <n v="3"/>
    <n v="2"/>
    <n v="0"/>
    <n v="2"/>
  </r>
  <r>
    <n v="25"/>
    <x v="4"/>
    <x v="1"/>
    <x v="1"/>
    <n v="772"/>
    <x v="1"/>
    <n v="2"/>
    <x v="0"/>
    <n v="1"/>
    <s v="Below College"/>
    <s v="Life Sciences"/>
    <n v="1653"/>
    <n v="4"/>
    <x v="3"/>
    <s v="Male"/>
    <n v="77"/>
    <n v="4"/>
    <s v="Very High"/>
    <n v="2"/>
    <x v="0"/>
    <x v="3"/>
    <n v="3"/>
    <s v="High"/>
    <x v="2"/>
    <n v="5206"/>
    <n v="4973"/>
    <n v="1"/>
    <x v="1"/>
    <n v="17"/>
    <n v="3"/>
    <s v="Excellent"/>
    <n v="3"/>
    <s v="High"/>
    <n v="2"/>
    <n v="7"/>
    <n v="6"/>
    <n v="3"/>
    <s v="High"/>
    <n v="7"/>
    <n v="7"/>
    <n v="0"/>
    <n v="7"/>
  </r>
  <r>
    <n v="39"/>
    <x v="0"/>
    <x v="1"/>
    <x v="0"/>
    <n v="492"/>
    <x v="1"/>
    <n v="12"/>
    <x v="2"/>
    <n v="3"/>
    <s v="Bachelor"/>
    <s v="Medical"/>
    <n v="1654"/>
    <n v="4"/>
    <x v="3"/>
    <s v="Male"/>
    <n v="66"/>
    <n v="3"/>
    <s v="High"/>
    <n v="2"/>
    <x v="0"/>
    <x v="3"/>
    <n v="2"/>
    <s v="Medium"/>
    <x v="1"/>
    <n v="5295"/>
    <n v="7693"/>
    <n v="4"/>
    <x v="1"/>
    <n v="21"/>
    <n v="4"/>
    <s v="Outstanding"/>
    <n v="3"/>
    <s v="High"/>
    <n v="0"/>
    <n v="7"/>
    <n v="3"/>
    <n v="3"/>
    <s v="High"/>
    <n v="5"/>
    <n v="4"/>
    <n v="1"/>
    <n v="0"/>
  </r>
  <r>
    <n v="49"/>
    <x v="1"/>
    <x v="1"/>
    <x v="0"/>
    <n v="301"/>
    <x v="1"/>
    <n v="22"/>
    <x v="1"/>
    <n v="4"/>
    <s v="Master"/>
    <s v="Other"/>
    <n v="1655"/>
    <n v="1"/>
    <x v="2"/>
    <s v="Female"/>
    <n v="72"/>
    <n v="3"/>
    <s v="High"/>
    <n v="4"/>
    <x v="3"/>
    <x v="7"/>
    <n v="2"/>
    <s v="Medium"/>
    <x v="1"/>
    <n v="16413"/>
    <n v="3498"/>
    <n v="3"/>
    <x v="1"/>
    <n v="16"/>
    <n v="3"/>
    <s v="Excellent"/>
    <n v="2"/>
    <s v="Medium"/>
    <n v="2"/>
    <n v="27"/>
    <n v="2"/>
    <n v="3"/>
    <s v="High"/>
    <n v="4"/>
    <n v="2"/>
    <n v="1"/>
    <n v="2"/>
  </r>
  <r>
    <n v="50"/>
    <x v="1"/>
    <x v="1"/>
    <x v="0"/>
    <n v="813"/>
    <x v="1"/>
    <n v="17"/>
    <x v="2"/>
    <n v="5"/>
    <s v="Doctor"/>
    <s v="Life Sciences"/>
    <n v="1656"/>
    <n v="4"/>
    <x v="3"/>
    <s v="Female"/>
    <n v="50"/>
    <n v="2"/>
    <s v="Medium"/>
    <n v="3"/>
    <x v="2"/>
    <x v="7"/>
    <n v="1"/>
    <s v="Low"/>
    <x v="2"/>
    <n v="13269"/>
    <n v="21981"/>
    <n v="5"/>
    <x v="1"/>
    <n v="15"/>
    <n v="3"/>
    <s v="Excellent"/>
    <n v="3"/>
    <s v="High"/>
    <n v="3"/>
    <n v="19"/>
    <n v="3"/>
    <n v="3"/>
    <s v="High"/>
    <n v="14"/>
    <n v="11"/>
    <n v="1"/>
    <n v="11"/>
  </r>
  <r>
    <n v="20"/>
    <x v="4"/>
    <x v="1"/>
    <x v="0"/>
    <n v="1141"/>
    <x v="0"/>
    <n v="2"/>
    <x v="0"/>
    <n v="3"/>
    <s v="Bachelor"/>
    <s v="Medical"/>
    <n v="1657"/>
    <n v="3"/>
    <x v="1"/>
    <s v="Female"/>
    <n v="31"/>
    <n v="3"/>
    <s v="High"/>
    <n v="1"/>
    <x v="1"/>
    <x v="6"/>
    <n v="3"/>
    <s v="High"/>
    <x v="0"/>
    <n v="2783"/>
    <n v="13251"/>
    <n v="1"/>
    <x v="1"/>
    <n v="19"/>
    <n v="3"/>
    <s v="Excellent"/>
    <n v="1"/>
    <s v="Low"/>
    <n v="0"/>
    <n v="2"/>
    <n v="3"/>
    <n v="3"/>
    <s v="High"/>
    <n v="2"/>
    <n v="2"/>
    <n v="2"/>
    <n v="2"/>
  </r>
  <r>
    <n v="34"/>
    <x v="2"/>
    <x v="1"/>
    <x v="0"/>
    <n v="1130"/>
    <x v="1"/>
    <n v="3"/>
    <x v="0"/>
    <n v="3"/>
    <s v="Bachelor"/>
    <s v="Life Sciences"/>
    <n v="1658"/>
    <n v="4"/>
    <x v="3"/>
    <s v="Female"/>
    <n v="66"/>
    <n v="3"/>
    <s v="High"/>
    <n v="2"/>
    <x v="0"/>
    <x v="1"/>
    <n v="2"/>
    <s v="Medium"/>
    <x v="2"/>
    <n v="5433"/>
    <n v="19332"/>
    <n v="1"/>
    <x v="1"/>
    <n v="12"/>
    <n v="3"/>
    <s v="Excellent"/>
    <n v="3"/>
    <s v="High"/>
    <n v="1"/>
    <n v="11"/>
    <n v="2"/>
    <n v="3"/>
    <s v="High"/>
    <n v="11"/>
    <n v="8"/>
    <n v="7"/>
    <n v="9"/>
  </r>
  <r>
    <n v="36"/>
    <x v="0"/>
    <x v="1"/>
    <x v="0"/>
    <n v="311"/>
    <x v="1"/>
    <n v="7"/>
    <x v="0"/>
    <n v="3"/>
    <s v="Bachelor"/>
    <s v="Life Sciences"/>
    <n v="1659"/>
    <n v="1"/>
    <x v="2"/>
    <s v="Male"/>
    <n v="77"/>
    <n v="3"/>
    <s v="High"/>
    <n v="1"/>
    <x v="1"/>
    <x v="2"/>
    <n v="2"/>
    <s v="Medium"/>
    <x v="0"/>
    <n v="2013"/>
    <n v="10950"/>
    <n v="2"/>
    <x v="1"/>
    <n v="11"/>
    <n v="3"/>
    <s v="Excellent"/>
    <n v="3"/>
    <s v="High"/>
    <n v="0"/>
    <n v="15"/>
    <n v="4"/>
    <n v="3"/>
    <s v="High"/>
    <n v="4"/>
    <n v="3"/>
    <n v="1"/>
    <n v="3"/>
  </r>
  <r>
    <n v="49"/>
    <x v="1"/>
    <x v="1"/>
    <x v="0"/>
    <n v="465"/>
    <x v="1"/>
    <n v="6"/>
    <x v="0"/>
    <n v="1"/>
    <s v="Below College"/>
    <s v="Life Sciences"/>
    <n v="1661"/>
    <n v="3"/>
    <x v="1"/>
    <s v="Female"/>
    <n v="41"/>
    <n v="2"/>
    <s v="Medium"/>
    <n v="4"/>
    <x v="3"/>
    <x v="4"/>
    <n v="3"/>
    <s v="High"/>
    <x v="1"/>
    <n v="13966"/>
    <n v="11652"/>
    <n v="2"/>
    <x v="0"/>
    <n v="19"/>
    <n v="3"/>
    <s v="Excellent"/>
    <n v="2"/>
    <s v="Medium"/>
    <n v="1"/>
    <n v="30"/>
    <n v="3"/>
    <n v="3"/>
    <s v="High"/>
    <n v="15"/>
    <n v="11"/>
    <n v="2"/>
    <n v="12"/>
  </r>
  <r>
    <n v="36"/>
    <x v="0"/>
    <x v="1"/>
    <x v="2"/>
    <n v="894"/>
    <x v="1"/>
    <n v="1"/>
    <x v="0"/>
    <n v="4"/>
    <s v="Master"/>
    <s v="Medical"/>
    <n v="1662"/>
    <n v="4"/>
    <x v="3"/>
    <s v="Female"/>
    <n v="33"/>
    <n v="2"/>
    <s v="Medium"/>
    <n v="2"/>
    <x v="0"/>
    <x v="3"/>
    <n v="3"/>
    <s v="High"/>
    <x v="1"/>
    <n v="4374"/>
    <n v="15411"/>
    <n v="0"/>
    <x v="1"/>
    <n v="15"/>
    <n v="3"/>
    <s v="Excellent"/>
    <n v="3"/>
    <s v="High"/>
    <n v="0"/>
    <n v="4"/>
    <n v="6"/>
    <n v="3"/>
    <s v="High"/>
    <n v="3"/>
    <n v="2"/>
    <n v="1"/>
    <n v="2"/>
  </r>
  <r>
    <n v="36"/>
    <x v="0"/>
    <x v="1"/>
    <x v="0"/>
    <n v="1040"/>
    <x v="1"/>
    <n v="3"/>
    <x v="0"/>
    <n v="2"/>
    <s v="College"/>
    <s v="Life Sciences"/>
    <n v="1664"/>
    <n v="4"/>
    <x v="3"/>
    <s v="Male"/>
    <n v="79"/>
    <n v="4"/>
    <s v="Very High"/>
    <n v="2"/>
    <x v="0"/>
    <x v="4"/>
    <n v="1"/>
    <s v="Low"/>
    <x v="2"/>
    <n v="6842"/>
    <n v="26308"/>
    <n v="6"/>
    <x v="1"/>
    <n v="20"/>
    <n v="4"/>
    <s v="Outstanding"/>
    <n v="1"/>
    <s v="Low"/>
    <n v="1"/>
    <n v="13"/>
    <n v="3"/>
    <n v="3"/>
    <s v="High"/>
    <n v="5"/>
    <n v="4"/>
    <n v="0"/>
    <n v="4"/>
  </r>
  <r>
    <n v="54"/>
    <x v="1"/>
    <x v="1"/>
    <x v="0"/>
    <n v="584"/>
    <x v="1"/>
    <n v="22"/>
    <x v="1"/>
    <n v="5"/>
    <s v="Doctor"/>
    <s v="Medical"/>
    <n v="1665"/>
    <n v="2"/>
    <x v="0"/>
    <s v="Female"/>
    <n v="91"/>
    <n v="3"/>
    <s v="High"/>
    <n v="4"/>
    <x v="3"/>
    <x v="5"/>
    <n v="3"/>
    <s v="High"/>
    <x v="1"/>
    <n v="17426"/>
    <n v="18685"/>
    <n v="3"/>
    <x v="1"/>
    <n v="25"/>
    <n v="4"/>
    <s v="Outstanding"/>
    <n v="3"/>
    <s v="High"/>
    <n v="1"/>
    <n v="36"/>
    <n v="6"/>
    <n v="3"/>
    <s v="High"/>
    <n v="10"/>
    <n v="8"/>
    <n v="4"/>
    <n v="7"/>
  </r>
  <r>
    <n v="43"/>
    <x v="0"/>
    <x v="1"/>
    <x v="0"/>
    <n v="1291"/>
    <x v="1"/>
    <n v="15"/>
    <x v="2"/>
    <n v="2"/>
    <s v="College"/>
    <s v="Life Sciences"/>
    <n v="1666"/>
    <n v="3"/>
    <x v="1"/>
    <s v="Male"/>
    <n v="65"/>
    <n v="2"/>
    <s v="Medium"/>
    <n v="4"/>
    <x v="3"/>
    <x v="7"/>
    <n v="3"/>
    <s v="High"/>
    <x v="1"/>
    <n v="17603"/>
    <n v="3525"/>
    <n v="1"/>
    <x v="1"/>
    <n v="24"/>
    <n v="4"/>
    <s v="Outstanding"/>
    <n v="1"/>
    <s v="Low"/>
    <n v="1"/>
    <n v="14"/>
    <n v="3"/>
    <n v="3"/>
    <s v="High"/>
    <n v="14"/>
    <n v="10"/>
    <n v="6"/>
    <n v="11"/>
  </r>
  <r>
    <n v="35"/>
    <x v="2"/>
    <x v="0"/>
    <x v="1"/>
    <n v="880"/>
    <x v="0"/>
    <n v="12"/>
    <x v="2"/>
    <n v="4"/>
    <s v="Master"/>
    <s v="Other"/>
    <n v="1667"/>
    <n v="4"/>
    <x v="3"/>
    <s v="Male"/>
    <n v="36"/>
    <n v="3"/>
    <s v="High"/>
    <n v="2"/>
    <x v="0"/>
    <x v="0"/>
    <n v="4"/>
    <s v="Very High"/>
    <x v="0"/>
    <n v="4581"/>
    <n v="10414"/>
    <n v="3"/>
    <x v="0"/>
    <n v="24"/>
    <n v="4"/>
    <s v="Outstanding"/>
    <n v="1"/>
    <s v="Low"/>
    <n v="0"/>
    <n v="13"/>
    <n v="2"/>
    <n v="4"/>
    <s v="Very High"/>
    <n v="11"/>
    <n v="9"/>
    <n v="6"/>
    <n v="7"/>
  </r>
  <r>
    <n v="38"/>
    <x v="0"/>
    <x v="1"/>
    <x v="1"/>
    <n v="1189"/>
    <x v="1"/>
    <n v="1"/>
    <x v="0"/>
    <n v="3"/>
    <s v="Bachelor"/>
    <s v="Life Sciences"/>
    <n v="1668"/>
    <n v="4"/>
    <x v="3"/>
    <s v="Male"/>
    <n v="90"/>
    <n v="3"/>
    <s v="High"/>
    <n v="2"/>
    <x v="0"/>
    <x v="1"/>
    <n v="4"/>
    <s v="Very High"/>
    <x v="1"/>
    <n v="4735"/>
    <n v="9867"/>
    <n v="7"/>
    <x v="1"/>
    <n v="15"/>
    <n v="3"/>
    <s v="Excellent"/>
    <n v="4"/>
    <s v="Very High"/>
    <n v="2"/>
    <n v="19"/>
    <n v="4"/>
    <n v="4"/>
    <s v="Very High"/>
    <n v="13"/>
    <n v="11"/>
    <n v="2"/>
    <n v="9"/>
  </r>
  <r>
    <n v="29"/>
    <x v="2"/>
    <x v="1"/>
    <x v="0"/>
    <n v="991"/>
    <x v="0"/>
    <n v="5"/>
    <x v="0"/>
    <n v="3"/>
    <s v="Bachelor"/>
    <s v="Medical"/>
    <n v="1669"/>
    <n v="1"/>
    <x v="2"/>
    <s v="Male"/>
    <n v="43"/>
    <n v="2"/>
    <s v="Medium"/>
    <n v="2"/>
    <x v="0"/>
    <x v="0"/>
    <n v="2"/>
    <s v="Medium"/>
    <x v="2"/>
    <n v="4187"/>
    <n v="3356"/>
    <n v="1"/>
    <x v="0"/>
    <n v="13"/>
    <n v="3"/>
    <s v="Excellent"/>
    <n v="2"/>
    <s v="Medium"/>
    <n v="1"/>
    <n v="10"/>
    <n v="3"/>
    <n v="2"/>
    <s v="Medium"/>
    <n v="10"/>
    <n v="0"/>
    <n v="0"/>
    <n v="9"/>
  </r>
  <r>
    <n v="33"/>
    <x v="2"/>
    <x v="1"/>
    <x v="0"/>
    <n v="392"/>
    <x v="0"/>
    <n v="2"/>
    <x v="0"/>
    <n v="4"/>
    <s v="Master"/>
    <s v="Medical"/>
    <n v="1670"/>
    <n v="4"/>
    <x v="3"/>
    <s v="Male"/>
    <n v="93"/>
    <n v="3"/>
    <s v="High"/>
    <n v="2"/>
    <x v="0"/>
    <x v="0"/>
    <n v="4"/>
    <s v="Very High"/>
    <x v="2"/>
    <n v="5505"/>
    <n v="3921"/>
    <n v="1"/>
    <x v="1"/>
    <n v="14"/>
    <n v="3"/>
    <s v="Excellent"/>
    <n v="3"/>
    <s v="High"/>
    <n v="2"/>
    <n v="6"/>
    <n v="5"/>
    <n v="3"/>
    <s v="High"/>
    <n v="6"/>
    <n v="2"/>
    <n v="0"/>
    <n v="4"/>
  </r>
  <r>
    <n v="32"/>
    <x v="2"/>
    <x v="1"/>
    <x v="0"/>
    <n v="977"/>
    <x v="1"/>
    <n v="2"/>
    <x v="0"/>
    <n v="3"/>
    <s v="Bachelor"/>
    <s v="Medical"/>
    <n v="1671"/>
    <n v="4"/>
    <x v="3"/>
    <s v="Male"/>
    <n v="45"/>
    <n v="3"/>
    <s v="High"/>
    <n v="2"/>
    <x v="0"/>
    <x v="1"/>
    <n v="2"/>
    <s v="Medium"/>
    <x v="2"/>
    <n v="5470"/>
    <n v="25518"/>
    <n v="0"/>
    <x v="1"/>
    <n v="13"/>
    <n v="3"/>
    <s v="Excellent"/>
    <n v="3"/>
    <s v="High"/>
    <n v="2"/>
    <n v="10"/>
    <n v="4"/>
    <n v="2"/>
    <s v="Medium"/>
    <n v="9"/>
    <n v="5"/>
    <n v="1"/>
    <n v="6"/>
  </r>
  <r>
    <n v="31"/>
    <x v="2"/>
    <x v="1"/>
    <x v="0"/>
    <n v="1112"/>
    <x v="0"/>
    <n v="5"/>
    <x v="0"/>
    <n v="4"/>
    <s v="Master"/>
    <s v="Life Sciences"/>
    <n v="1673"/>
    <n v="1"/>
    <x v="2"/>
    <s v="Female"/>
    <n v="67"/>
    <n v="3"/>
    <s v="High"/>
    <n v="2"/>
    <x v="0"/>
    <x v="0"/>
    <n v="4"/>
    <s v="Very High"/>
    <x v="1"/>
    <n v="5476"/>
    <n v="22589"/>
    <n v="1"/>
    <x v="1"/>
    <n v="11"/>
    <n v="3"/>
    <s v="Excellent"/>
    <n v="1"/>
    <s v="Low"/>
    <n v="2"/>
    <n v="10"/>
    <n v="2"/>
    <n v="3"/>
    <s v="High"/>
    <n v="10"/>
    <n v="0"/>
    <n v="0"/>
    <n v="2"/>
  </r>
  <r>
    <n v="49"/>
    <x v="1"/>
    <x v="1"/>
    <x v="0"/>
    <n v="464"/>
    <x v="1"/>
    <n v="16"/>
    <x v="2"/>
    <n v="3"/>
    <s v="Bachelor"/>
    <s v="Medical"/>
    <n v="1674"/>
    <n v="4"/>
    <x v="3"/>
    <s v="Female"/>
    <n v="74"/>
    <n v="3"/>
    <s v="High"/>
    <n v="1"/>
    <x v="1"/>
    <x v="2"/>
    <n v="1"/>
    <s v="Low"/>
    <x v="2"/>
    <n v="2587"/>
    <n v="24941"/>
    <n v="4"/>
    <x v="0"/>
    <n v="16"/>
    <n v="3"/>
    <s v="Excellent"/>
    <n v="2"/>
    <s v="Medium"/>
    <n v="1"/>
    <n v="17"/>
    <n v="2"/>
    <n v="2"/>
    <s v="Medium"/>
    <n v="2"/>
    <n v="2"/>
    <n v="2"/>
    <n v="2"/>
  </r>
  <r>
    <n v="38"/>
    <x v="0"/>
    <x v="1"/>
    <x v="1"/>
    <n v="148"/>
    <x v="1"/>
    <n v="2"/>
    <x v="0"/>
    <n v="3"/>
    <s v="Bachelor"/>
    <s v="Medical"/>
    <n v="1675"/>
    <n v="4"/>
    <x v="3"/>
    <s v="Female"/>
    <n v="42"/>
    <n v="2"/>
    <s v="Medium"/>
    <n v="1"/>
    <x v="1"/>
    <x v="2"/>
    <n v="2"/>
    <s v="Medium"/>
    <x v="0"/>
    <n v="2440"/>
    <n v="23826"/>
    <n v="1"/>
    <x v="1"/>
    <n v="22"/>
    <n v="4"/>
    <s v="Outstanding"/>
    <n v="2"/>
    <s v="Medium"/>
    <n v="0"/>
    <n v="4"/>
    <n v="3"/>
    <n v="3"/>
    <s v="High"/>
    <n v="4"/>
    <n v="3"/>
    <n v="3"/>
    <n v="3"/>
  </r>
  <r>
    <n v="47"/>
    <x v="1"/>
    <x v="1"/>
    <x v="0"/>
    <n v="1225"/>
    <x v="0"/>
    <n v="2"/>
    <x v="0"/>
    <n v="4"/>
    <s v="Master"/>
    <s v="Life Sciences"/>
    <n v="1676"/>
    <n v="2"/>
    <x v="0"/>
    <s v="Female"/>
    <n v="47"/>
    <n v="4"/>
    <s v="Very High"/>
    <n v="4"/>
    <x v="3"/>
    <x v="5"/>
    <n v="2"/>
    <s v="Medium"/>
    <x v="2"/>
    <n v="15972"/>
    <n v="21086"/>
    <n v="6"/>
    <x v="1"/>
    <n v="14"/>
    <n v="3"/>
    <s v="Excellent"/>
    <n v="3"/>
    <s v="High"/>
    <n v="3"/>
    <n v="29"/>
    <n v="2"/>
    <n v="3"/>
    <s v="High"/>
    <n v="3"/>
    <n v="2"/>
    <n v="1"/>
    <n v="2"/>
  </r>
  <r>
    <n v="49"/>
    <x v="1"/>
    <x v="1"/>
    <x v="0"/>
    <n v="809"/>
    <x v="1"/>
    <n v="1"/>
    <x v="0"/>
    <n v="3"/>
    <s v="Bachelor"/>
    <s v="Life Sciences"/>
    <n v="1677"/>
    <n v="3"/>
    <x v="1"/>
    <s v="Male"/>
    <n v="36"/>
    <n v="3"/>
    <s v="High"/>
    <n v="4"/>
    <x v="3"/>
    <x v="5"/>
    <n v="3"/>
    <s v="High"/>
    <x v="0"/>
    <n v="15379"/>
    <n v="22384"/>
    <n v="4"/>
    <x v="1"/>
    <n v="14"/>
    <n v="3"/>
    <s v="Excellent"/>
    <n v="1"/>
    <s v="Low"/>
    <n v="0"/>
    <n v="23"/>
    <n v="2"/>
    <n v="3"/>
    <s v="High"/>
    <n v="8"/>
    <n v="7"/>
    <n v="0"/>
    <n v="0"/>
  </r>
  <r>
    <n v="41"/>
    <x v="0"/>
    <x v="1"/>
    <x v="0"/>
    <n v="1206"/>
    <x v="0"/>
    <n v="23"/>
    <x v="1"/>
    <n v="2"/>
    <s v="College"/>
    <s v="Life Sciences"/>
    <n v="1678"/>
    <n v="4"/>
    <x v="3"/>
    <s v="Male"/>
    <n v="80"/>
    <n v="3"/>
    <s v="High"/>
    <n v="3"/>
    <x v="2"/>
    <x v="0"/>
    <n v="3"/>
    <s v="High"/>
    <x v="0"/>
    <n v="7082"/>
    <n v="11591"/>
    <n v="3"/>
    <x v="0"/>
    <n v="16"/>
    <n v="3"/>
    <s v="Excellent"/>
    <n v="4"/>
    <s v="Very High"/>
    <n v="0"/>
    <n v="21"/>
    <n v="2"/>
    <n v="3"/>
    <s v="High"/>
    <n v="2"/>
    <n v="0"/>
    <n v="0"/>
    <n v="2"/>
  </r>
  <r>
    <n v="20"/>
    <x v="4"/>
    <x v="1"/>
    <x v="0"/>
    <n v="727"/>
    <x v="0"/>
    <n v="9"/>
    <x v="0"/>
    <n v="1"/>
    <s v="Below College"/>
    <s v="Life Sciences"/>
    <n v="1680"/>
    <n v="4"/>
    <x v="3"/>
    <s v="Male"/>
    <n v="54"/>
    <n v="3"/>
    <s v="High"/>
    <n v="1"/>
    <x v="1"/>
    <x v="6"/>
    <n v="1"/>
    <s v="Low"/>
    <x v="0"/>
    <n v="2728"/>
    <n v="21082"/>
    <n v="1"/>
    <x v="1"/>
    <n v="11"/>
    <n v="3"/>
    <s v="Excellent"/>
    <n v="1"/>
    <s v="Low"/>
    <n v="0"/>
    <n v="2"/>
    <n v="3"/>
    <n v="3"/>
    <s v="High"/>
    <n v="2"/>
    <n v="2"/>
    <n v="0"/>
    <n v="2"/>
  </r>
  <r>
    <n v="33"/>
    <x v="2"/>
    <x v="1"/>
    <x v="2"/>
    <n v="530"/>
    <x v="0"/>
    <n v="16"/>
    <x v="2"/>
    <n v="3"/>
    <s v="Bachelor"/>
    <s v="Life Sciences"/>
    <n v="1681"/>
    <n v="3"/>
    <x v="1"/>
    <s v="Female"/>
    <n v="36"/>
    <n v="3"/>
    <s v="High"/>
    <n v="2"/>
    <x v="0"/>
    <x v="0"/>
    <n v="4"/>
    <s v="Very High"/>
    <x v="2"/>
    <n v="5368"/>
    <n v="16130"/>
    <n v="1"/>
    <x v="0"/>
    <n v="25"/>
    <n v="4"/>
    <s v="Outstanding"/>
    <n v="3"/>
    <s v="High"/>
    <n v="1"/>
    <n v="7"/>
    <n v="2"/>
    <n v="3"/>
    <s v="High"/>
    <n v="6"/>
    <n v="5"/>
    <n v="1"/>
    <n v="2"/>
  </r>
  <r>
    <n v="36"/>
    <x v="0"/>
    <x v="1"/>
    <x v="0"/>
    <n v="1351"/>
    <x v="1"/>
    <n v="26"/>
    <x v="1"/>
    <n v="4"/>
    <s v="Master"/>
    <s v="Life Sciences"/>
    <n v="1682"/>
    <n v="1"/>
    <x v="2"/>
    <s v="Male"/>
    <n v="80"/>
    <n v="3"/>
    <s v="High"/>
    <n v="2"/>
    <x v="0"/>
    <x v="4"/>
    <n v="3"/>
    <s v="High"/>
    <x v="1"/>
    <n v="5347"/>
    <n v="7419"/>
    <n v="6"/>
    <x v="1"/>
    <n v="14"/>
    <n v="3"/>
    <s v="Excellent"/>
    <n v="2"/>
    <s v="Medium"/>
    <n v="2"/>
    <n v="10"/>
    <n v="2"/>
    <n v="2"/>
    <s v="Medium"/>
    <n v="3"/>
    <n v="2"/>
    <n v="0"/>
    <n v="2"/>
  </r>
  <r>
    <n v="44"/>
    <x v="0"/>
    <x v="1"/>
    <x v="0"/>
    <n v="528"/>
    <x v="2"/>
    <n v="1"/>
    <x v="0"/>
    <n v="3"/>
    <s v="Bachelor"/>
    <s v="Life Sciences"/>
    <n v="1683"/>
    <n v="3"/>
    <x v="1"/>
    <s v="Female"/>
    <n v="44"/>
    <n v="3"/>
    <s v="High"/>
    <n v="1"/>
    <x v="1"/>
    <x v="8"/>
    <n v="4"/>
    <s v="Very High"/>
    <x v="2"/>
    <n v="3195"/>
    <n v="4167"/>
    <n v="4"/>
    <x v="0"/>
    <n v="18"/>
    <n v="3"/>
    <s v="Excellent"/>
    <n v="1"/>
    <s v="Low"/>
    <n v="3"/>
    <n v="8"/>
    <n v="2"/>
    <n v="3"/>
    <s v="High"/>
    <n v="2"/>
    <n v="2"/>
    <n v="2"/>
    <n v="2"/>
  </r>
  <r>
    <n v="23"/>
    <x v="4"/>
    <x v="0"/>
    <x v="0"/>
    <n v="1320"/>
    <x v="1"/>
    <n v="8"/>
    <x v="0"/>
    <n v="1"/>
    <s v="Below College"/>
    <s v="Medical"/>
    <n v="1684"/>
    <n v="4"/>
    <x v="3"/>
    <s v="Male"/>
    <n v="93"/>
    <n v="2"/>
    <s v="Medium"/>
    <n v="1"/>
    <x v="1"/>
    <x v="2"/>
    <n v="3"/>
    <s v="High"/>
    <x v="0"/>
    <n v="3989"/>
    <n v="20586"/>
    <n v="1"/>
    <x v="0"/>
    <n v="11"/>
    <n v="3"/>
    <s v="Excellent"/>
    <n v="1"/>
    <s v="Low"/>
    <n v="0"/>
    <n v="5"/>
    <n v="2"/>
    <n v="3"/>
    <s v="High"/>
    <n v="5"/>
    <n v="4"/>
    <n v="1"/>
    <n v="2"/>
  </r>
  <r>
    <n v="38"/>
    <x v="0"/>
    <x v="1"/>
    <x v="0"/>
    <n v="1495"/>
    <x v="1"/>
    <n v="4"/>
    <x v="0"/>
    <n v="2"/>
    <s v="College"/>
    <s v="Medical"/>
    <n v="1687"/>
    <n v="4"/>
    <x v="3"/>
    <s v="Female"/>
    <n v="87"/>
    <n v="3"/>
    <s v="High"/>
    <n v="1"/>
    <x v="1"/>
    <x v="2"/>
    <n v="3"/>
    <s v="High"/>
    <x v="1"/>
    <n v="3306"/>
    <n v="26176"/>
    <n v="7"/>
    <x v="1"/>
    <n v="19"/>
    <n v="3"/>
    <s v="Excellent"/>
    <n v="4"/>
    <s v="Very High"/>
    <n v="1"/>
    <n v="7"/>
    <n v="5"/>
    <n v="2"/>
    <s v="Medium"/>
    <n v="0"/>
    <n v="0"/>
    <n v="0"/>
    <n v="0"/>
  </r>
  <r>
    <n v="53"/>
    <x v="1"/>
    <x v="1"/>
    <x v="0"/>
    <n v="1395"/>
    <x v="1"/>
    <n v="24"/>
    <x v="1"/>
    <n v="4"/>
    <s v="Master"/>
    <s v="Medical"/>
    <n v="1689"/>
    <n v="2"/>
    <x v="0"/>
    <s v="Male"/>
    <n v="48"/>
    <n v="4"/>
    <s v="Very High"/>
    <n v="3"/>
    <x v="2"/>
    <x v="4"/>
    <n v="4"/>
    <s v="Very High"/>
    <x v="1"/>
    <n v="7005"/>
    <n v="3458"/>
    <n v="3"/>
    <x v="1"/>
    <n v="15"/>
    <n v="3"/>
    <s v="Excellent"/>
    <n v="3"/>
    <s v="High"/>
    <n v="0"/>
    <n v="11"/>
    <n v="2"/>
    <n v="3"/>
    <s v="High"/>
    <n v="4"/>
    <n v="3"/>
    <n v="1"/>
    <n v="2"/>
  </r>
  <r>
    <n v="48"/>
    <x v="1"/>
    <x v="0"/>
    <x v="1"/>
    <n v="708"/>
    <x v="0"/>
    <n v="7"/>
    <x v="0"/>
    <n v="2"/>
    <s v="College"/>
    <s v="Medical"/>
    <n v="1691"/>
    <n v="4"/>
    <x v="3"/>
    <s v="Female"/>
    <n v="95"/>
    <n v="3"/>
    <s v="High"/>
    <n v="1"/>
    <x v="1"/>
    <x v="6"/>
    <n v="3"/>
    <s v="High"/>
    <x v="1"/>
    <n v="2655"/>
    <n v="11740"/>
    <n v="2"/>
    <x v="0"/>
    <n v="11"/>
    <n v="3"/>
    <s v="Excellent"/>
    <n v="3"/>
    <s v="High"/>
    <n v="2"/>
    <n v="19"/>
    <n v="3"/>
    <n v="3"/>
    <s v="High"/>
    <n v="9"/>
    <n v="7"/>
    <n v="7"/>
    <n v="7"/>
  </r>
  <r>
    <n v="32"/>
    <x v="2"/>
    <x v="0"/>
    <x v="0"/>
    <n v="1259"/>
    <x v="1"/>
    <n v="2"/>
    <x v="0"/>
    <n v="4"/>
    <s v="Master"/>
    <s v="Life Sciences"/>
    <n v="1692"/>
    <n v="4"/>
    <x v="3"/>
    <s v="Male"/>
    <n v="95"/>
    <n v="3"/>
    <s v="High"/>
    <n v="1"/>
    <x v="1"/>
    <x v="2"/>
    <n v="2"/>
    <s v="Medium"/>
    <x v="0"/>
    <n v="1393"/>
    <n v="24852"/>
    <n v="1"/>
    <x v="1"/>
    <n v="12"/>
    <n v="3"/>
    <s v="Excellent"/>
    <n v="1"/>
    <s v="Low"/>
    <n v="0"/>
    <n v="1"/>
    <n v="2"/>
    <n v="3"/>
    <s v="High"/>
    <n v="1"/>
    <n v="0"/>
    <n v="0"/>
    <n v="0"/>
  </r>
  <r>
    <n v="26"/>
    <x v="2"/>
    <x v="1"/>
    <x v="2"/>
    <n v="786"/>
    <x v="1"/>
    <n v="7"/>
    <x v="0"/>
    <n v="3"/>
    <s v="Bachelor"/>
    <s v="Medical"/>
    <n v="1693"/>
    <n v="4"/>
    <x v="3"/>
    <s v="Male"/>
    <n v="76"/>
    <n v="3"/>
    <s v="High"/>
    <n v="1"/>
    <x v="1"/>
    <x v="2"/>
    <n v="4"/>
    <s v="Very High"/>
    <x v="0"/>
    <n v="2570"/>
    <n v="11925"/>
    <n v="1"/>
    <x v="1"/>
    <n v="20"/>
    <n v="4"/>
    <s v="Outstanding"/>
    <n v="3"/>
    <s v="High"/>
    <n v="0"/>
    <n v="7"/>
    <n v="5"/>
    <n v="3"/>
    <s v="High"/>
    <n v="7"/>
    <n v="7"/>
    <n v="5"/>
    <n v="7"/>
  </r>
  <r>
    <n v="55"/>
    <x v="1"/>
    <x v="1"/>
    <x v="0"/>
    <n v="1441"/>
    <x v="1"/>
    <n v="22"/>
    <x v="1"/>
    <n v="3"/>
    <s v="Bachelor"/>
    <s v="Technical Degree"/>
    <n v="1694"/>
    <n v="1"/>
    <x v="2"/>
    <s v="Male"/>
    <n v="94"/>
    <n v="2"/>
    <s v="Medium"/>
    <n v="1"/>
    <x v="1"/>
    <x v="1"/>
    <n v="2"/>
    <s v="Medium"/>
    <x v="2"/>
    <n v="3537"/>
    <n v="23737"/>
    <n v="5"/>
    <x v="1"/>
    <n v="12"/>
    <n v="3"/>
    <s v="Excellent"/>
    <n v="4"/>
    <s v="Very High"/>
    <n v="1"/>
    <n v="8"/>
    <n v="1"/>
    <n v="3"/>
    <s v="High"/>
    <n v="4"/>
    <n v="2"/>
    <n v="1"/>
    <n v="2"/>
  </r>
  <r>
    <n v="34"/>
    <x v="2"/>
    <x v="1"/>
    <x v="0"/>
    <n v="1157"/>
    <x v="1"/>
    <n v="5"/>
    <x v="0"/>
    <n v="2"/>
    <s v="College"/>
    <s v="Medical"/>
    <n v="1696"/>
    <n v="2"/>
    <x v="0"/>
    <s v="Male"/>
    <n v="57"/>
    <n v="2"/>
    <s v="Medium"/>
    <n v="2"/>
    <x v="0"/>
    <x v="2"/>
    <n v="4"/>
    <s v="Very High"/>
    <x v="1"/>
    <n v="3986"/>
    <n v="11912"/>
    <n v="1"/>
    <x v="1"/>
    <n v="14"/>
    <n v="3"/>
    <s v="Excellent"/>
    <n v="3"/>
    <s v="High"/>
    <n v="1"/>
    <n v="15"/>
    <n v="3"/>
    <n v="4"/>
    <s v="Very High"/>
    <n v="15"/>
    <n v="10"/>
    <n v="4"/>
    <n v="13"/>
  </r>
  <r>
    <n v="60"/>
    <x v="3"/>
    <x v="1"/>
    <x v="0"/>
    <n v="370"/>
    <x v="1"/>
    <n v="1"/>
    <x v="0"/>
    <n v="4"/>
    <s v="Master"/>
    <s v="Medical"/>
    <n v="1697"/>
    <n v="3"/>
    <x v="1"/>
    <s v="Male"/>
    <n v="92"/>
    <n v="1"/>
    <s v="Low"/>
    <n v="3"/>
    <x v="2"/>
    <x v="4"/>
    <n v="4"/>
    <s v="Very High"/>
    <x v="2"/>
    <n v="10883"/>
    <n v="20467"/>
    <n v="3"/>
    <x v="1"/>
    <n v="20"/>
    <n v="4"/>
    <s v="Outstanding"/>
    <n v="3"/>
    <s v="High"/>
    <n v="1"/>
    <n v="19"/>
    <n v="2"/>
    <n v="4"/>
    <s v="Very High"/>
    <n v="1"/>
    <n v="0"/>
    <n v="0"/>
    <n v="0"/>
  </r>
  <r>
    <n v="33"/>
    <x v="2"/>
    <x v="1"/>
    <x v="0"/>
    <n v="267"/>
    <x v="1"/>
    <n v="21"/>
    <x v="1"/>
    <n v="3"/>
    <s v="Bachelor"/>
    <s v="Medical"/>
    <n v="1698"/>
    <n v="2"/>
    <x v="0"/>
    <s v="Male"/>
    <n v="79"/>
    <n v="4"/>
    <s v="Very High"/>
    <n v="1"/>
    <x v="1"/>
    <x v="2"/>
    <n v="2"/>
    <s v="Medium"/>
    <x v="1"/>
    <n v="2028"/>
    <n v="13637"/>
    <n v="1"/>
    <x v="1"/>
    <n v="18"/>
    <n v="3"/>
    <s v="Excellent"/>
    <n v="4"/>
    <s v="Very High"/>
    <n v="3"/>
    <n v="14"/>
    <n v="6"/>
    <n v="3"/>
    <s v="High"/>
    <n v="14"/>
    <n v="11"/>
    <n v="2"/>
    <n v="13"/>
  </r>
  <r>
    <n v="37"/>
    <x v="0"/>
    <x v="1"/>
    <x v="1"/>
    <n v="1278"/>
    <x v="0"/>
    <n v="1"/>
    <x v="0"/>
    <n v="4"/>
    <s v="Master"/>
    <s v="Medical"/>
    <n v="1700"/>
    <n v="3"/>
    <x v="1"/>
    <s v="Male"/>
    <n v="31"/>
    <n v="1"/>
    <s v="Low"/>
    <n v="2"/>
    <x v="0"/>
    <x v="0"/>
    <n v="4"/>
    <s v="Very High"/>
    <x v="2"/>
    <n v="9525"/>
    <n v="7677"/>
    <n v="1"/>
    <x v="1"/>
    <n v="14"/>
    <n v="3"/>
    <s v="Excellent"/>
    <n v="3"/>
    <s v="High"/>
    <n v="2"/>
    <n v="6"/>
    <n v="2"/>
    <n v="2"/>
    <s v="Medium"/>
    <n v="6"/>
    <n v="3"/>
    <n v="1"/>
    <n v="3"/>
  </r>
  <r>
    <n v="34"/>
    <x v="2"/>
    <x v="1"/>
    <x v="0"/>
    <n v="678"/>
    <x v="1"/>
    <n v="19"/>
    <x v="2"/>
    <n v="3"/>
    <s v="Bachelor"/>
    <s v="Life Sciences"/>
    <n v="1701"/>
    <n v="2"/>
    <x v="0"/>
    <s v="Female"/>
    <n v="35"/>
    <n v="2"/>
    <s v="Medium"/>
    <n v="1"/>
    <x v="1"/>
    <x v="1"/>
    <n v="4"/>
    <s v="Very High"/>
    <x v="1"/>
    <n v="2929"/>
    <n v="20338"/>
    <n v="1"/>
    <x v="1"/>
    <n v="12"/>
    <n v="3"/>
    <s v="Excellent"/>
    <n v="2"/>
    <s v="Medium"/>
    <n v="0"/>
    <n v="10"/>
    <n v="3"/>
    <n v="3"/>
    <s v="High"/>
    <n v="10"/>
    <n v="9"/>
    <n v="8"/>
    <n v="7"/>
  </r>
  <r>
    <n v="23"/>
    <x v="4"/>
    <x v="0"/>
    <x v="0"/>
    <n v="427"/>
    <x v="0"/>
    <n v="7"/>
    <x v="0"/>
    <n v="3"/>
    <s v="Bachelor"/>
    <s v="Life Sciences"/>
    <n v="1702"/>
    <n v="3"/>
    <x v="1"/>
    <s v="Male"/>
    <n v="99"/>
    <n v="3"/>
    <s v="High"/>
    <n v="1"/>
    <x v="1"/>
    <x v="6"/>
    <n v="4"/>
    <s v="Very High"/>
    <x v="2"/>
    <n v="2275"/>
    <n v="25103"/>
    <n v="1"/>
    <x v="0"/>
    <n v="21"/>
    <n v="4"/>
    <s v="Outstanding"/>
    <n v="2"/>
    <s v="Medium"/>
    <n v="1"/>
    <n v="3"/>
    <n v="2"/>
    <n v="3"/>
    <s v="High"/>
    <n v="3"/>
    <n v="2"/>
    <n v="0"/>
    <n v="2"/>
  </r>
  <r>
    <n v="44"/>
    <x v="0"/>
    <x v="1"/>
    <x v="0"/>
    <n v="921"/>
    <x v="1"/>
    <n v="2"/>
    <x v="0"/>
    <n v="3"/>
    <s v="Bachelor"/>
    <s v="Life Sciences"/>
    <n v="1703"/>
    <n v="3"/>
    <x v="1"/>
    <s v="Female"/>
    <n v="96"/>
    <n v="4"/>
    <s v="Very High"/>
    <n v="3"/>
    <x v="2"/>
    <x v="4"/>
    <n v="4"/>
    <s v="Very High"/>
    <x v="1"/>
    <n v="7879"/>
    <n v="14810"/>
    <n v="1"/>
    <x v="0"/>
    <n v="19"/>
    <n v="3"/>
    <s v="Excellent"/>
    <n v="2"/>
    <s v="Medium"/>
    <n v="1"/>
    <n v="9"/>
    <n v="2"/>
    <n v="3"/>
    <s v="High"/>
    <n v="8"/>
    <n v="7"/>
    <n v="6"/>
    <n v="7"/>
  </r>
  <r>
    <n v="35"/>
    <x v="2"/>
    <x v="1"/>
    <x v="1"/>
    <n v="146"/>
    <x v="1"/>
    <n v="2"/>
    <x v="0"/>
    <n v="4"/>
    <s v="Master"/>
    <s v="Medical"/>
    <n v="1704"/>
    <n v="1"/>
    <x v="2"/>
    <s v="Male"/>
    <n v="79"/>
    <n v="2"/>
    <s v="Medium"/>
    <n v="1"/>
    <x v="1"/>
    <x v="1"/>
    <n v="4"/>
    <s v="Very High"/>
    <x v="0"/>
    <n v="4930"/>
    <n v="13970"/>
    <n v="0"/>
    <x v="0"/>
    <n v="14"/>
    <n v="3"/>
    <s v="Excellent"/>
    <n v="3"/>
    <s v="High"/>
    <n v="0"/>
    <n v="6"/>
    <n v="2"/>
    <n v="4"/>
    <s v="Very High"/>
    <n v="5"/>
    <n v="4"/>
    <n v="1"/>
    <n v="4"/>
  </r>
  <r>
    <n v="43"/>
    <x v="0"/>
    <x v="1"/>
    <x v="0"/>
    <n v="1179"/>
    <x v="0"/>
    <n v="2"/>
    <x v="0"/>
    <n v="3"/>
    <s v="Bachelor"/>
    <s v="Medical"/>
    <n v="1706"/>
    <n v="4"/>
    <x v="3"/>
    <s v="Male"/>
    <n v="73"/>
    <n v="3"/>
    <s v="High"/>
    <n v="2"/>
    <x v="0"/>
    <x v="0"/>
    <n v="4"/>
    <s v="Very High"/>
    <x v="1"/>
    <n v="7847"/>
    <n v="6069"/>
    <n v="1"/>
    <x v="0"/>
    <n v="17"/>
    <n v="3"/>
    <s v="Excellent"/>
    <n v="1"/>
    <s v="Low"/>
    <n v="1"/>
    <n v="10"/>
    <n v="3"/>
    <n v="3"/>
    <s v="High"/>
    <n v="10"/>
    <n v="9"/>
    <n v="8"/>
    <n v="8"/>
  </r>
  <r>
    <n v="24"/>
    <x v="4"/>
    <x v="1"/>
    <x v="0"/>
    <n v="581"/>
    <x v="1"/>
    <n v="9"/>
    <x v="0"/>
    <n v="3"/>
    <s v="Bachelor"/>
    <s v="Medical"/>
    <n v="1707"/>
    <n v="3"/>
    <x v="1"/>
    <s v="Male"/>
    <n v="62"/>
    <n v="4"/>
    <s v="Very High"/>
    <n v="1"/>
    <x v="1"/>
    <x v="1"/>
    <n v="3"/>
    <s v="High"/>
    <x v="1"/>
    <n v="4401"/>
    <n v="17616"/>
    <n v="1"/>
    <x v="1"/>
    <n v="16"/>
    <n v="3"/>
    <s v="Excellent"/>
    <n v="4"/>
    <s v="Very High"/>
    <n v="1"/>
    <n v="5"/>
    <n v="1"/>
    <n v="3"/>
    <s v="High"/>
    <n v="5"/>
    <n v="3"/>
    <n v="0"/>
    <n v="4"/>
  </r>
  <r>
    <n v="41"/>
    <x v="0"/>
    <x v="1"/>
    <x v="0"/>
    <n v="918"/>
    <x v="0"/>
    <n v="6"/>
    <x v="0"/>
    <n v="3"/>
    <s v="Bachelor"/>
    <s v="Marketing"/>
    <n v="1708"/>
    <n v="4"/>
    <x v="3"/>
    <s v="Male"/>
    <n v="35"/>
    <n v="3"/>
    <s v="High"/>
    <n v="3"/>
    <x v="2"/>
    <x v="0"/>
    <n v="3"/>
    <s v="High"/>
    <x v="0"/>
    <n v="9241"/>
    <n v="15869"/>
    <n v="1"/>
    <x v="1"/>
    <n v="12"/>
    <n v="3"/>
    <s v="Excellent"/>
    <n v="2"/>
    <s v="Medium"/>
    <n v="0"/>
    <n v="10"/>
    <n v="3"/>
    <n v="3"/>
    <s v="High"/>
    <n v="10"/>
    <n v="8"/>
    <n v="8"/>
    <n v="7"/>
  </r>
  <r>
    <n v="29"/>
    <x v="2"/>
    <x v="1"/>
    <x v="0"/>
    <n v="1082"/>
    <x v="1"/>
    <n v="9"/>
    <x v="0"/>
    <n v="4"/>
    <s v="Master"/>
    <s v="Medical"/>
    <n v="1709"/>
    <n v="4"/>
    <x v="3"/>
    <s v="Female"/>
    <n v="43"/>
    <n v="3"/>
    <s v="High"/>
    <n v="1"/>
    <x v="1"/>
    <x v="2"/>
    <n v="3"/>
    <s v="High"/>
    <x v="1"/>
    <n v="2974"/>
    <n v="25412"/>
    <n v="9"/>
    <x v="1"/>
    <n v="17"/>
    <n v="3"/>
    <s v="Excellent"/>
    <n v="3"/>
    <s v="High"/>
    <n v="1"/>
    <n v="9"/>
    <n v="2"/>
    <n v="3"/>
    <s v="High"/>
    <n v="5"/>
    <n v="3"/>
    <n v="1"/>
    <n v="2"/>
  </r>
  <r>
    <n v="36"/>
    <x v="0"/>
    <x v="1"/>
    <x v="0"/>
    <n v="530"/>
    <x v="0"/>
    <n v="2"/>
    <x v="0"/>
    <n v="4"/>
    <s v="Master"/>
    <s v="Life Sciences"/>
    <n v="1710"/>
    <n v="3"/>
    <x v="1"/>
    <s v="Female"/>
    <n v="51"/>
    <n v="3"/>
    <s v="High"/>
    <n v="2"/>
    <x v="0"/>
    <x v="6"/>
    <n v="4"/>
    <s v="Very High"/>
    <x v="0"/>
    <n v="4502"/>
    <n v="7439"/>
    <n v="3"/>
    <x v="1"/>
    <n v="15"/>
    <n v="3"/>
    <s v="Excellent"/>
    <n v="3"/>
    <s v="High"/>
    <n v="0"/>
    <n v="17"/>
    <n v="2"/>
    <n v="2"/>
    <s v="Medium"/>
    <n v="13"/>
    <n v="7"/>
    <n v="6"/>
    <n v="7"/>
  </r>
  <r>
    <n v="45"/>
    <x v="0"/>
    <x v="1"/>
    <x v="2"/>
    <n v="1238"/>
    <x v="1"/>
    <n v="1"/>
    <x v="0"/>
    <n v="1"/>
    <s v="Below College"/>
    <s v="Life Sciences"/>
    <n v="1712"/>
    <n v="3"/>
    <x v="1"/>
    <s v="Male"/>
    <n v="74"/>
    <n v="2"/>
    <s v="Medium"/>
    <n v="3"/>
    <x v="2"/>
    <x v="4"/>
    <n v="3"/>
    <s v="High"/>
    <x v="1"/>
    <n v="10748"/>
    <n v="3395"/>
    <n v="3"/>
    <x v="1"/>
    <n v="23"/>
    <n v="4"/>
    <s v="Outstanding"/>
    <n v="4"/>
    <s v="Very High"/>
    <n v="1"/>
    <n v="25"/>
    <n v="3"/>
    <n v="2"/>
    <s v="Medium"/>
    <n v="23"/>
    <n v="15"/>
    <n v="14"/>
    <n v="4"/>
  </r>
  <r>
    <n v="24"/>
    <x v="4"/>
    <x v="0"/>
    <x v="0"/>
    <n v="240"/>
    <x v="2"/>
    <n v="22"/>
    <x v="1"/>
    <n v="1"/>
    <s v="Below College"/>
    <s v="Human Resources"/>
    <n v="1714"/>
    <n v="4"/>
    <x v="3"/>
    <s v="Male"/>
    <n v="58"/>
    <n v="1"/>
    <s v="Low"/>
    <n v="1"/>
    <x v="1"/>
    <x v="8"/>
    <n v="3"/>
    <s v="High"/>
    <x v="1"/>
    <n v="1555"/>
    <n v="11585"/>
    <n v="1"/>
    <x v="1"/>
    <n v="11"/>
    <n v="3"/>
    <s v="Excellent"/>
    <n v="3"/>
    <s v="High"/>
    <n v="1"/>
    <n v="1"/>
    <n v="2"/>
    <n v="3"/>
    <s v="High"/>
    <n v="1"/>
    <n v="0"/>
    <n v="0"/>
    <n v="0"/>
  </r>
  <r>
    <n v="47"/>
    <x v="1"/>
    <x v="0"/>
    <x v="1"/>
    <n v="1093"/>
    <x v="0"/>
    <n v="9"/>
    <x v="0"/>
    <n v="3"/>
    <s v="Bachelor"/>
    <s v="Life Sciences"/>
    <n v="1716"/>
    <n v="3"/>
    <x v="1"/>
    <s v="Male"/>
    <n v="82"/>
    <n v="1"/>
    <s v="Low"/>
    <n v="4"/>
    <x v="3"/>
    <x v="0"/>
    <n v="3"/>
    <s v="High"/>
    <x v="1"/>
    <n v="12936"/>
    <n v="24164"/>
    <n v="7"/>
    <x v="1"/>
    <n v="11"/>
    <n v="3"/>
    <s v="Excellent"/>
    <n v="3"/>
    <s v="High"/>
    <n v="0"/>
    <n v="25"/>
    <n v="3"/>
    <n v="1"/>
    <s v="Low"/>
    <n v="23"/>
    <n v="5"/>
    <n v="14"/>
    <n v="10"/>
  </r>
  <r>
    <n v="26"/>
    <x v="2"/>
    <x v="1"/>
    <x v="0"/>
    <n v="390"/>
    <x v="1"/>
    <n v="17"/>
    <x v="2"/>
    <n v="4"/>
    <s v="Master"/>
    <s v="Medical"/>
    <n v="1718"/>
    <n v="4"/>
    <x v="3"/>
    <s v="Male"/>
    <n v="62"/>
    <n v="1"/>
    <s v="Low"/>
    <n v="1"/>
    <x v="1"/>
    <x v="2"/>
    <n v="3"/>
    <s v="High"/>
    <x v="1"/>
    <n v="2305"/>
    <n v="6217"/>
    <n v="1"/>
    <x v="1"/>
    <n v="15"/>
    <n v="3"/>
    <s v="Excellent"/>
    <n v="3"/>
    <s v="High"/>
    <n v="3"/>
    <n v="3"/>
    <n v="3"/>
    <n v="4"/>
    <s v="Very High"/>
    <n v="3"/>
    <n v="2"/>
    <n v="0"/>
    <n v="2"/>
  </r>
  <r>
    <n v="45"/>
    <x v="0"/>
    <x v="1"/>
    <x v="0"/>
    <n v="1005"/>
    <x v="1"/>
    <n v="28"/>
    <x v="1"/>
    <n v="2"/>
    <s v="College"/>
    <s v="Technical Degree"/>
    <n v="1719"/>
    <n v="4"/>
    <x v="3"/>
    <s v="Female"/>
    <n v="48"/>
    <n v="2"/>
    <s v="Medium"/>
    <n v="4"/>
    <x v="3"/>
    <x v="7"/>
    <n v="2"/>
    <s v="Medium"/>
    <x v="0"/>
    <n v="16704"/>
    <n v="17119"/>
    <n v="1"/>
    <x v="1"/>
    <n v="11"/>
    <n v="3"/>
    <s v="Excellent"/>
    <n v="3"/>
    <s v="High"/>
    <n v="0"/>
    <n v="21"/>
    <n v="2"/>
    <n v="3"/>
    <s v="High"/>
    <n v="21"/>
    <n v="6"/>
    <n v="8"/>
    <n v="6"/>
  </r>
  <r>
    <n v="32"/>
    <x v="2"/>
    <x v="1"/>
    <x v="1"/>
    <n v="585"/>
    <x v="1"/>
    <n v="10"/>
    <x v="0"/>
    <n v="3"/>
    <s v="Bachelor"/>
    <s v="Life Sciences"/>
    <n v="1720"/>
    <n v="1"/>
    <x v="2"/>
    <s v="Male"/>
    <n v="56"/>
    <n v="3"/>
    <s v="High"/>
    <n v="1"/>
    <x v="1"/>
    <x v="1"/>
    <n v="3"/>
    <s v="High"/>
    <x v="1"/>
    <n v="3433"/>
    <n v="17360"/>
    <n v="6"/>
    <x v="1"/>
    <n v="13"/>
    <n v="3"/>
    <s v="Excellent"/>
    <n v="1"/>
    <s v="Low"/>
    <n v="1"/>
    <n v="10"/>
    <n v="3"/>
    <n v="2"/>
    <s v="Medium"/>
    <n v="5"/>
    <n v="2"/>
    <n v="1"/>
    <n v="3"/>
  </r>
  <r>
    <n v="31"/>
    <x v="2"/>
    <x v="1"/>
    <x v="0"/>
    <n v="741"/>
    <x v="1"/>
    <n v="2"/>
    <x v="0"/>
    <n v="4"/>
    <s v="Master"/>
    <s v="Life Sciences"/>
    <n v="1721"/>
    <n v="2"/>
    <x v="0"/>
    <s v="Male"/>
    <n v="69"/>
    <n v="3"/>
    <s v="High"/>
    <n v="1"/>
    <x v="1"/>
    <x v="2"/>
    <n v="3"/>
    <s v="High"/>
    <x v="1"/>
    <n v="3477"/>
    <n v="18103"/>
    <n v="1"/>
    <x v="1"/>
    <n v="14"/>
    <n v="3"/>
    <s v="Excellent"/>
    <n v="4"/>
    <s v="Very High"/>
    <n v="1"/>
    <n v="6"/>
    <n v="2"/>
    <n v="4"/>
    <s v="Very High"/>
    <n v="5"/>
    <n v="2"/>
    <n v="0"/>
    <n v="3"/>
  </r>
  <r>
    <n v="41"/>
    <x v="0"/>
    <x v="1"/>
    <x v="2"/>
    <n v="552"/>
    <x v="2"/>
    <n v="4"/>
    <x v="0"/>
    <n v="3"/>
    <s v="Bachelor"/>
    <s v="Human Resources"/>
    <n v="1722"/>
    <n v="3"/>
    <x v="1"/>
    <s v="Male"/>
    <n v="60"/>
    <n v="1"/>
    <s v="Low"/>
    <n v="2"/>
    <x v="0"/>
    <x v="8"/>
    <n v="2"/>
    <s v="Medium"/>
    <x v="1"/>
    <n v="6430"/>
    <n v="20794"/>
    <n v="6"/>
    <x v="1"/>
    <n v="19"/>
    <n v="3"/>
    <s v="Excellent"/>
    <n v="2"/>
    <s v="Medium"/>
    <n v="1"/>
    <n v="10"/>
    <n v="4"/>
    <n v="3"/>
    <s v="High"/>
    <n v="3"/>
    <n v="2"/>
    <n v="1"/>
    <n v="2"/>
  </r>
  <r>
    <n v="40"/>
    <x v="0"/>
    <x v="1"/>
    <x v="0"/>
    <n v="369"/>
    <x v="1"/>
    <n v="8"/>
    <x v="0"/>
    <n v="2"/>
    <s v="College"/>
    <s v="Life Sciences"/>
    <n v="1724"/>
    <n v="2"/>
    <x v="0"/>
    <s v="Female"/>
    <n v="92"/>
    <n v="3"/>
    <s v="High"/>
    <n v="2"/>
    <x v="0"/>
    <x v="3"/>
    <n v="1"/>
    <s v="Low"/>
    <x v="1"/>
    <n v="6516"/>
    <n v="5041"/>
    <n v="2"/>
    <x v="0"/>
    <n v="16"/>
    <n v="3"/>
    <s v="Excellent"/>
    <n v="2"/>
    <s v="Medium"/>
    <n v="1"/>
    <n v="18"/>
    <n v="3"/>
    <n v="3"/>
    <s v="High"/>
    <n v="1"/>
    <n v="0"/>
    <n v="0"/>
    <n v="0"/>
  </r>
  <r>
    <n v="24"/>
    <x v="4"/>
    <x v="1"/>
    <x v="0"/>
    <n v="506"/>
    <x v="1"/>
    <n v="29"/>
    <x v="1"/>
    <n v="1"/>
    <s v="Below College"/>
    <s v="Medical"/>
    <n v="1725"/>
    <n v="2"/>
    <x v="0"/>
    <s v="Male"/>
    <n v="91"/>
    <n v="3"/>
    <s v="High"/>
    <n v="1"/>
    <x v="1"/>
    <x v="2"/>
    <n v="1"/>
    <s v="Low"/>
    <x v="2"/>
    <n v="3907"/>
    <n v="3622"/>
    <n v="1"/>
    <x v="1"/>
    <n v="13"/>
    <n v="3"/>
    <s v="Excellent"/>
    <n v="2"/>
    <s v="Medium"/>
    <n v="3"/>
    <n v="6"/>
    <n v="2"/>
    <n v="4"/>
    <s v="Very High"/>
    <n v="6"/>
    <n v="2"/>
    <n v="1"/>
    <n v="2"/>
  </r>
  <r>
    <n v="46"/>
    <x v="1"/>
    <x v="1"/>
    <x v="0"/>
    <n v="717"/>
    <x v="1"/>
    <n v="13"/>
    <x v="2"/>
    <n v="4"/>
    <s v="Master"/>
    <s v="Life Sciences"/>
    <n v="1727"/>
    <n v="3"/>
    <x v="1"/>
    <s v="Male"/>
    <n v="34"/>
    <n v="3"/>
    <s v="High"/>
    <n v="2"/>
    <x v="0"/>
    <x v="4"/>
    <n v="2"/>
    <s v="Medium"/>
    <x v="0"/>
    <n v="5562"/>
    <n v="9697"/>
    <n v="6"/>
    <x v="1"/>
    <n v="14"/>
    <n v="3"/>
    <s v="Excellent"/>
    <n v="4"/>
    <s v="Very High"/>
    <n v="0"/>
    <n v="19"/>
    <n v="3"/>
    <n v="3"/>
    <s v="High"/>
    <n v="10"/>
    <n v="7"/>
    <n v="0"/>
    <n v="9"/>
  </r>
  <r>
    <n v="35"/>
    <x v="2"/>
    <x v="1"/>
    <x v="0"/>
    <n v="1370"/>
    <x v="1"/>
    <n v="27"/>
    <x v="1"/>
    <n v="4"/>
    <s v="Master"/>
    <s v="Life Sciences"/>
    <n v="1728"/>
    <n v="4"/>
    <x v="3"/>
    <s v="Male"/>
    <n v="49"/>
    <n v="3"/>
    <s v="High"/>
    <n v="2"/>
    <x v="0"/>
    <x v="3"/>
    <n v="3"/>
    <s v="High"/>
    <x v="1"/>
    <n v="6883"/>
    <n v="5151"/>
    <n v="2"/>
    <x v="1"/>
    <n v="16"/>
    <n v="3"/>
    <s v="Excellent"/>
    <n v="2"/>
    <s v="Medium"/>
    <n v="1"/>
    <n v="17"/>
    <n v="3"/>
    <n v="3"/>
    <s v="High"/>
    <n v="7"/>
    <n v="7"/>
    <n v="0"/>
    <n v="7"/>
  </r>
  <r>
    <n v="30"/>
    <x v="2"/>
    <x v="1"/>
    <x v="0"/>
    <n v="793"/>
    <x v="1"/>
    <n v="16"/>
    <x v="2"/>
    <n v="1"/>
    <s v="Below College"/>
    <s v="Life Sciences"/>
    <n v="1729"/>
    <n v="2"/>
    <x v="0"/>
    <s v="Male"/>
    <n v="33"/>
    <n v="3"/>
    <s v="High"/>
    <n v="1"/>
    <x v="1"/>
    <x v="1"/>
    <n v="4"/>
    <s v="Very High"/>
    <x v="1"/>
    <n v="2862"/>
    <n v="3811"/>
    <n v="1"/>
    <x v="1"/>
    <n v="12"/>
    <n v="3"/>
    <s v="Excellent"/>
    <n v="2"/>
    <s v="Medium"/>
    <n v="1"/>
    <n v="10"/>
    <n v="2"/>
    <n v="2"/>
    <s v="Medium"/>
    <n v="10"/>
    <n v="0"/>
    <n v="0"/>
    <n v="8"/>
  </r>
  <r>
    <n v="47"/>
    <x v="1"/>
    <x v="1"/>
    <x v="2"/>
    <n v="543"/>
    <x v="0"/>
    <n v="2"/>
    <x v="0"/>
    <n v="4"/>
    <s v="Master"/>
    <s v="Marketing"/>
    <n v="1731"/>
    <n v="3"/>
    <x v="1"/>
    <s v="Male"/>
    <n v="87"/>
    <n v="3"/>
    <s v="High"/>
    <n v="2"/>
    <x v="0"/>
    <x v="0"/>
    <n v="2"/>
    <s v="Medium"/>
    <x v="1"/>
    <n v="4978"/>
    <n v="3536"/>
    <n v="7"/>
    <x v="1"/>
    <n v="11"/>
    <n v="3"/>
    <s v="Excellent"/>
    <n v="4"/>
    <s v="Very High"/>
    <n v="1"/>
    <n v="4"/>
    <n v="3"/>
    <n v="1"/>
    <s v="Low"/>
    <n v="1"/>
    <n v="0"/>
    <n v="0"/>
    <n v="0"/>
  </r>
  <r>
    <n v="46"/>
    <x v="1"/>
    <x v="1"/>
    <x v="0"/>
    <n v="1277"/>
    <x v="0"/>
    <n v="2"/>
    <x v="0"/>
    <n v="3"/>
    <s v="Bachelor"/>
    <s v="Life Sciences"/>
    <n v="1732"/>
    <n v="3"/>
    <x v="1"/>
    <s v="Male"/>
    <n v="74"/>
    <n v="3"/>
    <s v="High"/>
    <n v="3"/>
    <x v="2"/>
    <x v="0"/>
    <n v="4"/>
    <s v="Very High"/>
    <x v="2"/>
    <n v="10368"/>
    <n v="5596"/>
    <n v="4"/>
    <x v="0"/>
    <n v="12"/>
    <n v="3"/>
    <s v="Excellent"/>
    <n v="2"/>
    <s v="Medium"/>
    <n v="1"/>
    <n v="13"/>
    <n v="5"/>
    <n v="2"/>
    <s v="Medium"/>
    <n v="10"/>
    <n v="6"/>
    <n v="0"/>
    <n v="3"/>
  </r>
  <r>
    <n v="36"/>
    <x v="0"/>
    <x v="0"/>
    <x v="0"/>
    <n v="1456"/>
    <x v="0"/>
    <n v="13"/>
    <x v="2"/>
    <n v="5"/>
    <s v="Doctor"/>
    <s v="Marketing"/>
    <n v="1733"/>
    <n v="2"/>
    <x v="0"/>
    <s v="Male"/>
    <n v="96"/>
    <n v="2"/>
    <s v="Medium"/>
    <n v="2"/>
    <x v="0"/>
    <x v="0"/>
    <n v="1"/>
    <s v="Low"/>
    <x v="2"/>
    <n v="6134"/>
    <n v="8658"/>
    <n v="5"/>
    <x v="0"/>
    <n v="13"/>
    <n v="3"/>
    <s v="Excellent"/>
    <n v="2"/>
    <s v="Medium"/>
    <n v="3"/>
    <n v="16"/>
    <n v="3"/>
    <n v="3"/>
    <s v="High"/>
    <n v="2"/>
    <n v="2"/>
    <n v="2"/>
    <n v="2"/>
  </r>
  <r>
    <n v="32"/>
    <x v="2"/>
    <x v="0"/>
    <x v="0"/>
    <n v="964"/>
    <x v="0"/>
    <n v="1"/>
    <x v="0"/>
    <n v="2"/>
    <s v="College"/>
    <s v="Life Sciences"/>
    <n v="1734"/>
    <n v="1"/>
    <x v="2"/>
    <s v="Male"/>
    <n v="34"/>
    <n v="1"/>
    <s v="Low"/>
    <n v="2"/>
    <x v="0"/>
    <x v="0"/>
    <n v="2"/>
    <s v="Medium"/>
    <x v="0"/>
    <n v="6735"/>
    <n v="12147"/>
    <n v="6"/>
    <x v="1"/>
    <n v="15"/>
    <n v="3"/>
    <s v="Excellent"/>
    <n v="2"/>
    <s v="Medium"/>
    <n v="0"/>
    <n v="10"/>
    <n v="2"/>
    <n v="3"/>
    <s v="High"/>
    <n v="0"/>
    <n v="0"/>
    <n v="0"/>
    <n v="0"/>
  </r>
  <r>
    <n v="23"/>
    <x v="4"/>
    <x v="1"/>
    <x v="0"/>
    <n v="160"/>
    <x v="1"/>
    <n v="4"/>
    <x v="0"/>
    <n v="1"/>
    <s v="Below College"/>
    <s v="Medical"/>
    <n v="1735"/>
    <n v="3"/>
    <x v="1"/>
    <s v="Female"/>
    <n v="51"/>
    <n v="3"/>
    <s v="High"/>
    <n v="1"/>
    <x v="1"/>
    <x v="2"/>
    <n v="2"/>
    <s v="Medium"/>
    <x v="0"/>
    <n v="3295"/>
    <n v="12862"/>
    <n v="1"/>
    <x v="1"/>
    <n v="13"/>
    <n v="3"/>
    <s v="Excellent"/>
    <n v="3"/>
    <s v="High"/>
    <n v="0"/>
    <n v="3"/>
    <n v="3"/>
    <n v="1"/>
    <s v="Low"/>
    <n v="3"/>
    <n v="2"/>
    <n v="1"/>
    <n v="2"/>
  </r>
  <r>
    <n v="31"/>
    <x v="2"/>
    <x v="1"/>
    <x v="1"/>
    <n v="163"/>
    <x v="1"/>
    <n v="24"/>
    <x v="1"/>
    <n v="1"/>
    <s v="Below College"/>
    <s v="Technical Degree"/>
    <n v="1736"/>
    <n v="4"/>
    <x v="3"/>
    <s v="Female"/>
    <n v="30"/>
    <n v="3"/>
    <s v="High"/>
    <n v="2"/>
    <x v="0"/>
    <x v="3"/>
    <n v="4"/>
    <s v="Very High"/>
    <x v="0"/>
    <n v="5238"/>
    <n v="6670"/>
    <n v="2"/>
    <x v="1"/>
    <n v="20"/>
    <n v="4"/>
    <s v="Outstanding"/>
    <n v="4"/>
    <s v="Very High"/>
    <n v="0"/>
    <n v="9"/>
    <n v="3"/>
    <n v="2"/>
    <s v="Medium"/>
    <n v="5"/>
    <n v="4"/>
    <n v="1"/>
    <n v="4"/>
  </r>
  <r>
    <n v="39"/>
    <x v="0"/>
    <x v="1"/>
    <x v="2"/>
    <n v="792"/>
    <x v="1"/>
    <n v="1"/>
    <x v="0"/>
    <n v="3"/>
    <s v="Bachelor"/>
    <s v="Life Sciences"/>
    <n v="1737"/>
    <n v="4"/>
    <x v="3"/>
    <s v="Male"/>
    <n v="77"/>
    <n v="3"/>
    <s v="High"/>
    <n v="2"/>
    <x v="0"/>
    <x v="2"/>
    <n v="4"/>
    <s v="Very High"/>
    <x v="1"/>
    <n v="6472"/>
    <n v="8989"/>
    <n v="1"/>
    <x v="0"/>
    <n v="15"/>
    <n v="3"/>
    <s v="Excellent"/>
    <n v="4"/>
    <s v="Very High"/>
    <n v="1"/>
    <n v="9"/>
    <n v="2"/>
    <n v="3"/>
    <s v="High"/>
    <n v="9"/>
    <n v="8"/>
    <n v="5"/>
    <n v="8"/>
  </r>
  <r>
    <n v="32"/>
    <x v="2"/>
    <x v="1"/>
    <x v="0"/>
    <n v="371"/>
    <x v="0"/>
    <n v="19"/>
    <x v="2"/>
    <n v="3"/>
    <s v="Bachelor"/>
    <s v="Life Sciences"/>
    <n v="1739"/>
    <n v="4"/>
    <x v="3"/>
    <s v="Male"/>
    <n v="80"/>
    <n v="1"/>
    <s v="Low"/>
    <n v="3"/>
    <x v="2"/>
    <x v="0"/>
    <n v="3"/>
    <s v="High"/>
    <x v="1"/>
    <n v="9610"/>
    <n v="3840"/>
    <n v="3"/>
    <x v="1"/>
    <n v="13"/>
    <n v="3"/>
    <s v="Excellent"/>
    <n v="3"/>
    <s v="High"/>
    <n v="1"/>
    <n v="10"/>
    <n v="2"/>
    <n v="1"/>
    <s v="Low"/>
    <n v="4"/>
    <n v="3"/>
    <n v="0"/>
    <n v="2"/>
  </r>
  <r>
    <n v="40"/>
    <x v="0"/>
    <x v="1"/>
    <x v="0"/>
    <n v="611"/>
    <x v="0"/>
    <n v="7"/>
    <x v="0"/>
    <n v="4"/>
    <s v="Master"/>
    <s v="Medical"/>
    <n v="1740"/>
    <n v="2"/>
    <x v="0"/>
    <s v="Male"/>
    <n v="88"/>
    <n v="3"/>
    <s v="High"/>
    <n v="5"/>
    <x v="4"/>
    <x v="5"/>
    <n v="2"/>
    <s v="Medium"/>
    <x v="0"/>
    <n v="19833"/>
    <n v="4349"/>
    <n v="1"/>
    <x v="1"/>
    <n v="14"/>
    <n v="3"/>
    <s v="Excellent"/>
    <n v="2"/>
    <s v="Medium"/>
    <n v="0"/>
    <n v="21"/>
    <n v="3"/>
    <n v="2"/>
    <s v="Medium"/>
    <n v="21"/>
    <n v="8"/>
    <n v="12"/>
    <n v="8"/>
  </r>
  <r>
    <n v="45"/>
    <x v="0"/>
    <x v="1"/>
    <x v="0"/>
    <n v="176"/>
    <x v="2"/>
    <n v="4"/>
    <x v="0"/>
    <n v="3"/>
    <s v="Bachelor"/>
    <s v="Life Sciences"/>
    <n v="1744"/>
    <n v="3"/>
    <x v="1"/>
    <s v="Female"/>
    <n v="56"/>
    <n v="1"/>
    <s v="Low"/>
    <n v="3"/>
    <x v="2"/>
    <x v="8"/>
    <n v="3"/>
    <s v="High"/>
    <x v="1"/>
    <n v="9756"/>
    <n v="6595"/>
    <n v="4"/>
    <x v="1"/>
    <n v="21"/>
    <n v="4"/>
    <s v="Outstanding"/>
    <n v="3"/>
    <s v="High"/>
    <n v="2"/>
    <n v="9"/>
    <n v="2"/>
    <n v="4"/>
    <s v="Very High"/>
    <n v="5"/>
    <n v="0"/>
    <n v="0"/>
    <n v="3"/>
  </r>
  <r>
    <n v="30"/>
    <x v="2"/>
    <x v="1"/>
    <x v="1"/>
    <n v="1312"/>
    <x v="1"/>
    <n v="2"/>
    <x v="0"/>
    <n v="4"/>
    <s v="Master"/>
    <s v="Technical Degree"/>
    <n v="1745"/>
    <n v="4"/>
    <x v="3"/>
    <s v="Female"/>
    <n v="78"/>
    <n v="2"/>
    <s v="Medium"/>
    <n v="1"/>
    <x v="1"/>
    <x v="1"/>
    <n v="1"/>
    <s v="Low"/>
    <x v="0"/>
    <n v="4968"/>
    <n v="26427"/>
    <n v="0"/>
    <x v="1"/>
    <n v="16"/>
    <n v="3"/>
    <s v="Excellent"/>
    <n v="4"/>
    <s v="Very High"/>
    <n v="0"/>
    <n v="10"/>
    <n v="2"/>
    <n v="3"/>
    <s v="High"/>
    <n v="9"/>
    <n v="7"/>
    <n v="0"/>
    <n v="7"/>
  </r>
  <r>
    <n v="24"/>
    <x v="4"/>
    <x v="1"/>
    <x v="1"/>
    <n v="897"/>
    <x v="2"/>
    <n v="10"/>
    <x v="0"/>
    <n v="3"/>
    <s v="Bachelor"/>
    <s v="Medical"/>
    <n v="1746"/>
    <n v="1"/>
    <x v="2"/>
    <s v="Male"/>
    <n v="59"/>
    <n v="3"/>
    <s v="High"/>
    <n v="1"/>
    <x v="1"/>
    <x v="8"/>
    <n v="4"/>
    <s v="Very High"/>
    <x v="1"/>
    <n v="2145"/>
    <n v="2097"/>
    <n v="0"/>
    <x v="1"/>
    <n v="14"/>
    <n v="3"/>
    <s v="Excellent"/>
    <n v="4"/>
    <s v="Very High"/>
    <n v="1"/>
    <n v="3"/>
    <n v="2"/>
    <n v="3"/>
    <s v="High"/>
    <n v="2"/>
    <n v="2"/>
    <n v="2"/>
    <n v="1"/>
  </r>
  <r>
    <n v="30"/>
    <x v="2"/>
    <x v="0"/>
    <x v="1"/>
    <n v="600"/>
    <x v="2"/>
    <n v="8"/>
    <x v="0"/>
    <n v="3"/>
    <s v="Bachelor"/>
    <s v="Human Resources"/>
    <n v="1747"/>
    <n v="3"/>
    <x v="1"/>
    <s v="Female"/>
    <n v="66"/>
    <n v="2"/>
    <s v="Medium"/>
    <n v="1"/>
    <x v="1"/>
    <x v="8"/>
    <n v="4"/>
    <s v="Very High"/>
    <x v="2"/>
    <n v="2180"/>
    <n v="9732"/>
    <n v="6"/>
    <x v="1"/>
    <n v="11"/>
    <n v="3"/>
    <s v="Excellent"/>
    <n v="3"/>
    <s v="High"/>
    <n v="1"/>
    <n v="6"/>
    <n v="0"/>
    <n v="2"/>
    <s v="Medium"/>
    <n v="4"/>
    <n v="2"/>
    <n v="1"/>
    <n v="2"/>
  </r>
  <r>
    <n v="31"/>
    <x v="2"/>
    <x v="1"/>
    <x v="0"/>
    <n v="1003"/>
    <x v="0"/>
    <n v="5"/>
    <x v="0"/>
    <n v="3"/>
    <s v="Bachelor"/>
    <s v="Technical Degree"/>
    <n v="1749"/>
    <n v="1"/>
    <x v="2"/>
    <s v="Male"/>
    <n v="51"/>
    <n v="3"/>
    <s v="High"/>
    <n v="2"/>
    <x v="0"/>
    <x v="0"/>
    <n v="3"/>
    <s v="High"/>
    <x v="1"/>
    <n v="8346"/>
    <n v="20943"/>
    <n v="1"/>
    <x v="1"/>
    <n v="19"/>
    <n v="3"/>
    <s v="Excellent"/>
    <n v="3"/>
    <s v="High"/>
    <n v="1"/>
    <n v="6"/>
    <n v="3"/>
    <n v="3"/>
    <s v="High"/>
    <n v="5"/>
    <n v="2"/>
    <n v="0"/>
    <n v="2"/>
  </r>
  <r>
    <n v="27"/>
    <x v="2"/>
    <x v="1"/>
    <x v="0"/>
    <n v="1054"/>
    <x v="1"/>
    <n v="8"/>
    <x v="0"/>
    <n v="3"/>
    <s v="Bachelor"/>
    <s v="Medical"/>
    <n v="1751"/>
    <n v="3"/>
    <x v="1"/>
    <s v="Female"/>
    <n v="67"/>
    <n v="3"/>
    <s v="High"/>
    <n v="1"/>
    <x v="1"/>
    <x v="1"/>
    <n v="4"/>
    <s v="Very High"/>
    <x v="0"/>
    <n v="3445"/>
    <n v="6152"/>
    <n v="1"/>
    <x v="1"/>
    <n v="11"/>
    <n v="3"/>
    <s v="Excellent"/>
    <n v="3"/>
    <s v="High"/>
    <n v="0"/>
    <n v="6"/>
    <n v="5"/>
    <n v="2"/>
    <s v="Medium"/>
    <n v="6"/>
    <n v="2"/>
    <n v="1"/>
    <n v="4"/>
  </r>
  <r>
    <n v="29"/>
    <x v="2"/>
    <x v="0"/>
    <x v="0"/>
    <n v="428"/>
    <x v="0"/>
    <n v="9"/>
    <x v="0"/>
    <n v="3"/>
    <s v="Bachelor"/>
    <s v="Marketing"/>
    <n v="1752"/>
    <n v="2"/>
    <x v="0"/>
    <s v="Female"/>
    <n v="52"/>
    <n v="1"/>
    <s v="Low"/>
    <n v="1"/>
    <x v="1"/>
    <x v="6"/>
    <n v="2"/>
    <s v="Medium"/>
    <x v="0"/>
    <n v="2760"/>
    <n v="14630"/>
    <n v="1"/>
    <x v="1"/>
    <n v="13"/>
    <n v="3"/>
    <s v="Excellent"/>
    <n v="3"/>
    <s v="High"/>
    <n v="0"/>
    <n v="2"/>
    <n v="3"/>
    <n v="3"/>
    <s v="High"/>
    <n v="2"/>
    <n v="2"/>
    <n v="2"/>
    <n v="2"/>
  </r>
  <r>
    <n v="29"/>
    <x v="2"/>
    <x v="1"/>
    <x v="1"/>
    <n v="461"/>
    <x v="1"/>
    <n v="1"/>
    <x v="0"/>
    <n v="3"/>
    <s v="Bachelor"/>
    <s v="Life Sciences"/>
    <n v="1753"/>
    <n v="4"/>
    <x v="3"/>
    <s v="Male"/>
    <n v="70"/>
    <n v="4"/>
    <s v="Very High"/>
    <n v="2"/>
    <x v="0"/>
    <x v="4"/>
    <n v="3"/>
    <s v="High"/>
    <x v="0"/>
    <n v="6294"/>
    <n v="23060"/>
    <n v="8"/>
    <x v="0"/>
    <n v="12"/>
    <n v="3"/>
    <s v="Excellent"/>
    <n v="4"/>
    <s v="Very High"/>
    <n v="0"/>
    <n v="10"/>
    <n v="5"/>
    <n v="4"/>
    <s v="Very High"/>
    <n v="3"/>
    <n v="2"/>
    <n v="0"/>
    <n v="2"/>
  </r>
  <r>
    <n v="30"/>
    <x v="2"/>
    <x v="1"/>
    <x v="0"/>
    <n v="979"/>
    <x v="0"/>
    <n v="15"/>
    <x v="2"/>
    <n v="2"/>
    <s v="College"/>
    <s v="Marketing"/>
    <n v="1754"/>
    <n v="3"/>
    <x v="1"/>
    <s v="Male"/>
    <n v="94"/>
    <n v="2"/>
    <s v="Medium"/>
    <n v="3"/>
    <x v="2"/>
    <x v="0"/>
    <n v="1"/>
    <s v="Low"/>
    <x v="2"/>
    <n v="7140"/>
    <n v="3088"/>
    <n v="2"/>
    <x v="1"/>
    <n v="11"/>
    <n v="3"/>
    <s v="Excellent"/>
    <n v="1"/>
    <s v="Low"/>
    <n v="1"/>
    <n v="12"/>
    <n v="2"/>
    <n v="3"/>
    <s v="High"/>
    <n v="7"/>
    <n v="7"/>
    <n v="1"/>
    <n v="7"/>
  </r>
  <r>
    <n v="34"/>
    <x v="2"/>
    <x v="1"/>
    <x v="0"/>
    <n v="181"/>
    <x v="1"/>
    <n v="2"/>
    <x v="0"/>
    <n v="4"/>
    <s v="Master"/>
    <s v="Medical"/>
    <n v="1755"/>
    <n v="4"/>
    <x v="3"/>
    <s v="Male"/>
    <n v="97"/>
    <n v="4"/>
    <s v="Very High"/>
    <n v="1"/>
    <x v="1"/>
    <x v="1"/>
    <n v="4"/>
    <s v="Very High"/>
    <x v="1"/>
    <n v="2932"/>
    <n v="5586"/>
    <n v="0"/>
    <x v="0"/>
    <n v="14"/>
    <n v="3"/>
    <s v="Excellent"/>
    <n v="1"/>
    <s v="Low"/>
    <n v="3"/>
    <n v="6"/>
    <n v="3"/>
    <n v="3"/>
    <s v="High"/>
    <n v="5"/>
    <n v="0"/>
    <n v="1"/>
    <n v="2"/>
  </r>
  <r>
    <n v="33"/>
    <x v="2"/>
    <x v="1"/>
    <x v="2"/>
    <n v="1283"/>
    <x v="0"/>
    <n v="2"/>
    <x v="0"/>
    <n v="3"/>
    <s v="Bachelor"/>
    <s v="Marketing"/>
    <n v="1756"/>
    <n v="4"/>
    <x v="3"/>
    <s v="Female"/>
    <n v="62"/>
    <n v="3"/>
    <s v="High"/>
    <n v="2"/>
    <x v="0"/>
    <x v="0"/>
    <n v="2"/>
    <s v="Medium"/>
    <x v="0"/>
    <n v="5147"/>
    <n v="10697"/>
    <n v="8"/>
    <x v="1"/>
    <n v="15"/>
    <n v="3"/>
    <s v="Excellent"/>
    <n v="4"/>
    <s v="Very High"/>
    <n v="0"/>
    <n v="13"/>
    <n v="2"/>
    <n v="2"/>
    <s v="Medium"/>
    <n v="11"/>
    <n v="7"/>
    <n v="1"/>
    <n v="7"/>
  </r>
  <r>
    <n v="49"/>
    <x v="1"/>
    <x v="1"/>
    <x v="0"/>
    <n v="1313"/>
    <x v="0"/>
    <n v="11"/>
    <x v="2"/>
    <n v="4"/>
    <s v="Master"/>
    <s v="Marketing"/>
    <n v="1757"/>
    <n v="4"/>
    <x v="3"/>
    <s v="Female"/>
    <n v="80"/>
    <n v="3"/>
    <s v="High"/>
    <n v="2"/>
    <x v="0"/>
    <x v="0"/>
    <n v="4"/>
    <s v="Very High"/>
    <x v="0"/>
    <n v="4507"/>
    <n v="8191"/>
    <n v="3"/>
    <x v="1"/>
    <n v="12"/>
    <n v="3"/>
    <s v="Excellent"/>
    <n v="3"/>
    <s v="High"/>
    <n v="0"/>
    <n v="8"/>
    <n v="1"/>
    <n v="4"/>
    <s v="Very High"/>
    <n v="5"/>
    <n v="1"/>
    <n v="0"/>
    <n v="4"/>
  </r>
  <r>
    <n v="33"/>
    <x v="2"/>
    <x v="0"/>
    <x v="0"/>
    <n v="211"/>
    <x v="0"/>
    <n v="16"/>
    <x v="2"/>
    <n v="3"/>
    <s v="Bachelor"/>
    <s v="Life Sciences"/>
    <n v="1758"/>
    <n v="1"/>
    <x v="2"/>
    <s v="Female"/>
    <n v="74"/>
    <n v="3"/>
    <s v="High"/>
    <n v="3"/>
    <x v="2"/>
    <x v="0"/>
    <n v="1"/>
    <s v="Low"/>
    <x v="0"/>
    <n v="8564"/>
    <n v="10092"/>
    <n v="2"/>
    <x v="0"/>
    <n v="20"/>
    <n v="4"/>
    <s v="Outstanding"/>
    <n v="3"/>
    <s v="High"/>
    <n v="0"/>
    <n v="11"/>
    <n v="2"/>
    <n v="2"/>
    <s v="Medium"/>
    <n v="0"/>
    <n v="0"/>
    <n v="0"/>
    <n v="0"/>
  </r>
  <r>
    <n v="38"/>
    <x v="0"/>
    <x v="1"/>
    <x v="1"/>
    <n v="594"/>
    <x v="1"/>
    <n v="2"/>
    <x v="0"/>
    <n v="2"/>
    <s v="College"/>
    <s v="Medical"/>
    <n v="1760"/>
    <n v="3"/>
    <x v="1"/>
    <s v="Female"/>
    <n v="75"/>
    <n v="2"/>
    <s v="Medium"/>
    <n v="1"/>
    <x v="1"/>
    <x v="2"/>
    <n v="2"/>
    <s v="Medium"/>
    <x v="1"/>
    <n v="2468"/>
    <n v="15963"/>
    <n v="4"/>
    <x v="1"/>
    <n v="14"/>
    <n v="3"/>
    <s v="Excellent"/>
    <n v="2"/>
    <s v="Medium"/>
    <n v="1"/>
    <n v="9"/>
    <n v="4"/>
    <n v="2"/>
    <s v="Medium"/>
    <n v="6"/>
    <n v="1"/>
    <n v="0"/>
    <n v="5"/>
  </r>
  <r>
    <n v="31"/>
    <x v="2"/>
    <x v="0"/>
    <x v="0"/>
    <n v="1079"/>
    <x v="0"/>
    <n v="16"/>
    <x v="2"/>
    <n v="4"/>
    <s v="Master"/>
    <s v="Marketing"/>
    <n v="1761"/>
    <n v="1"/>
    <x v="2"/>
    <s v="Male"/>
    <n v="70"/>
    <n v="3"/>
    <s v="High"/>
    <n v="3"/>
    <x v="2"/>
    <x v="0"/>
    <n v="3"/>
    <s v="High"/>
    <x v="1"/>
    <n v="8161"/>
    <n v="19002"/>
    <n v="2"/>
    <x v="1"/>
    <n v="13"/>
    <n v="3"/>
    <s v="Excellent"/>
    <n v="1"/>
    <s v="Low"/>
    <n v="3"/>
    <n v="10"/>
    <n v="2"/>
    <n v="3"/>
    <s v="High"/>
    <n v="1"/>
    <n v="0"/>
    <n v="0"/>
    <n v="0"/>
  </r>
  <r>
    <n v="29"/>
    <x v="2"/>
    <x v="1"/>
    <x v="0"/>
    <n v="590"/>
    <x v="1"/>
    <n v="4"/>
    <x v="0"/>
    <n v="3"/>
    <s v="Bachelor"/>
    <s v="Technical Degree"/>
    <n v="1762"/>
    <n v="4"/>
    <x v="3"/>
    <s v="Female"/>
    <n v="91"/>
    <n v="2"/>
    <s v="Medium"/>
    <n v="1"/>
    <x v="1"/>
    <x v="1"/>
    <n v="1"/>
    <s v="Low"/>
    <x v="2"/>
    <n v="2109"/>
    <n v="10007"/>
    <n v="1"/>
    <x v="1"/>
    <n v="13"/>
    <n v="3"/>
    <s v="Excellent"/>
    <n v="3"/>
    <s v="High"/>
    <n v="1"/>
    <n v="1"/>
    <n v="2"/>
    <n v="3"/>
    <s v="High"/>
    <n v="1"/>
    <n v="0"/>
    <n v="0"/>
    <n v="0"/>
  </r>
  <r>
    <n v="30"/>
    <x v="2"/>
    <x v="1"/>
    <x v="0"/>
    <n v="305"/>
    <x v="1"/>
    <n v="16"/>
    <x v="2"/>
    <n v="3"/>
    <s v="Bachelor"/>
    <s v="Life Sciences"/>
    <n v="1763"/>
    <n v="3"/>
    <x v="1"/>
    <s v="Male"/>
    <n v="58"/>
    <n v="4"/>
    <s v="Very High"/>
    <n v="2"/>
    <x v="0"/>
    <x v="4"/>
    <n v="3"/>
    <s v="High"/>
    <x v="1"/>
    <n v="5294"/>
    <n v="9128"/>
    <n v="3"/>
    <x v="1"/>
    <n v="16"/>
    <n v="3"/>
    <s v="Excellent"/>
    <n v="3"/>
    <s v="High"/>
    <n v="1"/>
    <n v="10"/>
    <n v="3"/>
    <n v="3"/>
    <s v="High"/>
    <n v="7"/>
    <n v="0"/>
    <n v="1"/>
    <n v="7"/>
  </r>
  <r>
    <n v="32"/>
    <x v="2"/>
    <x v="1"/>
    <x v="2"/>
    <n v="953"/>
    <x v="1"/>
    <n v="5"/>
    <x v="0"/>
    <n v="4"/>
    <s v="Master"/>
    <s v="Technical Degree"/>
    <n v="1764"/>
    <n v="2"/>
    <x v="0"/>
    <s v="Male"/>
    <n v="65"/>
    <n v="3"/>
    <s v="High"/>
    <n v="1"/>
    <x v="1"/>
    <x v="1"/>
    <n v="2"/>
    <s v="Medium"/>
    <x v="0"/>
    <n v="2718"/>
    <n v="17674"/>
    <n v="2"/>
    <x v="1"/>
    <n v="14"/>
    <n v="3"/>
    <s v="Excellent"/>
    <n v="2"/>
    <s v="Medium"/>
    <n v="0"/>
    <n v="12"/>
    <n v="3"/>
    <n v="3"/>
    <s v="High"/>
    <n v="7"/>
    <n v="7"/>
    <n v="0"/>
    <n v="7"/>
  </r>
  <r>
    <n v="38"/>
    <x v="0"/>
    <x v="1"/>
    <x v="0"/>
    <n v="833"/>
    <x v="1"/>
    <n v="18"/>
    <x v="2"/>
    <n v="3"/>
    <s v="Bachelor"/>
    <s v="Medical"/>
    <n v="1766"/>
    <n v="2"/>
    <x v="0"/>
    <s v="Male"/>
    <n v="60"/>
    <n v="1"/>
    <s v="Low"/>
    <n v="2"/>
    <x v="0"/>
    <x v="4"/>
    <n v="4"/>
    <s v="Very High"/>
    <x v="1"/>
    <n v="5811"/>
    <n v="24539"/>
    <n v="3"/>
    <x v="0"/>
    <n v="16"/>
    <n v="3"/>
    <s v="Excellent"/>
    <n v="3"/>
    <s v="High"/>
    <n v="1"/>
    <n v="15"/>
    <n v="2"/>
    <n v="3"/>
    <s v="High"/>
    <n v="1"/>
    <n v="0"/>
    <n v="1"/>
    <n v="0"/>
  </r>
  <r>
    <n v="43"/>
    <x v="0"/>
    <x v="0"/>
    <x v="1"/>
    <n v="807"/>
    <x v="1"/>
    <n v="17"/>
    <x v="2"/>
    <n v="3"/>
    <s v="Bachelor"/>
    <s v="Technical Degree"/>
    <n v="1767"/>
    <n v="3"/>
    <x v="1"/>
    <s v="Male"/>
    <n v="38"/>
    <n v="2"/>
    <s v="Medium"/>
    <n v="1"/>
    <x v="1"/>
    <x v="1"/>
    <n v="3"/>
    <s v="High"/>
    <x v="1"/>
    <n v="2437"/>
    <n v="15587"/>
    <n v="9"/>
    <x v="0"/>
    <n v="16"/>
    <n v="3"/>
    <s v="Excellent"/>
    <n v="4"/>
    <s v="Very High"/>
    <n v="1"/>
    <n v="6"/>
    <n v="4"/>
    <n v="3"/>
    <s v="High"/>
    <n v="1"/>
    <n v="0"/>
    <n v="0"/>
    <n v="0"/>
  </r>
  <r>
    <n v="42"/>
    <x v="0"/>
    <x v="1"/>
    <x v="0"/>
    <n v="855"/>
    <x v="1"/>
    <n v="12"/>
    <x v="2"/>
    <n v="3"/>
    <s v="Bachelor"/>
    <s v="Medical"/>
    <n v="1768"/>
    <n v="2"/>
    <x v="0"/>
    <s v="Male"/>
    <n v="57"/>
    <n v="3"/>
    <s v="High"/>
    <n v="1"/>
    <x v="1"/>
    <x v="2"/>
    <n v="2"/>
    <s v="Medium"/>
    <x v="2"/>
    <n v="2766"/>
    <n v="8952"/>
    <n v="8"/>
    <x v="1"/>
    <n v="22"/>
    <n v="4"/>
    <s v="Outstanding"/>
    <n v="2"/>
    <s v="Medium"/>
    <n v="3"/>
    <n v="7"/>
    <n v="6"/>
    <n v="2"/>
    <s v="Medium"/>
    <n v="5"/>
    <n v="3"/>
    <n v="0"/>
    <n v="4"/>
  </r>
  <r>
    <n v="55"/>
    <x v="1"/>
    <x v="1"/>
    <x v="0"/>
    <n v="478"/>
    <x v="1"/>
    <n v="2"/>
    <x v="0"/>
    <n v="3"/>
    <s v="Bachelor"/>
    <s v="Medical"/>
    <n v="1770"/>
    <n v="3"/>
    <x v="1"/>
    <s v="Male"/>
    <n v="60"/>
    <n v="2"/>
    <s v="Medium"/>
    <n v="5"/>
    <x v="4"/>
    <x v="7"/>
    <n v="1"/>
    <s v="Low"/>
    <x v="1"/>
    <n v="19038"/>
    <n v="19805"/>
    <n v="8"/>
    <x v="1"/>
    <n v="12"/>
    <n v="3"/>
    <s v="Excellent"/>
    <n v="2"/>
    <s v="Medium"/>
    <n v="3"/>
    <n v="34"/>
    <n v="2"/>
    <n v="3"/>
    <s v="High"/>
    <n v="1"/>
    <n v="0"/>
    <n v="0"/>
    <n v="0"/>
  </r>
  <r>
    <n v="33"/>
    <x v="2"/>
    <x v="1"/>
    <x v="2"/>
    <n v="775"/>
    <x v="1"/>
    <n v="4"/>
    <x v="0"/>
    <n v="3"/>
    <s v="Bachelor"/>
    <s v="Technical Degree"/>
    <n v="1771"/>
    <n v="4"/>
    <x v="3"/>
    <s v="Male"/>
    <n v="90"/>
    <n v="3"/>
    <s v="High"/>
    <n v="2"/>
    <x v="0"/>
    <x v="1"/>
    <n v="2"/>
    <s v="Medium"/>
    <x v="2"/>
    <n v="3055"/>
    <n v="6194"/>
    <n v="5"/>
    <x v="1"/>
    <n v="15"/>
    <n v="3"/>
    <s v="Excellent"/>
    <n v="4"/>
    <s v="Very High"/>
    <n v="2"/>
    <n v="11"/>
    <n v="2"/>
    <n v="2"/>
    <s v="Medium"/>
    <n v="9"/>
    <n v="8"/>
    <n v="1"/>
    <n v="7"/>
  </r>
  <r>
    <n v="41"/>
    <x v="0"/>
    <x v="1"/>
    <x v="0"/>
    <n v="548"/>
    <x v="1"/>
    <n v="9"/>
    <x v="0"/>
    <n v="4"/>
    <s v="Master"/>
    <s v="Life Sciences"/>
    <n v="1772"/>
    <n v="3"/>
    <x v="1"/>
    <s v="Male"/>
    <n v="94"/>
    <n v="3"/>
    <s v="High"/>
    <n v="1"/>
    <x v="1"/>
    <x v="2"/>
    <n v="1"/>
    <s v="Low"/>
    <x v="2"/>
    <n v="2289"/>
    <n v="20520"/>
    <n v="1"/>
    <x v="1"/>
    <n v="20"/>
    <n v="4"/>
    <s v="Outstanding"/>
    <n v="2"/>
    <s v="Medium"/>
    <n v="2"/>
    <n v="5"/>
    <n v="2"/>
    <n v="3"/>
    <s v="High"/>
    <n v="5"/>
    <n v="3"/>
    <n v="0"/>
    <n v="4"/>
  </r>
  <r>
    <n v="34"/>
    <x v="2"/>
    <x v="1"/>
    <x v="2"/>
    <n v="1375"/>
    <x v="0"/>
    <n v="10"/>
    <x v="0"/>
    <n v="3"/>
    <s v="Bachelor"/>
    <s v="Life Sciences"/>
    <n v="1774"/>
    <n v="4"/>
    <x v="3"/>
    <s v="Male"/>
    <n v="87"/>
    <n v="3"/>
    <s v="High"/>
    <n v="2"/>
    <x v="0"/>
    <x v="0"/>
    <n v="3"/>
    <s v="High"/>
    <x v="2"/>
    <n v="4001"/>
    <n v="12313"/>
    <n v="1"/>
    <x v="0"/>
    <n v="14"/>
    <n v="3"/>
    <s v="Excellent"/>
    <n v="3"/>
    <s v="High"/>
    <n v="1"/>
    <n v="15"/>
    <n v="3"/>
    <n v="3"/>
    <s v="High"/>
    <n v="15"/>
    <n v="14"/>
    <n v="0"/>
    <n v="7"/>
  </r>
  <r>
    <n v="53"/>
    <x v="1"/>
    <x v="1"/>
    <x v="2"/>
    <n v="661"/>
    <x v="1"/>
    <n v="1"/>
    <x v="0"/>
    <n v="4"/>
    <s v="Master"/>
    <s v="Medical"/>
    <n v="1775"/>
    <n v="1"/>
    <x v="2"/>
    <s v="Female"/>
    <n v="60"/>
    <n v="2"/>
    <s v="Medium"/>
    <n v="4"/>
    <x v="3"/>
    <x v="3"/>
    <n v="3"/>
    <s v="High"/>
    <x v="1"/>
    <n v="12965"/>
    <n v="22308"/>
    <n v="4"/>
    <x v="0"/>
    <n v="20"/>
    <n v="4"/>
    <s v="Outstanding"/>
    <n v="4"/>
    <s v="Very High"/>
    <n v="3"/>
    <n v="27"/>
    <n v="2"/>
    <n v="2"/>
    <s v="Medium"/>
    <n v="3"/>
    <n v="2"/>
    <n v="0"/>
    <n v="2"/>
  </r>
  <r>
    <n v="43"/>
    <x v="0"/>
    <x v="1"/>
    <x v="0"/>
    <n v="244"/>
    <x v="2"/>
    <n v="2"/>
    <x v="0"/>
    <n v="3"/>
    <s v="Bachelor"/>
    <s v="Life Sciences"/>
    <n v="1778"/>
    <n v="2"/>
    <x v="0"/>
    <s v="Male"/>
    <n v="97"/>
    <n v="3"/>
    <s v="High"/>
    <n v="1"/>
    <x v="1"/>
    <x v="8"/>
    <n v="4"/>
    <s v="Very High"/>
    <x v="0"/>
    <n v="3539"/>
    <n v="5033"/>
    <n v="0"/>
    <x v="1"/>
    <n v="13"/>
    <n v="3"/>
    <s v="Excellent"/>
    <n v="2"/>
    <s v="Medium"/>
    <n v="0"/>
    <n v="10"/>
    <n v="5"/>
    <n v="3"/>
    <s v="High"/>
    <n v="9"/>
    <n v="7"/>
    <n v="1"/>
    <n v="8"/>
  </r>
  <r>
    <n v="34"/>
    <x v="2"/>
    <x v="1"/>
    <x v="0"/>
    <n v="511"/>
    <x v="0"/>
    <n v="3"/>
    <x v="0"/>
    <n v="2"/>
    <s v="College"/>
    <s v="Life Sciences"/>
    <n v="1779"/>
    <n v="4"/>
    <x v="3"/>
    <s v="Female"/>
    <n v="32"/>
    <n v="1"/>
    <s v="Low"/>
    <n v="2"/>
    <x v="0"/>
    <x v="0"/>
    <n v="4"/>
    <s v="Very High"/>
    <x v="0"/>
    <n v="6029"/>
    <n v="25353"/>
    <n v="5"/>
    <x v="1"/>
    <n v="12"/>
    <n v="3"/>
    <s v="Excellent"/>
    <n v="1"/>
    <s v="Low"/>
    <n v="0"/>
    <n v="6"/>
    <n v="3"/>
    <n v="3"/>
    <s v="High"/>
    <n v="2"/>
    <n v="2"/>
    <n v="2"/>
    <n v="2"/>
  </r>
  <r>
    <n v="21"/>
    <x v="4"/>
    <x v="0"/>
    <x v="0"/>
    <n v="337"/>
    <x v="0"/>
    <n v="7"/>
    <x v="0"/>
    <n v="1"/>
    <s v="Below College"/>
    <s v="Marketing"/>
    <n v="1780"/>
    <n v="2"/>
    <x v="0"/>
    <s v="Male"/>
    <n v="31"/>
    <n v="3"/>
    <s v="High"/>
    <n v="1"/>
    <x v="1"/>
    <x v="6"/>
    <n v="2"/>
    <s v="Medium"/>
    <x v="0"/>
    <n v="2679"/>
    <n v="4567"/>
    <n v="1"/>
    <x v="1"/>
    <n v="13"/>
    <n v="3"/>
    <s v="Excellent"/>
    <n v="2"/>
    <s v="Medium"/>
    <n v="0"/>
    <n v="1"/>
    <n v="3"/>
    <n v="3"/>
    <s v="High"/>
    <n v="1"/>
    <n v="0"/>
    <n v="1"/>
    <n v="0"/>
  </r>
  <r>
    <n v="38"/>
    <x v="0"/>
    <x v="1"/>
    <x v="0"/>
    <n v="1153"/>
    <x v="1"/>
    <n v="6"/>
    <x v="0"/>
    <n v="2"/>
    <s v="College"/>
    <s v="Other"/>
    <n v="1782"/>
    <n v="4"/>
    <x v="3"/>
    <s v="Female"/>
    <n v="40"/>
    <n v="2"/>
    <s v="Medium"/>
    <n v="1"/>
    <x v="1"/>
    <x v="2"/>
    <n v="3"/>
    <s v="High"/>
    <x v="1"/>
    <n v="3702"/>
    <n v="16376"/>
    <n v="1"/>
    <x v="1"/>
    <n v="11"/>
    <n v="3"/>
    <s v="Excellent"/>
    <n v="2"/>
    <s v="Medium"/>
    <n v="1"/>
    <n v="5"/>
    <n v="3"/>
    <n v="3"/>
    <s v="High"/>
    <n v="5"/>
    <n v="4"/>
    <n v="0"/>
    <n v="4"/>
  </r>
  <r>
    <n v="22"/>
    <x v="4"/>
    <x v="0"/>
    <x v="0"/>
    <n v="1294"/>
    <x v="1"/>
    <n v="8"/>
    <x v="0"/>
    <n v="1"/>
    <s v="Below College"/>
    <s v="Medical"/>
    <n v="1783"/>
    <n v="3"/>
    <x v="1"/>
    <s v="Female"/>
    <n v="79"/>
    <n v="3"/>
    <s v="High"/>
    <n v="1"/>
    <x v="1"/>
    <x v="2"/>
    <n v="1"/>
    <s v="Low"/>
    <x v="1"/>
    <n v="2398"/>
    <n v="15999"/>
    <n v="1"/>
    <x v="0"/>
    <n v="17"/>
    <n v="3"/>
    <s v="Excellent"/>
    <n v="3"/>
    <s v="High"/>
    <n v="0"/>
    <n v="1"/>
    <n v="6"/>
    <n v="3"/>
    <s v="High"/>
    <n v="1"/>
    <n v="0"/>
    <n v="0"/>
    <n v="0"/>
  </r>
  <r>
    <n v="31"/>
    <x v="2"/>
    <x v="1"/>
    <x v="0"/>
    <n v="196"/>
    <x v="0"/>
    <n v="29"/>
    <x v="1"/>
    <n v="4"/>
    <s v="Master"/>
    <s v="Marketing"/>
    <n v="1784"/>
    <n v="1"/>
    <x v="2"/>
    <s v="Female"/>
    <n v="91"/>
    <n v="2"/>
    <s v="Medium"/>
    <n v="2"/>
    <x v="0"/>
    <x v="0"/>
    <n v="4"/>
    <s v="Very High"/>
    <x v="1"/>
    <n v="5468"/>
    <n v="13402"/>
    <n v="1"/>
    <x v="1"/>
    <n v="14"/>
    <n v="3"/>
    <s v="Excellent"/>
    <n v="1"/>
    <s v="Low"/>
    <n v="2"/>
    <n v="13"/>
    <n v="3"/>
    <n v="3"/>
    <s v="High"/>
    <n v="12"/>
    <n v="7"/>
    <n v="5"/>
    <n v="7"/>
  </r>
  <r>
    <n v="51"/>
    <x v="1"/>
    <x v="1"/>
    <x v="0"/>
    <n v="942"/>
    <x v="1"/>
    <n v="3"/>
    <x v="0"/>
    <n v="3"/>
    <s v="Bachelor"/>
    <s v="Technical Degree"/>
    <n v="1786"/>
    <n v="1"/>
    <x v="2"/>
    <s v="Female"/>
    <n v="53"/>
    <n v="3"/>
    <s v="High"/>
    <n v="3"/>
    <x v="2"/>
    <x v="5"/>
    <n v="3"/>
    <s v="High"/>
    <x v="1"/>
    <n v="13116"/>
    <n v="22984"/>
    <n v="2"/>
    <x v="1"/>
    <n v="11"/>
    <n v="3"/>
    <s v="Excellent"/>
    <n v="4"/>
    <s v="Very High"/>
    <n v="0"/>
    <n v="15"/>
    <n v="2"/>
    <n v="3"/>
    <s v="High"/>
    <n v="2"/>
    <n v="2"/>
    <n v="2"/>
    <n v="2"/>
  </r>
  <r>
    <n v="37"/>
    <x v="0"/>
    <x v="1"/>
    <x v="0"/>
    <n v="589"/>
    <x v="0"/>
    <n v="9"/>
    <x v="0"/>
    <n v="2"/>
    <s v="College"/>
    <s v="Marketing"/>
    <n v="1787"/>
    <n v="2"/>
    <x v="0"/>
    <s v="Male"/>
    <n v="46"/>
    <n v="2"/>
    <s v="Medium"/>
    <n v="2"/>
    <x v="0"/>
    <x v="0"/>
    <n v="2"/>
    <s v="Medium"/>
    <x v="1"/>
    <n v="4189"/>
    <n v="8800"/>
    <n v="1"/>
    <x v="1"/>
    <n v="14"/>
    <n v="3"/>
    <s v="Excellent"/>
    <n v="1"/>
    <s v="Low"/>
    <n v="2"/>
    <n v="5"/>
    <n v="2"/>
    <n v="3"/>
    <s v="High"/>
    <n v="5"/>
    <n v="2"/>
    <n v="0"/>
    <n v="3"/>
  </r>
  <r>
    <n v="46"/>
    <x v="1"/>
    <x v="1"/>
    <x v="0"/>
    <n v="734"/>
    <x v="1"/>
    <n v="2"/>
    <x v="0"/>
    <n v="4"/>
    <s v="Master"/>
    <s v="Medical"/>
    <n v="1789"/>
    <n v="3"/>
    <x v="1"/>
    <s v="Male"/>
    <n v="46"/>
    <n v="3"/>
    <s v="High"/>
    <n v="5"/>
    <x v="4"/>
    <x v="7"/>
    <n v="4"/>
    <s v="Very High"/>
    <x v="2"/>
    <n v="19328"/>
    <n v="14218"/>
    <n v="7"/>
    <x v="0"/>
    <n v="17"/>
    <n v="3"/>
    <s v="Excellent"/>
    <n v="3"/>
    <s v="High"/>
    <n v="1"/>
    <n v="24"/>
    <n v="3"/>
    <n v="3"/>
    <s v="High"/>
    <n v="2"/>
    <n v="1"/>
    <n v="2"/>
    <n v="2"/>
  </r>
  <r>
    <n v="36"/>
    <x v="0"/>
    <x v="1"/>
    <x v="0"/>
    <n v="1383"/>
    <x v="1"/>
    <n v="10"/>
    <x v="0"/>
    <n v="3"/>
    <s v="Bachelor"/>
    <s v="Life Sciences"/>
    <n v="1790"/>
    <n v="4"/>
    <x v="3"/>
    <s v="Male"/>
    <n v="90"/>
    <n v="3"/>
    <s v="High"/>
    <n v="3"/>
    <x v="2"/>
    <x v="4"/>
    <n v="1"/>
    <s v="Low"/>
    <x v="1"/>
    <n v="8321"/>
    <n v="25949"/>
    <n v="7"/>
    <x v="0"/>
    <n v="13"/>
    <n v="3"/>
    <s v="Excellent"/>
    <n v="4"/>
    <s v="Very High"/>
    <n v="1"/>
    <n v="15"/>
    <n v="1"/>
    <n v="3"/>
    <s v="High"/>
    <n v="12"/>
    <n v="8"/>
    <n v="5"/>
    <n v="7"/>
  </r>
  <r>
    <n v="44"/>
    <x v="0"/>
    <x v="0"/>
    <x v="1"/>
    <n v="429"/>
    <x v="1"/>
    <n v="1"/>
    <x v="0"/>
    <n v="2"/>
    <s v="College"/>
    <s v="Medical"/>
    <n v="1792"/>
    <n v="3"/>
    <x v="1"/>
    <s v="Male"/>
    <n v="99"/>
    <n v="3"/>
    <s v="High"/>
    <n v="1"/>
    <x v="1"/>
    <x v="1"/>
    <n v="2"/>
    <s v="Medium"/>
    <x v="2"/>
    <n v="2342"/>
    <n v="11092"/>
    <n v="1"/>
    <x v="0"/>
    <n v="12"/>
    <n v="3"/>
    <s v="Excellent"/>
    <n v="3"/>
    <s v="High"/>
    <n v="3"/>
    <n v="6"/>
    <n v="2"/>
    <n v="2"/>
    <s v="Medium"/>
    <n v="5"/>
    <n v="3"/>
    <n v="2"/>
    <n v="3"/>
  </r>
  <r>
    <n v="37"/>
    <x v="0"/>
    <x v="1"/>
    <x v="0"/>
    <n v="1239"/>
    <x v="2"/>
    <n v="8"/>
    <x v="0"/>
    <n v="2"/>
    <s v="College"/>
    <s v="Other"/>
    <n v="1794"/>
    <n v="3"/>
    <x v="1"/>
    <s v="Male"/>
    <n v="89"/>
    <n v="3"/>
    <s v="High"/>
    <n v="2"/>
    <x v="0"/>
    <x v="8"/>
    <n v="2"/>
    <s v="Medium"/>
    <x v="2"/>
    <n v="4071"/>
    <n v="12832"/>
    <n v="2"/>
    <x v="1"/>
    <n v="13"/>
    <n v="3"/>
    <s v="Excellent"/>
    <n v="3"/>
    <s v="High"/>
    <n v="0"/>
    <n v="19"/>
    <n v="4"/>
    <n v="2"/>
    <s v="Medium"/>
    <n v="10"/>
    <n v="0"/>
    <n v="4"/>
    <n v="7"/>
  </r>
  <r>
    <n v="35"/>
    <x v="2"/>
    <x v="0"/>
    <x v="0"/>
    <n v="303"/>
    <x v="0"/>
    <n v="27"/>
    <x v="1"/>
    <n v="3"/>
    <s v="Bachelor"/>
    <s v="Life Sciences"/>
    <n v="1797"/>
    <n v="3"/>
    <x v="1"/>
    <s v="Male"/>
    <n v="84"/>
    <n v="3"/>
    <s v="High"/>
    <n v="2"/>
    <x v="0"/>
    <x v="0"/>
    <n v="4"/>
    <s v="Very High"/>
    <x v="0"/>
    <n v="5813"/>
    <n v="13492"/>
    <n v="1"/>
    <x v="0"/>
    <n v="18"/>
    <n v="3"/>
    <s v="Excellent"/>
    <n v="4"/>
    <s v="Very High"/>
    <n v="0"/>
    <n v="10"/>
    <n v="2"/>
    <n v="3"/>
    <s v="High"/>
    <n v="10"/>
    <n v="7"/>
    <n v="7"/>
    <n v="7"/>
  </r>
  <r>
    <n v="33"/>
    <x v="2"/>
    <x v="1"/>
    <x v="0"/>
    <n v="867"/>
    <x v="1"/>
    <n v="8"/>
    <x v="0"/>
    <n v="4"/>
    <s v="Master"/>
    <s v="Life Sciences"/>
    <n v="1798"/>
    <n v="4"/>
    <x v="3"/>
    <s v="Male"/>
    <n v="90"/>
    <n v="4"/>
    <s v="Very High"/>
    <n v="1"/>
    <x v="1"/>
    <x v="1"/>
    <n v="1"/>
    <s v="Low"/>
    <x v="1"/>
    <n v="3143"/>
    <n v="6076"/>
    <n v="6"/>
    <x v="1"/>
    <n v="19"/>
    <n v="3"/>
    <s v="Excellent"/>
    <n v="2"/>
    <s v="Medium"/>
    <n v="1"/>
    <n v="14"/>
    <n v="1"/>
    <n v="3"/>
    <s v="High"/>
    <n v="10"/>
    <n v="8"/>
    <n v="7"/>
    <n v="6"/>
  </r>
  <r>
    <n v="28"/>
    <x v="2"/>
    <x v="1"/>
    <x v="0"/>
    <n v="1181"/>
    <x v="1"/>
    <n v="1"/>
    <x v="0"/>
    <n v="3"/>
    <s v="Bachelor"/>
    <s v="Life Sciences"/>
    <n v="1799"/>
    <n v="3"/>
    <x v="1"/>
    <s v="Male"/>
    <n v="82"/>
    <n v="3"/>
    <s v="High"/>
    <n v="1"/>
    <x v="1"/>
    <x v="1"/>
    <n v="4"/>
    <s v="Very High"/>
    <x v="1"/>
    <n v="2044"/>
    <n v="5531"/>
    <n v="1"/>
    <x v="1"/>
    <n v="11"/>
    <n v="3"/>
    <s v="Excellent"/>
    <n v="3"/>
    <s v="High"/>
    <n v="1"/>
    <n v="5"/>
    <n v="6"/>
    <n v="4"/>
    <s v="Very High"/>
    <n v="5"/>
    <n v="3"/>
    <n v="0"/>
    <n v="3"/>
  </r>
  <r>
    <n v="39"/>
    <x v="0"/>
    <x v="1"/>
    <x v="0"/>
    <n v="1253"/>
    <x v="1"/>
    <n v="10"/>
    <x v="0"/>
    <n v="1"/>
    <s v="Below College"/>
    <s v="Medical"/>
    <n v="1800"/>
    <n v="3"/>
    <x v="1"/>
    <s v="Male"/>
    <n v="65"/>
    <n v="3"/>
    <s v="High"/>
    <n v="3"/>
    <x v="2"/>
    <x v="7"/>
    <n v="3"/>
    <s v="High"/>
    <x v="0"/>
    <n v="13464"/>
    <n v="7914"/>
    <n v="7"/>
    <x v="1"/>
    <n v="21"/>
    <n v="4"/>
    <s v="Outstanding"/>
    <n v="3"/>
    <s v="High"/>
    <n v="0"/>
    <n v="9"/>
    <n v="3"/>
    <n v="3"/>
    <s v="High"/>
    <n v="4"/>
    <n v="3"/>
    <n v="2"/>
    <n v="2"/>
  </r>
  <r>
    <n v="46"/>
    <x v="1"/>
    <x v="1"/>
    <x v="2"/>
    <n v="849"/>
    <x v="0"/>
    <n v="26"/>
    <x v="1"/>
    <n v="2"/>
    <s v="College"/>
    <s v="Life Sciences"/>
    <n v="1801"/>
    <n v="2"/>
    <x v="0"/>
    <s v="Male"/>
    <n v="98"/>
    <n v="2"/>
    <s v="Medium"/>
    <n v="2"/>
    <x v="0"/>
    <x v="0"/>
    <n v="2"/>
    <s v="Medium"/>
    <x v="0"/>
    <n v="7991"/>
    <n v="25166"/>
    <n v="8"/>
    <x v="1"/>
    <n v="15"/>
    <n v="3"/>
    <s v="Excellent"/>
    <n v="3"/>
    <s v="High"/>
    <n v="0"/>
    <n v="6"/>
    <n v="3"/>
    <n v="3"/>
    <s v="High"/>
    <n v="2"/>
    <n v="2"/>
    <n v="2"/>
    <n v="2"/>
  </r>
  <r>
    <n v="40"/>
    <x v="0"/>
    <x v="1"/>
    <x v="0"/>
    <n v="616"/>
    <x v="1"/>
    <n v="2"/>
    <x v="0"/>
    <n v="2"/>
    <s v="College"/>
    <s v="Life Sciences"/>
    <n v="1802"/>
    <n v="3"/>
    <x v="1"/>
    <s v="Female"/>
    <n v="99"/>
    <n v="3"/>
    <s v="High"/>
    <n v="1"/>
    <x v="1"/>
    <x v="2"/>
    <n v="1"/>
    <s v="Low"/>
    <x v="1"/>
    <n v="3377"/>
    <n v="25605"/>
    <n v="4"/>
    <x v="1"/>
    <n v="17"/>
    <n v="3"/>
    <s v="Excellent"/>
    <n v="4"/>
    <s v="Very High"/>
    <n v="1"/>
    <n v="7"/>
    <n v="5"/>
    <n v="2"/>
    <s v="Medium"/>
    <n v="4"/>
    <n v="3"/>
    <n v="0"/>
    <n v="2"/>
  </r>
  <r>
    <n v="42"/>
    <x v="0"/>
    <x v="1"/>
    <x v="0"/>
    <n v="1128"/>
    <x v="1"/>
    <n v="13"/>
    <x v="2"/>
    <n v="3"/>
    <s v="Bachelor"/>
    <s v="Medical"/>
    <n v="1803"/>
    <n v="2"/>
    <x v="0"/>
    <s v="Male"/>
    <n v="95"/>
    <n v="4"/>
    <s v="Very High"/>
    <n v="2"/>
    <x v="0"/>
    <x v="4"/>
    <n v="1"/>
    <s v="Low"/>
    <x v="1"/>
    <n v="5538"/>
    <n v="5696"/>
    <n v="5"/>
    <x v="1"/>
    <n v="18"/>
    <n v="3"/>
    <s v="Excellent"/>
    <n v="3"/>
    <s v="High"/>
    <n v="2"/>
    <n v="10"/>
    <n v="2"/>
    <n v="2"/>
    <s v="Medium"/>
    <n v="0"/>
    <n v="0"/>
    <n v="0"/>
    <n v="0"/>
  </r>
  <r>
    <n v="35"/>
    <x v="2"/>
    <x v="1"/>
    <x v="2"/>
    <n v="1180"/>
    <x v="1"/>
    <n v="2"/>
    <x v="0"/>
    <n v="2"/>
    <s v="College"/>
    <s v="Medical"/>
    <n v="1804"/>
    <n v="2"/>
    <x v="0"/>
    <s v="Male"/>
    <n v="90"/>
    <n v="3"/>
    <s v="High"/>
    <n v="2"/>
    <x v="0"/>
    <x v="3"/>
    <n v="4"/>
    <s v="Very High"/>
    <x v="2"/>
    <n v="5762"/>
    <n v="24442"/>
    <n v="2"/>
    <x v="1"/>
    <n v="14"/>
    <n v="3"/>
    <s v="Excellent"/>
    <n v="3"/>
    <s v="High"/>
    <n v="1"/>
    <n v="15"/>
    <n v="6"/>
    <n v="3"/>
    <s v="High"/>
    <n v="7"/>
    <n v="7"/>
    <n v="1"/>
    <n v="7"/>
  </r>
  <r>
    <n v="38"/>
    <x v="0"/>
    <x v="1"/>
    <x v="2"/>
    <n v="1336"/>
    <x v="2"/>
    <n v="2"/>
    <x v="0"/>
    <n v="3"/>
    <s v="Bachelor"/>
    <s v="Human Resources"/>
    <n v="1805"/>
    <n v="1"/>
    <x v="2"/>
    <s v="Male"/>
    <n v="100"/>
    <n v="3"/>
    <s v="High"/>
    <n v="1"/>
    <x v="1"/>
    <x v="8"/>
    <n v="2"/>
    <s v="Medium"/>
    <x v="2"/>
    <n v="2592"/>
    <n v="7129"/>
    <n v="5"/>
    <x v="1"/>
    <n v="13"/>
    <n v="3"/>
    <s v="Excellent"/>
    <n v="4"/>
    <s v="Very High"/>
    <n v="3"/>
    <n v="13"/>
    <n v="3"/>
    <n v="3"/>
    <s v="High"/>
    <n v="11"/>
    <n v="10"/>
    <n v="3"/>
    <n v="8"/>
  </r>
  <r>
    <n v="34"/>
    <x v="2"/>
    <x v="0"/>
    <x v="1"/>
    <n v="234"/>
    <x v="1"/>
    <n v="9"/>
    <x v="0"/>
    <n v="4"/>
    <s v="Master"/>
    <s v="Life Sciences"/>
    <n v="1807"/>
    <n v="4"/>
    <x v="3"/>
    <s v="Male"/>
    <n v="93"/>
    <n v="3"/>
    <s v="High"/>
    <n v="2"/>
    <x v="0"/>
    <x v="2"/>
    <n v="1"/>
    <s v="Low"/>
    <x v="1"/>
    <n v="5346"/>
    <n v="6208"/>
    <n v="4"/>
    <x v="1"/>
    <n v="17"/>
    <n v="3"/>
    <s v="Excellent"/>
    <n v="3"/>
    <s v="High"/>
    <n v="1"/>
    <n v="11"/>
    <n v="3"/>
    <n v="2"/>
    <s v="Medium"/>
    <n v="7"/>
    <n v="1"/>
    <n v="0"/>
    <n v="7"/>
  </r>
  <r>
    <n v="37"/>
    <x v="0"/>
    <x v="0"/>
    <x v="0"/>
    <n v="370"/>
    <x v="1"/>
    <n v="10"/>
    <x v="0"/>
    <n v="4"/>
    <s v="Master"/>
    <s v="Medical"/>
    <n v="1809"/>
    <n v="4"/>
    <x v="3"/>
    <s v="Male"/>
    <n v="58"/>
    <n v="3"/>
    <s v="High"/>
    <n v="2"/>
    <x v="0"/>
    <x v="3"/>
    <n v="1"/>
    <s v="Low"/>
    <x v="0"/>
    <n v="4213"/>
    <n v="4992"/>
    <n v="1"/>
    <x v="1"/>
    <n v="15"/>
    <n v="3"/>
    <s v="Excellent"/>
    <n v="2"/>
    <s v="Medium"/>
    <n v="0"/>
    <n v="10"/>
    <n v="4"/>
    <n v="1"/>
    <s v="Low"/>
    <n v="10"/>
    <n v="3"/>
    <n v="0"/>
    <n v="8"/>
  </r>
  <r>
    <n v="39"/>
    <x v="0"/>
    <x v="1"/>
    <x v="1"/>
    <n v="766"/>
    <x v="0"/>
    <n v="20"/>
    <x v="2"/>
    <n v="3"/>
    <s v="Bachelor"/>
    <s v="Life Sciences"/>
    <n v="1812"/>
    <n v="3"/>
    <x v="1"/>
    <s v="Male"/>
    <n v="83"/>
    <n v="3"/>
    <s v="High"/>
    <n v="2"/>
    <x v="0"/>
    <x v="0"/>
    <n v="4"/>
    <s v="Very High"/>
    <x v="2"/>
    <n v="4127"/>
    <n v="19188"/>
    <n v="2"/>
    <x v="1"/>
    <n v="18"/>
    <n v="3"/>
    <s v="Excellent"/>
    <n v="4"/>
    <s v="Very High"/>
    <n v="1"/>
    <n v="7"/>
    <n v="6"/>
    <n v="3"/>
    <s v="High"/>
    <n v="2"/>
    <n v="1"/>
    <n v="2"/>
    <n v="2"/>
  </r>
  <r>
    <n v="43"/>
    <x v="0"/>
    <x v="1"/>
    <x v="2"/>
    <n v="343"/>
    <x v="1"/>
    <n v="9"/>
    <x v="0"/>
    <n v="3"/>
    <s v="Bachelor"/>
    <s v="Life Sciences"/>
    <n v="1813"/>
    <n v="1"/>
    <x v="2"/>
    <s v="Male"/>
    <n v="52"/>
    <n v="3"/>
    <s v="High"/>
    <n v="1"/>
    <x v="1"/>
    <x v="1"/>
    <n v="3"/>
    <s v="High"/>
    <x v="0"/>
    <n v="2438"/>
    <n v="24978"/>
    <n v="4"/>
    <x v="1"/>
    <n v="13"/>
    <n v="3"/>
    <s v="Excellent"/>
    <n v="3"/>
    <s v="High"/>
    <n v="0"/>
    <n v="7"/>
    <n v="2"/>
    <n v="2"/>
    <s v="Medium"/>
    <n v="3"/>
    <n v="2"/>
    <n v="1"/>
    <n v="2"/>
  </r>
  <r>
    <n v="41"/>
    <x v="0"/>
    <x v="1"/>
    <x v="0"/>
    <n v="447"/>
    <x v="1"/>
    <n v="5"/>
    <x v="0"/>
    <n v="3"/>
    <s v="Bachelor"/>
    <s v="Life Sciences"/>
    <n v="1814"/>
    <n v="2"/>
    <x v="0"/>
    <s v="Male"/>
    <n v="85"/>
    <n v="4"/>
    <s v="Very High"/>
    <n v="2"/>
    <x v="0"/>
    <x v="4"/>
    <n v="2"/>
    <s v="Medium"/>
    <x v="0"/>
    <n v="6870"/>
    <n v="15530"/>
    <n v="3"/>
    <x v="1"/>
    <n v="12"/>
    <n v="3"/>
    <s v="Excellent"/>
    <n v="1"/>
    <s v="Low"/>
    <n v="0"/>
    <n v="11"/>
    <n v="3"/>
    <n v="1"/>
    <s v="Low"/>
    <n v="3"/>
    <n v="2"/>
    <n v="1"/>
    <n v="2"/>
  </r>
  <r>
    <n v="41"/>
    <x v="0"/>
    <x v="1"/>
    <x v="0"/>
    <n v="796"/>
    <x v="0"/>
    <n v="4"/>
    <x v="0"/>
    <n v="1"/>
    <s v="Below College"/>
    <s v="Marketing"/>
    <n v="1815"/>
    <n v="3"/>
    <x v="1"/>
    <s v="Female"/>
    <n v="81"/>
    <n v="3"/>
    <s v="High"/>
    <n v="3"/>
    <x v="2"/>
    <x v="0"/>
    <n v="3"/>
    <s v="High"/>
    <x v="2"/>
    <n v="10447"/>
    <n v="26458"/>
    <n v="0"/>
    <x v="0"/>
    <n v="13"/>
    <n v="3"/>
    <s v="Excellent"/>
    <n v="4"/>
    <s v="Very High"/>
    <n v="1"/>
    <n v="23"/>
    <n v="3"/>
    <n v="4"/>
    <s v="Very High"/>
    <n v="22"/>
    <n v="14"/>
    <n v="13"/>
    <n v="5"/>
  </r>
  <r>
    <n v="30"/>
    <x v="2"/>
    <x v="1"/>
    <x v="0"/>
    <n v="1092"/>
    <x v="1"/>
    <n v="10"/>
    <x v="0"/>
    <n v="3"/>
    <s v="Bachelor"/>
    <s v="Medical"/>
    <n v="1816"/>
    <n v="1"/>
    <x v="2"/>
    <s v="Female"/>
    <n v="64"/>
    <n v="3"/>
    <s v="High"/>
    <n v="3"/>
    <x v="2"/>
    <x v="3"/>
    <n v="3"/>
    <s v="High"/>
    <x v="0"/>
    <n v="9667"/>
    <n v="2739"/>
    <n v="9"/>
    <x v="1"/>
    <n v="14"/>
    <n v="3"/>
    <s v="Excellent"/>
    <n v="2"/>
    <s v="Medium"/>
    <n v="0"/>
    <n v="9"/>
    <n v="3"/>
    <n v="3"/>
    <s v="High"/>
    <n v="7"/>
    <n v="7"/>
    <n v="0"/>
    <n v="2"/>
  </r>
  <r>
    <n v="26"/>
    <x v="2"/>
    <x v="0"/>
    <x v="0"/>
    <n v="920"/>
    <x v="2"/>
    <n v="20"/>
    <x v="2"/>
    <n v="2"/>
    <s v="College"/>
    <s v="Medical"/>
    <n v="1818"/>
    <n v="4"/>
    <x v="3"/>
    <s v="Female"/>
    <n v="69"/>
    <n v="3"/>
    <s v="High"/>
    <n v="1"/>
    <x v="1"/>
    <x v="8"/>
    <n v="2"/>
    <s v="Medium"/>
    <x v="1"/>
    <n v="2148"/>
    <n v="6889"/>
    <n v="0"/>
    <x v="0"/>
    <n v="11"/>
    <n v="3"/>
    <s v="Excellent"/>
    <n v="3"/>
    <s v="High"/>
    <n v="0"/>
    <n v="6"/>
    <n v="3"/>
    <n v="3"/>
    <s v="High"/>
    <n v="5"/>
    <n v="1"/>
    <n v="1"/>
    <n v="4"/>
  </r>
  <r>
    <n v="46"/>
    <x v="1"/>
    <x v="0"/>
    <x v="0"/>
    <n v="261"/>
    <x v="1"/>
    <n v="21"/>
    <x v="1"/>
    <n v="2"/>
    <s v="College"/>
    <s v="Medical"/>
    <n v="1821"/>
    <n v="4"/>
    <x v="3"/>
    <s v="Female"/>
    <n v="66"/>
    <n v="3"/>
    <s v="High"/>
    <n v="2"/>
    <x v="0"/>
    <x v="4"/>
    <n v="2"/>
    <s v="Medium"/>
    <x v="1"/>
    <n v="8926"/>
    <n v="10842"/>
    <n v="4"/>
    <x v="1"/>
    <n v="22"/>
    <n v="4"/>
    <s v="Outstanding"/>
    <n v="4"/>
    <s v="Very High"/>
    <n v="1"/>
    <n v="13"/>
    <n v="2"/>
    <n v="4"/>
    <s v="Very High"/>
    <n v="9"/>
    <n v="7"/>
    <n v="3"/>
    <n v="7"/>
  </r>
  <r>
    <n v="40"/>
    <x v="0"/>
    <x v="1"/>
    <x v="0"/>
    <n v="1194"/>
    <x v="1"/>
    <n v="1"/>
    <x v="0"/>
    <n v="3"/>
    <s v="Bachelor"/>
    <s v="Life Sciences"/>
    <n v="1822"/>
    <n v="3"/>
    <x v="1"/>
    <s v="Female"/>
    <n v="52"/>
    <n v="3"/>
    <s v="High"/>
    <n v="2"/>
    <x v="0"/>
    <x v="4"/>
    <n v="4"/>
    <s v="Very High"/>
    <x v="2"/>
    <n v="6513"/>
    <n v="9060"/>
    <n v="4"/>
    <x v="1"/>
    <n v="17"/>
    <n v="3"/>
    <s v="Excellent"/>
    <n v="4"/>
    <s v="Very High"/>
    <n v="1"/>
    <n v="12"/>
    <n v="3"/>
    <n v="3"/>
    <s v="High"/>
    <n v="5"/>
    <n v="3"/>
    <n v="0"/>
    <n v="3"/>
  </r>
  <r>
    <n v="34"/>
    <x v="2"/>
    <x v="1"/>
    <x v="0"/>
    <n v="810"/>
    <x v="0"/>
    <n v="8"/>
    <x v="0"/>
    <n v="2"/>
    <s v="College"/>
    <s v="Technical Degree"/>
    <n v="1823"/>
    <n v="2"/>
    <x v="0"/>
    <s v="Male"/>
    <n v="92"/>
    <n v="4"/>
    <s v="Very High"/>
    <n v="2"/>
    <x v="0"/>
    <x v="0"/>
    <n v="3"/>
    <s v="High"/>
    <x v="1"/>
    <n v="6799"/>
    <n v="22128"/>
    <n v="1"/>
    <x v="1"/>
    <n v="21"/>
    <n v="4"/>
    <s v="Outstanding"/>
    <n v="3"/>
    <s v="High"/>
    <n v="2"/>
    <n v="10"/>
    <n v="5"/>
    <n v="3"/>
    <s v="High"/>
    <n v="10"/>
    <n v="8"/>
    <n v="4"/>
    <n v="8"/>
  </r>
  <r>
    <n v="58"/>
    <x v="3"/>
    <x v="1"/>
    <x v="2"/>
    <n v="350"/>
    <x v="0"/>
    <n v="2"/>
    <x v="0"/>
    <n v="3"/>
    <s v="Bachelor"/>
    <s v="Medical"/>
    <n v="1824"/>
    <n v="2"/>
    <x v="0"/>
    <s v="Male"/>
    <n v="52"/>
    <n v="3"/>
    <s v="High"/>
    <n v="4"/>
    <x v="3"/>
    <x v="5"/>
    <n v="2"/>
    <s v="Medium"/>
    <x v="2"/>
    <n v="16291"/>
    <n v="22577"/>
    <n v="4"/>
    <x v="1"/>
    <n v="22"/>
    <n v="4"/>
    <s v="Outstanding"/>
    <n v="4"/>
    <s v="Very High"/>
    <n v="1"/>
    <n v="37"/>
    <n v="0"/>
    <n v="2"/>
    <s v="Medium"/>
    <n v="16"/>
    <n v="9"/>
    <n v="14"/>
    <n v="14"/>
  </r>
  <r>
    <n v="35"/>
    <x v="2"/>
    <x v="1"/>
    <x v="0"/>
    <n v="185"/>
    <x v="1"/>
    <n v="23"/>
    <x v="1"/>
    <n v="4"/>
    <s v="Master"/>
    <s v="Medical"/>
    <n v="1826"/>
    <n v="2"/>
    <x v="0"/>
    <s v="Male"/>
    <n v="91"/>
    <n v="1"/>
    <s v="Low"/>
    <n v="1"/>
    <x v="1"/>
    <x v="2"/>
    <n v="3"/>
    <s v="High"/>
    <x v="1"/>
    <n v="2705"/>
    <n v="9696"/>
    <n v="0"/>
    <x v="1"/>
    <n v="16"/>
    <n v="3"/>
    <s v="Excellent"/>
    <n v="2"/>
    <s v="Medium"/>
    <n v="1"/>
    <n v="6"/>
    <n v="2"/>
    <n v="4"/>
    <s v="Very High"/>
    <n v="5"/>
    <n v="4"/>
    <n v="0"/>
    <n v="3"/>
  </r>
  <r>
    <n v="47"/>
    <x v="1"/>
    <x v="1"/>
    <x v="0"/>
    <n v="1001"/>
    <x v="1"/>
    <n v="4"/>
    <x v="0"/>
    <n v="3"/>
    <s v="Bachelor"/>
    <s v="Life Sciences"/>
    <n v="1827"/>
    <n v="3"/>
    <x v="1"/>
    <s v="Female"/>
    <n v="92"/>
    <n v="2"/>
    <s v="Medium"/>
    <n v="3"/>
    <x v="2"/>
    <x v="3"/>
    <n v="2"/>
    <s v="Medium"/>
    <x v="2"/>
    <n v="10333"/>
    <n v="19271"/>
    <n v="8"/>
    <x v="0"/>
    <n v="12"/>
    <n v="3"/>
    <s v="Excellent"/>
    <n v="3"/>
    <s v="High"/>
    <n v="1"/>
    <n v="28"/>
    <n v="4"/>
    <n v="3"/>
    <s v="High"/>
    <n v="22"/>
    <n v="11"/>
    <n v="14"/>
    <n v="10"/>
  </r>
  <r>
    <n v="40"/>
    <x v="0"/>
    <x v="1"/>
    <x v="0"/>
    <n v="750"/>
    <x v="1"/>
    <n v="12"/>
    <x v="2"/>
    <n v="3"/>
    <s v="Bachelor"/>
    <s v="Life Sciences"/>
    <n v="1829"/>
    <n v="2"/>
    <x v="0"/>
    <s v="Female"/>
    <n v="47"/>
    <n v="3"/>
    <s v="High"/>
    <n v="2"/>
    <x v="0"/>
    <x v="4"/>
    <n v="1"/>
    <s v="Low"/>
    <x v="2"/>
    <n v="4448"/>
    <n v="10748"/>
    <n v="2"/>
    <x v="1"/>
    <n v="12"/>
    <n v="3"/>
    <s v="Excellent"/>
    <n v="2"/>
    <s v="Medium"/>
    <n v="1"/>
    <n v="15"/>
    <n v="3"/>
    <n v="3"/>
    <s v="High"/>
    <n v="7"/>
    <n v="4"/>
    <n v="7"/>
    <n v="7"/>
  </r>
  <r>
    <n v="54"/>
    <x v="1"/>
    <x v="1"/>
    <x v="0"/>
    <n v="431"/>
    <x v="1"/>
    <n v="7"/>
    <x v="0"/>
    <n v="4"/>
    <s v="Master"/>
    <s v="Medical"/>
    <n v="1830"/>
    <n v="4"/>
    <x v="3"/>
    <s v="Female"/>
    <n v="68"/>
    <n v="3"/>
    <s v="High"/>
    <n v="2"/>
    <x v="0"/>
    <x v="1"/>
    <n v="4"/>
    <s v="Very High"/>
    <x v="1"/>
    <n v="6854"/>
    <n v="15696"/>
    <n v="4"/>
    <x v="1"/>
    <n v="15"/>
    <n v="3"/>
    <s v="Excellent"/>
    <n v="2"/>
    <s v="Medium"/>
    <n v="1"/>
    <n v="14"/>
    <n v="2"/>
    <n v="2"/>
    <s v="Medium"/>
    <n v="7"/>
    <n v="1"/>
    <n v="1"/>
    <n v="7"/>
  </r>
  <r>
    <n v="31"/>
    <x v="2"/>
    <x v="1"/>
    <x v="1"/>
    <n v="1125"/>
    <x v="0"/>
    <n v="7"/>
    <x v="0"/>
    <n v="4"/>
    <s v="Master"/>
    <s v="Marketing"/>
    <n v="1833"/>
    <n v="1"/>
    <x v="2"/>
    <s v="Female"/>
    <n v="68"/>
    <n v="3"/>
    <s v="High"/>
    <n v="3"/>
    <x v="2"/>
    <x v="0"/>
    <n v="1"/>
    <s v="Low"/>
    <x v="1"/>
    <n v="9637"/>
    <n v="8277"/>
    <n v="2"/>
    <x v="1"/>
    <n v="14"/>
    <n v="3"/>
    <s v="Excellent"/>
    <n v="4"/>
    <s v="Very High"/>
    <n v="2"/>
    <n v="9"/>
    <n v="3"/>
    <n v="3"/>
    <s v="High"/>
    <n v="3"/>
    <n v="2"/>
    <n v="2"/>
    <n v="2"/>
  </r>
  <r>
    <n v="28"/>
    <x v="2"/>
    <x v="1"/>
    <x v="0"/>
    <n v="1217"/>
    <x v="1"/>
    <n v="1"/>
    <x v="0"/>
    <n v="3"/>
    <s v="Bachelor"/>
    <s v="Medical"/>
    <n v="1834"/>
    <n v="3"/>
    <x v="1"/>
    <s v="Female"/>
    <n v="67"/>
    <n v="3"/>
    <s v="High"/>
    <n v="1"/>
    <x v="1"/>
    <x v="1"/>
    <n v="1"/>
    <s v="Low"/>
    <x v="1"/>
    <n v="3591"/>
    <n v="12719"/>
    <n v="1"/>
    <x v="1"/>
    <n v="25"/>
    <n v="4"/>
    <s v="Outstanding"/>
    <n v="3"/>
    <s v="High"/>
    <n v="1"/>
    <n v="3"/>
    <n v="3"/>
    <n v="3"/>
    <s v="High"/>
    <n v="3"/>
    <n v="2"/>
    <n v="1"/>
    <n v="2"/>
  </r>
  <r>
    <n v="38"/>
    <x v="0"/>
    <x v="1"/>
    <x v="0"/>
    <n v="723"/>
    <x v="0"/>
    <n v="2"/>
    <x v="0"/>
    <n v="4"/>
    <s v="Master"/>
    <s v="Marketing"/>
    <n v="1835"/>
    <n v="2"/>
    <x v="0"/>
    <s v="Female"/>
    <n v="77"/>
    <n v="1"/>
    <s v="Low"/>
    <n v="2"/>
    <x v="0"/>
    <x v="6"/>
    <n v="4"/>
    <s v="Very High"/>
    <x v="1"/>
    <n v="5405"/>
    <n v="4244"/>
    <n v="2"/>
    <x v="0"/>
    <n v="20"/>
    <n v="4"/>
    <s v="Outstanding"/>
    <n v="1"/>
    <s v="Low"/>
    <n v="2"/>
    <n v="20"/>
    <n v="4"/>
    <n v="2"/>
    <s v="Medium"/>
    <n v="4"/>
    <n v="2"/>
    <n v="0"/>
    <n v="3"/>
  </r>
  <r>
    <n v="26"/>
    <x v="2"/>
    <x v="1"/>
    <x v="0"/>
    <n v="572"/>
    <x v="0"/>
    <n v="10"/>
    <x v="0"/>
    <n v="3"/>
    <s v="Bachelor"/>
    <s v="Medical"/>
    <n v="1836"/>
    <n v="3"/>
    <x v="1"/>
    <s v="Male"/>
    <n v="46"/>
    <n v="3"/>
    <s v="High"/>
    <n v="2"/>
    <x v="0"/>
    <x v="0"/>
    <n v="4"/>
    <s v="Very High"/>
    <x v="0"/>
    <n v="4684"/>
    <n v="9125"/>
    <n v="1"/>
    <x v="1"/>
    <n v="13"/>
    <n v="3"/>
    <s v="Excellent"/>
    <n v="1"/>
    <s v="Low"/>
    <n v="0"/>
    <n v="5"/>
    <n v="4"/>
    <n v="3"/>
    <s v="High"/>
    <n v="5"/>
    <n v="3"/>
    <n v="1"/>
    <n v="2"/>
  </r>
  <r>
    <n v="58"/>
    <x v="3"/>
    <x v="1"/>
    <x v="1"/>
    <n v="1216"/>
    <x v="1"/>
    <n v="15"/>
    <x v="2"/>
    <n v="4"/>
    <s v="Master"/>
    <s v="Life Sciences"/>
    <n v="1837"/>
    <n v="1"/>
    <x v="2"/>
    <s v="Male"/>
    <n v="87"/>
    <n v="3"/>
    <s v="High"/>
    <n v="4"/>
    <x v="3"/>
    <x v="7"/>
    <n v="3"/>
    <s v="High"/>
    <x v="1"/>
    <n v="15787"/>
    <n v="21624"/>
    <n v="2"/>
    <x v="0"/>
    <n v="14"/>
    <n v="3"/>
    <s v="Excellent"/>
    <n v="2"/>
    <s v="Medium"/>
    <n v="0"/>
    <n v="23"/>
    <n v="3"/>
    <n v="3"/>
    <s v="High"/>
    <n v="2"/>
    <n v="2"/>
    <n v="2"/>
    <n v="2"/>
  </r>
  <r>
    <n v="18"/>
    <x v="4"/>
    <x v="1"/>
    <x v="2"/>
    <n v="1431"/>
    <x v="1"/>
    <n v="14"/>
    <x v="2"/>
    <n v="3"/>
    <s v="Bachelor"/>
    <s v="Medical"/>
    <n v="1839"/>
    <n v="2"/>
    <x v="0"/>
    <s v="Female"/>
    <n v="33"/>
    <n v="3"/>
    <s v="High"/>
    <n v="1"/>
    <x v="1"/>
    <x v="1"/>
    <n v="3"/>
    <s v="High"/>
    <x v="0"/>
    <n v="1514"/>
    <n v="8018"/>
    <n v="1"/>
    <x v="1"/>
    <n v="16"/>
    <n v="3"/>
    <s v="Excellent"/>
    <n v="3"/>
    <s v="High"/>
    <n v="0"/>
    <n v="0"/>
    <n v="4"/>
    <n v="1"/>
    <s v="Low"/>
    <n v="0"/>
    <n v="0"/>
    <n v="0"/>
    <n v="0"/>
  </r>
  <r>
    <n v="31"/>
    <x v="2"/>
    <x v="0"/>
    <x v="0"/>
    <n v="359"/>
    <x v="2"/>
    <n v="18"/>
    <x v="2"/>
    <n v="5"/>
    <s v="Doctor"/>
    <s v="Human Resources"/>
    <n v="1842"/>
    <n v="4"/>
    <x v="3"/>
    <s v="Male"/>
    <n v="89"/>
    <n v="4"/>
    <s v="Very High"/>
    <n v="1"/>
    <x v="1"/>
    <x v="8"/>
    <n v="1"/>
    <s v="Low"/>
    <x v="1"/>
    <n v="2956"/>
    <n v="21495"/>
    <n v="0"/>
    <x v="1"/>
    <n v="17"/>
    <n v="3"/>
    <s v="Excellent"/>
    <n v="3"/>
    <s v="High"/>
    <n v="0"/>
    <n v="2"/>
    <n v="4"/>
    <n v="3"/>
    <s v="High"/>
    <n v="1"/>
    <n v="0"/>
    <n v="0"/>
    <n v="0"/>
  </r>
  <r>
    <n v="29"/>
    <x v="2"/>
    <x v="0"/>
    <x v="0"/>
    <n v="350"/>
    <x v="2"/>
    <n v="13"/>
    <x v="2"/>
    <n v="3"/>
    <s v="Bachelor"/>
    <s v="Human Resources"/>
    <n v="1844"/>
    <n v="1"/>
    <x v="2"/>
    <s v="Male"/>
    <n v="56"/>
    <n v="2"/>
    <s v="Medium"/>
    <n v="1"/>
    <x v="1"/>
    <x v="8"/>
    <n v="1"/>
    <s v="Low"/>
    <x v="2"/>
    <n v="2335"/>
    <n v="3157"/>
    <n v="4"/>
    <x v="0"/>
    <n v="15"/>
    <n v="3"/>
    <s v="Excellent"/>
    <n v="4"/>
    <s v="Very High"/>
    <n v="3"/>
    <n v="4"/>
    <n v="3"/>
    <n v="3"/>
    <s v="High"/>
    <n v="2"/>
    <n v="2"/>
    <n v="2"/>
    <n v="0"/>
  </r>
  <r>
    <n v="45"/>
    <x v="0"/>
    <x v="1"/>
    <x v="2"/>
    <n v="589"/>
    <x v="0"/>
    <n v="2"/>
    <x v="0"/>
    <n v="4"/>
    <s v="Master"/>
    <s v="Life Sciences"/>
    <n v="1845"/>
    <n v="3"/>
    <x v="1"/>
    <s v="Female"/>
    <n v="67"/>
    <n v="3"/>
    <s v="High"/>
    <n v="2"/>
    <x v="0"/>
    <x v="0"/>
    <n v="3"/>
    <s v="High"/>
    <x v="1"/>
    <n v="5154"/>
    <n v="19665"/>
    <n v="4"/>
    <x v="1"/>
    <n v="22"/>
    <n v="4"/>
    <s v="Outstanding"/>
    <n v="2"/>
    <s v="Medium"/>
    <n v="2"/>
    <n v="10"/>
    <n v="3"/>
    <n v="4"/>
    <s v="Very High"/>
    <n v="8"/>
    <n v="7"/>
    <n v="5"/>
    <n v="7"/>
  </r>
  <r>
    <n v="36"/>
    <x v="0"/>
    <x v="1"/>
    <x v="0"/>
    <n v="430"/>
    <x v="1"/>
    <n v="2"/>
    <x v="0"/>
    <n v="4"/>
    <s v="Master"/>
    <s v="Other"/>
    <n v="1847"/>
    <n v="4"/>
    <x v="3"/>
    <s v="Female"/>
    <n v="73"/>
    <n v="3"/>
    <s v="High"/>
    <n v="2"/>
    <x v="0"/>
    <x v="1"/>
    <n v="2"/>
    <s v="Medium"/>
    <x v="1"/>
    <n v="6962"/>
    <n v="19573"/>
    <n v="4"/>
    <x v="0"/>
    <n v="22"/>
    <n v="4"/>
    <s v="Outstanding"/>
    <n v="4"/>
    <s v="Very High"/>
    <n v="1"/>
    <n v="15"/>
    <n v="2"/>
    <n v="3"/>
    <s v="High"/>
    <n v="1"/>
    <n v="0"/>
    <n v="0"/>
    <n v="0"/>
  </r>
  <r>
    <n v="43"/>
    <x v="0"/>
    <x v="1"/>
    <x v="1"/>
    <n v="1422"/>
    <x v="0"/>
    <n v="2"/>
    <x v="0"/>
    <n v="4"/>
    <s v="Master"/>
    <s v="Life Sciences"/>
    <n v="1849"/>
    <n v="1"/>
    <x v="2"/>
    <s v="Male"/>
    <n v="92"/>
    <n v="3"/>
    <s v="High"/>
    <n v="2"/>
    <x v="0"/>
    <x v="0"/>
    <n v="4"/>
    <s v="Very High"/>
    <x v="1"/>
    <n v="5675"/>
    <n v="19246"/>
    <n v="1"/>
    <x v="1"/>
    <n v="20"/>
    <n v="4"/>
    <s v="Outstanding"/>
    <n v="3"/>
    <s v="High"/>
    <n v="1"/>
    <n v="7"/>
    <n v="5"/>
    <n v="3"/>
    <s v="High"/>
    <n v="7"/>
    <n v="7"/>
    <n v="7"/>
    <n v="7"/>
  </r>
  <r>
    <n v="27"/>
    <x v="2"/>
    <x v="1"/>
    <x v="1"/>
    <n v="1297"/>
    <x v="1"/>
    <n v="5"/>
    <x v="0"/>
    <n v="2"/>
    <s v="College"/>
    <s v="Life Sciences"/>
    <n v="1850"/>
    <n v="4"/>
    <x v="3"/>
    <s v="Female"/>
    <n v="53"/>
    <n v="3"/>
    <s v="High"/>
    <n v="1"/>
    <x v="1"/>
    <x v="2"/>
    <n v="4"/>
    <s v="Very High"/>
    <x v="0"/>
    <n v="2379"/>
    <n v="19826"/>
    <n v="0"/>
    <x v="0"/>
    <n v="14"/>
    <n v="3"/>
    <s v="Excellent"/>
    <n v="3"/>
    <s v="High"/>
    <n v="0"/>
    <n v="6"/>
    <n v="3"/>
    <n v="2"/>
    <s v="Medium"/>
    <n v="5"/>
    <n v="4"/>
    <n v="0"/>
    <n v="2"/>
  </r>
  <r>
    <n v="29"/>
    <x v="2"/>
    <x v="1"/>
    <x v="1"/>
    <n v="574"/>
    <x v="1"/>
    <n v="20"/>
    <x v="2"/>
    <n v="1"/>
    <s v="Below College"/>
    <s v="Medical"/>
    <n v="1852"/>
    <n v="4"/>
    <x v="3"/>
    <s v="Male"/>
    <n v="40"/>
    <n v="3"/>
    <s v="High"/>
    <n v="1"/>
    <x v="1"/>
    <x v="2"/>
    <n v="4"/>
    <s v="Very High"/>
    <x v="1"/>
    <n v="3812"/>
    <n v="7003"/>
    <n v="1"/>
    <x v="1"/>
    <n v="13"/>
    <n v="3"/>
    <s v="Excellent"/>
    <n v="2"/>
    <s v="Medium"/>
    <n v="0"/>
    <n v="11"/>
    <n v="3"/>
    <n v="4"/>
    <s v="Very High"/>
    <n v="11"/>
    <n v="8"/>
    <n v="3"/>
    <n v="10"/>
  </r>
  <r>
    <n v="32"/>
    <x v="2"/>
    <x v="1"/>
    <x v="1"/>
    <n v="1318"/>
    <x v="0"/>
    <n v="10"/>
    <x v="0"/>
    <n v="4"/>
    <s v="Master"/>
    <s v="Marketing"/>
    <n v="1853"/>
    <n v="4"/>
    <x v="3"/>
    <s v="Male"/>
    <n v="79"/>
    <n v="3"/>
    <s v="High"/>
    <n v="2"/>
    <x v="0"/>
    <x v="0"/>
    <n v="4"/>
    <s v="Very High"/>
    <x v="0"/>
    <n v="4648"/>
    <n v="26075"/>
    <n v="8"/>
    <x v="1"/>
    <n v="13"/>
    <n v="3"/>
    <s v="Excellent"/>
    <n v="3"/>
    <s v="High"/>
    <n v="0"/>
    <n v="4"/>
    <n v="2"/>
    <n v="4"/>
    <s v="Very High"/>
    <n v="0"/>
    <n v="0"/>
    <n v="0"/>
    <n v="0"/>
  </r>
  <r>
    <n v="42"/>
    <x v="0"/>
    <x v="1"/>
    <x v="2"/>
    <n v="355"/>
    <x v="1"/>
    <n v="10"/>
    <x v="0"/>
    <n v="4"/>
    <s v="Master"/>
    <s v="Technical Degree"/>
    <n v="1854"/>
    <n v="3"/>
    <x v="1"/>
    <s v="Male"/>
    <n v="38"/>
    <n v="3"/>
    <s v="High"/>
    <n v="1"/>
    <x v="1"/>
    <x v="1"/>
    <n v="3"/>
    <s v="High"/>
    <x v="1"/>
    <n v="2936"/>
    <n v="6161"/>
    <n v="3"/>
    <x v="1"/>
    <n v="22"/>
    <n v="4"/>
    <s v="Outstanding"/>
    <n v="2"/>
    <s v="Medium"/>
    <n v="2"/>
    <n v="10"/>
    <n v="1"/>
    <n v="2"/>
    <s v="Medium"/>
    <n v="6"/>
    <n v="3"/>
    <n v="3"/>
    <n v="3"/>
  </r>
  <r>
    <n v="47"/>
    <x v="1"/>
    <x v="1"/>
    <x v="0"/>
    <n v="207"/>
    <x v="1"/>
    <n v="9"/>
    <x v="0"/>
    <n v="4"/>
    <s v="Master"/>
    <s v="Life Sciences"/>
    <n v="1856"/>
    <n v="2"/>
    <x v="0"/>
    <s v="Female"/>
    <n v="64"/>
    <n v="3"/>
    <s v="High"/>
    <n v="1"/>
    <x v="1"/>
    <x v="2"/>
    <n v="3"/>
    <s v="High"/>
    <x v="0"/>
    <n v="2105"/>
    <n v="5411"/>
    <n v="4"/>
    <x v="1"/>
    <n v="12"/>
    <n v="3"/>
    <s v="Excellent"/>
    <n v="3"/>
    <s v="High"/>
    <n v="0"/>
    <n v="7"/>
    <n v="2"/>
    <n v="3"/>
    <s v="High"/>
    <n v="2"/>
    <n v="2"/>
    <n v="2"/>
    <n v="0"/>
  </r>
  <r>
    <n v="46"/>
    <x v="1"/>
    <x v="1"/>
    <x v="0"/>
    <n v="706"/>
    <x v="1"/>
    <n v="2"/>
    <x v="0"/>
    <n v="2"/>
    <s v="College"/>
    <s v="Life Sciences"/>
    <n v="1857"/>
    <n v="4"/>
    <x v="3"/>
    <s v="Male"/>
    <n v="82"/>
    <n v="3"/>
    <s v="High"/>
    <n v="3"/>
    <x v="2"/>
    <x v="3"/>
    <n v="4"/>
    <s v="Very High"/>
    <x v="2"/>
    <n v="8578"/>
    <n v="19989"/>
    <n v="3"/>
    <x v="1"/>
    <n v="14"/>
    <n v="3"/>
    <s v="Excellent"/>
    <n v="3"/>
    <s v="High"/>
    <n v="1"/>
    <n v="12"/>
    <n v="4"/>
    <n v="2"/>
    <s v="Medium"/>
    <n v="9"/>
    <n v="8"/>
    <n v="4"/>
    <n v="7"/>
  </r>
  <r>
    <n v="28"/>
    <x v="2"/>
    <x v="1"/>
    <x v="2"/>
    <n v="280"/>
    <x v="2"/>
    <n v="1"/>
    <x v="0"/>
    <n v="2"/>
    <s v="College"/>
    <s v="Life Sciences"/>
    <n v="1858"/>
    <n v="3"/>
    <x v="1"/>
    <s v="Male"/>
    <n v="43"/>
    <n v="3"/>
    <s v="High"/>
    <n v="1"/>
    <x v="1"/>
    <x v="8"/>
    <n v="4"/>
    <s v="Very High"/>
    <x v="2"/>
    <n v="2706"/>
    <n v="10494"/>
    <n v="1"/>
    <x v="1"/>
    <n v="15"/>
    <n v="3"/>
    <s v="Excellent"/>
    <n v="2"/>
    <s v="Medium"/>
    <n v="1"/>
    <n v="3"/>
    <n v="2"/>
    <n v="3"/>
    <s v="High"/>
    <n v="3"/>
    <n v="2"/>
    <n v="2"/>
    <n v="2"/>
  </r>
  <r>
    <n v="29"/>
    <x v="2"/>
    <x v="1"/>
    <x v="0"/>
    <n v="726"/>
    <x v="1"/>
    <n v="29"/>
    <x v="1"/>
    <n v="1"/>
    <s v="Below College"/>
    <s v="Life Sciences"/>
    <n v="1859"/>
    <n v="4"/>
    <x v="3"/>
    <s v="Male"/>
    <n v="93"/>
    <n v="1"/>
    <s v="Low"/>
    <n v="2"/>
    <x v="0"/>
    <x v="4"/>
    <n v="3"/>
    <s v="High"/>
    <x v="2"/>
    <n v="6384"/>
    <n v="21143"/>
    <n v="8"/>
    <x v="1"/>
    <n v="17"/>
    <n v="3"/>
    <s v="Excellent"/>
    <n v="4"/>
    <s v="Very High"/>
    <n v="2"/>
    <n v="11"/>
    <n v="3"/>
    <n v="3"/>
    <s v="High"/>
    <n v="7"/>
    <n v="0"/>
    <n v="1"/>
    <n v="6"/>
  </r>
  <r>
    <n v="42"/>
    <x v="0"/>
    <x v="1"/>
    <x v="0"/>
    <n v="1142"/>
    <x v="1"/>
    <n v="8"/>
    <x v="0"/>
    <n v="3"/>
    <s v="Bachelor"/>
    <s v="Life Sciences"/>
    <n v="1860"/>
    <n v="4"/>
    <x v="3"/>
    <s v="Male"/>
    <n v="81"/>
    <n v="3"/>
    <s v="High"/>
    <n v="1"/>
    <x v="1"/>
    <x v="2"/>
    <n v="3"/>
    <s v="High"/>
    <x v="0"/>
    <n v="3968"/>
    <n v="13624"/>
    <n v="4"/>
    <x v="1"/>
    <n v="13"/>
    <n v="3"/>
    <s v="Excellent"/>
    <n v="4"/>
    <s v="Very High"/>
    <n v="0"/>
    <n v="8"/>
    <n v="3"/>
    <n v="3"/>
    <s v="High"/>
    <n v="0"/>
    <n v="0"/>
    <n v="0"/>
    <n v="0"/>
  </r>
  <r>
    <n v="32"/>
    <x v="2"/>
    <x v="0"/>
    <x v="0"/>
    <n v="414"/>
    <x v="0"/>
    <n v="2"/>
    <x v="0"/>
    <n v="4"/>
    <s v="Master"/>
    <s v="Marketing"/>
    <n v="1862"/>
    <n v="3"/>
    <x v="1"/>
    <s v="Male"/>
    <n v="82"/>
    <n v="2"/>
    <s v="Medium"/>
    <n v="2"/>
    <x v="0"/>
    <x v="0"/>
    <n v="2"/>
    <s v="Medium"/>
    <x v="0"/>
    <n v="9907"/>
    <n v="26186"/>
    <n v="7"/>
    <x v="0"/>
    <n v="12"/>
    <n v="3"/>
    <s v="Excellent"/>
    <n v="3"/>
    <s v="High"/>
    <n v="0"/>
    <n v="7"/>
    <n v="3"/>
    <n v="2"/>
    <s v="Medium"/>
    <n v="2"/>
    <n v="2"/>
    <n v="2"/>
    <n v="2"/>
  </r>
  <r>
    <n v="46"/>
    <x v="1"/>
    <x v="1"/>
    <x v="0"/>
    <n v="1319"/>
    <x v="0"/>
    <n v="3"/>
    <x v="0"/>
    <n v="3"/>
    <s v="Bachelor"/>
    <s v="Technical Degree"/>
    <n v="1863"/>
    <n v="1"/>
    <x v="2"/>
    <s v="Female"/>
    <n v="45"/>
    <n v="4"/>
    <s v="Very High"/>
    <n v="4"/>
    <x v="3"/>
    <x v="0"/>
    <n v="1"/>
    <s v="Low"/>
    <x v="2"/>
    <n v="13225"/>
    <n v="7739"/>
    <n v="2"/>
    <x v="1"/>
    <n v="12"/>
    <n v="3"/>
    <s v="Excellent"/>
    <n v="4"/>
    <s v="Very High"/>
    <n v="1"/>
    <n v="25"/>
    <n v="5"/>
    <n v="3"/>
    <s v="High"/>
    <n v="19"/>
    <n v="17"/>
    <n v="2"/>
    <n v="8"/>
  </r>
  <r>
    <n v="27"/>
    <x v="2"/>
    <x v="1"/>
    <x v="0"/>
    <n v="728"/>
    <x v="0"/>
    <n v="23"/>
    <x v="1"/>
    <n v="1"/>
    <s v="Below College"/>
    <s v="Medical"/>
    <n v="1864"/>
    <n v="2"/>
    <x v="0"/>
    <s v="Female"/>
    <n v="36"/>
    <n v="2"/>
    <s v="Medium"/>
    <n v="2"/>
    <x v="0"/>
    <x v="6"/>
    <n v="3"/>
    <s v="High"/>
    <x v="1"/>
    <n v="3540"/>
    <n v="7018"/>
    <n v="1"/>
    <x v="1"/>
    <n v="21"/>
    <n v="4"/>
    <s v="Outstanding"/>
    <n v="4"/>
    <s v="Very High"/>
    <n v="1"/>
    <n v="9"/>
    <n v="5"/>
    <n v="3"/>
    <s v="High"/>
    <n v="9"/>
    <n v="8"/>
    <n v="5"/>
    <n v="8"/>
  </r>
  <r>
    <n v="29"/>
    <x v="2"/>
    <x v="1"/>
    <x v="0"/>
    <n v="352"/>
    <x v="2"/>
    <n v="6"/>
    <x v="0"/>
    <n v="1"/>
    <s v="Below College"/>
    <s v="Medical"/>
    <n v="1865"/>
    <n v="4"/>
    <x v="3"/>
    <s v="Male"/>
    <n v="87"/>
    <n v="2"/>
    <s v="Medium"/>
    <n v="1"/>
    <x v="1"/>
    <x v="8"/>
    <n v="2"/>
    <s v="Medium"/>
    <x v="1"/>
    <n v="2804"/>
    <n v="15434"/>
    <n v="1"/>
    <x v="1"/>
    <n v="11"/>
    <n v="3"/>
    <s v="Excellent"/>
    <n v="4"/>
    <s v="Very High"/>
    <n v="0"/>
    <n v="1"/>
    <n v="3"/>
    <n v="3"/>
    <s v="High"/>
    <n v="1"/>
    <n v="0"/>
    <n v="0"/>
    <n v="0"/>
  </r>
  <r>
    <n v="43"/>
    <x v="0"/>
    <x v="1"/>
    <x v="0"/>
    <n v="823"/>
    <x v="1"/>
    <n v="6"/>
    <x v="0"/>
    <n v="3"/>
    <s v="Bachelor"/>
    <s v="Medical"/>
    <n v="1866"/>
    <n v="1"/>
    <x v="2"/>
    <s v="Female"/>
    <n v="81"/>
    <n v="2"/>
    <s v="Medium"/>
    <n v="5"/>
    <x v="4"/>
    <x v="5"/>
    <n v="3"/>
    <s v="High"/>
    <x v="1"/>
    <n v="19392"/>
    <n v="22539"/>
    <n v="7"/>
    <x v="1"/>
    <n v="13"/>
    <n v="3"/>
    <s v="Excellent"/>
    <n v="4"/>
    <s v="Very High"/>
    <n v="0"/>
    <n v="21"/>
    <n v="2"/>
    <n v="3"/>
    <s v="High"/>
    <n v="16"/>
    <n v="12"/>
    <n v="6"/>
    <n v="14"/>
  </r>
  <r>
    <n v="48"/>
    <x v="1"/>
    <x v="1"/>
    <x v="0"/>
    <n v="1224"/>
    <x v="1"/>
    <n v="10"/>
    <x v="0"/>
    <n v="3"/>
    <s v="Bachelor"/>
    <s v="Life Sciences"/>
    <n v="1867"/>
    <n v="4"/>
    <x v="3"/>
    <s v="Male"/>
    <n v="91"/>
    <n v="2"/>
    <s v="Medium"/>
    <n v="5"/>
    <x v="4"/>
    <x v="7"/>
    <n v="2"/>
    <s v="Medium"/>
    <x v="1"/>
    <n v="19665"/>
    <n v="13583"/>
    <n v="4"/>
    <x v="1"/>
    <n v="12"/>
    <n v="3"/>
    <s v="Excellent"/>
    <n v="4"/>
    <s v="Very High"/>
    <n v="0"/>
    <n v="29"/>
    <n v="3"/>
    <n v="3"/>
    <s v="High"/>
    <n v="22"/>
    <n v="10"/>
    <n v="12"/>
    <n v="9"/>
  </r>
  <r>
    <n v="29"/>
    <x v="2"/>
    <x v="0"/>
    <x v="1"/>
    <n v="459"/>
    <x v="1"/>
    <n v="24"/>
    <x v="1"/>
    <n v="2"/>
    <s v="College"/>
    <s v="Life Sciences"/>
    <n v="1868"/>
    <n v="4"/>
    <x v="3"/>
    <s v="Male"/>
    <n v="73"/>
    <n v="2"/>
    <s v="Medium"/>
    <n v="1"/>
    <x v="1"/>
    <x v="1"/>
    <n v="4"/>
    <s v="Very High"/>
    <x v="0"/>
    <n v="2439"/>
    <n v="14753"/>
    <n v="1"/>
    <x v="0"/>
    <n v="24"/>
    <n v="4"/>
    <s v="Outstanding"/>
    <n v="2"/>
    <s v="Medium"/>
    <n v="0"/>
    <n v="1"/>
    <n v="3"/>
    <n v="2"/>
    <s v="Medium"/>
    <n v="1"/>
    <n v="0"/>
    <n v="1"/>
    <n v="0"/>
  </r>
  <r>
    <n v="46"/>
    <x v="1"/>
    <x v="0"/>
    <x v="0"/>
    <n v="1254"/>
    <x v="0"/>
    <n v="10"/>
    <x v="0"/>
    <n v="3"/>
    <s v="Bachelor"/>
    <s v="Life Sciences"/>
    <n v="1869"/>
    <n v="3"/>
    <x v="1"/>
    <s v="Female"/>
    <n v="64"/>
    <n v="3"/>
    <s v="High"/>
    <n v="3"/>
    <x v="2"/>
    <x v="0"/>
    <n v="2"/>
    <s v="Medium"/>
    <x v="1"/>
    <n v="7314"/>
    <n v="14011"/>
    <n v="5"/>
    <x v="1"/>
    <n v="21"/>
    <n v="4"/>
    <s v="Outstanding"/>
    <n v="3"/>
    <s v="High"/>
    <n v="3"/>
    <n v="14"/>
    <n v="2"/>
    <n v="3"/>
    <s v="High"/>
    <n v="8"/>
    <n v="7"/>
    <n v="0"/>
    <n v="7"/>
  </r>
  <r>
    <n v="27"/>
    <x v="2"/>
    <x v="1"/>
    <x v="1"/>
    <n v="1131"/>
    <x v="1"/>
    <n v="15"/>
    <x v="2"/>
    <n v="3"/>
    <s v="Bachelor"/>
    <s v="Life Sciences"/>
    <n v="1870"/>
    <n v="4"/>
    <x v="3"/>
    <s v="Female"/>
    <n v="77"/>
    <n v="2"/>
    <s v="Medium"/>
    <n v="1"/>
    <x v="1"/>
    <x v="1"/>
    <n v="1"/>
    <s v="Low"/>
    <x v="1"/>
    <n v="4774"/>
    <n v="23844"/>
    <n v="0"/>
    <x v="1"/>
    <n v="19"/>
    <n v="3"/>
    <s v="Excellent"/>
    <n v="4"/>
    <s v="Very High"/>
    <n v="1"/>
    <n v="8"/>
    <n v="2"/>
    <n v="2"/>
    <s v="Medium"/>
    <n v="7"/>
    <n v="6"/>
    <n v="7"/>
    <n v="3"/>
  </r>
  <r>
    <n v="39"/>
    <x v="0"/>
    <x v="1"/>
    <x v="0"/>
    <n v="835"/>
    <x v="1"/>
    <n v="19"/>
    <x v="2"/>
    <n v="4"/>
    <s v="Master"/>
    <s v="Other"/>
    <n v="1871"/>
    <n v="4"/>
    <x v="3"/>
    <s v="Male"/>
    <n v="41"/>
    <n v="3"/>
    <s v="High"/>
    <n v="2"/>
    <x v="0"/>
    <x v="1"/>
    <n v="4"/>
    <s v="Very High"/>
    <x v="2"/>
    <n v="3902"/>
    <n v="5141"/>
    <n v="8"/>
    <x v="1"/>
    <n v="14"/>
    <n v="3"/>
    <s v="Excellent"/>
    <n v="2"/>
    <s v="Medium"/>
    <n v="3"/>
    <n v="7"/>
    <n v="2"/>
    <n v="3"/>
    <s v="High"/>
    <n v="2"/>
    <n v="2"/>
    <n v="2"/>
    <n v="2"/>
  </r>
  <r>
    <n v="55"/>
    <x v="1"/>
    <x v="1"/>
    <x v="0"/>
    <n v="836"/>
    <x v="1"/>
    <n v="2"/>
    <x v="0"/>
    <n v="4"/>
    <s v="Master"/>
    <s v="Technical Degree"/>
    <n v="1873"/>
    <n v="2"/>
    <x v="0"/>
    <s v="Male"/>
    <n v="98"/>
    <n v="2"/>
    <s v="Medium"/>
    <n v="1"/>
    <x v="1"/>
    <x v="1"/>
    <n v="4"/>
    <s v="Very High"/>
    <x v="1"/>
    <n v="2662"/>
    <n v="7975"/>
    <n v="8"/>
    <x v="1"/>
    <n v="20"/>
    <n v="4"/>
    <s v="Outstanding"/>
    <n v="2"/>
    <s v="Medium"/>
    <n v="1"/>
    <n v="19"/>
    <n v="2"/>
    <n v="4"/>
    <s v="Very High"/>
    <n v="5"/>
    <n v="2"/>
    <n v="0"/>
    <n v="4"/>
  </r>
  <r>
    <n v="28"/>
    <x v="2"/>
    <x v="1"/>
    <x v="0"/>
    <n v="1172"/>
    <x v="0"/>
    <n v="3"/>
    <x v="0"/>
    <n v="3"/>
    <s v="Bachelor"/>
    <s v="Medical"/>
    <n v="1875"/>
    <n v="2"/>
    <x v="0"/>
    <s v="Female"/>
    <n v="78"/>
    <n v="3"/>
    <s v="High"/>
    <n v="1"/>
    <x v="1"/>
    <x v="6"/>
    <n v="2"/>
    <s v="Medium"/>
    <x v="1"/>
    <n v="2856"/>
    <n v="3692"/>
    <n v="1"/>
    <x v="1"/>
    <n v="19"/>
    <n v="3"/>
    <s v="Excellent"/>
    <n v="4"/>
    <s v="Very High"/>
    <n v="1"/>
    <n v="1"/>
    <n v="3"/>
    <n v="3"/>
    <s v="High"/>
    <n v="1"/>
    <n v="0"/>
    <n v="0"/>
    <n v="0"/>
  </r>
  <r>
    <n v="30"/>
    <x v="2"/>
    <x v="0"/>
    <x v="0"/>
    <n v="945"/>
    <x v="0"/>
    <n v="9"/>
    <x v="0"/>
    <n v="3"/>
    <s v="Bachelor"/>
    <s v="Medical"/>
    <n v="1876"/>
    <n v="2"/>
    <x v="0"/>
    <s v="Male"/>
    <n v="89"/>
    <n v="3"/>
    <s v="High"/>
    <n v="1"/>
    <x v="1"/>
    <x v="6"/>
    <n v="4"/>
    <s v="Very High"/>
    <x v="0"/>
    <n v="1081"/>
    <n v="16019"/>
    <n v="1"/>
    <x v="1"/>
    <n v="13"/>
    <n v="3"/>
    <s v="Excellent"/>
    <n v="3"/>
    <s v="High"/>
    <n v="0"/>
    <n v="1"/>
    <n v="3"/>
    <n v="2"/>
    <s v="Medium"/>
    <n v="1"/>
    <n v="0"/>
    <n v="0"/>
    <n v="0"/>
  </r>
  <r>
    <n v="22"/>
    <x v="4"/>
    <x v="0"/>
    <x v="0"/>
    <n v="391"/>
    <x v="1"/>
    <n v="7"/>
    <x v="0"/>
    <n v="1"/>
    <s v="Below College"/>
    <s v="Life Sciences"/>
    <n v="1878"/>
    <n v="4"/>
    <x v="3"/>
    <s v="Male"/>
    <n v="75"/>
    <n v="3"/>
    <s v="High"/>
    <n v="1"/>
    <x v="1"/>
    <x v="1"/>
    <n v="2"/>
    <s v="Medium"/>
    <x v="0"/>
    <n v="2472"/>
    <n v="26092"/>
    <n v="1"/>
    <x v="0"/>
    <n v="23"/>
    <n v="4"/>
    <s v="Outstanding"/>
    <n v="1"/>
    <s v="Low"/>
    <n v="0"/>
    <n v="1"/>
    <n v="2"/>
    <n v="3"/>
    <s v="High"/>
    <n v="1"/>
    <n v="0"/>
    <n v="0"/>
    <n v="0"/>
  </r>
  <r>
    <n v="36"/>
    <x v="0"/>
    <x v="1"/>
    <x v="0"/>
    <n v="1266"/>
    <x v="0"/>
    <n v="10"/>
    <x v="0"/>
    <n v="4"/>
    <s v="Master"/>
    <s v="Technical Degree"/>
    <n v="1880"/>
    <n v="2"/>
    <x v="0"/>
    <s v="Female"/>
    <n v="63"/>
    <n v="2"/>
    <s v="Medium"/>
    <n v="2"/>
    <x v="0"/>
    <x v="0"/>
    <n v="3"/>
    <s v="High"/>
    <x v="1"/>
    <n v="5673"/>
    <n v="6060"/>
    <n v="1"/>
    <x v="0"/>
    <n v="13"/>
    <n v="3"/>
    <s v="Excellent"/>
    <n v="1"/>
    <s v="Low"/>
    <n v="1"/>
    <n v="10"/>
    <n v="4"/>
    <n v="3"/>
    <s v="High"/>
    <n v="10"/>
    <n v="9"/>
    <n v="1"/>
    <n v="7"/>
  </r>
  <r>
    <n v="31"/>
    <x v="2"/>
    <x v="1"/>
    <x v="0"/>
    <n v="311"/>
    <x v="1"/>
    <n v="20"/>
    <x v="2"/>
    <n v="3"/>
    <s v="Bachelor"/>
    <s v="Life Sciences"/>
    <n v="1881"/>
    <n v="2"/>
    <x v="0"/>
    <s v="Male"/>
    <n v="89"/>
    <n v="3"/>
    <s v="High"/>
    <n v="2"/>
    <x v="0"/>
    <x v="2"/>
    <n v="3"/>
    <s v="High"/>
    <x v="2"/>
    <n v="4197"/>
    <n v="18624"/>
    <n v="1"/>
    <x v="1"/>
    <n v="11"/>
    <n v="3"/>
    <s v="Excellent"/>
    <n v="1"/>
    <s v="Low"/>
    <n v="1"/>
    <n v="10"/>
    <n v="2"/>
    <n v="3"/>
    <s v="High"/>
    <n v="10"/>
    <n v="8"/>
    <n v="0"/>
    <n v="2"/>
  </r>
  <r>
    <n v="34"/>
    <x v="2"/>
    <x v="1"/>
    <x v="0"/>
    <n v="1480"/>
    <x v="0"/>
    <n v="4"/>
    <x v="0"/>
    <n v="3"/>
    <s v="Bachelor"/>
    <s v="Life Sciences"/>
    <n v="1882"/>
    <n v="3"/>
    <x v="1"/>
    <s v="Male"/>
    <n v="64"/>
    <n v="3"/>
    <s v="High"/>
    <n v="3"/>
    <x v="2"/>
    <x v="0"/>
    <n v="4"/>
    <s v="Very High"/>
    <x v="1"/>
    <n v="9713"/>
    <n v="24444"/>
    <n v="2"/>
    <x v="0"/>
    <n v="13"/>
    <n v="3"/>
    <s v="Excellent"/>
    <n v="4"/>
    <s v="Very High"/>
    <n v="3"/>
    <n v="9"/>
    <n v="3"/>
    <n v="3"/>
    <s v="High"/>
    <n v="5"/>
    <n v="3"/>
    <n v="1"/>
    <n v="0"/>
  </r>
  <r>
    <n v="29"/>
    <x v="2"/>
    <x v="1"/>
    <x v="0"/>
    <n v="592"/>
    <x v="1"/>
    <n v="7"/>
    <x v="0"/>
    <n v="3"/>
    <s v="Bachelor"/>
    <s v="Life Sciences"/>
    <n v="1883"/>
    <n v="4"/>
    <x v="3"/>
    <s v="Male"/>
    <n v="59"/>
    <n v="3"/>
    <s v="High"/>
    <n v="1"/>
    <x v="1"/>
    <x v="2"/>
    <n v="1"/>
    <s v="Low"/>
    <x v="0"/>
    <n v="2062"/>
    <n v="19384"/>
    <n v="3"/>
    <x v="1"/>
    <n v="14"/>
    <n v="3"/>
    <s v="Excellent"/>
    <n v="2"/>
    <s v="Medium"/>
    <n v="0"/>
    <n v="11"/>
    <n v="2"/>
    <n v="3"/>
    <s v="High"/>
    <n v="3"/>
    <n v="2"/>
    <n v="1"/>
    <n v="2"/>
  </r>
  <r>
    <n v="37"/>
    <x v="0"/>
    <x v="1"/>
    <x v="0"/>
    <n v="783"/>
    <x v="1"/>
    <n v="7"/>
    <x v="0"/>
    <n v="4"/>
    <s v="Master"/>
    <s v="Medical"/>
    <n v="1885"/>
    <n v="4"/>
    <x v="3"/>
    <s v="Male"/>
    <n v="78"/>
    <n v="3"/>
    <s v="High"/>
    <n v="2"/>
    <x v="0"/>
    <x v="1"/>
    <n v="1"/>
    <s v="Low"/>
    <x v="1"/>
    <n v="4284"/>
    <n v="13588"/>
    <n v="5"/>
    <x v="0"/>
    <n v="22"/>
    <n v="4"/>
    <s v="Outstanding"/>
    <n v="3"/>
    <s v="High"/>
    <n v="1"/>
    <n v="16"/>
    <n v="2"/>
    <n v="3"/>
    <s v="High"/>
    <n v="5"/>
    <n v="3"/>
    <n v="0"/>
    <n v="4"/>
  </r>
  <r>
    <n v="35"/>
    <x v="2"/>
    <x v="1"/>
    <x v="0"/>
    <n v="219"/>
    <x v="1"/>
    <n v="16"/>
    <x v="2"/>
    <n v="2"/>
    <s v="College"/>
    <s v="Other"/>
    <n v="1886"/>
    <n v="4"/>
    <x v="3"/>
    <s v="Female"/>
    <n v="44"/>
    <n v="2"/>
    <s v="Medium"/>
    <n v="2"/>
    <x v="0"/>
    <x v="3"/>
    <n v="2"/>
    <s v="Medium"/>
    <x v="1"/>
    <n v="4788"/>
    <n v="25388"/>
    <n v="0"/>
    <x v="0"/>
    <n v="11"/>
    <n v="3"/>
    <s v="Excellent"/>
    <n v="4"/>
    <s v="Very High"/>
    <n v="0"/>
    <n v="4"/>
    <n v="2"/>
    <n v="3"/>
    <s v="High"/>
    <n v="3"/>
    <n v="2"/>
    <n v="0"/>
    <n v="2"/>
  </r>
  <r>
    <n v="45"/>
    <x v="0"/>
    <x v="1"/>
    <x v="0"/>
    <n v="556"/>
    <x v="1"/>
    <n v="25"/>
    <x v="1"/>
    <n v="2"/>
    <s v="College"/>
    <s v="Life Sciences"/>
    <n v="1888"/>
    <n v="2"/>
    <x v="0"/>
    <s v="Female"/>
    <n v="93"/>
    <n v="2"/>
    <s v="Medium"/>
    <n v="2"/>
    <x v="0"/>
    <x v="3"/>
    <n v="4"/>
    <s v="Very High"/>
    <x v="1"/>
    <n v="5906"/>
    <n v="23888"/>
    <n v="0"/>
    <x v="1"/>
    <n v="13"/>
    <n v="3"/>
    <s v="Excellent"/>
    <n v="4"/>
    <s v="Very High"/>
    <n v="2"/>
    <n v="10"/>
    <n v="2"/>
    <n v="2"/>
    <s v="Medium"/>
    <n v="9"/>
    <n v="8"/>
    <n v="3"/>
    <n v="8"/>
  </r>
  <r>
    <n v="36"/>
    <x v="0"/>
    <x v="1"/>
    <x v="1"/>
    <n v="1213"/>
    <x v="2"/>
    <n v="2"/>
    <x v="0"/>
    <n v="1"/>
    <s v="Below College"/>
    <s v="Human Resources"/>
    <n v="1890"/>
    <n v="2"/>
    <x v="0"/>
    <s v="Male"/>
    <n v="94"/>
    <n v="2"/>
    <s v="Medium"/>
    <n v="2"/>
    <x v="0"/>
    <x v="8"/>
    <n v="4"/>
    <s v="Very High"/>
    <x v="0"/>
    <n v="3886"/>
    <n v="4223"/>
    <n v="1"/>
    <x v="1"/>
    <n v="21"/>
    <n v="4"/>
    <s v="Outstanding"/>
    <n v="4"/>
    <s v="Very High"/>
    <n v="0"/>
    <n v="10"/>
    <n v="2"/>
    <n v="2"/>
    <s v="Medium"/>
    <n v="10"/>
    <n v="1"/>
    <n v="0"/>
    <n v="8"/>
  </r>
  <r>
    <n v="40"/>
    <x v="0"/>
    <x v="1"/>
    <x v="0"/>
    <n v="1137"/>
    <x v="1"/>
    <n v="1"/>
    <x v="0"/>
    <n v="4"/>
    <s v="Master"/>
    <s v="Life Sciences"/>
    <n v="1892"/>
    <n v="1"/>
    <x v="2"/>
    <s v="Male"/>
    <n v="98"/>
    <n v="3"/>
    <s v="High"/>
    <n v="4"/>
    <x v="3"/>
    <x v="5"/>
    <n v="1"/>
    <s v="Low"/>
    <x v="2"/>
    <n v="16823"/>
    <n v="18991"/>
    <n v="2"/>
    <x v="1"/>
    <n v="11"/>
    <n v="3"/>
    <s v="Excellent"/>
    <n v="1"/>
    <s v="Low"/>
    <n v="1"/>
    <n v="22"/>
    <n v="3"/>
    <n v="3"/>
    <s v="High"/>
    <n v="19"/>
    <n v="7"/>
    <n v="11"/>
    <n v="16"/>
  </r>
  <r>
    <n v="26"/>
    <x v="2"/>
    <x v="1"/>
    <x v="0"/>
    <n v="482"/>
    <x v="1"/>
    <n v="1"/>
    <x v="0"/>
    <n v="2"/>
    <s v="College"/>
    <s v="Life Sciences"/>
    <n v="1893"/>
    <n v="2"/>
    <x v="0"/>
    <s v="Female"/>
    <n v="90"/>
    <n v="2"/>
    <s v="Medium"/>
    <n v="1"/>
    <x v="1"/>
    <x v="1"/>
    <n v="3"/>
    <s v="High"/>
    <x v="1"/>
    <n v="2933"/>
    <n v="14908"/>
    <n v="1"/>
    <x v="0"/>
    <n v="13"/>
    <n v="3"/>
    <s v="Excellent"/>
    <n v="3"/>
    <s v="High"/>
    <n v="1"/>
    <n v="1"/>
    <n v="3"/>
    <n v="2"/>
    <s v="Medium"/>
    <n v="1"/>
    <n v="0"/>
    <n v="1"/>
    <n v="0"/>
  </r>
  <r>
    <n v="27"/>
    <x v="2"/>
    <x v="1"/>
    <x v="0"/>
    <n v="511"/>
    <x v="0"/>
    <n v="2"/>
    <x v="0"/>
    <n v="2"/>
    <s v="College"/>
    <s v="Medical"/>
    <n v="1898"/>
    <n v="1"/>
    <x v="2"/>
    <s v="Female"/>
    <n v="89"/>
    <n v="4"/>
    <s v="Very High"/>
    <n v="2"/>
    <x v="0"/>
    <x v="0"/>
    <n v="3"/>
    <s v="High"/>
    <x v="0"/>
    <n v="6500"/>
    <n v="26997"/>
    <n v="0"/>
    <x v="1"/>
    <n v="14"/>
    <n v="3"/>
    <s v="Excellent"/>
    <n v="2"/>
    <s v="Medium"/>
    <n v="0"/>
    <n v="9"/>
    <n v="5"/>
    <n v="2"/>
    <s v="Medium"/>
    <n v="8"/>
    <n v="7"/>
    <n v="0"/>
    <n v="7"/>
  </r>
  <r>
    <n v="48"/>
    <x v="1"/>
    <x v="1"/>
    <x v="1"/>
    <n v="117"/>
    <x v="1"/>
    <n v="22"/>
    <x v="1"/>
    <n v="3"/>
    <s v="Bachelor"/>
    <s v="Medical"/>
    <n v="1900"/>
    <n v="4"/>
    <x v="3"/>
    <s v="Female"/>
    <n v="58"/>
    <n v="3"/>
    <s v="High"/>
    <n v="4"/>
    <x v="3"/>
    <x v="5"/>
    <n v="4"/>
    <s v="Very High"/>
    <x v="2"/>
    <n v="17174"/>
    <n v="2437"/>
    <n v="3"/>
    <x v="1"/>
    <n v="11"/>
    <n v="3"/>
    <s v="Excellent"/>
    <n v="2"/>
    <s v="Medium"/>
    <n v="1"/>
    <n v="24"/>
    <n v="3"/>
    <n v="3"/>
    <s v="High"/>
    <n v="22"/>
    <n v="17"/>
    <n v="4"/>
    <n v="7"/>
  </r>
  <r>
    <n v="44"/>
    <x v="0"/>
    <x v="1"/>
    <x v="0"/>
    <n v="170"/>
    <x v="1"/>
    <n v="1"/>
    <x v="0"/>
    <n v="4"/>
    <s v="Master"/>
    <s v="Life Sciences"/>
    <n v="1903"/>
    <n v="2"/>
    <x v="0"/>
    <s v="Male"/>
    <n v="78"/>
    <n v="4"/>
    <s v="Very High"/>
    <n v="2"/>
    <x v="0"/>
    <x v="4"/>
    <n v="1"/>
    <s v="Low"/>
    <x v="1"/>
    <n v="5033"/>
    <n v="9364"/>
    <n v="2"/>
    <x v="1"/>
    <n v="15"/>
    <n v="3"/>
    <s v="Excellent"/>
    <n v="4"/>
    <s v="Very High"/>
    <n v="1"/>
    <n v="10"/>
    <n v="5"/>
    <n v="3"/>
    <s v="High"/>
    <n v="2"/>
    <n v="0"/>
    <n v="2"/>
    <n v="2"/>
  </r>
  <r>
    <n v="34"/>
    <x v="2"/>
    <x v="0"/>
    <x v="2"/>
    <n v="967"/>
    <x v="1"/>
    <n v="16"/>
    <x v="2"/>
    <n v="4"/>
    <s v="Master"/>
    <s v="Technical Degree"/>
    <n v="1905"/>
    <n v="4"/>
    <x v="3"/>
    <s v="Male"/>
    <n v="85"/>
    <n v="1"/>
    <s v="Low"/>
    <n v="1"/>
    <x v="1"/>
    <x v="1"/>
    <n v="1"/>
    <s v="Low"/>
    <x v="1"/>
    <n v="2307"/>
    <n v="14460"/>
    <n v="1"/>
    <x v="0"/>
    <n v="23"/>
    <n v="4"/>
    <s v="Outstanding"/>
    <n v="2"/>
    <s v="Medium"/>
    <n v="1"/>
    <n v="5"/>
    <n v="2"/>
    <n v="3"/>
    <s v="High"/>
    <n v="5"/>
    <n v="2"/>
    <n v="3"/>
    <n v="0"/>
  </r>
  <r>
    <n v="56"/>
    <x v="3"/>
    <x v="0"/>
    <x v="0"/>
    <n v="1162"/>
    <x v="1"/>
    <n v="24"/>
    <x v="1"/>
    <n v="2"/>
    <s v="College"/>
    <s v="Life Sciences"/>
    <n v="1907"/>
    <n v="1"/>
    <x v="2"/>
    <s v="Male"/>
    <n v="97"/>
    <n v="3"/>
    <s v="High"/>
    <n v="1"/>
    <x v="1"/>
    <x v="2"/>
    <n v="4"/>
    <s v="Very High"/>
    <x v="0"/>
    <n v="2587"/>
    <n v="10261"/>
    <n v="1"/>
    <x v="1"/>
    <n v="16"/>
    <n v="3"/>
    <s v="Excellent"/>
    <n v="4"/>
    <s v="Very High"/>
    <n v="0"/>
    <n v="5"/>
    <n v="3"/>
    <n v="3"/>
    <s v="High"/>
    <n v="4"/>
    <n v="2"/>
    <n v="1"/>
    <n v="0"/>
  </r>
  <r>
    <n v="36"/>
    <x v="0"/>
    <x v="1"/>
    <x v="0"/>
    <n v="335"/>
    <x v="0"/>
    <n v="17"/>
    <x v="2"/>
    <n v="2"/>
    <s v="College"/>
    <s v="Marketing"/>
    <n v="1908"/>
    <n v="3"/>
    <x v="1"/>
    <s v="Male"/>
    <n v="33"/>
    <n v="2"/>
    <s v="Medium"/>
    <n v="2"/>
    <x v="0"/>
    <x v="0"/>
    <n v="2"/>
    <s v="Medium"/>
    <x v="1"/>
    <n v="5507"/>
    <n v="16822"/>
    <n v="2"/>
    <x v="1"/>
    <n v="16"/>
    <n v="3"/>
    <s v="Excellent"/>
    <n v="3"/>
    <s v="High"/>
    <n v="2"/>
    <n v="12"/>
    <n v="1"/>
    <n v="1"/>
    <s v="Low"/>
    <n v="4"/>
    <n v="2"/>
    <n v="1"/>
    <n v="3"/>
  </r>
  <r>
    <n v="41"/>
    <x v="0"/>
    <x v="1"/>
    <x v="0"/>
    <n v="337"/>
    <x v="0"/>
    <n v="8"/>
    <x v="0"/>
    <n v="3"/>
    <s v="Bachelor"/>
    <s v="Marketing"/>
    <n v="1909"/>
    <n v="3"/>
    <x v="1"/>
    <s v="Female"/>
    <n v="54"/>
    <n v="3"/>
    <s v="High"/>
    <n v="2"/>
    <x v="0"/>
    <x v="0"/>
    <n v="2"/>
    <s v="Medium"/>
    <x v="1"/>
    <n v="4393"/>
    <n v="26841"/>
    <n v="5"/>
    <x v="1"/>
    <n v="21"/>
    <n v="4"/>
    <s v="Outstanding"/>
    <n v="3"/>
    <s v="High"/>
    <n v="1"/>
    <n v="14"/>
    <n v="3"/>
    <n v="3"/>
    <s v="High"/>
    <n v="5"/>
    <n v="4"/>
    <n v="1"/>
    <n v="4"/>
  </r>
  <r>
    <n v="42"/>
    <x v="0"/>
    <x v="1"/>
    <x v="0"/>
    <n v="1396"/>
    <x v="1"/>
    <n v="6"/>
    <x v="0"/>
    <n v="3"/>
    <s v="Bachelor"/>
    <s v="Medical"/>
    <n v="1911"/>
    <n v="3"/>
    <x v="1"/>
    <s v="Male"/>
    <n v="83"/>
    <n v="3"/>
    <s v="High"/>
    <n v="3"/>
    <x v="2"/>
    <x v="7"/>
    <n v="1"/>
    <s v="Low"/>
    <x v="1"/>
    <n v="13348"/>
    <n v="14842"/>
    <n v="9"/>
    <x v="1"/>
    <n v="13"/>
    <n v="3"/>
    <s v="Excellent"/>
    <n v="2"/>
    <s v="Medium"/>
    <n v="1"/>
    <n v="18"/>
    <n v="3"/>
    <n v="4"/>
    <s v="Very High"/>
    <n v="13"/>
    <n v="7"/>
    <n v="5"/>
    <n v="7"/>
  </r>
  <r>
    <n v="31"/>
    <x v="2"/>
    <x v="1"/>
    <x v="0"/>
    <n v="1079"/>
    <x v="0"/>
    <n v="10"/>
    <x v="0"/>
    <n v="2"/>
    <s v="College"/>
    <s v="Medical"/>
    <n v="1912"/>
    <n v="3"/>
    <x v="1"/>
    <s v="Female"/>
    <n v="86"/>
    <n v="3"/>
    <s v="High"/>
    <n v="2"/>
    <x v="0"/>
    <x v="0"/>
    <n v="4"/>
    <s v="Very High"/>
    <x v="2"/>
    <n v="6583"/>
    <n v="20115"/>
    <n v="2"/>
    <x v="0"/>
    <n v="11"/>
    <n v="3"/>
    <s v="Excellent"/>
    <n v="4"/>
    <s v="Very High"/>
    <n v="1"/>
    <n v="8"/>
    <n v="2"/>
    <n v="3"/>
    <s v="High"/>
    <n v="5"/>
    <n v="2"/>
    <n v="1"/>
    <n v="4"/>
  </r>
  <r>
    <n v="34"/>
    <x v="2"/>
    <x v="1"/>
    <x v="0"/>
    <n v="735"/>
    <x v="0"/>
    <n v="3"/>
    <x v="0"/>
    <n v="1"/>
    <s v="Below College"/>
    <s v="Medical"/>
    <n v="1915"/>
    <n v="4"/>
    <x v="3"/>
    <s v="Female"/>
    <n v="75"/>
    <n v="2"/>
    <s v="Medium"/>
    <n v="2"/>
    <x v="0"/>
    <x v="0"/>
    <n v="4"/>
    <s v="Very High"/>
    <x v="1"/>
    <n v="8103"/>
    <n v="16495"/>
    <n v="3"/>
    <x v="0"/>
    <n v="12"/>
    <n v="3"/>
    <s v="Excellent"/>
    <n v="3"/>
    <s v="High"/>
    <n v="0"/>
    <n v="9"/>
    <n v="3"/>
    <n v="2"/>
    <s v="Medium"/>
    <n v="4"/>
    <n v="2"/>
    <n v="0"/>
    <n v="1"/>
  </r>
  <r>
    <n v="31"/>
    <x v="2"/>
    <x v="1"/>
    <x v="0"/>
    <n v="471"/>
    <x v="1"/>
    <n v="4"/>
    <x v="0"/>
    <n v="3"/>
    <s v="Bachelor"/>
    <s v="Medical"/>
    <n v="1916"/>
    <n v="1"/>
    <x v="2"/>
    <s v="Female"/>
    <n v="62"/>
    <n v="4"/>
    <s v="Very High"/>
    <n v="1"/>
    <x v="1"/>
    <x v="2"/>
    <n v="3"/>
    <s v="High"/>
    <x v="2"/>
    <n v="3978"/>
    <n v="16031"/>
    <n v="8"/>
    <x v="1"/>
    <n v="12"/>
    <n v="3"/>
    <s v="Excellent"/>
    <n v="2"/>
    <s v="Medium"/>
    <n v="1"/>
    <n v="4"/>
    <n v="0"/>
    <n v="2"/>
    <s v="Medium"/>
    <n v="2"/>
    <n v="2"/>
    <n v="2"/>
    <n v="2"/>
  </r>
  <r>
    <n v="26"/>
    <x v="2"/>
    <x v="1"/>
    <x v="1"/>
    <n v="1096"/>
    <x v="1"/>
    <n v="6"/>
    <x v="0"/>
    <n v="3"/>
    <s v="Bachelor"/>
    <s v="Other"/>
    <n v="1918"/>
    <n v="3"/>
    <x v="1"/>
    <s v="Male"/>
    <n v="61"/>
    <n v="4"/>
    <s v="Very High"/>
    <n v="1"/>
    <x v="1"/>
    <x v="2"/>
    <n v="4"/>
    <s v="Very High"/>
    <x v="1"/>
    <n v="2544"/>
    <n v="7102"/>
    <n v="0"/>
    <x v="1"/>
    <n v="18"/>
    <n v="3"/>
    <s v="Excellent"/>
    <n v="1"/>
    <s v="Low"/>
    <n v="1"/>
    <n v="8"/>
    <n v="3"/>
    <n v="3"/>
    <s v="High"/>
    <n v="7"/>
    <n v="7"/>
    <n v="7"/>
    <n v="7"/>
  </r>
  <r>
    <n v="45"/>
    <x v="0"/>
    <x v="1"/>
    <x v="1"/>
    <n v="1297"/>
    <x v="1"/>
    <n v="1"/>
    <x v="0"/>
    <n v="4"/>
    <s v="Master"/>
    <s v="Medical"/>
    <n v="1922"/>
    <n v="2"/>
    <x v="0"/>
    <s v="Male"/>
    <n v="44"/>
    <n v="3"/>
    <s v="High"/>
    <n v="2"/>
    <x v="0"/>
    <x v="4"/>
    <n v="3"/>
    <s v="High"/>
    <x v="0"/>
    <n v="5399"/>
    <n v="14511"/>
    <n v="4"/>
    <x v="1"/>
    <n v="12"/>
    <n v="3"/>
    <s v="Excellent"/>
    <n v="3"/>
    <s v="High"/>
    <n v="0"/>
    <n v="12"/>
    <n v="3"/>
    <n v="3"/>
    <s v="High"/>
    <n v="4"/>
    <n v="2"/>
    <n v="0"/>
    <n v="3"/>
  </r>
  <r>
    <n v="33"/>
    <x v="2"/>
    <x v="1"/>
    <x v="0"/>
    <n v="217"/>
    <x v="0"/>
    <n v="10"/>
    <x v="0"/>
    <n v="4"/>
    <s v="Master"/>
    <s v="Marketing"/>
    <n v="1924"/>
    <n v="2"/>
    <x v="0"/>
    <s v="Male"/>
    <n v="43"/>
    <n v="3"/>
    <s v="High"/>
    <n v="2"/>
    <x v="0"/>
    <x v="0"/>
    <n v="3"/>
    <s v="High"/>
    <x v="0"/>
    <n v="5487"/>
    <n v="10410"/>
    <n v="1"/>
    <x v="1"/>
    <n v="14"/>
    <n v="3"/>
    <s v="Excellent"/>
    <n v="2"/>
    <s v="Medium"/>
    <n v="0"/>
    <n v="10"/>
    <n v="2"/>
    <n v="2"/>
    <s v="Medium"/>
    <n v="10"/>
    <n v="4"/>
    <n v="0"/>
    <n v="9"/>
  </r>
  <r>
    <n v="28"/>
    <x v="2"/>
    <x v="1"/>
    <x v="1"/>
    <n v="783"/>
    <x v="0"/>
    <n v="1"/>
    <x v="0"/>
    <n v="2"/>
    <s v="College"/>
    <s v="Life Sciences"/>
    <n v="1927"/>
    <n v="3"/>
    <x v="1"/>
    <s v="Male"/>
    <n v="42"/>
    <n v="2"/>
    <s v="Medium"/>
    <n v="2"/>
    <x v="0"/>
    <x v="0"/>
    <n v="4"/>
    <s v="Very High"/>
    <x v="1"/>
    <n v="6834"/>
    <n v="19255"/>
    <n v="1"/>
    <x v="0"/>
    <n v="12"/>
    <n v="3"/>
    <s v="Excellent"/>
    <n v="3"/>
    <s v="High"/>
    <n v="1"/>
    <n v="7"/>
    <n v="2"/>
    <n v="3"/>
    <s v="High"/>
    <n v="7"/>
    <n v="7"/>
    <n v="0"/>
    <n v="7"/>
  </r>
  <r>
    <n v="29"/>
    <x v="2"/>
    <x v="0"/>
    <x v="1"/>
    <n v="746"/>
    <x v="0"/>
    <n v="24"/>
    <x v="1"/>
    <n v="3"/>
    <s v="Bachelor"/>
    <s v="Technical Degree"/>
    <n v="1928"/>
    <n v="3"/>
    <x v="1"/>
    <s v="Male"/>
    <n v="45"/>
    <n v="4"/>
    <s v="Very High"/>
    <n v="1"/>
    <x v="1"/>
    <x v="6"/>
    <n v="1"/>
    <s v="Low"/>
    <x v="0"/>
    <n v="1091"/>
    <n v="10642"/>
    <n v="1"/>
    <x v="1"/>
    <n v="17"/>
    <n v="3"/>
    <s v="Excellent"/>
    <n v="4"/>
    <s v="Very High"/>
    <n v="0"/>
    <n v="1"/>
    <n v="3"/>
    <n v="3"/>
    <s v="High"/>
    <n v="1"/>
    <n v="0"/>
    <n v="0"/>
    <n v="0"/>
  </r>
  <r>
    <n v="39"/>
    <x v="0"/>
    <x v="1"/>
    <x v="2"/>
    <n v="1251"/>
    <x v="0"/>
    <n v="21"/>
    <x v="1"/>
    <n v="4"/>
    <s v="Master"/>
    <s v="Life Sciences"/>
    <n v="1929"/>
    <n v="1"/>
    <x v="2"/>
    <s v="Female"/>
    <n v="32"/>
    <n v="1"/>
    <s v="Low"/>
    <n v="2"/>
    <x v="0"/>
    <x v="0"/>
    <n v="3"/>
    <s v="High"/>
    <x v="1"/>
    <n v="5736"/>
    <n v="3987"/>
    <n v="6"/>
    <x v="1"/>
    <n v="19"/>
    <n v="3"/>
    <s v="Excellent"/>
    <n v="3"/>
    <s v="High"/>
    <n v="1"/>
    <n v="10"/>
    <n v="1"/>
    <n v="3"/>
    <s v="High"/>
    <n v="3"/>
    <n v="2"/>
    <n v="1"/>
    <n v="2"/>
  </r>
  <r>
    <n v="27"/>
    <x v="2"/>
    <x v="1"/>
    <x v="0"/>
    <n v="1354"/>
    <x v="1"/>
    <n v="2"/>
    <x v="0"/>
    <n v="4"/>
    <s v="Master"/>
    <s v="Technical Degree"/>
    <n v="1931"/>
    <n v="2"/>
    <x v="0"/>
    <s v="Male"/>
    <n v="41"/>
    <n v="3"/>
    <s v="High"/>
    <n v="1"/>
    <x v="1"/>
    <x v="1"/>
    <n v="2"/>
    <s v="Medium"/>
    <x v="1"/>
    <n v="2226"/>
    <n v="6073"/>
    <n v="1"/>
    <x v="1"/>
    <n v="11"/>
    <n v="3"/>
    <s v="Excellent"/>
    <n v="3"/>
    <s v="High"/>
    <n v="1"/>
    <n v="6"/>
    <n v="3"/>
    <n v="2"/>
    <s v="Medium"/>
    <n v="5"/>
    <n v="3"/>
    <n v="1"/>
    <n v="2"/>
  </r>
  <r>
    <n v="34"/>
    <x v="2"/>
    <x v="1"/>
    <x v="1"/>
    <n v="735"/>
    <x v="1"/>
    <n v="22"/>
    <x v="1"/>
    <n v="4"/>
    <s v="Master"/>
    <s v="Other"/>
    <n v="1932"/>
    <n v="3"/>
    <x v="1"/>
    <s v="Male"/>
    <n v="86"/>
    <n v="2"/>
    <s v="Medium"/>
    <n v="2"/>
    <x v="0"/>
    <x v="1"/>
    <n v="4"/>
    <s v="Very High"/>
    <x v="1"/>
    <n v="5747"/>
    <n v="26496"/>
    <n v="1"/>
    <x v="0"/>
    <n v="15"/>
    <n v="3"/>
    <s v="Excellent"/>
    <n v="2"/>
    <s v="Medium"/>
    <n v="0"/>
    <n v="16"/>
    <n v="3"/>
    <n v="3"/>
    <s v="High"/>
    <n v="15"/>
    <n v="10"/>
    <n v="6"/>
    <n v="11"/>
  </r>
  <r>
    <n v="28"/>
    <x v="2"/>
    <x v="0"/>
    <x v="0"/>
    <n v="1475"/>
    <x v="0"/>
    <n v="13"/>
    <x v="2"/>
    <n v="2"/>
    <s v="College"/>
    <s v="Marketing"/>
    <n v="1933"/>
    <n v="4"/>
    <x v="3"/>
    <s v="Female"/>
    <n v="84"/>
    <n v="3"/>
    <s v="High"/>
    <n v="2"/>
    <x v="0"/>
    <x v="0"/>
    <n v="3"/>
    <s v="High"/>
    <x v="0"/>
    <n v="9854"/>
    <n v="23352"/>
    <n v="3"/>
    <x v="0"/>
    <n v="11"/>
    <n v="3"/>
    <s v="Excellent"/>
    <n v="4"/>
    <s v="Very High"/>
    <n v="0"/>
    <n v="6"/>
    <n v="0"/>
    <n v="3"/>
    <s v="High"/>
    <n v="2"/>
    <n v="0"/>
    <n v="2"/>
    <n v="2"/>
  </r>
  <r>
    <n v="47"/>
    <x v="1"/>
    <x v="1"/>
    <x v="2"/>
    <n v="1169"/>
    <x v="1"/>
    <n v="14"/>
    <x v="2"/>
    <n v="4"/>
    <s v="Master"/>
    <s v="Technical Degree"/>
    <n v="1934"/>
    <n v="3"/>
    <x v="1"/>
    <s v="Male"/>
    <n v="64"/>
    <n v="3"/>
    <s v="High"/>
    <n v="2"/>
    <x v="0"/>
    <x v="1"/>
    <n v="2"/>
    <s v="Medium"/>
    <x v="1"/>
    <n v="5467"/>
    <n v="2125"/>
    <n v="8"/>
    <x v="1"/>
    <n v="18"/>
    <n v="3"/>
    <s v="Excellent"/>
    <n v="3"/>
    <s v="High"/>
    <n v="1"/>
    <n v="16"/>
    <n v="4"/>
    <n v="4"/>
    <s v="Very High"/>
    <n v="8"/>
    <n v="7"/>
    <n v="1"/>
    <n v="7"/>
  </r>
  <r>
    <n v="56"/>
    <x v="3"/>
    <x v="1"/>
    <x v="0"/>
    <n v="1443"/>
    <x v="0"/>
    <n v="11"/>
    <x v="2"/>
    <n v="5"/>
    <s v="Doctor"/>
    <s v="Marketing"/>
    <n v="1935"/>
    <n v="4"/>
    <x v="3"/>
    <s v="Female"/>
    <n v="89"/>
    <n v="2"/>
    <s v="Medium"/>
    <n v="2"/>
    <x v="0"/>
    <x v="0"/>
    <n v="1"/>
    <s v="Low"/>
    <x v="1"/>
    <n v="5380"/>
    <n v="20328"/>
    <n v="4"/>
    <x v="1"/>
    <n v="16"/>
    <n v="3"/>
    <s v="Excellent"/>
    <n v="3"/>
    <s v="High"/>
    <n v="1"/>
    <n v="6"/>
    <n v="3"/>
    <n v="3"/>
    <s v="High"/>
    <n v="0"/>
    <n v="0"/>
    <n v="0"/>
    <n v="0"/>
  </r>
  <r>
    <n v="39"/>
    <x v="0"/>
    <x v="1"/>
    <x v="0"/>
    <n v="867"/>
    <x v="1"/>
    <n v="9"/>
    <x v="0"/>
    <n v="2"/>
    <s v="College"/>
    <s v="Medical"/>
    <n v="1936"/>
    <n v="1"/>
    <x v="2"/>
    <s v="Male"/>
    <n v="87"/>
    <n v="3"/>
    <s v="High"/>
    <n v="2"/>
    <x v="0"/>
    <x v="3"/>
    <n v="1"/>
    <s v="Low"/>
    <x v="1"/>
    <n v="5151"/>
    <n v="12315"/>
    <n v="1"/>
    <x v="1"/>
    <n v="25"/>
    <n v="4"/>
    <s v="Outstanding"/>
    <n v="4"/>
    <s v="Very High"/>
    <n v="1"/>
    <n v="10"/>
    <n v="3"/>
    <n v="3"/>
    <s v="High"/>
    <n v="10"/>
    <n v="0"/>
    <n v="7"/>
    <n v="9"/>
  </r>
  <r>
    <n v="38"/>
    <x v="0"/>
    <x v="1"/>
    <x v="1"/>
    <n v="1394"/>
    <x v="1"/>
    <n v="8"/>
    <x v="0"/>
    <n v="3"/>
    <s v="Bachelor"/>
    <s v="Medical"/>
    <n v="1937"/>
    <n v="4"/>
    <x v="3"/>
    <s v="Female"/>
    <n v="58"/>
    <n v="2"/>
    <s v="Medium"/>
    <n v="2"/>
    <x v="0"/>
    <x v="1"/>
    <n v="2"/>
    <s v="Medium"/>
    <x v="2"/>
    <n v="2133"/>
    <n v="18115"/>
    <n v="1"/>
    <x v="0"/>
    <n v="16"/>
    <n v="3"/>
    <s v="Excellent"/>
    <n v="3"/>
    <s v="High"/>
    <n v="1"/>
    <n v="20"/>
    <n v="3"/>
    <n v="3"/>
    <s v="High"/>
    <n v="20"/>
    <n v="11"/>
    <n v="0"/>
    <n v="7"/>
  </r>
  <r>
    <n v="58"/>
    <x v="3"/>
    <x v="1"/>
    <x v="0"/>
    <n v="605"/>
    <x v="0"/>
    <n v="21"/>
    <x v="1"/>
    <n v="3"/>
    <s v="Bachelor"/>
    <s v="Life Sciences"/>
    <n v="1938"/>
    <n v="4"/>
    <x v="3"/>
    <s v="Female"/>
    <n v="72"/>
    <n v="3"/>
    <s v="High"/>
    <n v="4"/>
    <x v="3"/>
    <x v="5"/>
    <n v="4"/>
    <s v="Very High"/>
    <x v="1"/>
    <n v="17875"/>
    <n v="11761"/>
    <n v="4"/>
    <x v="0"/>
    <n v="13"/>
    <n v="3"/>
    <s v="Excellent"/>
    <n v="3"/>
    <s v="High"/>
    <n v="1"/>
    <n v="29"/>
    <n v="2"/>
    <n v="2"/>
    <s v="Medium"/>
    <n v="1"/>
    <n v="0"/>
    <n v="0"/>
    <n v="0"/>
  </r>
  <r>
    <n v="32"/>
    <x v="2"/>
    <x v="0"/>
    <x v="1"/>
    <n v="238"/>
    <x v="1"/>
    <n v="5"/>
    <x v="0"/>
    <n v="2"/>
    <s v="College"/>
    <s v="Life Sciences"/>
    <n v="1939"/>
    <n v="1"/>
    <x v="2"/>
    <s v="Female"/>
    <n v="47"/>
    <n v="4"/>
    <s v="Very High"/>
    <n v="1"/>
    <x v="1"/>
    <x v="1"/>
    <n v="3"/>
    <s v="High"/>
    <x v="0"/>
    <n v="2432"/>
    <n v="15318"/>
    <n v="3"/>
    <x v="0"/>
    <n v="14"/>
    <n v="3"/>
    <s v="Excellent"/>
    <n v="1"/>
    <s v="Low"/>
    <n v="0"/>
    <n v="8"/>
    <n v="2"/>
    <n v="3"/>
    <s v="High"/>
    <n v="4"/>
    <n v="1"/>
    <n v="0"/>
    <n v="3"/>
  </r>
  <r>
    <n v="38"/>
    <x v="0"/>
    <x v="1"/>
    <x v="0"/>
    <n v="1206"/>
    <x v="1"/>
    <n v="9"/>
    <x v="0"/>
    <n v="2"/>
    <s v="College"/>
    <s v="Life Sciences"/>
    <n v="1940"/>
    <n v="2"/>
    <x v="0"/>
    <s v="Male"/>
    <n v="71"/>
    <n v="3"/>
    <s v="High"/>
    <n v="1"/>
    <x v="1"/>
    <x v="1"/>
    <n v="4"/>
    <s v="Very High"/>
    <x v="2"/>
    <n v="4771"/>
    <n v="14293"/>
    <n v="2"/>
    <x v="1"/>
    <n v="19"/>
    <n v="3"/>
    <s v="Excellent"/>
    <n v="4"/>
    <s v="Very High"/>
    <n v="2"/>
    <n v="10"/>
    <n v="0"/>
    <n v="4"/>
    <s v="Very High"/>
    <n v="5"/>
    <n v="2"/>
    <n v="0"/>
    <n v="3"/>
  </r>
  <r>
    <n v="49"/>
    <x v="1"/>
    <x v="1"/>
    <x v="1"/>
    <n v="1064"/>
    <x v="1"/>
    <n v="2"/>
    <x v="0"/>
    <n v="1"/>
    <s v="Below College"/>
    <s v="Life Sciences"/>
    <n v="1941"/>
    <n v="2"/>
    <x v="0"/>
    <s v="Male"/>
    <n v="42"/>
    <n v="3"/>
    <s v="High"/>
    <n v="5"/>
    <x v="4"/>
    <x v="7"/>
    <n v="4"/>
    <s v="Very High"/>
    <x v="1"/>
    <n v="19161"/>
    <n v="13738"/>
    <n v="3"/>
    <x v="1"/>
    <n v="15"/>
    <n v="3"/>
    <s v="Excellent"/>
    <n v="4"/>
    <s v="Very High"/>
    <n v="0"/>
    <n v="28"/>
    <n v="3"/>
    <n v="3"/>
    <s v="High"/>
    <n v="5"/>
    <n v="4"/>
    <n v="4"/>
    <n v="3"/>
  </r>
  <r>
    <n v="42"/>
    <x v="0"/>
    <x v="1"/>
    <x v="0"/>
    <n v="419"/>
    <x v="0"/>
    <n v="12"/>
    <x v="2"/>
    <n v="4"/>
    <s v="Master"/>
    <s v="Marketing"/>
    <n v="1943"/>
    <n v="2"/>
    <x v="0"/>
    <s v="Male"/>
    <n v="77"/>
    <n v="3"/>
    <s v="High"/>
    <n v="2"/>
    <x v="0"/>
    <x v="0"/>
    <n v="4"/>
    <s v="Very High"/>
    <x v="2"/>
    <n v="5087"/>
    <n v="2900"/>
    <n v="3"/>
    <x v="0"/>
    <n v="12"/>
    <n v="3"/>
    <s v="Excellent"/>
    <n v="3"/>
    <s v="High"/>
    <n v="2"/>
    <n v="14"/>
    <n v="4"/>
    <n v="3"/>
    <s v="High"/>
    <n v="0"/>
    <n v="0"/>
    <n v="0"/>
    <n v="0"/>
  </r>
  <r>
    <n v="27"/>
    <x v="2"/>
    <x v="0"/>
    <x v="1"/>
    <n v="1337"/>
    <x v="2"/>
    <n v="22"/>
    <x v="1"/>
    <n v="3"/>
    <s v="Bachelor"/>
    <s v="Human Resources"/>
    <n v="1944"/>
    <n v="1"/>
    <x v="2"/>
    <s v="Female"/>
    <n v="58"/>
    <n v="2"/>
    <s v="Medium"/>
    <n v="1"/>
    <x v="1"/>
    <x v="8"/>
    <n v="2"/>
    <s v="Medium"/>
    <x v="1"/>
    <n v="2863"/>
    <n v="19555"/>
    <n v="1"/>
    <x v="1"/>
    <n v="12"/>
    <n v="3"/>
    <s v="Excellent"/>
    <n v="1"/>
    <s v="Low"/>
    <n v="0"/>
    <n v="1"/>
    <n v="2"/>
    <n v="3"/>
    <s v="High"/>
    <n v="1"/>
    <n v="0"/>
    <n v="0"/>
    <n v="0"/>
  </r>
  <r>
    <n v="35"/>
    <x v="2"/>
    <x v="1"/>
    <x v="0"/>
    <n v="682"/>
    <x v="0"/>
    <n v="18"/>
    <x v="2"/>
    <n v="4"/>
    <s v="Master"/>
    <s v="Medical"/>
    <n v="1945"/>
    <n v="2"/>
    <x v="0"/>
    <s v="Male"/>
    <n v="71"/>
    <n v="3"/>
    <s v="High"/>
    <n v="2"/>
    <x v="0"/>
    <x v="0"/>
    <n v="1"/>
    <s v="Low"/>
    <x v="1"/>
    <n v="5561"/>
    <n v="15975"/>
    <n v="0"/>
    <x v="1"/>
    <n v="16"/>
    <n v="3"/>
    <s v="Excellent"/>
    <n v="4"/>
    <s v="Very High"/>
    <n v="1"/>
    <n v="6"/>
    <n v="2"/>
    <n v="1"/>
    <s v="Low"/>
    <n v="5"/>
    <n v="3"/>
    <n v="0"/>
    <n v="4"/>
  </r>
  <r>
    <n v="28"/>
    <x v="2"/>
    <x v="1"/>
    <x v="2"/>
    <n v="1103"/>
    <x v="1"/>
    <n v="16"/>
    <x v="2"/>
    <n v="3"/>
    <s v="Bachelor"/>
    <s v="Medical"/>
    <n v="1947"/>
    <n v="3"/>
    <x v="1"/>
    <s v="Male"/>
    <n v="49"/>
    <n v="3"/>
    <s v="High"/>
    <n v="1"/>
    <x v="1"/>
    <x v="1"/>
    <n v="3"/>
    <s v="High"/>
    <x v="0"/>
    <n v="2144"/>
    <n v="2122"/>
    <n v="1"/>
    <x v="1"/>
    <n v="14"/>
    <n v="3"/>
    <s v="Excellent"/>
    <n v="3"/>
    <s v="High"/>
    <n v="0"/>
    <n v="5"/>
    <n v="3"/>
    <n v="2"/>
    <s v="Medium"/>
    <n v="5"/>
    <n v="3"/>
    <n v="1"/>
    <n v="4"/>
  </r>
  <r>
    <n v="31"/>
    <x v="2"/>
    <x v="1"/>
    <x v="2"/>
    <n v="976"/>
    <x v="1"/>
    <n v="3"/>
    <x v="0"/>
    <n v="2"/>
    <s v="College"/>
    <s v="Medical"/>
    <n v="1948"/>
    <n v="3"/>
    <x v="1"/>
    <s v="Male"/>
    <n v="48"/>
    <n v="3"/>
    <s v="High"/>
    <n v="1"/>
    <x v="1"/>
    <x v="1"/>
    <n v="1"/>
    <s v="Low"/>
    <x v="2"/>
    <n v="3065"/>
    <n v="3995"/>
    <n v="1"/>
    <x v="0"/>
    <n v="13"/>
    <n v="3"/>
    <s v="Excellent"/>
    <n v="4"/>
    <s v="Very High"/>
    <n v="1"/>
    <n v="4"/>
    <n v="3"/>
    <n v="4"/>
    <s v="Very High"/>
    <n v="4"/>
    <n v="2"/>
    <n v="2"/>
    <n v="3"/>
  </r>
  <r>
    <n v="36"/>
    <x v="0"/>
    <x v="1"/>
    <x v="2"/>
    <n v="1351"/>
    <x v="1"/>
    <n v="9"/>
    <x v="0"/>
    <n v="4"/>
    <s v="Master"/>
    <s v="Life Sciences"/>
    <n v="1949"/>
    <n v="1"/>
    <x v="2"/>
    <s v="Male"/>
    <n v="66"/>
    <n v="4"/>
    <s v="Very High"/>
    <n v="1"/>
    <x v="1"/>
    <x v="2"/>
    <n v="2"/>
    <s v="Medium"/>
    <x v="1"/>
    <n v="2810"/>
    <n v="9238"/>
    <n v="1"/>
    <x v="1"/>
    <n v="22"/>
    <n v="4"/>
    <s v="Outstanding"/>
    <n v="2"/>
    <s v="Medium"/>
    <n v="0"/>
    <n v="5"/>
    <n v="3"/>
    <n v="3"/>
    <s v="High"/>
    <n v="5"/>
    <n v="4"/>
    <n v="0"/>
    <n v="2"/>
  </r>
  <r>
    <n v="34"/>
    <x v="2"/>
    <x v="1"/>
    <x v="0"/>
    <n v="937"/>
    <x v="0"/>
    <n v="1"/>
    <x v="0"/>
    <n v="3"/>
    <s v="Bachelor"/>
    <s v="Marketing"/>
    <n v="1950"/>
    <n v="1"/>
    <x v="2"/>
    <s v="Male"/>
    <n v="32"/>
    <n v="3"/>
    <s v="High"/>
    <n v="3"/>
    <x v="2"/>
    <x v="0"/>
    <n v="4"/>
    <s v="Very High"/>
    <x v="0"/>
    <n v="9888"/>
    <n v="6770"/>
    <n v="1"/>
    <x v="1"/>
    <n v="21"/>
    <n v="4"/>
    <s v="Outstanding"/>
    <n v="1"/>
    <s v="Low"/>
    <n v="0"/>
    <n v="14"/>
    <n v="3"/>
    <n v="2"/>
    <s v="Medium"/>
    <n v="14"/>
    <n v="8"/>
    <n v="2"/>
    <n v="1"/>
  </r>
  <r>
    <n v="34"/>
    <x v="2"/>
    <x v="1"/>
    <x v="0"/>
    <n v="1239"/>
    <x v="0"/>
    <n v="13"/>
    <x v="2"/>
    <n v="4"/>
    <s v="Master"/>
    <s v="Medical"/>
    <n v="1951"/>
    <n v="4"/>
    <x v="3"/>
    <s v="Male"/>
    <n v="39"/>
    <n v="3"/>
    <s v="High"/>
    <n v="3"/>
    <x v="2"/>
    <x v="0"/>
    <n v="3"/>
    <s v="High"/>
    <x v="2"/>
    <n v="8628"/>
    <n v="22914"/>
    <n v="1"/>
    <x v="1"/>
    <n v="18"/>
    <n v="3"/>
    <s v="Excellent"/>
    <n v="3"/>
    <s v="High"/>
    <n v="1"/>
    <n v="9"/>
    <n v="2"/>
    <n v="2"/>
    <s v="Medium"/>
    <n v="8"/>
    <n v="7"/>
    <n v="1"/>
    <n v="1"/>
  </r>
  <r>
    <n v="26"/>
    <x v="2"/>
    <x v="1"/>
    <x v="0"/>
    <n v="157"/>
    <x v="1"/>
    <n v="1"/>
    <x v="0"/>
    <n v="3"/>
    <s v="Bachelor"/>
    <s v="Medical"/>
    <n v="1952"/>
    <n v="3"/>
    <x v="1"/>
    <s v="Male"/>
    <n v="95"/>
    <n v="3"/>
    <s v="High"/>
    <n v="1"/>
    <x v="1"/>
    <x v="2"/>
    <n v="1"/>
    <s v="Low"/>
    <x v="0"/>
    <n v="2867"/>
    <n v="20006"/>
    <n v="0"/>
    <x v="1"/>
    <n v="13"/>
    <n v="3"/>
    <s v="Excellent"/>
    <n v="4"/>
    <s v="Very High"/>
    <n v="0"/>
    <n v="8"/>
    <n v="6"/>
    <n v="2"/>
    <s v="Medium"/>
    <n v="7"/>
    <n v="7"/>
    <n v="7"/>
    <n v="6"/>
  </r>
  <r>
    <n v="29"/>
    <x v="2"/>
    <x v="1"/>
    <x v="0"/>
    <n v="136"/>
    <x v="1"/>
    <n v="1"/>
    <x v="0"/>
    <n v="3"/>
    <s v="Bachelor"/>
    <s v="Life Sciences"/>
    <n v="1954"/>
    <n v="1"/>
    <x v="2"/>
    <s v="Male"/>
    <n v="89"/>
    <n v="3"/>
    <s v="High"/>
    <n v="2"/>
    <x v="0"/>
    <x v="4"/>
    <n v="1"/>
    <s v="Low"/>
    <x v="1"/>
    <n v="5373"/>
    <n v="6225"/>
    <n v="0"/>
    <x v="1"/>
    <n v="12"/>
    <n v="3"/>
    <s v="Excellent"/>
    <n v="1"/>
    <s v="Low"/>
    <n v="1"/>
    <n v="6"/>
    <n v="5"/>
    <n v="2"/>
    <s v="Medium"/>
    <n v="5"/>
    <n v="3"/>
    <n v="0"/>
    <n v="2"/>
  </r>
  <r>
    <n v="32"/>
    <x v="2"/>
    <x v="1"/>
    <x v="2"/>
    <n v="1146"/>
    <x v="1"/>
    <n v="15"/>
    <x v="2"/>
    <n v="4"/>
    <s v="Master"/>
    <s v="Medical"/>
    <n v="1955"/>
    <n v="3"/>
    <x v="1"/>
    <s v="Female"/>
    <n v="34"/>
    <n v="3"/>
    <s v="High"/>
    <n v="2"/>
    <x v="0"/>
    <x v="4"/>
    <n v="4"/>
    <s v="Very High"/>
    <x v="2"/>
    <n v="6667"/>
    <n v="16542"/>
    <n v="5"/>
    <x v="1"/>
    <n v="18"/>
    <n v="3"/>
    <s v="Excellent"/>
    <n v="2"/>
    <s v="Medium"/>
    <n v="1"/>
    <n v="9"/>
    <n v="6"/>
    <n v="3"/>
    <s v="High"/>
    <n v="5"/>
    <n v="1"/>
    <n v="1"/>
    <n v="2"/>
  </r>
  <r>
    <n v="31"/>
    <x v="2"/>
    <x v="1"/>
    <x v="1"/>
    <n v="1125"/>
    <x v="1"/>
    <n v="1"/>
    <x v="0"/>
    <n v="3"/>
    <s v="Bachelor"/>
    <s v="Life Sciences"/>
    <n v="1956"/>
    <n v="4"/>
    <x v="3"/>
    <s v="Male"/>
    <n v="48"/>
    <n v="1"/>
    <s v="Low"/>
    <n v="2"/>
    <x v="0"/>
    <x v="1"/>
    <n v="1"/>
    <s v="Low"/>
    <x v="1"/>
    <n v="5003"/>
    <n v="5771"/>
    <n v="1"/>
    <x v="1"/>
    <n v="21"/>
    <n v="4"/>
    <s v="Outstanding"/>
    <n v="2"/>
    <s v="Medium"/>
    <n v="0"/>
    <n v="10"/>
    <n v="6"/>
    <n v="3"/>
    <s v="High"/>
    <n v="10"/>
    <n v="8"/>
    <n v="8"/>
    <n v="7"/>
  </r>
  <r>
    <n v="28"/>
    <x v="2"/>
    <x v="0"/>
    <x v="0"/>
    <n v="1404"/>
    <x v="1"/>
    <n v="17"/>
    <x v="2"/>
    <n v="3"/>
    <s v="Bachelor"/>
    <s v="Technical Degree"/>
    <n v="1960"/>
    <n v="3"/>
    <x v="1"/>
    <s v="Male"/>
    <n v="32"/>
    <n v="2"/>
    <s v="Medium"/>
    <n v="1"/>
    <x v="1"/>
    <x v="2"/>
    <n v="4"/>
    <s v="Very High"/>
    <x v="2"/>
    <n v="2367"/>
    <n v="18779"/>
    <n v="5"/>
    <x v="1"/>
    <n v="12"/>
    <n v="3"/>
    <s v="Excellent"/>
    <n v="1"/>
    <s v="Low"/>
    <n v="1"/>
    <n v="6"/>
    <n v="2"/>
    <n v="2"/>
    <s v="Medium"/>
    <n v="4"/>
    <n v="1"/>
    <n v="0"/>
    <n v="3"/>
  </r>
  <r>
    <n v="38"/>
    <x v="0"/>
    <x v="1"/>
    <x v="0"/>
    <n v="1404"/>
    <x v="0"/>
    <n v="1"/>
    <x v="0"/>
    <n v="3"/>
    <s v="Bachelor"/>
    <s v="Life Sciences"/>
    <n v="1961"/>
    <n v="1"/>
    <x v="2"/>
    <s v="Male"/>
    <n v="59"/>
    <n v="2"/>
    <s v="Medium"/>
    <n v="1"/>
    <x v="1"/>
    <x v="6"/>
    <n v="1"/>
    <s v="Low"/>
    <x v="0"/>
    <n v="2858"/>
    <n v="11473"/>
    <n v="4"/>
    <x v="1"/>
    <n v="14"/>
    <n v="3"/>
    <s v="Excellent"/>
    <n v="1"/>
    <s v="Low"/>
    <n v="0"/>
    <n v="20"/>
    <n v="3"/>
    <n v="2"/>
    <s v="Medium"/>
    <n v="1"/>
    <n v="0"/>
    <n v="0"/>
    <n v="0"/>
  </r>
  <r>
    <n v="35"/>
    <x v="2"/>
    <x v="1"/>
    <x v="0"/>
    <n v="1224"/>
    <x v="0"/>
    <n v="7"/>
    <x v="0"/>
    <n v="4"/>
    <s v="Master"/>
    <s v="Life Sciences"/>
    <n v="1962"/>
    <n v="3"/>
    <x v="1"/>
    <s v="Female"/>
    <n v="55"/>
    <n v="3"/>
    <s v="High"/>
    <n v="2"/>
    <x v="0"/>
    <x v="0"/>
    <n v="4"/>
    <s v="Very High"/>
    <x v="1"/>
    <n v="5204"/>
    <n v="13586"/>
    <n v="1"/>
    <x v="0"/>
    <n v="11"/>
    <n v="3"/>
    <s v="Excellent"/>
    <n v="4"/>
    <s v="Very High"/>
    <n v="0"/>
    <n v="10"/>
    <n v="2"/>
    <n v="3"/>
    <s v="High"/>
    <n v="10"/>
    <n v="8"/>
    <n v="0"/>
    <n v="9"/>
  </r>
  <r>
    <n v="27"/>
    <x v="2"/>
    <x v="1"/>
    <x v="0"/>
    <n v="954"/>
    <x v="0"/>
    <n v="9"/>
    <x v="0"/>
    <n v="3"/>
    <s v="Bachelor"/>
    <s v="Marketing"/>
    <n v="1965"/>
    <n v="4"/>
    <x v="3"/>
    <s v="Male"/>
    <n v="44"/>
    <n v="3"/>
    <s v="High"/>
    <n v="2"/>
    <x v="0"/>
    <x v="0"/>
    <n v="4"/>
    <s v="Very High"/>
    <x v="0"/>
    <n v="4105"/>
    <n v="5099"/>
    <n v="1"/>
    <x v="1"/>
    <n v="14"/>
    <n v="3"/>
    <s v="Excellent"/>
    <n v="1"/>
    <s v="Low"/>
    <n v="0"/>
    <n v="7"/>
    <n v="5"/>
    <n v="3"/>
    <s v="High"/>
    <n v="7"/>
    <n v="7"/>
    <n v="0"/>
    <n v="7"/>
  </r>
  <r>
    <n v="32"/>
    <x v="2"/>
    <x v="1"/>
    <x v="0"/>
    <n v="1373"/>
    <x v="1"/>
    <n v="5"/>
    <x v="0"/>
    <n v="4"/>
    <s v="Master"/>
    <s v="Life Sciences"/>
    <n v="1966"/>
    <n v="4"/>
    <x v="3"/>
    <s v="Male"/>
    <n v="56"/>
    <n v="2"/>
    <s v="Medium"/>
    <n v="2"/>
    <x v="0"/>
    <x v="3"/>
    <n v="4"/>
    <s v="Very High"/>
    <x v="0"/>
    <n v="9679"/>
    <n v="10138"/>
    <n v="8"/>
    <x v="1"/>
    <n v="24"/>
    <n v="4"/>
    <s v="Outstanding"/>
    <n v="2"/>
    <s v="Medium"/>
    <n v="0"/>
    <n v="8"/>
    <n v="1"/>
    <n v="3"/>
    <s v="High"/>
    <n v="1"/>
    <n v="0"/>
    <n v="0"/>
    <n v="0"/>
  </r>
  <r>
    <n v="31"/>
    <x v="2"/>
    <x v="0"/>
    <x v="1"/>
    <n v="754"/>
    <x v="0"/>
    <n v="26"/>
    <x v="1"/>
    <n v="4"/>
    <s v="Master"/>
    <s v="Marketing"/>
    <n v="1967"/>
    <n v="1"/>
    <x v="2"/>
    <s v="Male"/>
    <n v="63"/>
    <n v="3"/>
    <s v="High"/>
    <n v="2"/>
    <x v="0"/>
    <x v="0"/>
    <n v="4"/>
    <s v="Very High"/>
    <x v="1"/>
    <n v="5617"/>
    <n v="21075"/>
    <n v="1"/>
    <x v="0"/>
    <n v="11"/>
    <n v="3"/>
    <s v="Excellent"/>
    <n v="3"/>
    <s v="High"/>
    <n v="0"/>
    <n v="10"/>
    <n v="4"/>
    <n v="3"/>
    <s v="High"/>
    <n v="10"/>
    <n v="7"/>
    <n v="0"/>
    <n v="8"/>
  </r>
  <r>
    <n v="53"/>
    <x v="1"/>
    <x v="0"/>
    <x v="0"/>
    <n v="1168"/>
    <x v="0"/>
    <n v="24"/>
    <x v="1"/>
    <n v="4"/>
    <s v="Master"/>
    <s v="Life Sciences"/>
    <n v="1968"/>
    <n v="1"/>
    <x v="2"/>
    <s v="Male"/>
    <n v="66"/>
    <n v="3"/>
    <s v="High"/>
    <n v="3"/>
    <x v="2"/>
    <x v="0"/>
    <n v="1"/>
    <s v="Low"/>
    <x v="0"/>
    <n v="10448"/>
    <n v="5843"/>
    <n v="6"/>
    <x v="0"/>
    <n v="13"/>
    <n v="3"/>
    <s v="Excellent"/>
    <n v="2"/>
    <s v="Medium"/>
    <n v="0"/>
    <n v="15"/>
    <n v="2"/>
    <n v="2"/>
    <s v="Medium"/>
    <n v="2"/>
    <n v="2"/>
    <n v="2"/>
    <n v="2"/>
  </r>
  <r>
    <n v="54"/>
    <x v="1"/>
    <x v="1"/>
    <x v="0"/>
    <n v="155"/>
    <x v="1"/>
    <n v="9"/>
    <x v="0"/>
    <n v="2"/>
    <s v="College"/>
    <s v="Life Sciences"/>
    <n v="1969"/>
    <n v="1"/>
    <x v="2"/>
    <s v="Female"/>
    <n v="67"/>
    <n v="3"/>
    <s v="High"/>
    <n v="2"/>
    <x v="0"/>
    <x v="1"/>
    <n v="3"/>
    <s v="High"/>
    <x v="1"/>
    <n v="2897"/>
    <n v="22474"/>
    <n v="3"/>
    <x v="1"/>
    <n v="11"/>
    <n v="3"/>
    <s v="Excellent"/>
    <n v="3"/>
    <s v="High"/>
    <n v="2"/>
    <n v="9"/>
    <n v="6"/>
    <n v="2"/>
    <s v="Medium"/>
    <n v="4"/>
    <n v="3"/>
    <n v="2"/>
    <n v="3"/>
  </r>
  <r>
    <n v="33"/>
    <x v="2"/>
    <x v="1"/>
    <x v="1"/>
    <n v="1303"/>
    <x v="1"/>
    <n v="7"/>
    <x v="0"/>
    <n v="2"/>
    <s v="College"/>
    <s v="Life Sciences"/>
    <n v="1970"/>
    <n v="4"/>
    <x v="3"/>
    <s v="Male"/>
    <n v="36"/>
    <n v="3"/>
    <s v="High"/>
    <n v="2"/>
    <x v="0"/>
    <x v="4"/>
    <n v="3"/>
    <s v="High"/>
    <x v="2"/>
    <n v="5968"/>
    <n v="18079"/>
    <n v="1"/>
    <x v="1"/>
    <n v="20"/>
    <n v="4"/>
    <s v="Outstanding"/>
    <n v="3"/>
    <s v="High"/>
    <n v="3"/>
    <n v="9"/>
    <n v="2"/>
    <n v="3"/>
    <s v="High"/>
    <n v="9"/>
    <n v="7"/>
    <n v="2"/>
    <n v="8"/>
  </r>
  <r>
    <n v="43"/>
    <x v="0"/>
    <x v="1"/>
    <x v="0"/>
    <n v="574"/>
    <x v="1"/>
    <n v="11"/>
    <x v="2"/>
    <n v="3"/>
    <s v="Bachelor"/>
    <s v="Life Sciences"/>
    <n v="1971"/>
    <n v="1"/>
    <x v="2"/>
    <s v="Male"/>
    <n v="30"/>
    <n v="3"/>
    <s v="High"/>
    <n v="3"/>
    <x v="2"/>
    <x v="4"/>
    <n v="3"/>
    <s v="High"/>
    <x v="1"/>
    <n v="7510"/>
    <n v="16873"/>
    <n v="1"/>
    <x v="1"/>
    <n v="17"/>
    <n v="3"/>
    <s v="Excellent"/>
    <n v="2"/>
    <s v="Medium"/>
    <n v="1"/>
    <n v="10"/>
    <n v="1"/>
    <n v="3"/>
    <s v="High"/>
    <n v="10"/>
    <n v="9"/>
    <n v="0"/>
    <n v="9"/>
  </r>
  <r>
    <n v="38"/>
    <x v="0"/>
    <x v="1"/>
    <x v="1"/>
    <n v="1444"/>
    <x v="2"/>
    <n v="1"/>
    <x v="0"/>
    <n v="4"/>
    <s v="Master"/>
    <s v="Other"/>
    <n v="1972"/>
    <n v="4"/>
    <x v="3"/>
    <s v="Male"/>
    <n v="88"/>
    <n v="3"/>
    <s v="High"/>
    <n v="1"/>
    <x v="1"/>
    <x v="8"/>
    <n v="2"/>
    <s v="Medium"/>
    <x v="1"/>
    <n v="2991"/>
    <n v="5224"/>
    <n v="0"/>
    <x v="0"/>
    <n v="11"/>
    <n v="3"/>
    <s v="Excellent"/>
    <n v="2"/>
    <s v="Medium"/>
    <n v="1"/>
    <n v="7"/>
    <n v="2"/>
    <n v="3"/>
    <s v="High"/>
    <n v="6"/>
    <n v="2"/>
    <n v="1"/>
    <n v="2"/>
  </r>
  <r>
    <n v="55"/>
    <x v="1"/>
    <x v="1"/>
    <x v="0"/>
    <n v="189"/>
    <x v="2"/>
    <n v="26"/>
    <x v="1"/>
    <n v="4"/>
    <s v="Master"/>
    <s v="Human Resources"/>
    <n v="1973"/>
    <n v="3"/>
    <x v="1"/>
    <s v="Male"/>
    <n v="71"/>
    <n v="4"/>
    <s v="Very High"/>
    <n v="5"/>
    <x v="4"/>
    <x v="5"/>
    <n v="2"/>
    <s v="Medium"/>
    <x v="1"/>
    <n v="19636"/>
    <n v="25811"/>
    <n v="4"/>
    <x v="0"/>
    <n v="18"/>
    <n v="3"/>
    <s v="Excellent"/>
    <n v="1"/>
    <s v="Low"/>
    <n v="1"/>
    <n v="35"/>
    <n v="0"/>
    <n v="3"/>
    <s v="High"/>
    <n v="10"/>
    <n v="9"/>
    <n v="1"/>
    <n v="4"/>
  </r>
  <r>
    <n v="31"/>
    <x v="2"/>
    <x v="1"/>
    <x v="0"/>
    <n v="1276"/>
    <x v="1"/>
    <n v="2"/>
    <x v="0"/>
    <n v="1"/>
    <s v="Below College"/>
    <s v="Medical"/>
    <n v="1974"/>
    <n v="4"/>
    <x v="3"/>
    <s v="Female"/>
    <n v="59"/>
    <n v="1"/>
    <s v="Low"/>
    <n v="1"/>
    <x v="1"/>
    <x v="2"/>
    <n v="4"/>
    <s v="Very High"/>
    <x v="2"/>
    <n v="1129"/>
    <n v="17536"/>
    <n v="1"/>
    <x v="0"/>
    <n v="11"/>
    <n v="3"/>
    <s v="Excellent"/>
    <n v="3"/>
    <s v="High"/>
    <n v="3"/>
    <n v="1"/>
    <n v="4"/>
    <n v="3"/>
    <s v="High"/>
    <n v="1"/>
    <n v="0"/>
    <n v="0"/>
    <n v="0"/>
  </r>
  <r>
    <n v="39"/>
    <x v="0"/>
    <x v="1"/>
    <x v="0"/>
    <n v="119"/>
    <x v="0"/>
    <n v="15"/>
    <x v="2"/>
    <n v="4"/>
    <s v="Master"/>
    <s v="Marketing"/>
    <n v="1975"/>
    <n v="2"/>
    <x v="0"/>
    <s v="Male"/>
    <n v="77"/>
    <n v="3"/>
    <s v="High"/>
    <n v="4"/>
    <x v="3"/>
    <x v="0"/>
    <n v="1"/>
    <s v="Low"/>
    <x v="0"/>
    <n v="13341"/>
    <n v="25098"/>
    <n v="0"/>
    <x v="1"/>
    <n v="12"/>
    <n v="3"/>
    <s v="Excellent"/>
    <n v="1"/>
    <s v="Low"/>
    <n v="0"/>
    <n v="21"/>
    <n v="3"/>
    <n v="3"/>
    <s v="High"/>
    <n v="20"/>
    <n v="8"/>
    <n v="11"/>
    <n v="10"/>
  </r>
  <r>
    <n v="42"/>
    <x v="0"/>
    <x v="1"/>
    <x v="2"/>
    <n v="335"/>
    <x v="1"/>
    <n v="23"/>
    <x v="1"/>
    <n v="2"/>
    <s v="College"/>
    <s v="Life Sciences"/>
    <n v="1976"/>
    <n v="4"/>
    <x v="3"/>
    <s v="Male"/>
    <n v="37"/>
    <n v="2"/>
    <s v="Medium"/>
    <n v="2"/>
    <x v="0"/>
    <x v="1"/>
    <n v="3"/>
    <s v="High"/>
    <x v="0"/>
    <n v="4332"/>
    <n v="14811"/>
    <n v="1"/>
    <x v="1"/>
    <n v="12"/>
    <n v="3"/>
    <s v="Excellent"/>
    <n v="4"/>
    <s v="Very High"/>
    <n v="0"/>
    <n v="20"/>
    <n v="2"/>
    <n v="3"/>
    <s v="High"/>
    <n v="20"/>
    <n v="9"/>
    <n v="3"/>
    <n v="7"/>
  </r>
  <r>
    <n v="31"/>
    <x v="2"/>
    <x v="1"/>
    <x v="2"/>
    <n v="697"/>
    <x v="1"/>
    <n v="10"/>
    <x v="0"/>
    <n v="3"/>
    <s v="Bachelor"/>
    <s v="Medical"/>
    <n v="1979"/>
    <n v="3"/>
    <x v="1"/>
    <s v="Female"/>
    <n v="40"/>
    <n v="3"/>
    <s v="High"/>
    <n v="3"/>
    <x v="2"/>
    <x v="7"/>
    <n v="3"/>
    <s v="High"/>
    <x v="1"/>
    <n v="11031"/>
    <n v="26862"/>
    <n v="4"/>
    <x v="1"/>
    <n v="20"/>
    <n v="4"/>
    <s v="Outstanding"/>
    <n v="3"/>
    <s v="High"/>
    <n v="1"/>
    <n v="13"/>
    <n v="2"/>
    <n v="4"/>
    <s v="Very High"/>
    <n v="11"/>
    <n v="7"/>
    <n v="4"/>
    <n v="8"/>
  </r>
  <r>
    <n v="54"/>
    <x v="1"/>
    <x v="1"/>
    <x v="0"/>
    <n v="157"/>
    <x v="1"/>
    <n v="10"/>
    <x v="0"/>
    <n v="3"/>
    <s v="Bachelor"/>
    <s v="Medical"/>
    <n v="1980"/>
    <n v="3"/>
    <x v="1"/>
    <s v="Female"/>
    <n v="77"/>
    <n v="3"/>
    <s v="High"/>
    <n v="2"/>
    <x v="0"/>
    <x v="3"/>
    <n v="1"/>
    <s v="Low"/>
    <x v="0"/>
    <n v="4440"/>
    <n v="25198"/>
    <n v="6"/>
    <x v="0"/>
    <n v="19"/>
    <n v="3"/>
    <s v="Excellent"/>
    <n v="4"/>
    <s v="Very High"/>
    <n v="0"/>
    <n v="9"/>
    <n v="3"/>
    <n v="3"/>
    <s v="High"/>
    <n v="5"/>
    <n v="2"/>
    <n v="1"/>
    <n v="4"/>
  </r>
  <r>
    <n v="24"/>
    <x v="4"/>
    <x v="1"/>
    <x v="0"/>
    <n v="771"/>
    <x v="1"/>
    <n v="1"/>
    <x v="0"/>
    <n v="2"/>
    <s v="College"/>
    <s v="Life Sciences"/>
    <n v="1981"/>
    <n v="2"/>
    <x v="0"/>
    <s v="Male"/>
    <n v="45"/>
    <n v="2"/>
    <s v="Medium"/>
    <n v="2"/>
    <x v="0"/>
    <x v="4"/>
    <n v="3"/>
    <s v="High"/>
    <x v="0"/>
    <n v="4617"/>
    <n v="14120"/>
    <n v="1"/>
    <x v="1"/>
    <n v="12"/>
    <n v="3"/>
    <s v="Excellent"/>
    <n v="2"/>
    <s v="Medium"/>
    <n v="0"/>
    <n v="4"/>
    <n v="2"/>
    <n v="2"/>
    <s v="Medium"/>
    <n v="4"/>
    <n v="3"/>
    <n v="1"/>
    <n v="2"/>
  </r>
  <r>
    <n v="23"/>
    <x v="4"/>
    <x v="1"/>
    <x v="0"/>
    <n v="571"/>
    <x v="1"/>
    <n v="12"/>
    <x v="2"/>
    <n v="2"/>
    <s v="College"/>
    <s v="Other"/>
    <n v="1982"/>
    <n v="4"/>
    <x v="3"/>
    <s v="Male"/>
    <n v="78"/>
    <n v="3"/>
    <s v="High"/>
    <n v="1"/>
    <x v="1"/>
    <x v="2"/>
    <n v="4"/>
    <s v="Very High"/>
    <x v="0"/>
    <n v="2647"/>
    <n v="13672"/>
    <n v="1"/>
    <x v="1"/>
    <n v="13"/>
    <n v="3"/>
    <s v="Excellent"/>
    <n v="3"/>
    <s v="High"/>
    <n v="0"/>
    <n v="5"/>
    <n v="6"/>
    <n v="4"/>
    <s v="Very High"/>
    <n v="5"/>
    <n v="2"/>
    <n v="1"/>
    <n v="4"/>
  </r>
  <r>
    <n v="40"/>
    <x v="0"/>
    <x v="1"/>
    <x v="1"/>
    <n v="692"/>
    <x v="1"/>
    <n v="11"/>
    <x v="2"/>
    <n v="3"/>
    <s v="Bachelor"/>
    <s v="Technical Degree"/>
    <n v="1985"/>
    <n v="4"/>
    <x v="3"/>
    <s v="Female"/>
    <n v="73"/>
    <n v="3"/>
    <s v="High"/>
    <n v="2"/>
    <x v="0"/>
    <x v="2"/>
    <n v="3"/>
    <s v="High"/>
    <x v="1"/>
    <n v="6323"/>
    <n v="26849"/>
    <n v="1"/>
    <x v="1"/>
    <n v="11"/>
    <n v="3"/>
    <s v="Excellent"/>
    <n v="1"/>
    <s v="Low"/>
    <n v="1"/>
    <n v="10"/>
    <n v="2"/>
    <n v="4"/>
    <s v="Very High"/>
    <n v="10"/>
    <n v="9"/>
    <n v="9"/>
    <n v="4"/>
  </r>
  <r>
    <n v="40"/>
    <x v="0"/>
    <x v="1"/>
    <x v="0"/>
    <n v="444"/>
    <x v="0"/>
    <n v="2"/>
    <x v="0"/>
    <n v="2"/>
    <s v="College"/>
    <s v="Marketing"/>
    <n v="1986"/>
    <n v="2"/>
    <x v="0"/>
    <s v="Female"/>
    <n v="92"/>
    <n v="3"/>
    <s v="High"/>
    <n v="2"/>
    <x v="0"/>
    <x v="0"/>
    <n v="2"/>
    <s v="Medium"/>
    <x v="1"/>
    <n v="5677"/>
    <n v="4258"/>
    <n v="3"/>
    <x v="1"/>
    <n v="14"/>
    <n v="3"/>
    <s v="Excellent"/>
    <n v="3"/>
    <s v="High"/>
    <n v="1"/>
    <n v="15"/>
    <n v="4"/>
    <n v="3"/>
    <s v="High"/>
    <n v="11"/>
    <n v="8"/>
    <n v="5"/>
    <n v="10"/>
  </r>
  <r>
    <n v="25"/>
    <x v="4"/>
    <x v="1"/>
    <x v="0"/>
    <n v="309"/>
    <x v="2"/>
    <n v="2"/>
    <x v="0"/>
    <n v="3"/>
    <s v="Bachelor"/>
    <s v="Human Resources"/>
    <n v="1987"/>
    <n v="3"/>
    <x v="1"/>
    <s v="Female"/>
    <n v="82"/>
    <n v="3"/>
    <s v="High"/>
    <n v="1"/>
    <x v="1"/>
    <x v="8"/>
    <n v="2"/>
    <s v="Medium"/>
    <x v="1"/>
    <n v="2187"/>
    <n v="19655"/>
    <n v="4"/>
    <x v="1"/>
    <n v="14"/>
    <n v="3"/>
    <s v="Excellent"/>
    <n v="3"/>
    <s v="High"/>
    <n v="0"/>
    <n v="6"/>
    <n v="3"/>
    <n v="3"/>
    <s v="High"/>
    <n v="2"/>
    <n v="0"/>
    <n v="1"/>
    <n v="2"/>
  </r>
  <r>
    <n v="30"/>
    <x v="2"/>
    <x v="1"/>
    <x v="0"/>
    <n v="911"/>
    <x v="1"/>
    <n v="1"/>
    <x v="0"/>
    <n v="2"/>
    <s v="College"/>
    <s v="Medical"/>
    <n v="1989"/>
    <n v="4"/>
    <x v="3"/>
    <s v="Male"/>
    <n v="76"/>
    <n v="3"/>
    <s v="High"/>
    <n v="1"/>
    <x v="1"/>
    <x v="2"/>
    <n v="2"/>
    <s v="Medium"/>
    <x v="1"/>
    <n v="3748"/>
    <n v="4077"/>
    <n v="1"/>
    <x v="1"/>
    <n v="13"/>
    <n v="3"/>
    <s v="Excellent"/>
    <n v="3"/>
    <s v="High"/>
    <n v="0"/>
    <n v="12"/>
    <n v="6"/>
    <n v="2"/>
    <s v="Medium"/>
    <n v="12"/>
    <n v="8"/>
    <n v="1"/>
    <n v="7"/>
  </r>
  <r>
    <n v="25"/>
    <x v="4"/>
    <x v="1"/>
    <x v="0"/>
    <n v="977"/>
    <x v="1"/>
    <n v="2"/>
    <x v="0"/>
    <n v="1"/>
    <s v="Below College"/>
    <s v="Other"/>
    <n v="1992"/>
    <n v="4"/>
    <x v="3"/>
    <s v="Male"/>
    <n v="57"/>
    <n v="3"/>
    <s v="High"/>
    <n v="1"/>
    <x v="1"/>
    <x v="2"/>
    <n v="3"/>
    <s v="High"/>
    <x v="2"/>
    <n v="3977"/>
    <n v="7298"/>
    <n v="6"/>
    <x v="0"/>
    <n v="19"/>
    <n v="3"/>
    <s v="Excellent"/>
    <n v="3"/>
    <s v="High"/>
    <n v="1"/>
    <n v="7"/>
    <n v="2"/>
    <n v="2"/>
    <s v="Medium"/>
    <n v="2"/>
    <n v="2"/>
    <n v="0"/>
    <n v="2"/>
  </r>
  <r>
    <n v="47"/>
    <x v="1"/>
    <x v="1"/>
    <x v="0"/>
    <n v="1180"/>
    <x v="1"/>
    <n v="25"/>
    <x v="1"/>
    <n v="3"/>
    <s v="Bachelor"/>
    <s v="Medical"/>
    <n v="1993"/>
    <n v="1"/>
    <x v="2"/>
    <s v="Male"/>
    <n v="84"/>
    <n v="3"/>
    <s v="High"/>
    <n v="3"/>
    <x v="2"/>
    <x v="4"/>
    <n v="3"/>
    <s v="High"/>
    <x v="0"/>
    <n v="8633"/>
    <n v="13084"/>
    <n v="2"/>
    <x v="1"/>
    <n v="23"/>
    <n v="4"/>
    <s v="Outstanding"/>
    <n v="2"/>
    <s v="Medium"/>
    <n v="0"/>
    <n v="25"/>
    <n v="3"/>
    <n v="3"/>
    <s v="High"/>
    <n v="17"/>
    <n v="14"/>
    <n v="12"/>
    <n v="11"/>
  </r>
  <r>
    <n v="33"/>
    <x v="2"/>
    <x v="1"/>
    <x v="2"/>
    <n v="1313"/>
    <x v="1"/>
    <n v="1"/>
    <x v="0"/>
    <n v="2"/>
    <s v="College"/>
    <s v="Medical"/>
    <n v="1994"/>
    <n v="2"/>
    <x v="0"/>
    <s v="Male"/>
    <n v="59"/>
    <n v="2"/>
    <s v="Medium"/>
    <n v="1"/>
    <x v="1"/>
    <x v="2"/>
    <n v="3"/>
    <s v="High"/>
    <x v="2"/>
    <n v="2008"/>
    <n v="20439"/>
    <n v="1"/>
    <x v="1"/>
    <n v="12"/>
    <n v="3"/>
    <s v="Excellent"/>
    <n v="3"/>
    <s v="High"/>
    <n v="3"/>
    <n v="1"/>
    <n v="2"/>
    <n v="2"/>
    <s v="Medium"/>
    <n v="1"/>
    <n v="1"/>
    <n v="0"/>
    <n v="0"/>
  </r>
  <r>
    <n v="38"/>
    <x v="0"/>
    <x v="1"/>
    <x v="0"/>
    <n v="1321"/>
    <x v="0"/>
    <n v="1"/>
    <x v="0"/>
    <n v="4"/>
    <s v="Master"/>
    <s v="Life Sciences"/>
    <n v="1995"/>
    <n v="4"/>
    <x v="3"/>
    <s v="Male"/>
    <n v="86"/>
    <n v="3"/>
    <s v="High"/>
    <n v="2"/>
    <x v="0"/>
    <x v="0"/>
    <n v="2"/>
    <s v="Medium"/>
    <x v="1"/>
    <n v="4440"/>
    <n v="7636"/>
    <n v="0"/>
    <x v="1"/>
    <n v="15"/>
    <n v="3"/>
    <s v="Excellent"/>
    <n v="1"/>
    <s v="Low"/>
    <n v="2"/>
    <n v="16"/>
    <n v="3"/>
    <n v="3"/>
    <s v="High"/>
    <n v="15"/>
    <n v="13"/>
    <n v="5"/>
    <n v="8"/>
  </r>
  <r>
    <n v="31"/>
    <x v="2"/>
    <x v="1"/>
    <x v="0"/>
    <n v="1154"/>
    <x v="0"/>
    <n v="2"/>
    <x v="0"/>
    <n v="2"/>
    <s v="College"/>
    <s v="Life Sciences"/>
    <n v="1996"/>
    <n v="1"/>
    <x v="2"/>
    <s v="Male"/>
    <n v="54"/>
    <n v="3"/>
    <s v="High"/>
    <n v="1"/>
    <x v="1"/>
    <x v="6"/>
    <n v="3"/>
    <s v="High"/>
    <x v="1"/>
    <n v="3067"/>
    <n v="6393"/>
    <n v="0"/>
    <x v="1"/>
    <n v="19"/>
    <n v="3"/>
    <s v="Excellent"/>
    <n v="3"/>
    <s v="High"/>
    <n v="1"/>
    <n v="3"/>
    <n v="1"/>
    <n v="3"/>
    <s v="High"/>
    <n v="2"/>
    <n v="2"/>
    <n v="1"/>
    <n v="2"/>
  </r>
  <r>
    <n v="38"/>
    <x v="0"/>
    <x v="1"/>
    <x v="1"/>
    <n v="508"/>
    <x v="1"/>
    <n v="6"/>
    <x v="0"/>
    <n v="4"/>
    <s v="Master"/>
    <s v="Life Sciences"/>
    <n v="1997"/>
    <n v="1"/>
    <x v="2"/>
    <s v="Male"/>
    <n v="72"/>
    <n v="2"/>
    <s v="Medium"/>
    <n v="2"/>
    <x v="0"/>
    <x v="3"/>
    <n v="3"/>
    <s v="High"/>
    <x v="1"/>
    <n v="5321"/>
    <n v="14284"/>
    <n v="2"/>
    <x v="1"/>
    <n v="11"/>
    <n v="3"/>
    <s v="Excellent"/>
    <n v="4"/>
    <s v="Very High"/>
    <n v="1"/>
    <n v="10"/>
    <n v="1"/>
    <n v="3"/>
    <s v="High"/>
    <n v="8"/>
    <n v="3"/>
    <n v="7"/>
    <n v="7"/>
  </r>
  <r>
    <n v="42"/>
    <x v="0"/>
    <x v="1"/>
    <x v="0"/>
    <n v="557"/>
    <x v="1"/>
    <n v="18"/>
    <x v="2"/>
    <n v="4"/>
    <s v="Master"/>
    <s v="Life Sciences"/>
    <n v="1998"/>
    <n v="4"/>
    <x v="3"/>
    <s v="Male"/>
    <n v="35"/>
    <n v="3"/>
    <s v="High"/>
    <n v="2"/>
    <x v="0"/>
    <x v="1"/>
    <n v="1"/>
    <s v="Low"/>
    <x v="2"/>
    <n v="5410"/>
    <n v="11189"/>
    <n v="6"/>
    <x v="0"/>
    <n v="17"/>
    <n v="3"/>
    <s v="Excellent"/>
    <n v="3"/>
    <s v="High"/>
    <n v="1"/>
    <n v="9"/>
    <n v="3"/>
    <n v="2"/>
    <s v="Medium"/>
    <n v="4"/>
    <n v="3"/>
    <n v="1"/>
    <n v="2"/>
  </r>
  <r>
    <n v="41"/>
    <x v="0"/>
    <x v="1"/>
    <x v="0"/>
    <n v="642"/>
    <x v="1"/>
    <n v="1"/>
    <x v="0"/>
    <n v="3"/>
    <s v="Bachelor"/>
    <s v="Life Sciences"/>
    <n v="1999"/>
    <n v="4"/>
    <x v="3"/>
    <s v="Male"/>
    <n v="76"/>
    <n v="3"/>
    <s v="High"/>
    <n v="1"/>
    <x v="1"/>
    <x v="1"/>
    <n v="4"/>
    <s v="Very High"/>
    <x v="1"/>
    <n v="2782"/>
    <n v="21412"/>
    <n v="3"/>
    <x v="1"/>
    <n v="22"/>
    <n v="4"/>
    <s v="Outstanding"/>
    <n v="1"/>
    <s v="Low"/>
    <n v="1"/>
    <n v="12"/>
    <n v="3"/>
    <n v="3"/>
    <s v="High"/>
    <n v="5"/>
    <n v="3"/>
    <n v="1"/>
    <n v="0"/>
  </r>
  <r>
    <n v="47"/>
    <x v="1"/>
    <x v="1"/>
    <x v="2"/>
    <n v="1162"/>
    <x v="1"/>
    <n v="1"/>
    <x v="0"/>
    <n v="1"/>
    <s v="Below College"/>
    <s v="Medical"/>
    <n v="2000"/>
    <n v="3"/>
    <x v="1"/>
    <s v="Female"/>
    <n v="98"/>
    <n v="3"/>
    <s v="High"/>
    <n v="3"/>
    <x v="2"/>
    <x v="7"/>
    <n v="2"/>
    <s v="Medium"/>
    <x v="1"/>
    <n v="11957"/>
    <n v="17231"/>
    <n v="0"/>
    <x v="1"/>
    <n v="18"/>
    <n v="3"/>
    <s v="Excellent"/>
    <n v="1"/>
    <s v="Low"/>
    <n v="2"/>
    <n v="14"/>
    <n v="3"/>
    <n v="1"/>
    <s v="Low"/>
    <n v="13"/>
    <n v="8"/>
    <n v="5"/>
    <n v="12"/>
  </r>
  <r>
    <n v="35"/>
    <x v="2"/>
    <x v="1"/>
    <x v="0"/>
    <n v="1490"/>
    <x v="1"/>
    <n v="11"/>
    <x v="2"/>
    <n v="4"/>
    <s v="Master"/>
    <s v="Medical"/>
    <n v="2003"/>
    <n v="4"/>
    <x v="3"/>
    <s v="Male"/>
    <n v="43"/>
    <n v="3"/>
    <s v="High"/>
    <n v="1"/>
    <x v="1"/>
    <x v="2"/>
    <n v="3"/>
    <s v="High"/>
    <x v="1"/>
    <n v="2660"/>
    <n v="20232"/>
    <n v="7"/>
    <x v="0"/>
    <n v="11"/>
    <n v="3"/>
    <s v="Excellent"/>
    <n v="3"/>
    <s v="High"/>
    <n v="1"/>
    <n v="5"/>
    <n v="3"/>
    <n v="3"/>
    <s v="High"/>
    <n v="2"/>
    <n v="2"/>
    <n v="2"/>
    <n v="2"/>
  </r>
  <r>
    <n v="22"/>
    <x v="4"/>
    <x v="1"/>
    <x v="0"/>
    <n v="581"/>
    <x v="1"/>
    <n v="1"/>
    <x v="0"/>
    <n v="2"/>
    <s v="College"/>
    <s v="Life Sciences"/>
    <n v="2007"/>
    <n v="4"/>
    <x v="3"/>
    <s v="Male"/>
    <n v="63"/>
    <n v="3"/>
    <s v="High"/>
    <n v="1"/>
    <x v="1"/>
    <x v="1"/>
    <n v="3"/>
    <s v="High"/>
    <x v="0"/>
    <n v="3375"/>
    <n v="17624"/>
    <n v="0"/>
    <x v="1"/>
    <n v="12"/>
    <n v="3"/>
    <s v="Excellent"/>
    <n v="4"/>
    <s v="Very High"/>
    <n v="0"/>
    <n v="4"/>
    <n v="2"/>
    <n v="4"/>
    <s v="Very High"/>
    <n v="3"/>
    <n v="2"/>
    <n v="1"/>
    <n v="2"/>
  </r>
  <r>
    <n v="35"/>
    <x v="2"/>
    <x v="1"/>
    <x v="0"/>
    <n v="1395"/>
    <x v="1"/>
    <n v="9"/>
    <x v="0"/>
    <n v="4"/>
    <s v="Master"/>
    <s v="Medical"/>
    <n v="2008"/>
    <n v="2"/>
    <x v="0"/>
    <s v="Male"/>
    <n v="48"/>
    <n v="3"/>
    <s v="High"/>
    <n v="2"/>
    <x v="0"/>
    <x v="1"/>
    <n v="3"/>
    <s v="High"/>
    <x v="0"/>
    <n v="5098"/>
    <n v="18698"/>
    <n v="1"/>
    <x v="1"/>
    <n v="19"/>
    <n v="3"/>
    <s v="Excellent"/>
    <n v="2"/>
    <s v="Medium"/>
    <n v="0"/>
    <n v="10"/>
    <n v="5"/>
    <n v="3"/>
    <s v="High"/>
    <n v="10"/>
    <n v="7"/>
    <n v="0"/>
    <n v="8"/>
  </r>
  <r>
    <n v="33"/>
    <x v="2"/>
    <x v="1"/>
    <x v="0"/>
    <n v="501"/>
    <x v="1"/>
    <n v="15"/>
    <x v="2"/>
    <n v="2"/>
    <s v="College"/>
    <s v="Medical"/>
    <n v="2009"/>
    <n v="2"/>
    <x v="0"/>
    <s v="Female"/>
    <n v="95"/>
    <n v="3"/>
    <s v="High"/>
    <n v="2"/>
    <x v="0"/>
    <x v="4"/>
    <n v="4"/>
    <s v="Very High"/>
    <x v="1"/>
    <n v="4878"/>
    <n v="21653"/>
    <n v="0"/>
    <x v="0"/>
    <n v="13"/>
    <n v="3"/>
    <s v="Excellent"/>
    <n v="1"/>
    <s v="Low"/>
    <n v="1"/>
    <n v="10"/>
    <n v="6"/>
    <n v="3"/>
    <s v="High"/>
    <n v="9"/>
    <n v="7"/>
    <n v="8"/>
    <n v="1"/>
  </r>
  <r>
    <n v="32"/>
    <x v="2"/>
    <x v="1"/>
    <x v="0"/>
    <n v="267"/>
    <x v="1"/>
    <n v="29"/>
    <x v="1"/>
    <n v="4"/>
    <s v="Master"/>
    <s v="Life Sciences"/>
    <n v="2010"/>
    <n v="3"/>
    <x v="1"/>
    <s v="Female"/>
    <n v="49"/>
    <n v="2"/>
    <s v="Medium"/>
    <n v="1"/>
    <x v="1"/>
    <x v="2"/>
    <n v="2"/>
    <s v="Medium"/>
    <x v="0"/>
    <n v="2837"/>
    <n v="15919"/>
    <n v="1"/>
    <x v="1"/>
    <n v="13"/>
    <n v="3"/>
    <s v="Excellent"/>
    <n v="3"/>
    <s v="High"/>
    <n v="0"/>
    <n v="6"/>
    <n v="3"/>
    <n v="3"/>
    <s v="High"/>
    <n v="6"/>
    <n v="2"/>
    <n v="4"/>
    <n v="1"/>
  </r>
  <r>
    <n v="40"/>
    <x v="0"/>
    <x v="1"/>
    <x v="0"/>
    <n v="543"/>
    <x v="1"/>
    <n v="1"/>
    <x v="0"/>
    <n v="4"/>
    <s v="Master"/>
    <s v="Life Sciences"/>
    <n v="2012"/>
    <n v="1"/>
    <x v="2"/>
    <s v="Male"/>
    <n v="83"/>
    <n v="3"/>
    <s v="High"/>
    <n v="1"/>
    <x v="1"/>
    <x v="2"/>
    <n v="4"/>
    <s v="Very High"/>
    <x v="1"/>
    <n v="2406"/>
    <n v="4060"/>
    <n v="8"/>
    <x v="1"/>
    <n v="19"/>
    <n v="3"/>
    <s v="Excellent"/>
    <n v="3"/>
    <s v="High"/>
    <n v="2"/>
    <n v="8"/>
    <n v="3"/>
    <n v="2"/>
    <s v="Medium"/>
    <n v="1"/>
    <n v="0"/>
    <n v="0"/>
    <n v="0"/>
  </r>
  <r>
    <n v="32"/>
    <x v="2"/>
    <x v="1"/>
    <x v="0"/>
    <n v="234"/>
    <x v="0"/>
    <n v="1"/>
    <x v="0"/>
    <n v="4"/>
    <s v="Master"/>
    <s v="Medical"/>
    <n v="2013"/>
    <n v="2"/>
    <x v="0"/>
    <s v="Male"/>
    <n v="68"/>
    <n v="2"/>
    <s v="Medium"/>
    <n v="1"/>
    <x v="1"/>
    <x v="6"/>
    <n v="2"/>
    <s v="Medium"/>
    <x v="1"/>
    <n v="2269"/>
    <n v="18024"/>
    <n v="0"/>
    <x v="1"/>
    <n v="14"/>
    <n v="3"/>
    <s v="Excellent"/>
    <n v="2"/>
    <s v="Medium"/>
    <n v="1"/>
    <n v="3"/>
    <n v="2"/>
    <n v="3"/>
    <s v="High"/>
    <n v="2"/>
    <n v="2"/>
    <n v="2"/>
    <n v="2"/>
  </r>
  <r>
    <n v="39"/>
    <x v="0"/>
    <x v="1"/>
    <x v="0"/>
    <n v="116"/>
    <x v="1"/>
    <n v="24"/>
    <x v="1"/>
    <n v="1"/>
    <s v="Below College"/>
    <s v="Life Sciences"/>
    <n v="2014"/>
    <n v="1"/>
    <x v="2"/>
    <s v="Male"/>
    <n v="52"/>
    <n v="3"/>
    <s v="High"/>
    <n v="2"/>
    <x v="0"/>
    <x v="1"/>
    <n v="4"/>
    <s v="Very High"/>
    <x v="0"/>
    <n v="4108"/>
    <n v="5340"/>
    <n v="7"/>
    <x v="1"/>
    <n v="13"/>
    <n v="3"/>
    <s v="Excellent"/>
    <n v="1"/>
    <s v="Low"/>
    <n v="0"/>
    <n v="18"/>
    <n v="2"/>
    <n v="3"/>
    <s v="High"/>
    <n v="7"/>
    <n v="7"/>
    <n v="1"/>
    <n v="7"/>
  </r>
  <r>
    <n v="38"/>
    <x v="0"/>
    <x v="1"/>
    <x v="0"/>
    <n v="201"/>
    <x v="1"/>
    <n v="10"/>
    <x v="0"/>
    <n v="3"/>
    <s v="Bachelor"/>
    <s v="Medical"/>
    <n v="2015"/>
    <n v="2"/>
    <x v="0"/>
    <s v="Female"/>
    <n v="99"/>
    <n v="1"/>
    <s v="Low"/>
    <n v="3"/>
    <x v="2"/>
    <x v="7"/>
    <n v="3"/>
    <s v="High"/>
    <x v="1"/>
    <n v="13206"/>
    <n v="3376"/>
    <n v="3"/>
    <x v="1"/>
    <n v="12"/>
    <n v="3"/>
    <s v="Excellent"/>
    <n v="1"/>
    <s v="Low"/>
    <n v="1"/>
    <n v="20"/>
    <n v="3"/>
    <n v="3"/>
    <s v="High"/>
    <n v="18"/>
    <n v="16"/>
    <n v="1"/>
    <n v="11"/>
  </r>
  <r>
    <n v="32"/>
    <x v="2"/>
    <x v="1"/>
    <x v="0"/>
    <n v="801"/>
    <x v="0"/>
    <n v="1"/>
    <x v="0"/>
    <n v="4"/>
    <s v="Master"/>
    <s v="Marketing"/>
    <n v="2016"/>
    <n v="3"/>
    <x v="1"/>
    <s v="Female"/>
    <n v="48"/>
    <n v="3"/>
    <s v="High"/>
    <n v="3"/>
    <x v="2"/>
    <x v="0"/>
    <n v="4"/>
    <s v="Very High"/>
    <x v="1"/>
    <n v="10422"/>
    <n v="24032"/>
    <n v="1"/>
    <x v="1"/>
    <n v="19"/>
    <n v="3"/>
    <s v="Excellent"/>
    <n v="3"/>
    <s v="High"/>
    <n v="2"/>
    <n v="14"/>
    <n v="3"/>
    <n v="3"/>
    <s v="High"/>
    <n v="14"/>
    <n v="10"/>
    <n v="5"/>
    <n v="7"/>
  </r>
  <r>
    <n v="37"/>
    <x v="0"/>
    <x v="1"/>
    <x v="0"/>
    <n v="161"/>
    <x v="1"/>
    <n v="10"/>
    <x v="0"/>
    <n v="3"/>
    <s v="Bachelor"/>
    <s v="Life Sciences"/>
    <n v="2017"/>
    <n v="3"/>
    <x v="1"/>
    <s v="Female"/>
    <n v="42"/>
    <n v="4"/>
    <s v="Very High"/>
    <n v="3"/>
    <x v="2"/>
    <x v="7"/>
    <n v="4"/>
    <s v="Very High"/>
    <x v="1"/>
    <n v="13744"/>
    <n v="15471"/>
    <n v="1"/>
    <x v="0"/>
    <n v="25"/>
    <n v="4"/>
    <s v="Outstanding"/>
    <n v="1"/>
    <s v="Low"/>
    <n v="1"/>
    <n v="16"/>
    <n v="2"/>
    <n v="3"/>
    <s v="High"/>
    <n v="16"/>
    <n v="11"/>
    <n v="6"/>
    <n v="8"/>
  </r>
  <r>
    <n v="25"/>
    <x v="4"/>
    <x v="1"/>
    <x v="0"/>
    <n v="1382"/>
    <x v="0"/>
    <n v="8"/>
    <x v="0"/>
    <n v="2"/>
    <s v="College"/>
    <s v="Other"/>
    <n v="2018"/>
    <n v="1"/>
    <x v="2"/>
    <s v="Female"/>
    <n v="85"/>
    <n v="3"/>
    <s v="High"/>
    <n v="2"/>
    <x v="0"/>
    <x v="0"/>
    <n v="3"/>
    <s v="High"/>
    <x v="2"/>
    <n v="4907"/>
    <n v="13684"/>
    <n v="0"/>
    <x v="0"/>
    <n v="22"/>
    <n v="4"/>
    <s v="Outstanding"/>
    <n v="2"/>
    <s v="Medium"/>
    <n v="1"/>
    <n v="6"/>
    <n v="3"/>
    <n v="2"/>
    <s v="Medium"/>
    <n v="5"/>
    <n v="3"/>
    <n v="0"/>
    <n v="4"/>
  </r>
  <r>
    <n v="52"/>
    <x v="1"/>
    <x v="1"/>
    <x v="2"/>
    <n v="585"/>
    <x v="0"/>
    <n v="29"/>
    <x v="1"/>
    <n v="4"/>
    <s v="Master"/>
    <s v="Life Sciences"/>
    <n v="2019"/>
    <n v="1"/>
    <x v="2"/>
    <s v="Male"/>
    <n v="40"/>
    <n v="3"/>
    <s v="High"/>
    <n v="1"/>
    <x v="1"/>
    <x v="6"/>
    <n v="4"/>
    <s v="Very High"/>
    <x v="2"/>
    <n v="3482"/>
    <n v="19788"/>
    <n v="2"/>
    <x v="1"/>
    <n v="15"/>
    <n v="3"/>
    <s v="Excellent"/>
    <n v="2"/>
    <s v="Medium"/>
    <n v="2"/>
    <n v="16"/>
    <n v="3"/>
    <n v="2"/>
    <s v="Medium"/>
    <n v="9"/>
    <n v="8"/>
    <n v="0"/>
    <n v="0"/>
  </r>
  <r>
    <n v="44"/>
    <x v="0"/>
    <x v="1"/>
    <x v="0"/>
    <n v="1037"/>
    <x v="1"/>
    <n v="1"/>
    <x v="0"/>
    <n v="3"/>
    <s v="Bachelor"/>
    <s v="Medical"/>
    <n v="2020"/>
    <n v="2"/>
    <x v="0"/>
    <s v="Male"/>
    <n v="42"/>
    <n v="3"/>
    <s v="High"/>
    <n v="1"/>
    <x v="1"/>
    <x v="1"/>
    <n v="4"/>
    <s v="Very High"/>
    <x v="0"/>
    <n v="2436"/>
    <n v="13422"/>
    <n v="6"/>
    <x v="0"/>
    <n v="12"/>
    <n v="3"/>
    <s v="Excellent"/>
    <n v="3"/>
    <s v="High"/>
    <n v="0"/>
    <n v="6"/>
    <n v="2"/>
    <n v="3"/>
    <s v="High"/>
    <n v="4"/>
    <n v="3"/>
    <n v="1"/>
    <n v="2"/>
  </r>
  <r>
    <n v="21"/>
    <x v="4"/>
    <x v="1"/>
    <x v="0"/>
    <n v="501"/>
    <x v="0"/>
    <n v="5"/>
    <x v="0"/>
    <n v="1"/>
    <s v="Below College"/>
    <s v="Medical"/>
    <n v="2021"/>
    <n v="3"/>
    <x v="1"/>
    <s v="Male"/>
    <n v="58"/>
    <n v="3"/>
    <s v="High"/>
    <n v="1"/>
    <x v="1"/>
    <x v="6"/>
    <n v="1"/>
    <s v="Low"/>
    <x v="0"/>
    <n v="2380"/>
    <n v="25479"/>
    <n v="1"/>
    <x v="0"/>
    <n v="11"/>
    <n v="3"/>
    <s v="Excellent"/>
    <n v="4"/>
    <s v="Very High"/>
    <n v="0"/>
    <n v="2"/>
    <n v="6"/>
    <n v="3"/>
    <s v="High"/>
    <n v="2"/>
    <n v="2"/>
    <n v="1"/>
    <n v="2"/>
  </r>
  <r>
    <n v="39"/>
    <x v="0"/>
    <x v="1"/>
    <x v="2"/>
    <n v="105"/>
    <x v="1"/>
    <n v="9"/>
    <x v="0"/>
    <n v="3"/>
    <s v="Bachelor"/>
    <s v="Life Sciences"/>
    <n v="2022"/>
    <n v="4"/>
    <x v="3"/>
    <s v="Male"/>
    <n v="87"/>
    <n v="3"/>
    <s v="High"/>
    <n v="5"/>
    <x v="4"/>
    <x v="5"/>
    <n v="4"/>
    <s v="Very High"/>
    <x v="0"/>
    <n v="19431"/>
    <n v="15302"/>
    <n v="2"/>
    <x v="1"/>
    <n v="13"/>
    <n v="3"/>
    <s v="Excellent"/>
    <n v="3"/>
    <s v="High"/>
    <n v="0"/>
    <n v="21"/>
    <n v="3"/>
    <n v="2"/>
    <s v="Medium"/>
    <n v="6"/>
    <n v="0"/>
    <n v="1"/>
    <n v="3"/>
  </r>
  <r>
    <n v="23"/>
    <x v="4"/>
    <x v="0"/>
    <x v="1"/>
    <n v="638"/>
    <x v="0"/>
    <n v="9"/>
    <x v="0"/>
    <n v="3"/>
    <s v="Bachelor"/>
    <s v="Marketing"/>
    <n v="2023"/>
    <n v="4"/>
    <x v="3"/>
    <s v="Male"/>
    <n v="33"/>
    <n v="3"/>
    <s v="High"/>
    <n v="1"/>
    <x v="1"/>
    <x v="6"/>
    <n v="1"/>
    <s v="Low"/>
    <x v="1"/>
    <n v="1790"/>
    <n v="26956"/>
    <n v="1"/>
    <x v="1"/>
    <n v="19"/>
    <n v="3"/>
    <s v="Excellent"/>
    <n v="1"/>
    <s v="Low"/>
    <n v="1"/>
    <n v="1"/>
    <n v="3"/>
    <n v="2"/>
    <s v="Medium"/>
    <n v="1"/>
    <n v="0"/>
    <n v="1"/>
    <n v="0"/>
  </r>
  <r>
    <n v="36"/>
    <x v="0"/>
    <x v="1"/>
    <x v="0"/>
    <n v="557"/>
    <x v="0"/>
    <n v="3"/>
    <x v="0"/>
    <n v="3"/>
    <s v="Bachelor"/>
    <s v="Medical"/>
    <n v="2024"/>
    <n v="1"/>
    <x v="2"/>
    <s v="Female"/>
    <n v="94"/>
    <n v="2"/>
    <s v="Medium"/>
    <n v="3"/>
    <x v="2"/>
    <x v="0"/>
    <n v="4"/>
    <s v="Very High"/>
    <x v="1"/>
    <n v="7644"/>
    <n v="12695"/>
    <n v="0"/>
    <x v="1"/>
    <n v="19"/>
    <n v="3"/>
    <s v="Excellent"/>
    <n v="3"/>
    <s v="High"/>
    <n v="2"/>
    <n v="10"/>
    <n v="2"/>
    <n v="3"/>
    <s v="High"/>
    <n v="9"/>
    <n v="7"/>
    <n v="3"/>
    <n v="4"/>
  </r>
  <r>
    <n v="36"/>
    <x v="0"/>
    <x v="1"/>
    <x v="1"/>
    <n v="688"/>
    <x v="1"/>
    <n v="4"/>
    <x v="0"/>
    <n v="2"/>
    <s v="College"/>
    <s v="Life Sciences"/>
    <n v="2025"/>
    <n v="4"/>
    <x v="3"/>
    <s v="Female"/>
    <n v="97"/>
    <n v="3"/>
    <s v="High"/>
    <n v="2"/>
    <x v="0"/>
    <x v="3"/>
    <n v="2"/>
    <s v="Medium"/>
    <x v="2"/>
    <n v="5131"/>
    <n v="9192"/>
    <n v="7"/>
    <x v="1"/>
    <n v="13"/>
    <n v="3"/>
    <s v="Excellent"/>
    <n v="2"/>
    <s v="Medium"/>
    <n v="3"/>
    <n v="18"/>
    <n v="3"/>
    <n v="3"/>
    <s v="High"/>
    <n v="4"/>
    <n v="2"/>
    <n v="0"/>
    <n v="2"/>
  </r>
  <r>
    <n v="56"/>
    <x v="3"/>
    <x v="1"/>
    <x v="2"/>
    <n v="667"/>
    <x v="1"/>
    <n v="1"/>
    <x v="0"/>
    <n v="4"/>
    <s v="Master"/>
    <s v="Life Sciences"/>
    <n v="2026"/>
    <n v="3"/>
    <x v="1"/>
    <s v="Male"/>
    <n v="57"/>
    <n v="3"/>
    <s v="High"/>
    <n v="2"/>
    <x v="0"/>
    <x v="4"/>
    <n v="3"/>
    <s v="High"/>
    <x v="2"/>
    <n v="6306"/>
    <n v="26236"/>
    <n v="1"/>
    <x v="1"/>
    <n v="21"/>
    <n v="4"/>
    <s v="Outstanding"/>
    <n v="1"/>
    <s v="Low"/>
    <n v="1"/>
    <n v="13"/>
    <n v="2"/>
    <n v="2"/>
    <s v="Medium"/>
    <n v="13"/>
    <n v="12"/>
    <n v="1"/>
    <n v="9"/>
  </r>
  <r>
    <n v="29"/>
    <x v="2"/>
    <x v="0"/>
    <x v="0"/>
    <n v="1092"/>
    <x v="1"/>
    <n v="1"/>
    <x v="0"/>
    <n v="4"/>
    <s v="Master"/>
    <s v="Medical"/>
    <n v="2027"/>
    <n v="1"/>
    <x v="2"/>
    <s v="Male"/>
    <n v="36"/>
    <n v="3"/>
    <s v="High"/>
    <n v="1"/>
    <x v="1"/>
    <x v="1"/>
    <n v="4"/>
    <s v="Very High"/>
    <x v="1"/>
    <n v="4787"/>
    <n v="26124"/>
    <n v="9"/>
    <x v="0"/>
    <n v="14"/>
    <n v="3"/>
    <s v="Excellent"/>
    <n v="2"/>
    <s v="Medium"/>
    <n v="3"/>
    <n v="4"/>
    <n v="3"/>
    <n v="4"/>
    <s v="Very High"/>
    <n v="2"/>
    <n v="2"/>
    <n v="2"/>
    <n v="2"/>
  </r>
  <r>
    <n v="42"/>
    <x v="0"/>
    <x v="1"/>
    <x v="0"/>
    <n v="300"/>
    <x v="1"/>
    <n v="2"/>
    <x v="0"/>
    <n v="3"/>
    <s v="Bachelor"/>
    <s v="Life Sciences"/>
    <n v="2031"/>
    <n v="1"/>
    <x v="2"/>
    <s v="Male"/>
    <n v="56"/>
    <n v="3"/>
    <s v="High"/>
    <n v="5"/>
    <x v="4"/>
    <x v="5"/>
    <n v="3"/>
    <s v="High"/>
    <x v="1"/>
    <n v="18880"/>
    <n v="17312"/>
    <n v="5"/>
    <x v="1"/>
    <n v="11"/>
    <n v="3"/>
    <s v="Excellent"/>
    <n v="1"/>
    <s v="Low"/>
    <n v="0"/>
    <n v="24"/>
    <n v="2"/>
    <n v="2"/>
    <s v="Medium"/>
    <n v="22"/>
    <n v="6"/>
    <n v="4"/>
    <n v="14"/>
  </r>
  <r>
    <n v="56"/>
    <x v="3"/>
    <x v="0"/>
    <x v="0"/>
    <n v="310"/>
    <x v="1"/>
    <n v="7"/>
    <x v="0"/>
    <n v="2"/>
    <s v="College"/>
    <s v="Technical Degree"/>
    <n v="2032"/>
    <n v="4"/>
    <x v="3"/>
    <s v="Male"/>
    <n v="72"/>
    <n v="3"/>
    <s v="High"/>
    <n v="1"/>
    <x v="1"/>
    <x v="2"/>
    <n v="3"/>
    <s v="High"/>
    <x v="1"/>
    <n v="2339"/>
    <n v="3666"/>
    <n v="8"/>
    <x v="1"/>
    <n v="11"/>
    <n v="3"/>
    <s v="Excellent"/>
    <n v="4"/>
    <s v="Very High"/>
    <n v="1"/>
    <n v="14"/>
    <n v="4"/>
    <n v="1"/>
    <s v="Low"/>
    <n v="10"/>
    <n v="9"/>
    <n v="9"/>
    <n v="8"/>
  </r>
  <r>
    <n v="41"/>
    <x v="0"/>
    <x v="1"/>
    <x v="0"/>
    <n v="582"/>
    <x v="1"/>
    <n v="28"/>
    <x v="1"/>
    <n v="4"/>
    <s v="Master"/>
    <s v="Life Sciences"/>
    <n v="2034"/>
    <n v="1"/>
    <x v="2"/>
    <s v="Female"/>
    <n v="60"/>
    <n v="2"/>
    <s v="Medium"/>
    <n v="4"/>
    <x v="3"/>
    <x v="3"/>
    <n v="2"/>
    <s v="Medium"/>
    <x v="1"/>
    <n v="13570"/>
    <n v="5640"/>
    <n v="0"/>
    <x v="1"/>
    <n v="23"/>
    <n v="4"/>
    <s v="Outstanding"/>
    <n v="3"/>
    <s v="High"/>
    <n v="1"/>
    <n v="21"/>
    <n v="3"/>
    <n v="3"/>
    <s v="High"/>
    <n v="20"/>
    <n v="7"/>
    <n v="0"/>
    <n v="10"/>
  </r>
  <r>
    <n v="34"/>
    <x v="2"/>
    <x v="1"/>
    <x v="0"/>
    <n v="704"/>
    <x v="0"/>
    <n v="28"/>
    <x v="1"/>
    <n v="3"/>
    <s v="Bachelor"/>
    <s v="Marketing"/>
    <n v="2035"/>
    <n v="4"/>
    <x v="3"/>
    <s v="Female"/>
    <n v="95"/>
    <n v="2"/>
    <s v="Medium"/>
    <n v="2"/>
    <x v="0"/>
    <x v="0"/>
    <n v="3"/>
    <s v="High"/>
    <x v="1"/>
    <n v="6712"/>
    <n v="8978"/>
    <n v="1"/>
    <x v="1"/>
    <n v="21"/>
    <n v="4"/>
    <s v="Outstanding"/>
    <n v="4"/>
    <s v="Very High"/>
    <n v="2"/>
    <n v="8"/>
    <n v="2"/>
    <n v="3"/>
    <s v="High"/>
    <n v="8"/>
    <n v="7"/>
    <n v="1"/>
    <n v="7"/>
  </r>
  <r>
    <n v="36"/>
    <x v="0"/>
    <x v="1"/>
    <x v="2"/>
    <n v="301"/>
    <x v="0"/>
    <n v="15"/>
    <x v="2"/>
    <n v="4"/>
    <s v="Master"/>
    <s v="Marketing"/>
    <n v="2036"/>
    <n v="4"/>
    <x v="3"/>
    <s v="Male"/>
    <n v="88"/>
    <n v="1"/>
    <s v="Low"/>
    <n v="2"/>
    <x v="0"/>
    <x v="0"/>
    <n v="4"/>
    <s v="Very High"/>
    <x v="2"/>
    <n v="5406"/>
    <n v="10436"/>
    <n v="1"/>
    <x v="1"/>
    <n v="24"/>
    <n v="4"/>
    <s v="Outstanding"/>
    <n v="1"/>
    <s v="Low"/>
    <n v="1"/>
    <n v="15"/>
    <n v="4"/>
    <n v="2"/>
    <s v="Medium"/>
    <n v="15"/>
    <n v="12"/>
    <n v="11"/>
    <n v="11"/>
  </r>
  <r>
    <n v="41"/>
    <x v="0"/>
    <x v="1"/>
    <x v="0"/>
    <n v="930"/>
    <x v="0"/>
    <n v="3"/>
    <x v="0"/>
    <n v="3"/>
    <s v="Bachelor"/>
    <s v="Life Sciences"/>
    <n v="2037"/>
    <n v="3"/>
    <x v="1"/>
    <s v="Male"/>
    <n v="57"/>
    <n v="2"/>
    <s v="Medium"/>
    <n v="2"/>
    <x v="0"/>
    <x v="0"/>
    <n v="2"/>
    <s v="Medium"/>
    <x v="2"/>
    <n v="8938"/>
    <n v="12227"/>
    <n v="2"/>
    <x v="1"/>
    <n v="11"/>
    <n v="3"/>
    <s v="Excellent"/>
    <n v="3"/>
    <s v="High"/>
    <n v="1"/>
    <n v="14"/>
    <n v="5"/>
    <n v="3"/>
    <s v="High"/>
    <n v="5"/>
    <n v="4"/>
    <n v="0"/>
    <n v="4"/>
  </r>
  <r>
    <n v="32"/>
    <x v="2"/>
    <x v="1"/>
    <x v="0"/>
    <n v="529"/>
    <x v="1"/>
    <n v="2"/>
    <x v="0"/>
    <n v="3"/>
    <s v="Bachelor"/>
    <s v="Technical Degree"/>
    <n v="2038"/>
    <n v="4"/>
    <x v="3"/>
    <s v="Male"/>
    <n v="78"/>
    <n v="3"/>
    <s v="High"/>
    <n v="1"/>
    <x v="1"/>
    <x v="1"/>
    <n v="1"/>
    <s v="Low"/>
    <x v="0"/>
    <n v="2439"/>
    <n v="11288"/>
    <n v="1"/>
    <x v="1"/>
    <n v="14"/>
    <n v="3"/>
    <s v="Excellent"/>
    <n v="4"/>
    <s v="Very High"/>
    <n v="0"/>
    <n v="4"/>
    <n v="4"/>
    <n v="3"/>
    <s v="High"/>
    <n v="4"/>
    <n v="2"/>
    <n v="1"/>
    <n v="2"/>
  </r>
  <r>
    <n v="35"/>
    <x v="2"/>
    <x v="1"/>
    <x v="0"/>
    <n v="1146"/>
    <x v="2"/>
    <n v="26"/>
    <x v="1"/>
    <n v="4"/>
    <s v="Master"/>
    <s v="Life Sciences"/>
    <n v="2040"/>
    <n v="3"/>
    <x v="1"/>
    <s v="Female"/>
    <n v="31"/>
    <n v="3"/>
    <s v="High"/>
    <n v="3"/>
    <x v="2"/>
    <x v="8"/>
    <n v="4"/>
    <s v="Very High"/>
    <x v="0"/>
    <n v="8837"/>
    <n v="16642"/>
    <n v="1"/>
    <x v="0"/>
    <n v="16"/>
    <n v="3"/>
    <s v="Excellent"/>
    <n v="3"/>
    <s v="High"/>
    <n v="0"/>
    <n v="9"/>
    <n v="2"/>
    <n v="3"/>
    <s v="High"/>
    <n v="9"/>
    <n v="0"/>
    <n v="1"/>
    <n v="7"/>
  </r>
  <r>
    <n v="38"/>
    <x v="0"/>
    <x v="1"/>
    <x v="0"/>
    <n v="345"/>
    <x v="0"/>
    <n v="10"/>
    <x v="0"/>
    <n v="2"/>
    <s v="College"/>
    <s v="Life Sciences"/>
    <n v="2041"/>
    <n v="1"/>
    <x v="2"/>
    <s v="Female"/>
    <n v="100"/>
    <n v="3"/>
    <s v="High"/>
    <n v="2"/>
    <x v="0"/>
    <x v="0"/>
    <n v="4"/>
    <s v="Very High"/>
    <x v="1"/>
    <n v="5343"/>
    <n v="5982"/>
    <n v="1"/>
    <x v="1"/>
    <n v="11"/>
    <n v="3"/>
    <s v="Excellent"/>
    <n v="3"/>
    <s v="High"/>
    <n v="1"/>
    <n v="10"/>
    <n v="1"/>
    <n v="3"/>
    <s v="High"/>
    <n v="10"/>
    <n v="7"/>
    <n v="1"/>
    <n v="9"/>
  </r>
  <r>
    <n v="50"/>
    <x v="1"/>
    <x v="0"/>
    <x v="1"/>
    <n v="878"/>
    <x v="0"/>
    <n v="1"/>
    <x v="0"/>
    <n v="4"/>
    <s v="Master"/>
    <s v="Life Sciences"/>
    <n v="2044"/>
    <n v="2"/>
    <x v="0"/>
    <s v="Male"/>
    <n v="94"/>
    <n v="3"/>
    <s v="High"/>
    <n v="2"/>
    <x v="0"/>
    <x v="0"/>
    <n v="3"/>
    <s v="High"/>
    <x v="2"/>
    <n v="6728"/>
    <n v="14255"/>
    <n v="7"/>
    <x v="1"/>
    <n v="12"/>
    <n v="3"/>
    <s v="Excellent"/>
    <n v="4"/>
    <s v="Very High"/>
    <n v="2"/>
    <n v="12"/>
    <n v="3"/>
    <n v="3"/>
    <s v="High"/>
    <n v="6"/>
    <n v="3"/>
    <n v="0"/>
    <n v="1"/>
  </r>
  <r>
    <n v="36"/>
    <x v="0"/>
    <x v="1"/>
    <x v="0"/>
    <n v="1120"/>
    <x v="0"/>
    <n v="11"/>
    <x v="2"/>
    <n v="4"/>
    <s v="Master"/>
    <s v="Marketing"/>
    <n v="2045"/>
    <n v="2"/>
    <x v="0"/>
    <s v="Female"/>
    <n v="100"/>
    <n v="2"/>
    <s v="Medium"/>
    <n v="2"/>
    <x v="0"/>
    <x v="0"/>
    <n v="4"/>
    <s v="Very High"/>
    <x v="1"/>
    <n v="6652"/>
    <n v="14369"/>
    <n v="4"/>
    <x v="1"/>
    <n v="13"/>
    <n v="3"/>
    <s v="Excellent"/>
    <n v="1"/>
    <s v="Low"/>
    <n v="1"/>
    <n v="8"/>
    <n v="2"/>
    <n v="2"/>
    <s v="Medium"/>
    <n v="6"/>
    <n v="3"/>
    <n v="0"/>
    <n v="0"/>
  </r>
  <r>
    <n v="45"/>
    <x v="0"/>
    <x v="1"/>
    <x v="0"/>
    <n v="374"/>
    <x v="0"/>
    <n v="20"/>
    <x v="2"/>
    <n v="3"/>
    <s v="Bachelor"/>
    <s v="Life Sciences"/>
    <n v="2046"/>
    <n v="4"/>
    <x v="3"/>
    <s v="Female"/>
    <n v="50"/>
    <n v="3"/>
    <s v="High"/>
    <n v="2"/>
    <x v="0"/>
    <x v="0"/>
    <n v="3"/>
    <s v="High"/>
    <x v="0"/>
    <n v="4850"/>
    <n v="23333"/>
    <n v="8"/>
    <x v="1"/>
    <n v="15"/>
    <n v="3"/>
    <s v="Excellent"/>
    <n v="3"/>
    <s v="High"/>
    <n v="0"/>
    <n v="8"/>
    <n v="3"/>
    <n v="3"/>
    <s v="High"/>
    <n v="5"/>
    <n v="3"/>
    <n v="0"/>
    <n v="1"/>
  </r>
  <r>
    <n v="40"/>
    <x v="0"/>
    <x v="1"/>
    <x v="0"/>
    <n v="1322"/>
    <x v="1"/>
    <n v="2"/>
    <x v="0"/>
    <n v="4"/>
    <s v="Master"/>
    <s v="Life Sciences"/>
    <n v="2048"/>
    <n v="3"/>
    <x v="1"/>
    <s v="Male"/>
    <n v="52"/>
    <n v="2"/>
    <s v="Medium"/>
    <n v="1"/>
    <x v="1"/>
    <x v="1"/>
    <n v="3"/>
    <s v="High"/>
    <x v="0"/>
    <n v="2809"/>
    <n v="2725"/>
    <n v="2"/>
    <x v="1"/>
    <n v="14"/>
    <n v="3"/>
    <s v="Excellent"/>
    <n v="4"/>
    <s v="Very High"/>
    <n v="0"/>
    <n v="8"/>
    <n v="2"/>
    <n v="3"/>
    <s v="High"/>
    <n v="2"/>
    <n v="2"/>
    <n v="2"/>
    <n v="2"/>
  </r>
  <r>
    <n v="35"/>
    <x v="2"/>
    <x v="1"/>
    <x v="1"/>
    <n v="1199"/>
    <x v="1"/>
    <n v="18"/>
    <x v="2"/>
    <n v="4"/>
    <s v="Master"/>
    <s v="Life Sciences"/>
    <n v="2049"/>
    <n v="3"/>
    <x v="1"/>
    <s v="Male"/>
    <n v="80"/>
    <n v="3"/>
    <s v="High"/>
    <n v="2"/>
    <x v="0"/>
    <x v="4"/>
    <n v="3"/>
    <s v="High"/>
    <x v="1"/>
    <n v="5689"/>
    <n v="24594"/>
    <n v="1"/>
    <x v="0"/>
    <n v="14"/>
    <n v="3"/>
    <s v="Excellent"/>
    <n v="4"/>
    <s v="Very High"/>
    <n v="2"/>
    <n v="10"/>
    <n v="2"/>
    <n v="4"/>
    <s v="Very High"/>
    <n v="10"/>
    <n v="2"/>
    <n v="0"/>
    <n v="2"/>
  </r>
  <r>
    <n v="40"/>
    <x v="0"/>
    <x v="1"/>
    <x v="0"/>
    <n v="1194"/>
    <x v="1"/>
    <n v="2"/>
    <x v="0"/>
    <n v="4"/>
    <s v="Master"/>
    <s v="Medical"/>
    <n v="2051"/>
    <n v="3"/>
    <x v="1"/>
    <s v="Female"/>
    <n v="98"/>
    <n v="3"/>
    <s v="High"/>
    <n v="1"/>
    <x v="1"/>
    <x v="1"/>
    <n v="3"/>
    <s v="High"/>
    <x v="1"/>
    <n v="2001"/>
    <n v="12549"/>
    <n v="2"/>
    <x v="1"/>
    <n v="14"/>
    <n v="3"/>
    <s v="Excellent"/>
    <n v="2"/>
    <s v="Medium"/>
    <n v="3"/>
    <n v="20"/>
    <n v="2"/>
    <n v="3"/>
    <s v="High"/>
    <n v="5"/>
    <n v="3"/>
    <n v="0"/>
    <n v="2"/>
  </r>
  <r>
    <n v="35"/>
    <x v="2"/>
    <x v="1"/>
    <x v="0"/>
    <n v="287"/>
    <x v="1"/>
    <n v="1"/>
    <x v="0"/>
    <n v="4"/>
    <s v="Master"/>
    <s v="Life Sciences"/>
    <n v="2052"/>
    <n v="3"/>
    <x v="1"/>
    <s v="Female"/>
    <n v="62"/>
    <n v="1"/>
    <s v="Low"/>
    <n v="1"/>
    <x v="1"/>
    <x v="1"/>
    <n v="4"/>
    <s v="Very High"/>
    <x v="1"/>
    <n v="2977"/>
    <n v="8952"/>
    <n v="1"/>
    <x v="1"/>
    <n v="12"/>
    <n v="3"/>
    <s v="Excellent"/>
    <n v="4"/>
    <s v="Very High"/>
    <n v="1"/>
    <n v="4"/>
    <n v="5"/>
    <n v="3"/>
    <s v="High"/>
    <n v="4"/>
    <n v="3"/>
    <n v="1"/>
    <n v="1"/>
  </r>
  <r>
    <n v="29"/>
    <x v="2"/>
    <x v="1"/>
    <x v="0"/>
    <n v="1378"/>
    <x v="1"/>
    <n v="13"/>
    <x v="2"/>
    <n v="2"/>
    <s v="College"/>
    <s v="Other"/>
    <n v="2053"/>
    <n v="4"/>
    <x v="3"/>
    <s v="Male"/>
    <n v="46"/>
    <n v="2"/>
    <s v="Medium"/>
    <n v="2"/>
    <x v="0"/>
    <x v="2"/>
    <n v="2"/>
    <s v="Medium"/>
    <x v="1"/>
    <n v="4025"/>
    <n v="23679"/>
    <n v="4"/>
    <x v="0"/>
    <n v="13"/>
    <n v="3"/>
    <s v="Excellent"/>
    <n v="1"/>
    <s v="Low"/>
    <n v="1"/>
    <n v="10"/>
    <n v="2"/>
    <n v="3"/>
    <s v="High"/>
    <n v="4"/>
    <n v="3"/>
    <n v="0"/>
    <n v="3"/>
  </r>
  <r>
    <n v="29"/>
    <x v="2"/>
    <x v="1"/>
    <x v="0"/>
    <n v="468"/>
    <x v="1"/>
    <n v="28"/>
    <x v="1"/>
    <n v="4"/>
    <s v="Master"/>
    <s v="Medical"/>
    <n v="2054"/>
    <n v="4"/>
    <x v="3"/>
    <s v="Female"/>
    <n v="73"/>
    <n v="2"/>
    <s v="Medium"/>
    <n v="1"/>
    <x v="1"/>
    <x v="1"/>
    <n v="1"/>
    <s v="Low"/>
    <x v="0"/>
    <n v="3785"/>
    <n v="8489"/>
    <n v="1"/>
    <x v="1"/>
    <n v="14"/>
    <n v="3"/>
    <s v="Excellent"/>
    <n v="2"/>
    <s v="Medium"/>
    <n v="0"/>
    <n v="5"/>
    <n v="3"/>
    <n v="1"/>
    <s v="Low"/>
    <n v="5"/>
    <n v="4"/>
    <n v="0"/>
    <n v="4"/>
  </r>
  <r>
    <n v="50"/>
    <x v="1"/>
    <x v="0"/>
    <x v="0"/>
    <n v="410"/>
    <x v="0"/>
    <n v="28"/>
    <x v="1"/>
    <n v="3"/>
    <s v="Bachelor"/>
    <s v="Marketing"/>
    <n v="2055"/>
    <n v="4"/>
    <x v="3"/>
    <s v="Male"/>
    <n v="39"/>
    <n v="2"/>
    <s v="Medium"/>
    <n v="3"/>
    <x v="2"/>
    <x v="0"/>
    <n v="1"/>
    <s v="Low"/>
    <x v="2"/>
    <n v="10854"/>
    <n v="16586"/>
    <n v="4"/>
    <x v="0"/>
    <n v="13"/>
    <n v="3"/>
    <s v="Excellent"/>
    <n v="2"/>
    <s v="Medium"/>
    <n v="1"/>
    <n v="20"/>
    <n v="3"/>
    <n v="3"/>
    <s v="High"/>
    <n v="3"/>
    <n v="2"/>
    <n v="2"/>
    <n v="0"/>
  </r>
  <r>
    <n v="39"/>
    <x v="0"/>
    <x v="1"/>
    <x v="0"/>
    <n v="722"/>
    <x v="0"/>
    <n v="24"/>
    <x v="1"/>
    <n v="1"/>
    <s v="Below College"/>
    <s v="Marketing"/>
    <n v="2056"/>
    <n v="2"/>
    <x v="0"/>
    <s v="Female"/>
    <n v="60"/>
    <n v="2"/>
    <s v="Medium"/>
    <n v="4"/>
    <x v="3"/>
    <x v="0"/>
    <n v="4"/>
    <s v="Very High"/>
    <x v="1"/>
    <n v="12031"/>
    <n v="8828"/>
    <n v="0"/>
    <x v="1"/>
    <n v="11"/>
    <n v="3"/>
    <s v="Excellent"/>
    <n v="1"/>
    <s v="Low"/>
    <n v="1"/>
    <n v="21"/>
    <n v="2"/>
    <n v="2"/>
    <s v="Medium"/>
    <n v="20"/>
    <n v="9"/>
    <n v="9"/>
    <n v="6"/>
  </r>
  <r>
    <n v="31"/>
    <x v="2"/>
    <x v="1"/>
    <x v="2"/>
    <n v="325"/>
    <x v="1"/>
    <n v="5"/>
    <x v="0"/>
    <n v="3"/>
    <s v="Bachelor"/>
    <s v="Medical"/>
    <n v="2057"/>
    <n v="2"/>
    <x v="0"/>
    <s v="Male"/>
    <n v="74"/>
    <n v="3"/>
    <s v="High"/>
    <n v="2"/>
    <x v="0"/>
    <x v="3"/>
    <n v="1"/>
    <s v="Low"/>
    <x v="0"/>
    <n v="9936"/>
    <n v="3787"/>
    <n v="0"/>
    <x v="1"/>
    <n v="19"/>
    <n v="3"/>
    <s v="Excellent"/>
    <n v="2"/>
    <s v="Medium"/>
    <n v="0"/>
    <n v="10"/>
    <n v="2"/>
    <n v="3"/>
    <s v="High"/>
    <n v="9"/>
    <n v="4"/>
    <n v="1"/>
    <n v="7"/>
  </r>
  <r>
    <n v="26"/>
    <x v="2"/>
    <x v="1"/>
    <x v="0"/>
    <n v="1167"/>
    <x v="0"/>
    <n v="5"/>
    <x v="0"/>
    <n v="3"/>
    <s v="Bachelor"/>
    <s v="Other"/>
    <n v="2060"/>
    <n v="4"/>
    <x v="3"/>
    <s v="Female"/>
    <n v="30"/>
    <n v="2"/>
    <s v="Medium"/>
    <n v="1"/>
    <x v="1"/>
    <x v="6"/>
    <n v="3"/>
    <s v="High"/>
    <x v="0"/>
    <n v="2966"/>
    <n v="21378"/>
    <n v="0"/>
    <x v="1"/>
    <n v="18"/>
    <n v="3"/>
    <s v="Excellent"/>
    <n v="4"/>
    <s v="Very High"/>
    <n v="0"/>
    <n v="5"/>
    <n v="2"/>
    <n v="3"/>
    <s v="High"/>
    <n v="4"/>
    <n v="2"/>
    <n v="0"/>
    <n v="0"/>
  </r>
  <r>
    <n v="36"/>
    <x v="0"/>
    <x v="1"/>
    <x v="1"/>
    <n v="884"/>
    <x v="1"/>
    <n v="23"/>
    <x v="1"/>
    <n v="2"/>
    <s v="College"/>
    <s v="Medical"/>
    <n v="2061"/>
    <n v="3"/>
    <x v="1"/>
    <s v="Male"/>
    <n v="41"/>
    <n v="4"/>
    <s v="Very High"/>
    <n v="2"/>
    <x v="0"/>
    <x v="2"/>
    <n v="4"/>
    <s v="Very High"/>
    <x v="1"/>
    <n v="2571"/>
    <n v="12290"/>
    <n v="4"/>
    <x v="1"/>
    <n v="17"/>
    <n v="3"/>
    <s v="Excellent"/>
    <n v="3"/>
    <s v="High"/>
    <n v="1"/>
    <n v="17"/>
    <n v="3"/>
    <n v="3"/>
    <s v="High"/>
    <n v="5"/>
    <n v="2"/>
    <n v="0"/>
    <n v="3"/>
  </r>
  <r>
    <n v="39"/>
    <x v="0"/>
    <x v="1"/>
    <x v="0"/>
    <n v="613"/>
    <x v="1"/>
    <n v="6"/>
    <x v="0"/>
    <n v="1"/>
    <s v="Below College"/>
    <s v="Medical"/>
    <n v="2062"/>
    <n v="4"/>
    <x v="3"/>
    <s v="Male"/>
    <n v="42"/>
    <n v="2"/>
    <s v="Medium"/>
    <n v="3"/>
    <x v="2"/>
    <x v="4"/>
    <n v="1"/>
    <s v="Low"/>
    <x v="1"/>
    <n v="9991"/>
    <n v="21457"/>
    <n v="4"/>
    <x v="1"/>
    <n v="15"/>
    <n v="3"/>
    <s v="Excellent"/>
    <n v="1"/>
    <s v="Low"/>
    <n v="1"/>
    <n v="9"/>
    <n v="5"/>
    <n v="3"/>
    <s v="High"/>
    <n v="7"/>
    <n v="7"/>
    <n v="1"/>
    <n v="7"/>
  </r>
  <r>
    <n v="27"/>
    <x v="2"/>
    <x v="1"/>
    <x v="0"/>
    <n v="155"/>
    <x v="1"/>
    <n v="4"/>
    <x v="0"/>
    <n v="3"/>
    <s v="Bachelor"/>
    <s v="Life Sciences"/>
    <n v="2064"/>
    <n v="2"/>
    <x v="0"/>
    <s v="Male"/>
    <n v="87"/>
    <n v="4"/>
    <s v="Very High"/>
    <n v="2"/>
    <x v="0"/>
    <x v="3"/>
    <n v="2"/>
    <s v="Medium"/>
    <x v="1"/>
    <n v="6142"/>
    <n v="5174"/>
    <n v="1"/>
    <x v="0"/>
    <n v="20"/>
    <n v="4"/>
    <s v="Outstanding"/>
    <n v="2"/>
    <s v="Medium"/>
    <n v="1"/>
    <n v="6"/>
    <n v="0"/>
    <n v="3"/>
    <s v="High"/>
    <n v="6"/>
    <n v="2"/>
    <n v="0"/>
    <n v="3"/>
  </r>
  <r>
    <n v="49"/>
    <x v="1"/>
    <x v="1"/>
    <x v="1"/>
    <n v="1023"/>
    <x v="0"/>
    <n v="2"/>
    <x v="0"/>
    <n v="3"/>
    <s v="Bachelor"/>
    <s v="Medical"/>
    <n v="2065"/>
    <n v="4"/>
    <x v="3"/>
    <s v="Male"/>
    <n v="63"/>
    <n v="2"/>
    <s v="Medium"/>
    <n v="2"/>
    <x v="0"/>
    <x v="0"/>
    <n v="2"/>
    <s v="Medium"/>
    <x v="1"/>
    <n v="5390"/>
    <n v="13243"/>
    <n v="2"/>
    <x v="1"/>
    <n v="14"/>
    <n v="3"/>
    <s v="Excellent"/>
    <n v="4"/>
    <s v="Very High"/>
    <n v="0"/>
    <n v="17"/>
    <n v="3"/>
    <n v="2"/>
    <s v="Medium"/>
    <n v="9"/>
    <n v="6"/>
    <n v="0"/>
    <n v="8"/>
  </r>
  <r>
    <n v="34"/>
    <x v="2"/>
    <x v="1"/>
    <x v="0"/>
    <n v="628"/>
    <x v="1"/>
    <n v="8"/>
    <x v="0"/>
    <n v="3"/>
    <s v="Bachelor"/>
    <s v="Medical"/>
    <n v="2068"/>
    <n v="2"/>
    <x v="0"/>
    <s v="Male"/>
    <n v="82"/>
    <n v="4"/>
    <s v="Very High"/>
    <n v="2"/>
    <x v="0"/>
    <x v="2"/>
    <n v="3"/>
    <s v="High"/>
    <x v="1"/>
    <n v="4404"/>
    <n v="10228"/>
    <n v="2"/>
    <x v="1"/>
    <n v="12"/>
    <n v="3"/>
    <s v="Excellent"/>
    <n v="1"/>
    <s v="Low"/>
    <n v="0"/>
    <n v="6"/>
    <n v="3"/>
    <n v="4"/>
    <s v="Very High"/>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150BF-80B3-4C3F-968F-A8A2F8A1AD0C}"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9" firstHeaderRow="1" firstDataRow="3" firstDataCol="1"/>
  <pivotFields count="42">
    <pivotField showAll="0"/>
    <pivotField showAll="0"/>
    <pivotField axis="axisCol" dataField="1" showAll="0">
      <items count="3">
        <item x="1"/>
        <item x="0"/>
        <item t="default"/>
      </items>
    </pivotField>
    <pivotField showAll="0">
      <items count="4">
        <item x="2"/>
        <item x="1"/>
        <item x="0"/>
        <item t="default"/>
      </items>
    </pivotField>
    <pivotField numFmtId="164" showAll="0"/>
    <pivotField axis="axisRow" showAll="0">
      <items count="4">
        <item x="2"/>
        <item x="1"/>
        <item x="0"/>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2">
    <field x="2"/>
    <field x="-2"/>
  </colFields>
  <colItems count="6">
    <i>
      <x/>
      <x/>
    </i>
    <i r="1" i="1">
      <x v="1"/>
    </i>
    <i>
      <x v="1"/>
      <x/>
    </i>
    <i r="1" i="1">
      <x v="1"/>
    </i>
    <i t="grand">
      <x/>
    </i>
    <i t="grand" i="1">
      <x/>
    </i>
  </colItems>
  <dataFields count="2">
    <dataField name="Count of Attrition" fld="2" subtotal="count" showDataAs="percentOfRow" baseField="0" baseItem="0" numFmtId="10"/>
    <dataField name="Count of Attrition2"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960888-3A33-419A-81A3-DFC6E99CDAAF}"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8" firstHeaderRow="1" firstDataRow="2" firstDataCol="1"/>
  <pivotFields count="42">
    <pivotField showAll="0"/>
    <pivotField showAll="0"/>
    <pivotField axis="axisCol" dataField="1" showAll="0">
      <items count="3">
        <item x="1"/>
        <item x="0"/>
        <item t="default"/>
      </items>
    </pivotField>
    <pivotField showAll="0">
      <items count="4">
        <item x="2"/>
        <item x="1"/>
        <item x="0"/>
        <item t="default"/>
      </items>
    </pivotField>
    <pivotField numFmtId="164" showAll="0"/>
    <pivotField axis="axisRow" showAll="0">
      <items count="4">
        <item x="2"/>
        <item x="1"/>
        <item x="0"/>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x v="1"/>
    </i>
    <i t="grand">
      <x/>
    </i>
  </colItems>
  <dataFields count="1">
    <dataField name="Count of Attrition" fld="2" subtotal="count" showDataAs="percentOfRow"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6E5BE-10F6-4274-95B0-D15E5F969A48}"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42">
    <pivotField showAll="0"/>
    <pivotField showAll="0"/>
    <pivotField axis="axisCol" dataField="1" showAll="0">
      <items count="3">
        <item x="1"/>
        <item x="0"/>
        <item t="default"/>
      </items>
    </pivotField>
    <pivotField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showAll="0"/>
    <pivotField numFmtId="164" showAll="0"/>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3">
    <i>
      <x/>
    </i>
    <i>
      <x v="1"/>
    </i>
    <i t="grand">
      <x/>
    </i>
  </rowItems>
  <colFields count="1">
    <field x="2"/>
  </colFields>
  <colItems count="3">
    <i>
      <x/>
    </i>
    <i>
      <x v="1"/>
    </i>
    <i t="grand">
      <x/>
    </i>
  </colItems>
  <dataFields count="1">
    <dataField name="Count of Attrition" fld="2" subtotal="count" showDataAs="percentOfRow"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67C6F-4669-4397-B16E-A1F115ACBCBB}"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1" firstDataRow="2" firstDataCol="1"/>
  <pivotFields count="42">
    <pivotField showAll="0"/>
    <pivotField showAll="0"/>
    <pivotField axis="axisCol" dataField="1" showAll="0">
      <items count="3">
        <item x="1"/>
        <item x="0"/>
        <item t="default"/>
      </items>
    </pivotField>
    <pivotField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axis="axisRow" showAll="0">
      <items count="5">
        <item x="1"/>
        <item x="2"/>
        <item x="0"/>
        <item x="3"/>
        <item t="default"/>
      </items>
    </pivotField>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2"/>
  </colFields>
  <colItems count="3">
    <i>
      <x/>
    </i>
    <i>
      <x v="1"/>
    </i>
    <i t="grand">
      <x/>
    </i>
  </colItems>
  <dataFields count="1">
    <dataField name="Count of Attrition" fld="2" subtotal="count" showDataAs="percentOfRow"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2D0A71-498F-49B4-8CBE-68C88F4B4424}" name="PivotTable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0" firstHeaderRow="1" firstDataRow="2" firstDataCol="1"/>
  <pivotFields count="42">
    <pivotField showAll="0"/>
    <pivotField axis="axisRow" showAll="0">
      <items count="6">
        <item x="4"/>
        <item x="2"/>
        <item x="0"/>
        <item x="1"/>
        <item x="3"/>
        <item t="default"/>
      </items>
    </pivotField>
    <pivotField axis="axisCol" dataField="1" showAll="0">
      <items count="3">
        <item x="1"/>
        <item x="0"/>
        <item t="default"/>
      </items>
    </pivotField>
    <pivotField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3">
    <i>
      <x/>
    </i>
    <i>
      <x v="1"/>
    </i>
    <i t="grand">
      <x/>
    </i>
  </colItems>
  <dataFields count="1">
    <dataField name="Count of Attrition" fld="2" subtotal="count" showDataAs="percentOfRow"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3BD364-EB42-4503-9E0F-A2FF430B2207}" name="PivotTable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4" firstHeaderRow="1" firstDataRow="2" firstDataCol="1"/>
  <pivotFields count="42">
    <pivotField showAll="0"/>
    <pivotField showAll="0"/>
    <pivotField axis="axisCol" dataField="1" showAll="0">
      <items count="3">
        <item x="1"/>
        <item x="0"/>
        <item t="default"/>
      </items>
    </pivotField>
    <pivotField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axis="axisRow" showAll="0">
      <items count="10">
        <item x="4"/>
        <item x="8"/>
        <item x="2"/>
        <item x="5"/>
        <item x="3"/>
        <item x="7"/>
        <item x="1"/>
        <item x="0"/>
        <item x="6"/>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0">
    <i>
      <x/>
    </i>
    <i>
      <x v="1"/>
    </i>
    <i>
      <x v="2"/>
    </i>
    <i>
      <x v="3"/>
    </i>
    <i>
      <x v="4"/>
    </i>
    <i>
      <x v="5"/>
    </i>
    <i>
      <x v="6"/>
    </i>
    <i>
      <x v="7"/>
    </i>
    <i>
      <x v="8"/>
    </i>
    <i t="grand">
      <x/>
    </i>
  </rowItems>
  <colFields count="1">
    <field x="2"/>
  </colFields>
  <colItems count="3">
    <i>
      <x/>
    </i>
    <i>
      <x v="1"/>
    </i>
    <i t="grand">
      <x/>
    </i>
  </colItems>
  <dataFields count="1">
    <dataField name="Count of Attrition" fld="2" subtotal="count" showDataAs="percentOfRow"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34B19-89B2-4F3E-A976-06E5C97A741D}"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42">
    <pivotField showAll="0"/>
    <pivotField showAll="0"/>
    <pivotField axis="axisCol" dataField="1" showAll="0">
      <items count="3">
        <item x="1"/>
        <item x="0"/>
        <item t="default"/>
      </items>
    </pivotField>
    <pivotField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axis="axisRow" showAll="0">
      <items count="4">
        <item x="2"/>
        <item x="1"/>
        <item x="0"/>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4">
    <i>
      <x/>
    </i>
    <i>
      <x v="1"/>
    </i>
    <i>
      <x v="2"/>
    </i>
    <i t="grand">
      <x/>
    </i>
  </rowItems>
  <colFields count="1">
    <field x="2"/>
  </colFields>
  <colItems count="3">
    <i>
      <x/>
    </i>
    <i>
      <x v="1"/>
    </i>
    <i t="grand">
      <x/>
    </i>
  </colItems>
  <dataFields count="1">
    <dataField name="Count of Attrition" fld="2" subtotal="count" showDataAs="percentOfRow" baseField="0" baseItem="0" numFmtId="1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90FC7A-3306-4882-A098-4BB48D44809C}"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42">
    <pivotField showAll="0"/>
    <pivotField showAll="0"/>
    <pivotField showAll="0"/>
    <pivotField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axis="axisRow" showAll="0">
      <items count="10">
        <item x="4"/>
        <item x="8"/>
        <item x="2"/>
        <item x="5"/>
        <item x="3"/>
        <item x="7"/>
        <item x="1"/>
        <item x="0"/>
        <item x="6"/>
        <item t="default"/>
      </items>
    </pivotField>
    <pivotField showAll="0"/>
    <pivotField showAll="0"/>
    <pivotField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0">
    <i>
      <x/>
    </i>
    <i>
      <x v="1"/>
    </i>
    <i>
      <x v="2"/>
    </i>
    <i>
      <x v="3"/>
    </i>
    <i>
      <x v="4"/>
    </i>
    <i>
      <x v="5"/>
    </i>
    <i>
      <x v="6"/>
    </i>
    <i>
      <x v="7"/>
    </i>
    <i>
      <x v="8"/>
    </i>
    <i t="grand">
      <x/>
    </i>
  </rowItems>
  <colItems count="1">
    <i/>
  </colItems>
  <dataFields count="1">
    <dataField name="Average of MonthlyIncome" fld="24" subtotal="average" baseField="19" baseItem="0" numFmtId="164"/>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B6998F-F29C-4C43-B0DA-4AD572AF179A}"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42">
    <pivotField showAll="0"/>
    <pivotField showAll="0"/>
    <pivotField showAll="0"/>
    <pivotField axis="axisRow" dataField="1" showAll="0">
      <items count="4">
        <item x="2"/>
        <item x="1"/>
        <item x="0"/>
        <item t="default"/>
      </items>
    </pivotField>
    <pivotField numFmtId="164"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items count="6">
        <item x="1"/>
        <item x="4"/>
        <item x="0"/>
        <item x="2"/>
        <item x="3"/>
        <item t="default"/>
      </items>
    </pivotField>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BusinessTravel"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5DEC55-3963-4E32-8A44-E0011D6FE55F}"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2">
    <pivotField showAll="0"/>
    <pivotField showAll="0"/>
    <pivotField showAll="0"/>
    <pivotField showAll="0"/>
    <pivotField numFmtId="164"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DistanceFromHome_Labe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_Label" xr10:uid="{802B9F70-149C-42B9-BA47-B1FDF4A6069E}" sourceName="JobLevel_Label">
  <pivotTables>
    <pivotTable tabId="12" name="PivotTable1"/>
    <pivotTable tabId="6" name="PivotTable5"/>
    <pivotTable tabId="3" name="PivotTable2"/>
    <pivotTable tabId="2" name="PivotTable1"/>
    <pivotTable tabId="7" name="PivotTable6"/>
    <pivotTable tabId="5" name="PivotTable4"/>
    <pivotTable tabId="8" name="PivotTable7"/>
    <pivotTable tabId="9" name="PivotTable8"/>
    <pivotTable tabId="4" name="PivotTable3"/>
  </pivotTables>
  <data>
    <tabular pivotCacheId="1187563525">
      <items count="5">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11017CA7-C856-403C-827B-133462147F6C}" sourceName="BusinessTravel">
  <pivotTables>
    <pivotTable tabId="12" name="PivotTable1"/>
    <pivotTable tabId="6" name="PivotTable5"/>
    <pivotTable tabId="3" name="PivotTable2"/>
    <pivotTable tabId="2" name="PivotTable1"/>
    <pivotTable tabId="7" name="PivotTable6"/>
    <pivotTable tabId="5" name="PivotTable4"/>
    <pivotTable tabId="8" name="PivotTable7"/>
    <pivotTable tabId="9" name="PivotTable8"/>
    <pivotTable tabId="4" name="PivotTable3"/>
  </pivotTables>
  <data>
    <tabular pivotCacheId="11875635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FromHome_Label" xr10:uid="{49B930B5-206E-4333-A25A-4B30D739D958}" sourceName="DistanceFromHome_Label">
  <pivotTables>
    <pivotTable tabId="16" name="PivotTable4"/>
    <pivotTable tabId="6" name="PivotTable5"/>
    <pivotTable tabId="3" name="PivotTable2"/>
    <pivotTable tabId="2" name="PivotTable1"/>
    <pivotTable tabId="7" name="PivotTable6"/>
    <pivotTable tabId="5" name="PivotTable4"/>
    <pivotTable tabId="8" name="PivotTable7"/>
    <pivotTable tabId="9" name="PivotTable8"/>
    <pivotTable tabId="4" name="PivotTable3"/>
    <pivotTable tabId="12" name="PivotTable1"/>
  </pivotTables>
  <data>
    <tabular pivotCacheId="11875635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evel_Label 1" xr10:uid="{7DA15A3D-0536-4C13-87A2-BBCC113265B7}" cache="Slicer_JobLevel_Label" caption="JobLevel_Label" style="SlicerStyleLight5" rowHeight="257175"/>
  <slicer name="BusinessTravel 1" xr10:uid="{FDAEF517-9E40-40B9-9996-AFAB0BA89829}" cache="Slicer_BusinessTravel" caption="BusinessTravel" style="SlicerStyleLight5" rowHeight="257175"/>
  <slicer name="DistanceFromHome_Label 1" xr10:uid="{FE36CF66-CE46-43F6-9B8A-635F39363297}" cache="Slicer_DistanceFromHome_Label" caption="DistanceFromHome_Label"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68BD9BF0-014E-4C86-8493-4F6E688A4FF7}" cache="Slicer_BusinessTravel" caption="BusinessTravel"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anceFromHome_Label" xr10:uid="{B052D158-DA9B-4890-A234-D728AC3256E8}" cache="Slicer_DistanceFromHome_Label" caption="DistanceFromHome_Label"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CA9D-5A17-4034-AE2E-28B4E841F558}">
  <dimension ref="B2:I2"/>
  <sheetViews>
    <sheetView showGridLines="0" tabSelected="1" zoomScale="70" zoomScaleNormal="70" workbookViewId="0">
      <selection activeCell="A2" sqref="A2"/>
    </sheetView>
  </sheetViews>
  <sheetFormatPr defaultRowHeight="15"/>
  <sheetData>
    <row r="2" spans="2:9" ht="46.5">
      <c r="B2" s="6"/>
      <c r="I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45590-B878-435B-86AC-47BEDB8BD080}">
  <dimension ref="A3:G9"/>
  <sheetViews>
    <sheetView workbookViewId="0">
      <selection activeCell="G14" sqref="G14"/>
    </sheetView>
  </sheetViews>
  <sheetFormatPr defaultRowHeight="15"/>
  <cols>
    <col min="1" max="1" width="23.140625" bestFit="1" customWidth="1"/>
    <col min="2" max="2" width="16.85546875" bestFit="1" customWidth="1"/>
    <col min="3" max="3" width="18" bestFit="1" customWidth="1"/>
    <col min="4" max="4" width="16.85546875" bestFit="1" customWidth="1"/>
    <col min="5" max="5" width="18" bestFit="1" customWidth="1"/>
    <col min="6" max="6" width="22" bestFit="1" customWidth="1"/>
    <col min="7" max="7" width="23" bestFit="1" customWidth="1"/>
  </cols>
  <sheetData>
    <row r="3" spans="1:7">
      <c r="B3" s="3" t="s">
        <v>69</v>
      </c>
    </row>
    <row r="4" spans="1:7">
      <c r="B4" t="s">
        <v>39</v>
      </c>
      <c r="D4" t="s">
        <v>32</v>
      </c>
      <c r="F4" t="s">
        <v>71</v>
      </c>
      <c r="G4" t="s">
        <v>72</v>
      </c>
    </row>
    <row r="5" spans="1:7">
      <c r="A5" s="3" t="s">
        <v>67</v>
      </c>
      <c r="B5" t="s">
        <v>70</v>
      </c>
      <c r="C5" t="s">
        <v>73</v>
      </c>
      <c r="D5" t="s">
        <v>70</v>
      </c>
      <c r="E5" t="s">
        <v>73</v>
      </c>
    </row>
    <row r="6" spans="1:7">
      <c r="A6" s="4" t="s">
        <v>57</v>
      </c>
      <c r="B6" s="5">
        <v>0.80952380952380953</v>
      </c>
      <c r="C6" s="8">
        <v>51</v>
      </c>
      <c r="D6" s="5">
        <v>0.19047619047619047</v>
      </c>
      <c r="E6" s="8">
        <v>12</v>
      </c>
      <c r="F6" s="5">
        <v>1</v>
      </c>
      <c r="G6" s="8">
        <v>63</v>
      </c>
    </row>
    <row r="7" spans="1:7">
      <c r="A7" s="4" t="s">
        <v>41</v>
      </c>
      <c r="B7" s="5">
        <v>0.86160249739854322</v>
      </c>
      <c r="C7" s="8">
        <v>828</v>
      </c>
      <c r="D7" s="5">
        <v>0.13839750260145681</v>
      </c>
      <c r="E7" s="8">
        <v>133</v>
      </c>
      <c r="F7" s="5">
        <v>1</v>
      </c>
      <c r="G7" s="8">
        <v>961</v>
      </c>
    </row>
    <row r="8" spans="1:7">
      <c r="A8" s="4" t="s">
        <v>34</v>
      </c>
      <c r="B8" s="5">
        <v>0.79372197309417036</v>
      </c>
      <c r="C8" s="8">
        <v>354</v>
      </c>
      <c r="D8" s="5">
        <v>0.20627802690582961</v>
      </c>
      <c r="E8" s="8">
        <v>92</v>
      </c>
      <c r="F8" s="5">
        <v>1</v>
      </c>
      <c r="G8" s="8">
        <v>446</v>
      </c>
    </row>
    <row r="9" spans="1:7">
      <c r="A9" s="4" t="s">
        <v>68</v>
      </c>
      <c r="B9" s="5">
        <v>0.83877551020408159</v>
      </c>
      <c r="C9" s="8">
        <v>1233</v>
      </c>
      <c r="D9" s="5">
        <v>0.16122448979591836</v>
      </c>
      <c r="E9" s="8">
        <v>237</v>
      </c>
      <c r="F9" s="5">
        <v>1</v>
      </c>
      <c r="G9" s="8">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94ECA-CD30-4F21-8959-7A060E41BF25}">
  <dimension ref="A3:D8"/>
  <sheetViews>
    <sheetView topLeftCell="A4" workbookViewId="0">
      <selection activeCell="A13" sqref="A13"/>
    </sheetView>
  </sheetViews>
  <sheetFormatPr defaultRowHeight="15"/>
  <cols>
    <col min="1" max="1" width="23.140625" bestFit="1" customWidth="1"/>
    <col min="2" max="2" width="16.85546875" bestFit="1" customWidth="1"/>
    <col min="3" max="3" width="7.140625" bestFit="1" customWidth="1"/>
    <col min="4" max="4" width="11.28515625" bestFit="1" customWidth="1"/>
    <col min="5" max="5" width="18" bestFit="1" customWidth="1"/>
    <col min="6" max="6" width="22" bestFit="1" customWidth="1"/>
    <col min="7" max="7" width="23" bestFit="1" customWidth="1"/>
  </cols>
  <sheetData>
    <row r="3" spans="1:4">
      <c r="A3" s="3" t="s">
        <v>70</v>
      </c>
      <c r="B3" s="3" t="s">
        <v>69</v>
      </c>
    </row>
    <row r="4" spans="1:4">
      <c r="A4" s="3" t="s">
        <v>67</v>
      </c>
      <c r="B4" t="s">
        <v>39</v>
      </c>
      <c r="C4" t="s">
        <v>32</v>
      </c>
      <c r="D4" t="s">
        <v>68</v>
      </c>
    </row>
    <row r="5" spans="1:4">
      <c r="A5" s="4" t="s">
        <v>57</v>
      </c>
      <c r="B5" s="5">
        <v>0.80952380952380953</v>
      </c>
      <c r="C5" s="5">
        <v>0.19047619047619047</v>
      </c>
      <c r="D5" s="5">
        <v>1</v>
      </c>
    </row>
    <row r="6" spans="1:4">
      <c r="A6" s="4" t="s">
        <v>41</v>
      </c>
      <c r="B6" s="5">
        <v>0.86160249739854322</v>
      </c>
      <c r="C6" s="5">
        <v>0.13839750260145681</v>
      </c>
      <c r="D6" s="5">
        <v>1</v>
      </c>
    </row>
    <row r="7" spans="1:4">
      <c r="A7" s="4" t="s">
        <v>34</v>
      </c>
      <c r="B7" s="5">
        <v>0.79372197309417036</v>
      </c>
      <c r="C7" s="5">
        <v>0.20627802690582961</v>
      </c>
      <c r="D7" s="5">
        <v>1</v>
      </c>
    </row>
    <row r="8" spans="1:4">
      <c r="A8" s="4" t="s">
        <v>68</v>
      </c>
      <c r="B8" s="5">
        <v>0.83877551020408159</v>
      </c>
      <c r="C8" s="5">
        <v>0.16122448979591836</v>
      </c>
      <c r="D8"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20E8-92F3-4175-B1C2-6F99AC58EFE2}">
  <dimension ref="A3:D7"/>
  <sheetViews>
    <sheetView workbookViewId="0">
      <selection activeCell="B12" sqref="B12"/>
    </sheetView>
  </sheetViews>
  <sheetFormatPr defaultRowHeight="15"/>
  <cols>
    <col min="1" max="2" width="16.85546875" bestFit="1" customWidth="1"/>
    <col min="3" max="3" width="7.140625" bestFit="1" customWidth="1"/>
    <col min="4" max="4" width="11.28515625" bestFit="1" customWidth="1"/>
  </cols>
  <sheetData>
    <row r="3" spans="1:4">
      <c r="A3" s="3" t="s">
        <v>70</v>
      </c>
      <c r="B3" s="3" t="s">
        <v>69</v>
      </c>
    </row>
    <row r="4" spans="1:4">
      <c r="A4" s="3" t="s">
        <v>67</v>
      </c>
      <c r="B4" t="s">
        <v>39</v>
      </c>
      <c r="C4" t="s">
        <v>32</v>
      </c>
      <c r="D4" t="s">
        <v>68</v>
      </c>
    </row>
    <row r="5" spans="1:4">
      <c r="A5" s="4" t="s">
        <v>39</v>
      </c>
      <c r="B5" s="5">
        <v>0.89563567362428842</v>
      </c>
      <c r="C5" s="5">
        <v>0.10436432637571158</v>
      </c>
      <c r="D5" s="5">
        <v>1</v>
      </c>
    </row>
    <row r="6" spans="1:4">
      <c r="A6" s="4" t="s">
        <v>32</v>
      </c>
      <c r="B6" s="5">
        <v>0.69471153846153844</v>
      </c>
      <c r="C6" s="5">
        <v>0.30528846153846156</v>
      </c>
      <c r="D6" s="5">
        <v>1</v>
      </c>
    </row>
    <row r="7" spans="1:4">
      <c r="A7" s="4" t="s">
        <v>68</v>
      </c>
      <c r="B7" s="5">
        <v>0.83877551020408159</v>
      </c>
      <c r="C7" s="5">
        <v>0.16122448979591836</v>
      </c>
      <c r="D7"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9421-4F62-47AF-993C-EA47A5B23CC5}">
  <dimension ref="A3:D9"/>
  <sheetViews>
    <sheetView workbookViewId="0">
      <selection activeCell="A14" sqref="A14"/>
    </sheetView>
  </sheetViews>
  <sheetFormatPr defaultRowHeight="15"/>
  <cols>
    <col min="1" max="2" width="16.85546875" bestFit="1" customWidth="1"/>
    <col min="3" max="3" width="7.140625" bestFit="1" customWidth="1"/>
    <col min="4" max="4" width="11.28515625" bestFit="1" customWidth="1"/>
  </cols>
  <sheetData>
    <row r="3" spans="1:4">
      <c r="A3" s="3" t="s">
        <v>70</v>
      </c>
      <c r="B3" s="3" t="s">
        <v>69</v>
      </c>
    </row>
    <row r="4" spans="1:4">
      <c r="A4" s="3" t="s">
        <v>67</v>
      </c>
      <c r="B4" t="s">
        <v>39</v>
      </c>
      <c r="C4" t="s">
        <v>32</v>
      </c>
      <c r="D4" t="s">
        <v>68</v>
      </c>
    </row>
    <row r="5" spans="1:4">
      <c r="A5" s="4" t="s">
        <v>74</v>
      </c>
      <c r="B5" s="5">
        <v>0.86313465783664456</v>
      </c>
      <c r="C5" s="5">
        <v>0.13686534216335541</v>
      </c>
      <c r="D5" s="5">
        <v>1</v>
      </c>
    </row>
    <row r="6" spans="1:4">
      <c r="A6" s="4" t="s">
        <v>75</v>
      </c>
      <c r="B6" s="5">
        <v>0.743859649122807</v>
      </c>
      <c r="C6" s="5">
        <v>0.256140350877193</v>
      </c>
      <c r="D6" s="5">
        <v>1</v>
      </c>
    </row>
    <row r="7" spans="1:4">
      <c r="A7" s="4" t="s">
        <v>76</v>
      </c>
      <c r="B7" s="5">
        <v>0.85017421602787457</v>
      </c>
      <c r="C7" s="5">
        <v>0.14982578397212543</v>
      </c>
      <c r="D7" s="5">
        <v>1</v>
      </c>
    </row>
    <row r="8" spans="1:4">
      <c r="A8" s="4" t="s">
        <v>77</v>
      </c>
      <c r="B8" s="5">
        <v>0.86741573033707864</v>
      </c>
      <c r="C8" s="5">
        <v>0.13258426966292136</v>
      </c>
      <c r="D8" s="5">
        <v>1</v>
      </c>
    </row>
    <row r="9" spans="1:4">
      <c r="A9" s="4" t="s">
        <v>68</v>
      </c>
      <c r="B9" s="5">
        <v>0.83877551020408159</v>
      </c>
      <c r="C9" s="5">
        <v>0.16122448979591836</v>
      </c>
      <c r="D9"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B83A-CA95-48B2-BC86-BF0B7B284A8D}">
  <dimension ref="A3:D10"/>
  <sheetViews>
    <sheetView workbookViewId="0">
      <selection activeCell="A6" sqref="A6"/>
    </sheetView>
  </sheetViews>
  <sheetFormatPr defaultRowHeight="15"/>
  <cols>
    <col min="1" max="2" width="16.85546875" bestFit="1" customWidth="1"/>
    <col min="3" max="3" width="7.140625" bestFit="1" customWidth="1"/>
    <col min="4" max="4" width="11.28515625" bestFit="1" customWidth="1"/>
  </cols>
  <sheetData>
    <row r="3" spans="1:4">
      <c r="A3" s="3" t="s">
        <v>70</v>
      </c>
      <c r="B3" s="3" t="s">
        <v>69</v>
      </c>
    </row>
    <row r="4" spans="1:4">
      <c r="A4" s="3" t="s">
        <v>67</v>
      </c>
      <c r="B4" t="s">
        <v>39</v>
      </c>
      <c r="C4" t="s">
        <v>32</v>
      </c>
      <c r="D4" t="s">
        <v>68</v>
      </c>
    </row>
    <row r="5" spans="1:4">
      <c r="A5" s="4" t="s">
        <v>78</v>
      </c>
      <c r="B5" s="5">
        <v>0.64227642276422769</v>
      </c>
      <c r="C5" s="5">
        <v>0.35772357723577236</v>
      </c>
      <c r="D5" s="5">
        <v>1</v>
      </c>
    </row>
    <row r="6" spans="1:4">
      <c r="A6" s="4" t="s">
        <v>79</v>
      </c>
      <c r="B6" s="5">
        <v>0.8085808580858086</v>
      </c>
      <c r="C6" s="5">
        <v>0.19141914191419143</v>
      </c>
      <c r="D6" s="5">
        <v>1</v>
      </c>
    </row>
    <row r="7" spans="1:4">
      <c r="A7" s="4" t="s">
        <v>80</v>
      </c>
      <c r="B7" s="5">
        <v>0.90811965811965811</v>
      </c>
      <c r="C7" s="5">
        <v>9.1880341880341887E-2</v>
      </c>
      <c r="D7" s="5">
        <v>1</v>
      </c>
    </row>
    <row r="8" spans="1:4">
      <c r="A8" s="4" t="s">
        <v>81</v>
      </c>
      <c r="B8" s="5">
        <v>0.88495575221238942</v>
      </c>
      <c r="C8" s="5">
        <v>0.11504424778761062</v>
      </c>
      <c r="D8" s="5">
        <v>1</v>
      </c>
    </row>
    <row r="9" spans="1:4">
      <c r="A9" s="4" t="s">
        <v>82</v>
      </c>
      <c r="B9" s="5">
        <v>0.82978723404255317</v>
      </c>
      <c r="C9" s="5">
        <v>0.1702127659574468</v>
      </c>
      <c r="D9" s="5">
        <v>1</v>
      </c>
    </row>
    <row r="10" spans="1:4">
      <c r="A10" s="4" t="s">
        <v>68</v>
      </c>
      <c r="B10" s="5">
        <v>0.83877551020408159</v>
      </c>
      <c r="C10" s="5">
        <v>0.16122448979591836</v>
      </c>
      <c r="D10"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D0A6-ACB2-40C1-9BD2-19EB4BDD73E3}">
  <dimension ref="A3:D14"/>
  <sheetViews>
    <sheetView workbookViewId="0">
      <selection activeCell="A16" sqref="A16"/>
    </sheetView>
  </sheetViews>
  <sheetFormatPr defaultRowHeight="15"/>
  <cols>
    <col min="1" max="1" width="24.28515625" bestFit="1" customWidth="1"/>
    <col min="2" max="2" width="16.85546875" bestFit="1" customWidth="1"/>
    <col min="3" max="3" width="7.140625" bestFit="1" customWidth="1"/>
    <col min="4" max="4" width="11.28515625" bestFit="1" customWidth="1"/>
  </cols>
  <sheetData>
    <row r="3" spans="1:4">
      <c r="A3" s="3" t="s">
        <v>70</v>
      </c>
      <c r="B3" s="3" t="s">
        <v>69</v>
      </c>
    </row>
    <row r="4" spans="1:4">
      <c r="A4" s="3" t="s">
        <v>67</v>
      </c>
      <c r="B4" t="s">
        <v>39</v>
      </c>
      <c r="C4" t="s">
        <v>32</v>
      </c>
      <c r="D4" t="s">
        <v>68</v>
      </c>
    </row>
    <row r="5" spans="1:4">
      <c r="A5" s="4" t="s">
        <v>50</v>
      </c>
      <c r="B5" s="5">
        <v>0.93129770992366412</v>
      </c>
      <c r="C5" s="5">
        <v>6.8702290076335881E-2</v>
      </c>
      <c r="D5" s="5">
        <v>1</v>
      </c>
    </row>
    <row r="6" spans="1:4">
      <c r="A6" s="4" t="s">
        <v>57</v>
      </c>
      <c r="B6" s="5">
        <v>0.76923076923076927</v>
      </c>
      <c r="C6" s="5">
        <v>0.23076923076923078</v>
      </c>
      <c r="D6" s="5">
        <v>1</v>
      </c>
    </row>
    <row r="7" spans="1:4">
      <c r="A7" s="4" t="s">
        <v>46</v>
      </c>
      <c r="B7" s="5">
        <v>0.76061776061776065</v>
      </c>
      <c r="C7" s="5">
        <v>0.23938223938223938</v>
      </c>
      <c r="D7" s="5">
        <v>1</v>
      </c>
    </row>
    <row r="8" spans="1:4">
      <c r="A8" s="4" t="s">
        <v>52</v>
      </c>
      <c r="B8" s="5">
        <v>0.9509803921568627</v>
      </c>
      <c r="C8" s="5">
        <v>4.9019607843137254E-2</v>
      </c>
      <c r="D8" s="5">
        <v>1</v>
      </c>
    </row>
    <row r="9" spans="1:4">
      <c r="A9" s="4" t="s">
        <v>49</v>
      </c>
      <c r="B9" s="5">
        <v>0.93103448275862066</v>
      </c>
      <c r="C9" s="5">
        <v>6.8965517241379309E-2</v>
      </c>
      <c r="D9" s="5">
        <v>1</v>
      </c>
    </row>
    <row r="10" spans="1:4">
      <c r="A10" s="4" t="s">
        <v>54</v>
      </c>
      <c r="B10" s="5">
        <v>0.97499999999999998</v>
      </c>
      <c r="C10" s="5">
        <v>2.5000000000000001E-2</v>
      </c>
      <c r="D10" s="5">
        <v>1</v>
      </c>
    </row>
    <row r="11" spans="1:4">
      <c r="A11" s="4" t="s">
        <v>43</v>
      </c>
      <c r="B11" s="5">
        <v>0.83904109589041098</v>
      </c>
      <c r="C11" s="5">
        <v>0.16095890410958905</v>
      </c>
      <c r="D11" s="5">
        <v>1</v>
      </c>
    </row>
    <row r="12" spans="1:4">
      <c r="A12" s="4" t="s">
        <v>37</v>
      </c>
      <c r="B12" s="5">
        <v>0.82515337423312884</v>
      </c>
      <c r="C12" s="5">
        <v>0.17484662576687116</v>
      </c>
      <c r="D12" s="5">
        <v>1</v>
      </c>
    </row>
    <row r="13" spans="1:4">
      <c r="A13" s="4" t="s">
        <v>53</v>
      </c>
      <c r="B13" s="5">
        <v>0.60240963855421692</v>
      </c>
      <c r="C13" s="5">
        <v>0.39759036144578314</v>
      </c>
      <c r="D13" s="5">
        <v>1</v>
      </c>
    </row>
    <row r="14" spans="1:4">
      <c r="A14" s="4" t="s">
        <v>68</v>
      </c>
      <c r="B14" s="5">
        <v>0.83877551020408159</v>
      </c>
      <c r="C14" s="5">
        <v>0.16122448979591836</v>
      </c>
      <c r="D14" s="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607C-BD05-4F39-9CA4-C31F29C1B32D}">
  <dimension ref="A3:D8"/>
  <sheetViews>
    <sheetView workbookViewId="0">
      <selection activeCell="B14" sqref="B14"/>
    </sheetView>
  </sheetViews>
  <sheetFormatPr defaultRowHeight="15"/>
  <cols>
    <col min="1" max="2" width="16.85546875" bestFit="1" customWidth="1"/>
    <col min="3" max="3" width="7.140625" bestFit="1" customWidth="1"/>
    <col min="4" max="4" width="11.28515625" bestFit="1" customWidth="1"/>
  </cols>
  <sheetData>
    <row r="3" spans="1:4">
      <c r="A3" s="3" t="s">
        <v>70</v>
      </c>
      <c r="B3" s="3" t="s">
        <v>69</v>
      </c>
    </row>
    <row r="4" spans="1:4">
      <c r="A4" s="3" t="s">
        <v>67</v>
      </c>
      <c r="B4" t="s">
        <v>39</v>
      </c>
      <c r="C4" t="s">
        <v>32</v>
      </c>
      <c r="D4" t="s">
        <v>68</v>
      </c>
    </row>
    <row r="5" spans="1:4">
      <c r="A5" s="4" t="s">
        <v>48</v>
      </c>
      <c r="B5" s="5">
        <v>0.8990825688073395</v>
      </c>
      <c r="C5" s="5">
        <v>0.10091743119266056</v>
      </c>
      <c r="D5" s="5">
        <v>1</v>
      </c>
    </row>
    <row r="6" spans="1:4">
      <c r="A6" s="4" t="s">
        <v>44</v>
      </c>
      <c r="B6" s="5">
        <v>0.87518573551263001</v>
      </c>
      <c r="C6" s="5">
        <v>0.12481426448736999</v>
      </c>
      <c r="D6" s="5">
        <v>1</v>
      </c>
    </row>
    <row r="7" spans="1:4">
      <c r="A7" s="4" t="s">
        <v>38</v>
      </c>
      <c r="B7" s="5">
        <v>0.74468085106382975</v>
      </c>
      <c r="C7" s="5">
        <v>0.25531914893617019</v>
      </c>
      <c r="D7" s="5">
        <v>1</v>
      </c>
    </row>
    <row r="8" spans="1:4">
      <c r="A8" s="4" t="s">
        <v>68</v>
      </c>
      <c r="B8" s="5">
        <v>0.83877551020408159</v>
      </c>
      <c r="C8" s="5">
        <v>0.16122448979591836</v>
      </c>
      <c r="D8" s="5">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CCBE-67B7-491E-A79C-2E258DFAA39A}">
  <dimension ref="A3:B13"/>
  <sheetViews>
    <sheetView workbookViewId="0">
      <selection activeCell="A16" sqref="A16"/>
    </sheetView>
  </sheetViews>
  <sheetFormatPr defaultRowHeight="15"/>
  <cols>
    <col min="1" max="1" width="24.28515625" bestFit="1" customWidth="1"/>
    <col min="2" max="2" width="25.28515625" bestFit="1" customWidth="1"/>
  </cols>
  <sheetData>
    <row r="3" spans="1:2">
      <c r="A3" s="3" t="s">
        <v>67</v>
      </c>
      <c r="B3" t="s">
        <v>83</v>
      </c>
    </row>
    <row r="4" spans="1:2">
      <c r="A4" s="4" t="s">
        <v>50</v>
      </c>
      <c r="B4" s="2">
        <v>7528.7633587786258</v>
      </c>
    </row>
    <row r="5" spans="1:2">
      <c r="A5" s="4" t="s">
        <v>57</v>
      </c>
      <c r="B5" s="2">
        <v>4235.75</v>
      </c>
    </row>
    <row r="6" spans="1:2">
      <c r="A6" s="4" t="s">
        <v>46</v>
      </c>
      <c r="B6" s="2">
        <v>3237.169884169884</v>
      </c>
    </row>
    <row r="7" spans="1:2">
      <c r="A7" s="4" t="s">
        <v>52</v>
      </c>
      <c r="B7" s="2">
        <v>17181.676470588234</v>
      </c>
    </row>
    <row r="8" spans="1:2">
      <c r="A8" s="4" t="s">
        <v>49</v>
      </c>
      <c r="B8" s="2">
        <v>7295.1379310344828</v>
      </c>
    </row>
    <row r="9" spans="1:2">
      <c r="A9" s="4" t="s">
        <v>54</v>
      </c>
      <c r="B9" s="2">
        <v>16033.55</v>
      </c>
    </row>
    <row r="10" spans="1:2">
      <c r="A10" s="4" t="s">
        <v>43</v>
      </c>
      <c r="B10" s="2">
        <v>3239.972602739726</v>
      </c>
    </row>
    <row r="11" spans="1:2">
      <c r="A11" s="4" t="s">
        <v>37</v>
      </c>
      <c r="B11" s="2">
        <v>6924.2791411042945</v>
      </c>
    </row>
    <row r="12" spans="1:2">
      <c r="A12" s="4" t="s">
        <v>53</v>
      </c>
      <c r="B12" s="2">
        <v>2626</v>
      </c>
    </row>
    <row r="13" spans="1:2">
      <c r="A13" s="4" t="s">
        <v>68</v>
      </c>
      <c r="B13" s="2">
        <v>6502.931292517007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4484-08B0-4DC2-B515-F67535A3E36A}">
  <dimension ref="A3:B7"/>
  <sheetViews>
    <sheetView workbookViewId="0">
      <selection activeCell="G21" sqref="G21"/>
    </sheetView>
  </sheetViews>
  <sheetFormatPr defaultRowHeight="15"/>
  <cols>
    <col min="1" max="1" width="16.42578125" bestFit="1" customWidth="1"/>
    <col min="2" max="2" width="23.28515625" bestFit="1" customWidth="1"/>
  </cols>
  <sheetData>
    <row r="3" spans="1:2">
      <c r="A3" s="3" t="s">
        <v>67</v>
      </c>
      <c r="B3" t="s">
        <v>84</v>
      </c>
    </row>
    <row r="4" spans="1:2">
      <c r="A4" s="4" t="s">
        <v>51</v>
      </c>
      <c r="B4" s="8">
        <v>150</v>
      </c>
    </row>
    <row r="5" spans="1:2">
      <c r="A5" s="4" t="s">
        <v>40</v>
      </c>
      <c r="B5" s="8">
        <v>277</v>
      </c>
    </row>
    <row r="6" spans="1:2">
      <c r="A6" s="4" t="s">
        <v>33</v>
      </c>
      <c r="B6" s="8">
        <v>1043</v>
      </c>
    </row>
    <row r="7" spans="1:2">
      <c r="A7" s="4" t="s">
        <v>68</v>
      </c>
      <c r="B7" s="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24B23-B2C9-4777-8EC4-07B6A2FA39A4}">
  <dimension ref="A3:B7"/>
  <sheetViews>
    <sheetView workbookViewId="0">
      <selection activeCell="A7" sqref="A7"/>
    </sheetView>
  </sheetViews>
  <sheetFormatPr defaultRowHeight="15"/>
  <cols>
    <col min="1" max="1" width="13.42578125" bestFit="1" customWidth="1"/>
    <col min="2" max="2" width="33.85546875" bestFit="1" customWidth="1"/>
  </cols>
  <sheetData>
    <row r="3" spans="1:2">
      <c r="A3" s="3" t="s">
        <v>67</v>
      </c>
      <c r="B3" t="s">
        <v>89</v>
      </c>
    </row>
    <row r="4" spans="1:2">
      <c r="A4" s="4" t="s">
        <v>86</v>
      </c>
      <c r="B4" s="8">
        <v>1026</v>
      </c>
    </row>
    <row r="5" spans="1:2">
      <c r="A5" s="4" t="s">
        <v>87</v>
      </c>
      <c r="B5" s="8">
        <v>240</v>
      </c>
    </row>
    <row r="6" spans="1:2">
      <c r="A6" s="4" t="s">
        <v>88</v>
      </c>
      <c r="B6" s="8">
        <v>204</v>
      </c>
    </row>
    <row r="7" spans="1:2">
      <c r="A7" s="4" t="s">
        <v>68</v>
      </c>
      <c r="B7" s="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2F1F-7C22-4A11-B347-41A7D80D3118}">
  <dimension ref="A1:AP1471"/>
  <sheetViews>
    <sheetView workbookViewId="0">
      <selection activeCell="I1" sqref="I1"/>
    </sheetView>
  </sheetViews>
  <sheetFormatPr defaultRowHeight="15"/>
  <cols>
    <col min="1" max="1" width="4.140625" bestFit="1" customWidth="1"/>
    <col min="2" max="2" width="10.42578125" bestFit="1" customWidth="1"/>
    <col min="3" max="3" width="8" bestFit="1" customWidth="1"/>
    <col min="4" max="4" width="16.42578125" bestFit="1" customWidth="1"/>
    <col min="5" max="5" width="9.28515625" style="2" bestFit="1" customWidth="1"/>
    <col min="6" max="6" width="23.140625" bestFit="1" customWidth="1"/>
    <col min="7" max="7" width="18.7109375" bestFit="1" customWidth="1"/>
    <col min="8" max="8" width="18.7109375" customWidth="1"/>
    <col min="9" max="9" width="9.85546875" bestFit="1" customWidth="1"/>
    <col min="10" max="10" width="15.5703125" bestFit="1" customWidth="1"/>
    <col min="11" max="11" width="17.28515625" bestFit="1" customWidth="1"/>
    <col min="12" max="12" width="16.7109375" bestFit="1" customWidth="1"/>
    <col min="13" max="13" width="22.85546875" bestFit="1" customWidth="1"/>
    <col min="14" max="14" width="29" bestFit="1" customWidth="1"/>
    <col min="15" max="15" width="7.42578125" bestFit="1" customWidth="1"/>
    <col min="16" max="16" width="10.5703125" style="2" bestFit="1" customWidth="1"/>
    <col min="17" max="17" width="14.7109375" bestFit="1" customWidth="1"/>
    <col min="18" max="18" width="20.42578125" bestFit="1" customWidth="1"/>
    <col min="19" max="19" width="8.28515625" bestFit="1" customWidth="1"/>
    <col min="20" max="20" width="14" bestFit="1" customWidth="1"/>
    <col min="21" max="21" width="24.28515625" bestFit="1" customWidth="1"/>
    <col min="22" max="22" width="14.5703125" bestFit="1" customWidth="1"/>
    <col min="23" max="23" width="19.28515625" bestFit="1" customWidth="1"/>
    <col min="24" max="24" width="12.7109375" bestFit="1" customWidth="1"/>
    <col min="25" max="25" width="14.7109375" style="2" bestFit="1" customWidth="1"/>
    <col min="26" max="26" width="11.85546875" style="2" bestFit="1" customWidth="1"/>
    <col min="27" max="27" width="22.42578125" bestFit="1" customWidth="1"/>
    <col min="28" max="28" width="9.28515625" bestFit="1" customWidth="1"/>
    <col min="29" max="29" width="17" bestFit="1" customWidth="1"/>
    <col min="30" max="30" width="18.140625" bestFit="1" customWidth="1"/>
    <col min="31" max="31" width="23.85546875" bestFit="1" customWidth="1"/>
    <col min="32" max="32" width="23" bestFit="1" customWidth="1"/>
    <col min="33" max="33" width="28.7109375" bestFit="1" customWidth="1"/>
    <col min="34" max="34" width="16.140625" bestFit="1" customWidth="1"/>
    <col min="35" max="35" width="17.85546875" bestFit="1" customWidth="1"/>
    <col min="36" max="36" width="21.42578125" bestFit="1" customWidth="1"/>
    <col min="37" max="37" width="15.85546875" bestFit="1" customWidth="1"/>
    <col min="38" max="38" width="21.7109375" bestFit="1" customWidth="1"/>
    <col min="39" max="39" width="16" bestFit="1" customWidth="1"/>
    <col min="40" max="40" width="18.140625" bestFit="1" customWidth="1"/>
    <col min="41" max="41" width="23.85546875" bestFit="1" customWidth="1"/>
    <col min="42" max="42" width="21.7109375" bestFit="1" customWidth="1"/>
  </cols>
  <sheetData>
    <row r="1" spans="1:42">
      <c r="A1" t="s">
        <v>0</v>
      </c>
      <c r="B1" t="s">
        <v>66</v>
      </c>
      <c r="C1" t="s">
        <v>1</v>
      </c>
      <c r="D1" t="s">
        <v>2</v>
      </c>
      <c r="E1" s="2" t="s">
        <v>3</v>
      </c>
      <c r="F1" t="s">
        <v>4</v>
      </c>
      <c r="G1" t="s">
        <v>5</v>
      </c>
      <c r="H1" t="s">
        <v>85</v>
      </c>
      <c r="I1" t="s">
        <v>6</v>
      </c>
      <c r="J1" t="s">
        <v>58</v>
      </c>
      <c r="K1" t="s">
        <v>7</v>
      </c>
      <c r="L1" t="s">
        <v>8</v>
      </c>
      <c r="M1" t="s">
        <v>9</v>
      </c>
      <c r="N1" t="s">
        <v>63</v>
      </c>
      <c r="O1" t="s">
        <v>10</v>
      </c>
      <c r="P1" s="2" t="s">
        <v>11</v>
      </c>
      <c r="Q1" t="s">
        <v>12</v>
      </c>
      <c r="R1" t="s">
        <v>65</v>
      </c>
      <c r="S1" t="s">
        <v>13</v>
      </c>
      <c r="T1" t="s">
        <v>64</v>
      </c>
      <c r="U1" t="s">
        <v>14</v>
      </c>
      <c r="V1" t="s">
        <v>15</v>
      </c>
      <c r="W1" s="1" t="s">
        <v>62</v>
      </c>
      <c r="X1" t="s">
        <v>16</v>
      </c>
      <c r="Y1" s="2" t="s">
        <v>17</v>
      </c>
      <c r="Z1" s="2" t="s">
        <v>18</v>
      </c>
      <c r="AA1" t="s">
        <v>19</v>
      </c>
      <c r="AB1" t="s">
        <v>20</v>
      </c>
      <c r="AC1" t="s">
        <v>21</v>
      </c>
      <c r="AD1" t="s">
        <v>22</v>
      </c>
      <c r="AE1" t="s">
        <v>61</v>
      </c>
      <c r="AF1" t="s">
        <v>23</v>
      </c>
      <c r="AG1" t="s">
        <v>60</v>
      </c>
      <c r="AH1" t="s">
        <v>24</v>
      </c>
      <c r="AI1" t="s">
        <v>25</v>
      </c>
      <c r="AJ1" t="s">
        <v>26</v>
      </c>
      <c r="AK1" t="s">
        <v>27</v>
      </c>
      <c r="AL1" t="s">
        <v>59</v>
      </c>
      <c r="AM1" t="s">
        <v>28</v>
      </c>
      <c r="AN1" t="s">
        <v>29</v>
      </c>
      <c r="AO1" t="s">
        <v>30</v>
      </c>
      <c r="AP1" t="s">
        <v>31</v>
      </c>
    </row>
    <row r="2" spans="1:42">
      <c r="A2">
        <v>41</v>
      </c>
      <c r="B2" t="str" cm="1">
        <f t="array" ref="B2">_xlfn.IFS(A2&lt;=25,"18-25",A2&lt;=35,"26-35",A2&lt;=45,"36-45",A2&lt;=55,"46-55",A2&gt;55,"56+")</f>
        <v>36-45</v>
      </c>
      <c r="C2" t="s">
        <v>32</v>
      </c>
      <c r="D2" t="s">
        <v>33</v>
      </c>
      <c r="E2" s="2">
        <v>1102</v>
      </c>
      <c r="F2" t="s">
        <v>34</v>
      </c>
      <c r="G2">
        <v>1</v>
      </c>
      <c r="H2" t="str">
        <f>IF(G2&lt;=10,"1-10 km",IF(G2&lt;=20,"11-20 km",IF(G2&lt;=30,"21-30 km","31+ km")))</f>
        <v>1-10 km</v>
      </c>
      <c r="I2">
        <v>2</v>
      </c>
      <c r="J2" t="str" cm="1">
        <f t="array" ref="J2">_xlfn.IFS(I2=1,"Below College",I2=2,"College",I2=3,"Bachelor",I2=4,"Master",I2=5,"Doctor")</f>
        <v>College</v>
      </c>
      <c r="K2" t="s">
        <v>35</v>
      </c>
      <c r="L2">
        <v>1</v>
      </c>
      <c r="M2">
        <v>2</v>
      </c>
      <c r="N2" t="str" cm="1">
        <f t="array" ref="N2">_xlfn.IFS(M2=1,"Low",M2=2,"Medium",M2=3,"High",M2=4,"Very High")</f>
        <v>Medium</v>
      </c>
      <c r="O2" t="s">
        <v>36</v>
      </c>
      <c r="P2" s="2">
        <v>94</v>
      </c>
      <c r="Q2">
        <v>3</v>
      </c>
      <c r="R2" t="str" cm="1">
        <f t="array" ref="R2">_xlfn.IFS(Q2=1,"Low",Q2=2,"Medium",Q2=3,"High",Q2=4,"Very High")</f>
        <v>High</v>
      </c>
      <c r="S2">
        <v>2</v>
      </c>
      <c r="T2" t="str" cm="1">
        <f t="array" ref="T2">_xlfn.IFS(S2=1,"Entry Level",S2=2,"Junior",S2=3,"Mid-Level",S2=4,"Senior",S2=5,"Executive")</f>
        <v>Junior</v>
      </c>
      <c r="U2" t="s">
        <v>37</v>
      </c>
      <c r="V2">
        <v>4</v>
      </c>
      <c r="W2" t="str" cm="1">
        <f t="array" ref="W2">_xlfn.IFS(V2=1,"Low",V2=2,"Medium",V2=3,"High",V2=4,"Very High")</f>
        <v>Very High</v>
      </c>
      <c r="X2" t="s">
        <v>38</v>
      </c>
      <c r="Y2" s="2">
        <v>5993</v>
      </c>
      <c r="Z2" s="2">
        <v>19479</v>
      </c>
      <c r="AA2">
        <v>8</v>
      </c>
      <c r="AB2" t="s">
        <v>32</v>
      </c>
      <c r="AC2">
        <v>11</v>
      </c>
      <c r="AD2">
        <v>3</v>
      </c>
      <c r="AE2" t="str" cm="1">
        <f t="array" ref="AE2">_xlfn.IFS(AD2=1,"Low",AD2=2,"Good",AD2=3,"Excellent",AD2=4,"Outstanding")</f>
        <v>Excellent</v>
      </c>
      <c r="AF2">
        <v>1</v>
      </c>
      <c r="AG2" t="str" cm="1">
        <f t="array" ref="AG2">_xlfn.IFS(AF2=1,"Low",AF2=2,"Medium",AF2=3,"High",AF2=4,"Very High")</f>
        <v>Low</v>
      </c>
      <c r="AH2">
        <v>0</v>
      </c>
      <c r="AI2">
        <v>8</v>
      </c>
      <c r="AJ2">
        <v>0</v>
      </c>
      <c r="AK2">
        <v>1</v>
      </c>
      <c r="AL2" t="str" cm="1">
        <f t="array" ref="AL2">_xlfn.IFS(AK2=1,"Low",AK2=2,"Medium",AK2=3,"High",AK2=4,"Very High")</f>
        <v>Low</v>
      </c>
      <c r="AM2">
        <v>6</v>
      </c>
      <c r="AN2">
        <v>4</v>
      </c>
      <c r="AO2">
        <v>0</v>
      </c>
      <c r="AP2">
        <v>5</v>
      </c>
    </row>
    <row r="3" spans="1:42">
      <c r="A3">
        <v>49</v>
      </c>
      <c r="B3" t="str" cm="1">
        <f t="array" ref="B3">_xlfn.IFS(A3&lt;=25,"18-25",A3&lt;=35,"26-35",A3&lt;=45,"36-45",A3&lt;=55,"46-55",A3&gt;55,"56+")</f>
        <v>46-55</v>
      </c>
      <c r="C3" t="s">
        <v>39</v>
      </c>
      <c r="D3" t="s">
        <v>40</v>
      </c>
      <c r="E3" s="2">
        <v>279</v>
      </c>
      <c r="F3" t="s">
        <v>41</v>
      </c>
      <c r="G3">
        <v>8</v>
      </c>
      <c r="H3" t="str">
        <f t="shared" ref="H3:H66" si="0">IF(G3&lt;=10,"1-10 km",IF(G3&lt;=20,"11-20 km",IF(G3&lt;=30,"21-30 km","31+ km")))</f>
        <v>1-10 km</v>
      </c>
      <c r="I3">
        <v>1</v>
      </c>
      <c r="J3" t="str" cm="1">
        <f t="array" ref="J3">_xlfn.IFS(I3=1,"Below College",I3=2,"College",I3=3,"Bachelor",I3=4,"Master",I3=5,"Doctor")</f>
        <v>Below College</v>
      </c>
      <c r="K3" t="s">
        <v>35</v>
      </c>
      <c r="L3">
        <v>2</v>
      </c>
      <c r="M3">
        <v>3</v>
      </c>
      <c r="N3" t="str" cm="1">
        <f t="array" ref="N3">_xlfn.IFS(M3=1,"Low",M3=2,"Medium",M3=3,"High",M3=4,"Very High")</f>
        <v>High</v>
      </c>
      <c r="O3" t="s">
        <v>42</v>
      </c>
      <c r="P3" s="2">
        <v>61</v>
      </c>
      <c r="Q3">
        <v>2</v>
      </c>
      <c r="R3" t="str" cm="1">
        <f t="array" ref="R3">_xlfn.IFS(Q3=1,"Low",Q3=2,"Medium",Q3=3,"High",Q3=4,"Very High")</f>
        <v>Medium</v>
      </c>
      <c r="S3">
        <v>2</v>
      </c>
      <c r="T3" t="str" cm="1">
        <f t="array" ref="T3">_xlfn.IFS(S3=1,"Entry Level",S3=2,"Junior",S3=3,"Mid-Level",S3=4,"Senior",S3=5,"Executive")</f>
        <v>Junior</v>
      </c>
      <c r="U3" t="s">
        <v>43</v>
      </c>
      <c r="V3">
        <v>2</v>
      </c>
      <c r="W3" t="str" cm="1">
        <f t="array" ref="W3">_xlfn.IFS(V3=1,"Low",V3=2,"Medium",V3=3,"High",V3=4,"Very High")</f>
        <v>Medium</v>
      </c>
      <c r="X3" t="s">
        <v>44</v>
      </c>
      <c r="Y3" s="2">
        <v>5130</v>
      </c>
      <c r="Z3" s="2">
        <v>24907</v>
      </c>
      <c r="AA3">
        <v>1</v>
      </c>
      <c r="AB3" t="s">
        <v>39</v>
      </c>
      <c r="AC3">
        <v>23</v>
      </c>
      <c r="AD3">
        <v>4</v>
      </c>
      <c r="AE3" t="str" cm="1">
        <f t="array" ref="AE3">_xlfn.IFS(AD3=1,"Low",AD3=2,"Good",AD3=3,"Excellent",AD3=4,"Outstanding")</f>
        <v>Outstanding</v>
      </c>
      <c r="AF3">
        <v>4</v>
      </c>
      <c r="AG3" t="str" cm="1">
        <f t="array" ref="AG3">_xlfn.IFS(AF3=1,"Low",AF3=2,"Medium",AF3=3,"High",AF3=4,"Very High")</f>
        <v>Very High</v>
      </c>
      <c r="AH3">
        <v>1</v>
      </c>
      <c r="AI3">
        <v>10</v>
      </c>
      <c r="AJ3">
        <v>3</v>
      </c>
      <c r="AK3">
        <v>3</v>
      </c>
      <c r="AL3" t="str" cm="1">
        <f t="array" ref="AL3">_xlfn.IFS(AK3=1,"Low",AK3=2,"Medium",AK3=3,"High",AK3=4,"Very High")</f>
        <v>High</v>
      </c>
      <c r="AM3">
        <v>10</v>
      </c>
      <c r="AN3">
        <v>7</v>
      </c>
      <c r="AO3">
        <v>1</v>
      </c>
      <c r="AP3">
        <v>7</v>
      </c>
    </row>
    <row r="4" spans="1:42">
      <c r="A4">
        <v>37</v>
      </c>
      <c r="B4" t="str" cm="1">
        <f t="array" ref="B4">_xlfn.IFS(A4&lt;=25,"18-25",A4&lt;=35,"26-35",A4&lt;=45,"36-45",A4&lt;=55,"46-55",A4&gt;55,"56+")</f>
        <v>36-45</v>
      </c>
      <c r="C4" t="s">
        <v>32</v>
      </c>
      <c r="D4" t="s">
        <v>33</v>
      </c>
      <c r="E4" s="2">
        <v>1373</v>
      </c>
      <c r="F4" t="s">
        <v>41</v>
      </c>
      <c r="G4">
        <v>2</v>
      </c>
      <c r="H4" t="str">
        <f t="shared" si="0"/>
        <v>1-10 km</v>
      </c>
      <c r="I4">
        <v>2</v>
      </c>
      <c r="J4" t="str" cm="1">
        <f t="array" ref="J4">_xlfn.IFS(I4=1,"Below College",I4=2,"College",I4=3,"Bachelor",I4=4,"Master",I4=5,"Doctor")</f>
        <v>College</v>
      </c>
      <c r="K4" t="s">
        <v>45</v>
      </c>
      <c r="L4">
        <v>4</v>
      </c>
      <c r="M4">
        <v>1</v>
      </c>
      <c r="N4" t="str" cm="1">
        <f t="array" ref="N4">_xlfn.IFS(M4=1,"Low",M4=2,"Medium",M4=3,"High",M4=4,"Very High")</f>
        <v>Low</v>
      </c>
      <c r="O4" t="s">
        <v>42</v>
      </c>
      <c r="P4" s="2">
        <v>92</v>
      </c>
      <c r="Q4">
        <v>2</v>
      </c>
      <c r="R4" t="str" cm="1">
        <f t="array" ref="R4">_xlfn.IFS(Q4=1,"Low",Q4=2,"Medium",Q4=3,"High",Q4=4,"Very High")</f>
        <v>Medium</v>
      </c>
      <c r="S4">
        <v>1</v>
      </c>
      <c r="T4" t="str" cm="1">
        <f t="array" ref="T4">_xlfn.IFS(S4=1,"Entry Level",S4=2,"Junior",S4=3,"Mid-Level",S4=4,"Senior",S4=5,"Executive")</f>
        <v>Entry Level</v>
      </c>
      <c r="U4" t="s">
        <v>46</v>
      </c>
      <c r="V4">
        <v>3</v>
      </c>
      <c r="W4" t="str" cm="1">
        <f t="array" ref="W4">_xlfn.IFS(V4=1,"Low",V4=2,"Medium",V4=3,"High",V4=4,"Very High")</f>
        <v>High</v>
      </c>
      <c r="X4" t="s">
        <v>38</v>
      </c>
      <c r="Y4" s="2">
        <v>2090</v>
      </c>
      <c r="Z4" s="2">
        <v>2396</v>
      </c>
      <c r="AA4">
        <v>6</v>
      </c>
      <c r="AB4" t="s">
        <v>32</v>
      </c>
      <c r="AC4">
        <v>15</v>
      </c>
      <c r="AD4">
        <v>3</v>
      </c>
      <c r="AE4" t="str" cm="1">
        <f t="array" ref="AE4">_xlfn.IFS(AD4=1,"Low",AD4=2,"Good",AD4=3,"Excellent",AD4=4,"Outstanding")</f>
        <v>Excellent</v>
      </c>
      <c r="AF4">
        <v>2</v>
      </c>
      <c r="AG4" t="str" cm="1">
        <f t="array" ref="AG4">_xlfn.IFS(AF4=1,"Low",AF4=2,"Medium",AF4=3,"High",AF4=4,"Very High")</f>
        <v>Medium</v>
      </c>
      <c r="AH4">
        <v>0</v>
      </c>
      <c r="AI4">
        <v>7</v>
      </c>
      <c r="AJ4">
        <v>3</v>
      </c>
      <c r="AK4">
        <v>3</v>
      </c>
      <c r="AL4" t="str" cm="1">
        <f t="array" ref="AL4">_xlfn.IFS(AK4=1,"Low",AK4=2,"Medium",AK4=3,"High",AK4=4,"Very High")</f>
        <v>High</v>
      </c>
      <c r="AM4">
        <v>0</v>
      </c>
      <c r="AN4">
        <v>0</v>
      </c>
      <c r="AO4">
        <v>0</v>
      </c>
      <c r="AP4">
        <v>0</v>
      </c>
    </row>
    <row r="5" spans="1:42">
      <c r="A5">
        <v>33</v>
      </c>
      <c r="B5" t="str" cm="1">
        <f t="array" ref="B5">_xlfn.IFS(A5&lt;=25,"18-25",A5&lt;=35,"26-35",A5&lt;=45,"36-45",A5&lt;=55,"46-55",A5&gt;55,"56+")</f>
        <v>26-35</v>
      </c>
      <c r="C5" t="s">
        <v>39</v>
      </c>
      <c r="D5" t="s">
        <v>40</v>
      </c>
      <c r="E5" s="2">
        <v>1392</v>
      </c>
      <c r="F5" t="s">
        <v>41</v>
      </c>
      <c r="G5">
        <v>3</v>
      </c>
      <c r="H5" t="str">
        <f t="shared" si="0"/>
        <v>1-10 km</v>
      </c>
      <c r="I5">
        <v>4</v>
      </c>
      <c r="J5" t="str" cm="1">
        <f t="array" ref="J5">_xlfn.IFS(I5=1,"Below College",I5=2,"College",I5=3,"Bachelor",I5=4,"Master",I5=5,"Doctor")</f>
        <v>Master</v>
      </c>
      <c r="K5" t="s">
        <v>35</v>
      </c>
      <c r="L5">
        <v>5</v>
      </c>
      <c r="M5">
        <v>4</v>
      </c>
      <c r="N5" t="str" cm="1">
        <f t="array" ref="N5">_xlfn.IFS(M5=1,"Low",M5=2,"Medium",M5=3,"High",M5=4,"Very High")</f>
        <v>Very High</v>
      </c>
      <c r="O5" t="s">
        <v>36</v>
      </c>
      <c r="P5" s="2">
        <v>56</v>
      </c>
      <c r="Q5">
        <v>3</v>
      </c>
      <c r="R5" t="str" cm="1">
        <f t="array" ref="R5">_xlfn.IFS(Q5=1,"Low",Q5=2,"Medium",Q5=3,"High",Q5=4,"Very High")</f>
        <v>High</v>
      </c>
      <c r="S5">
        <v>1</v>
      </c>
      <c r="T5" t="str" cm="1">
        <f t="array" ref="T5">_xlfn.IFS(S5=1,"Entry Level",S5=2,"Junior",S5=3,"Mid-Level",S5=4,"Senior",S5=5,"Executive")</f>
        <v>Entry Level</v>
      </c>
      <c r="U5" t="s">
        <v>43</v>
      </c>
      <c r="V5">
        <v>3</v>
      </c>
      <c r="W5" t="str" cm="1">
        <f t="array" ref="W5">_xlfn.IFS(V5=1,"Low",V5=2,"Medium",V5=3,"High",V5=4,"Very High")</f>
        <v>High</v>
      </c>
      <c r="X5" t="s">
        <v>44</v>
      </c>
      <c r="Y5" s="2">
        <v>2909</v>
      </c>
      <c r="Z5" s="2">
        <v>23159</v>
      </c>
      <c r="AA5">
        <v>1</v>
      </c>
      <c r="AB5" t="s">
        <v>32</v>
      </c>
      <c r="AC5">
        <v>11</v>
      </c>
      <c r="AD5">
        <v>3</v>
      </c>
      <c r="AE5" t="str" cm="1">
        <f t="array" ref="AE5">_xlfn.IFS(AD5=1,"Low",AD5=2,"Good",AD5=3,"Excellent",AD5=4,"Outstanding")</f>
        <v>Excellent</v>
      </c>
      <c r="AF5">
        <v>3</v>
      </c>
      <c r="AG5" t="str" cm="1">
        <f t="array" ref="AG5">_xlfn.IFS(AF5=1,"Low",AF5=2,"Medium",AF5=3,"High",AF5=4,"Very High")</f>
        <v>High</v>
      </c>
      <c r="AH5">
        <v>0</v>
      </c>
      <c r="AI5">
        <v>8</v>
      </c>
      <c r="AJ5">
        <v>3</v>
      </c>
      <c r="AK5">
        <v>3</v>
      </c>
      <c r="AL5" t="str" cm="1">
        <f t="array" ref="AL5">_xlfn.IFS(AK5=1,"Low",AK5=2,"Medium",AK5=3,"High",AK5=4,"Very High")</f>
        <v>High</v>
      </c>
      <c r="AM5">
        <v>8</v>
      </c>
      <c r="AN5">
        <v>7</v>
      </c>
      <c r="AO5">
        <v>3</v>
      </c>
      <c r="AP5">
        <v>0</v>
      </c>
    </row>
    <row r="6" spans="1:42">
      <c r="A6">
        <v>27</v>
      </c>
      <c r="B6" t="str" cm="1">
        <f t="array" ref="B6">_xlfn.IFS(A6&lt;=25,"18-25",A6&lt;=35,"26-35",A6&lt;=45,"36-45",A6&lt;=55,"46-55",A6&gt;55,"56+")</f>
        <v>26-35</v>
      </c>
      <c r="C6" t="s">
        <v>39</v>
      </c>
      <c r="D6" t="s">
        <v>33</v>
      </c>
      <c r="E6" s="2">
        <v>591</v>
      </c>
      <c r="F6" t="s">
        <v>41</v>
      </c>
      <c r="G6">
        <v>2</v>
      </c>
      <c r="H6" t="str">
        <f t="shared" si="0"/>
        <v>1-10 km</v>
      </c>
      <c r="I6">
        <v>1</v>
      </c>
      <c r="J6" t="str" cm="1">
        <f t="array" ref="J6">_xlfn.IFS(I6=1,"Below College",I6=2,"College",I6=3,"Bachelor",I6=4,"Master",I6=5,"Doctor")</f>
        <v>Below College</v>
      </c>
      <c r="K6" t="s">
        <v>47</v>
      </c>
      <c r="L6">
        <v>7</v>
      </c>
      <c r="M6">
        <v>1</v>
      </c>
      <c r="N6" t="str" cm="1">
        <f t="array" ref="N6">_xlfn.IFS(M6=1,"Low",M6=2,"Medium",M6=3,"High",M6=4,"Very High")</f>
        <v>Low</v>
      </c>
      <c r="O6" t="s">
        <v>42</v>
      </c>
      <c r="P6" s="2">
        <v>40</v>
      </c>
      <c r="Q6">
        <v>3</v>
      </c>
      <c r="R6" t="str" cm="1">
        <f t="array" ref="R6">_xlfn.IFS(Q6=1,"Low",Q6=2,"Medium",Q6=3,"High",Q6=4,"Very High")</f>
        <v>High</v>
      </c>
      <c r="S6">
        <v>1</v>
      </c>
      <c r="T6" t="str" cm="1">
        <f t="array" ref="T6">_xlfn.IFS(S6=1,"Entry Level",S6=2,"Junior",S6=3,"Mid-Level",S6=4,"Senior",S6=5,"Executive")</f>
        <v>Entry Level</v>
      </c>
      <c r="U6" t="s">
        <v>46</v>
      </c>
      <c r="V6">
        <v>2</v>
      </c>
      <c r="W6" t="str" cm="1">
        <f t="array" ref="W6">_xlfn.IFS(V6=1,"Low",V6=2,"Medium",V6=3,"High",V6=4,"Very High")</f>
        <v>Medium</v>
      </c>
      <c r="X6" t="s">
        <v>44</v>
      </c>
      <c r="Y6" s="2">
        <v>3468</v>
      </c>
      <c r="Z6" s="2">
        <v>16632</v>
      </c>
      <c r="AA6">
        <v>9</v>
      </c>
      <c r="AB6" t="s">
        <v>39</v>
      </c>
      <c r="AC6">
        <v>12</v>
      </c>
      <c r="AD6">
        <v>3</v>
      </c>
      <c r="AE6" t="str" cm="1">
        <f t="array" ref="AE6">_xlfn.IFS(AD6=1,"Low",AD6=2,"Good",AD6=3,"Excellent",AD6=4,"Outstanding")</f>
        <v>Excellent</v>
      </c>
      <c r="AF6">
        <v>4</v>
      </c>
      <c r="AG6" t="str" cm="1">
        <f t="array" ref="AG6">_xlfn.IFS(AF6=1,"Low",AF6=2,"Medium",AF6=3,"High",AF6=4,"Very High")</f>
        <v>Very High</v>
      </c>
      <c r="AH6">
        <v>1</v>
      </c>
      <c r="AI6">
        <v>6</v>
      </c>
      <c r="AJ6">
        <v>3</v>
      </c>
      <c r="AK6">
        <v>3</v>
      </c>
      <c r="AL6" t="str" cm="1">
        <f t="array" ref="AL6">_xlfn.IFS(AK6=1,"Low",AK6=2,"Medium",AK6=3,"High",AK6=4,"Very High")</f>
        <v>High</v>
      </c>
      <c r="AM6">
        <v>2</v>
      </c>
      <c r="AN6">
        <v>2</v>
      </c>
      <c r="AO6">
        <v>2</v>
      </c>
      <c r="AP6">
        <v>2</v>
      </c>
    </row>
    <row r="7" spans="1:42">
      <c r="A7">
        <v>32</v>
      </c>
      <c r="B7" t="str" cm="1">
        <f t="array" ref="B7">_xlfn.IFS(A7&lt;=25,"18-25",A7&lt;=35,"26-35",A7&lt;=45,"36-45",A7&lt;=55,"46-55",A7&gt;55,"56+")</f>
        <v>26-35</v>
      </c>
      <c r="C7" t="s">
        <v>39</v>
      </c>
      <c r="D7" t="s">
        <v>40</v>
      </c>
      <c r="E7" s="2">
        <v>1005</v>
      </c>
      <c r="F7" t="s">
        <v>41</v>
      </c>
      <c r="G7">
        <v>2</v>
      </c>
      <c r="H7" t="str">
        <f t="shared" si="0"/>
        <v>1-10 km</v>
      </c>
      <c r="I7">
        <v>2</v>
      </c>
      <c r="J7" t="str" cm="1">
        <f t="array" ref="J7">_xlfn.IFS(I7=1,"Below College",I7=2,"College",I7=3,"Bachelor",I7=4,"Master",I7=5,"Doctor")</f>
        <v>College</v>
      </c>
      <c r="K7" t="s">
        <v>35</v>
      </c>
      <c r="L7">
        <v>8</v>
      </c>
      <c r="M7">
        <v>4</v>
      </c>
      <c r="N7" t="str" cm="1">
        <f t="array" ref="N7">_xlfn.IFS(M7=1,"Low",M7=2,"Medium",M7=3,"High",M7=4,"Very High")</f>
        <v>Very High</v>
      </c>
      <c r="O7" t="s">
        <v>42</v>
      </c>
      <c r="P7" s="2">
        <v>79</v>
      </c>
      <c r="Q7">
        <v>3</v>
      </c>
      <c r="R7" t="str" cm="1">
        <f t="array" ref="R7">_xlfn.IFS(Q7=1,"Low",Q7=2,"Medium",Q7=3,"High",Q7=4,"Very High")</f>
        <v>High</v>
      </c>
      <c r="S7">
        <v>1</v>
      </c>
      <c r="T7" t="str" cm="1">
        <f t="array" ref="T7">_xlfn.IFS(S7=1,"Entry Level",S7=2,"Junior",S7=3,"Mid-Level",S7=4,"Senior",S7=5,"Executive")</f>
        <v>Entry Level</v>
      </c>
      <c r="U7" t="s">
        <v>46</v>
      </c>
      <c r="V7">
        <v>4</v>
      </c>
      <c r="W7" t="str" cm="1">
        <f t="array" ref="W7">_xlfn.IFS(V7=1,"Low",V7=2,"Medium",V7=3,"High",V7=4,"Very High")</f>
        <v>Very High</v>
      </c>
      <c r="X7" t="s">
        <v>38</v>
      </c>
      <c r="Y7" s="2">
        <v>3068</v>
      </c>
      <c r="Z7" s="2">
        <v>11864</v>
      </c>
      <c r="AA7">
        <v>0</v>
      </c>
      <c r="AB7" t="s">
        <v>39</v>
      </c>
      <c r="AC7">
        <v>13</v>
      </c>
      <c r="AD7">
        <v>3</v>
      </c>
      <c r="AE7" t="str" cm="1">
        <f t="array" ref="AE7">_xlfn.IFS(AD7=1,"Low",AD7=2,"Good",AD7=3,"Excellent",AD7=4,"Outstanding")</f>
        <v>Excellent</v>
      </c>
      <c r="AF7">
        <v>3</v>
      </c>
      <c r="AG7" t="str" cm="1">
        <f t="array" ref="AG7">_xlfn.IFS(AF7=1,"Low",AF7=2,"Medium",AF7=3,"High",AF7=4,"Very High")</f>
        <v>High</v>
      </c>
      <c r="AH7">
        <v>0</v>
      </c>
      <c r="AI7">
        <v>8</v>
      </c>
      <c r="AJ7">
        <v>2</v>
      </c>
      <c r="AK7">
        <v>2</v>
      </c>
      <c r="AL7" t="str" cm="1">
        <f t="array" ref="AL7">_xlfn.IFS(AK7=1,"Low",AK7=2,"Medium",AK7=3,"High",AK7=4,"Very High")</f>
        <v>Medium</v>
      </c>
      <c r="AM7">
        <v>7</v>
      </c>
      <c r="AN7">
        <v>7</v>
      </c>
      <c r="AO7">
        <v>3</v>
      </c>
      <c r="AP7">
        <v>6</v>
      </c>
    </row>
    <row r="8" spans="1:42">
      <c r="A8">
        <v>59</v>
      </c>
      <c r="B8" t="str" cm="1">
        <f t="array" ref="B8">_xlfn.IFS(A8&lt;=25,"18-25",A8&lt;=35,"26-35",A8&lt;=45,"36-45",A8&lt;=55,"46-55",A8&gt;55,"56+")</f>
        <v>56+</v>
      </c>
      <c r="C8" t="s">
        <v>39</v>
      </c>
      <c r="D8" t="s">
        <v>33</v>
      </c>
      <c r="E8" s="2">
        <v>1324</v>
      </c>
      <c r="F8" t="s">
        <v>41</v>
      </c>
      <c r="G8">
        <v>3</v>
      </c>
      <c r="H8" t="str">
        <f t="shared" si="0"/>
        <v>1-10 km</v>
      </c>
      <c r="I8">
        <v>3</v>
      </c>
      <c r="J8" t="str" cm="1">
        <f t="array" ref="J8">_xlfn.IFS(I8=1,"Below College",I8=2,"College",I8=3,"Bachelor",I8=4,"Master",I8=5,"Doctor")</f>
        <v>Bachelor</v>
      </c>
      <c r="K8" t="s">
        <v>47</v>
      </c>
      <c r="L8">
        <v>10</v>
      </c>
      <c r="M8">
        <v>3</v>
      </c>
      <c r="N8" t="str" cm="1">
        <f t="array" ref="N8">_xlfn.IFS(M8=1,"Low",M8=2,"Medium",M8=3,"High",M8=4,"Very High")</f>
        <v>High</v>
      </c>
      <c r="O8" t="s">
        <v>36</v>
      </c>
      <c r="P8" s="2">
        <v>81</v>
      </c>
      <c r="Q8">
        <v>4</v>
      </c>
      <c r="R8" t="str" cm="1">
        <f t="array" ref="R8">_xlfn.IFS(Q8=1,"Low",Q8=2,"Medium",Q8=3,"High",Q8=4,"Very High")</f>
        <v>Very High</v>
      </c>
      <c r="S8">
        <v>1</v>
      </c>
      <c r="T8" t="str" cm="1">
        <f t="array" ref="T8">_xlfn.IFS(S8=1,"Entry Level",S8=2,"Junior",S8=3,"Mid-Level",S8=4,"Senior",S8=5,"Executive")</f>
        <v>Entry Level</v>
      </c>
      <c r="U8" t="s">
        <v>46</v>
      </c>
      <c r="V8">
        <v>1</v>
      </c>
      <c r="W8" t="str" cm="1">
        <f t="array" ref="W8">_xlfn.IFS(V8=1,"Low",V8=2,"Medium",V8=3,"High",V8=4,"Very High")</f>
        <v>Low</v>
      </c>
      <c r="X8" t="s">
        <v>44</v>
      </c>
      <c r="Y8" s="2">
        <v>2670</v>
      </c>
      <c r="Z8" s="2">
        <v>9964</v>
      </c>
      <c r="AA8">
        <v>4</v>
      </c>
      <c r="AB8" t="s">
        <v>32</v>
      </c>
      <c r="AC8">
        <v>20</v>
      </c>
      <c r="AD8">
        <v>4</v>
      </c>
      <c r="AE8" t="str" cm="1">
        <f t="array" ref="AE8">_xlfn.IFS(AD8=1,"Low",AD8=2,"Good",AD8=3,"Excellent",AD8=4,"Outstanding")</f>
        <v>Outstanding</v>
      </c>
      <c r="AF8">
        <v>1</v>
      </c>
      <c r="AG8" t="str" cm="1">
        <f t="array" ref="AG8">_xlfn.IFS(AF8=1,"Low",AF8=2,"Medium",AF8=3,"High",AF8=4,"Very High")</f>
        <v>Low</v>
      </c>
      <c r="AH8">
        <v>3</v>
      </c>
      <c r="AI8">
        <v>12</v>
      </c>
      <c r="AJ8">
        <v>3</v>
      </c>
      <c r="AK8">
        <v>2</v>
      </c>
      <c r="AL8" t="str" cm="1">
        <f t="array" ref="AL8">_xlfn.IFS(AK8=1,"Low",AK8=2,"Medium",AK8=3,"High",AK8=4,"Very High")</f>
        <v>Medium</v>
      </c>
      <c r="AM8">
        <v>1</v>
      </c>
      <c r="AN8">
        <v>0</v>
      </c>
      <c r="AO8">
        <v>0</v>
      </c>
      <c r="AP8">
        <v>0</v>
      </c>
    </row>
    <row r="9" spans="1:42">
      <c r="A9">
        <v>30</v>
      </c>
      <c r="B9" t="str" cm="1">
        <f t="array" ref="B9">_xlfn.IFS(A9&lt;=25,"18-25",A9&lt;=35,"26-35",A9&lt;=45,"36-45",A9&lt;=55,"46-55",A9&gt;55,"56+")</f>
        <v>26-35</v>
      </c>
      <c r="C9" t="s">
        <v>39</v>
      </c>
      <c r="D9" t="s">
        <v>33</v>
      </c>
      <c r="E9" s="2">
        <v>1358</v>
      </c>
      <c r="F9" t="s">
        <v>41</v>
      </c>
      <c r="G9">
        <v>24</v>
      </c>
      <c r="H9" t="str">
        <f t="shared" si="0"/>
        <v>21-30 km</v>
      </c>
      <c r="I9">
        <v>1</v>
      </c>
      <c r="J9" t="str" cm="1">
        <f t="array" ref="J9">_xlfn.IFS(I9=1,"Below College",I9=2,"College",I9=3,"Bachelor",I9=4,"Master",I9=5,"Doctor")</f>
        <v>Below College</v>
      </c>
      <c r="K9" t="s">
        <v>35</v>
      </c>
      <c r="L9">
        <v>11</v>
      </c>
      <c r="M9">
        <v>4</v>
      </c>
      <c r="N9" t="str" cm="1">
        <f t="array" ref="N9">_xlfn.IFS(M9=1,"Low",M9=2,"Medium",M9=3,"High",M9=4,"Very High")</f>
        <v>Very High</v>
      </c>
      <c r="O9" t="s">
        <v>42</v>
      </c>
      <c r="P9" s="2">
        <v>67</v>
      </c>
      <c r="Q9">
        <v>3</v>
      </c>
      <c r="R9" t="str" cm="1">
        <f t="array" ref="R9">_xlfn.IFS(Q9=1,"Low",Q9=2,"Medium",Q9=3,"High",Q9=4,"Very High")</f>
        <v>High</v>
      </c>
      <c r="S9">
        <v>1</v>
      </c>
      <c r="T9" t="str" cm="1">
        <f t="array" ref="T9">_xlfn.IFS(S9=1,"Entry Level",S9=2,"Junior",S9=3,"Mid-Level",S9=4,"Senior",S9=5,"Executive")</f>
        <v>Entry Level</v>
      </c>
      <c r="U9" t="s">
        <v>46</v>
      </c>
      <c r="V9">
        <v>3</v>
      </c>
      <c r="W9" t="str" cm="1">
        <f t="array" ref="W9">_xlfn.IFS(V9=1,"Low",V9=2,"Medium",V9=3,"High",V9=4,"Very High")</f>
        <v>High</v>
      </c>
      <c r="X9" t="s">
        <v>48</v>
      </c>
      <c r="Y9" s="2">
        <v>2693</v>
      </c>
      <c r="Z9" s="2">
        <v>13335</v>
      </c>
      <c r="AA9">
        <v>1</v>
      </c>
      <c r="AB9" t="s">
        <v>39</v>
      </c>
      <c r="AC9">
        <v>22</v>
      </c>
      <c r="AD9">
        <v>4</v>
      </c>
      <c r="AE9" t="str" cm="1">
        <f t="array" ref="AE9">_xlfn.IFS(AD9=1,"Low",AD9=2,"Good",AD9=3,"Excellent",AD9=4,"Outstanding")</f>
        <v>Outstanding</v>
      </c>
      <c r="AF9">
        <v>2</v>
      </c>
      <c r="AG9" t="str" cm="1">
        <f t="array" ref="AG9">_xlfn.IFS(AF9=1,"Low",AF9=2,"Medium",AF9=3,"High",AF9=4,"Very High")</f>
        <v>Medium</v>
      </c>
      <c r="AH9">
        <v>1</v>
      </c>
      <c r="AI9">
        <v>1</v>
      </c>
      <c r="AJ9">
        <v>2</v>
      </c>
      <c r="AK9">
        <v>3</v>
      </c>
      <c r="AL9" t="str" cm="1">
        <f t="array" ref="AL9">_xlfn.IFS(AK9=1,"Low",AK9=2,"Medium",AK9=3,"High",AK9=4,"Very High")</f>
        <v>High</v>
      </c>
      <c r="AM9">
        <v>1</v>
      </c>
      <c r="AN9">
        <v>0</v>
      </c>
      <c r="AO9">
        <v>0</v>
      </c>
      <c r="AP9">
        <v>0</v>
      </c>
    </row>
    <row r="10" spans="1:42">
      <c r="A10">
        <v>38</v>
      </c>
      <c r="B10" t="str" cm="1">
        <f t="array" ref="B10">_xlfn.IFS(A10&lt;=25,"18-25",A10&lt;=35,"26-35",A10&lt;=45,"36-45",A10&lt;=55,"46-55",A10&gt;55,"56+")</f>
        <v>36-45</v>
      </c>
      <c r="C10" t="s">
        <v>39</v>
      </c>
      <c r="D10" t="s">
        <v>40</v>
      </c>
      <c r="E10" s="2">
        <v>216</v>
      </c>
      <c r="F10" t="s">
        <v>41</v>
      </c>
      <c r="G10">
        <v>23</v>
      </c>
      <c r="H10" t="str">
        <f t="shared" si="0"/>
        <v>21-30 km</v>
      </c>
      <c r="I10">
        <v>3</v>
      </c>
      <c r="J10" t="str" cm="1">
        <f t="array" ref="J10">_xlfn.IFS(I10=1,"Below College",I10=2,"College",I10=3,"Bachelor",I10=4,"Master",I10=5,"Doctor")</f>
        <v>Bachelor</v>
      </c>
      <c r="K10" t="s">
        <v>35</v>
      </c>
      <c r="L10">
        <v>12</v>
      </c>
      <c r="M10">
        <v>4</v>
      </c>
      <c r="N10" t="str" cm="1">
        <f t="array" ref="N10">_xlfn.IFS(M10=1,"Low",M10=2,"Medium",M10=3,"High",M10=4,"Very High")</f>
        <v>Very High</v>
      </c>
      <c r="O10" t="s">
        <v>42</v>
      </c>
      <c r="P10" s="2">
        <v>44</v>
      </c>
      <c r="Q10">
        <v>2</v>
      </c>
      <c r="R10" t="str" cm="1">
        <f t="array" ref="R10">_xlfn.IFS(Q10=1,"Low",Q10=2,"Medium",Q10=3,"High",Q10=4,"Very High")</f>
        <v>Medium</v>
      </c>
      <c r="S10">
        <v>3</v>
      </c>
      <c r="T10" t="str" cm="1">
        <f t="array" ref="T10">_xlfn.IFS(S10=1,"Entry Level",S10=2,"Junior",S10=3,"Mid-Level",S10=4,"Senior",S10=5,"Executive")</f>
        <v>Mid-Level</v>
      </c>
      <c r="U10" t="s">
        <v>49</v>
      </c>
      <c r="V10">
        <v>3</v>
      </c>
      <c r="W10" t="str" cm="1">
        <f t="array" ref="W10">_xlfn.IFS(V10=1,"Low",V10=2,"Medium",V10=3,"High",V10=4,"Very High")</f>
        <v>High</v>
      </c>
      <c r="X10" t="s">
        <v>38</v>
      </c>
      <c r="Y10" s="2">
        <v>9526</v>
      </c>
      <c r="Z10" s="2">
        <v>8787</v>
      </c>
      <c r="AA10">
        <v>0</v>
      </c>
      <c r="AB10" t="s">
        <v>39</v>
      </c>
      <c r="AC10">
        <v>21</v>
      </c>
      <c r="AD10">
        <v>4</v>
      </c>
      <c r="AE10" t="str" cm="1">
        <f t="array" ref="AE10">_xlfn.IFS(AD10=1,"Low",AD10=2,"Good",AD10=3,"Excellent",AD10=4,"Outstanding")</f>
        <v>Outstanding</v>
      </c>
      <c r="AF10">
        <v>2</v>
      </c>
      <c r="AG10" t="str" cm="1">
        <f t="array" ref="AG10">_xlfn.IFS(AF10=1,"Low",AF10=2,"Medium",AF10=3,"High",AF10=4,"Very High")</f>
        <v>Medium</v>
      </c>
      <c r="AH10">
        <v>0</v>
      </c>
      <c r="AI10">
        <v>10</v>
      </c>
      <c r="AJ10">
        <v>2</v>
      </c>
      <c r="AK10">
        <v>3</v>
      </c>
      <c r="AL10" t="str" cm="1">
        <f t="array" ref="AL10">_xlfn.IFS(AK10=1,"Low",AK10=2,"Medium",AK10=3,"High",AK10=4,"Very High")</f>
        <v>High</v>
      </c>
      <c r="AM10">
        <v>9</v>
      </c>
      <c r="AN10">
        <v>7</v>
      </c>
      <c r="AO10">
        <v>1</v>
      </c>
      <c r="AP10">
        <v>8</v>
      </c>
    </row>
    <row r="11" spans="1:42">
      <c r="A11">
        <v>36</v>
      </c>
      <c r="B11" t="str" cm="1">
        <f t="array" ref="B11">_xlfn.IFS(A11&lt;=25,"18-25",A11&lt;=35,"26-35",A11&lt;=45,"36-45",A11&lt;=55,"46-55",A11&gt;55,"56+")</f>
        <v>36-45</v>
      </c>
      <c r="C11" t="s">
        <v>39</v>
      </c>
      <c r="D11" t="s">
        <v>33</v>
      </c>
      <c r="E11" s="2">
        <v>1299</v>
      </c>
      <c r="F11" t="s">
        <v>41</v>
      </c>
      <c r="G11">
        <v>27</v>
      </c>
      <c r="H11" t="str">
        <f t="shared" si="0"/>
        <v>21-30 km</v>
      </c>
      <c r="I11">
        <v>3</v>
      </c>
      <c r="J11" t="str" cm="1">
        <f t="array" ref="J11">_xlfn.IFS(I11=1,"Below College",I11=2,"College",I11=3,"Bachelor",I11=4,"Master",I11=5,"Doctor")</f>
        <v>Bachelor</v>
      </c>
      <c r="K11" t="s">
        <v>47</v>
      </c>
      <c r="L11">
        <v>13</v>
      </c>
      <c r="M11">
        <v>3</v>
      </c>
      <c r="N11" t="str" cm="1">
        <f t="array" ref="N11">_xlfn.IFS(M11=1,"Low",M11=2,"Medium",M11=3,"High",M11=4,"Very High")</f>
        <v>High</v>
      </c>
      <c r="O11" t="s">
        <v>42</v>
      </c>
      <c r="P11" s="2">
        <v>94</v>
      </c>
      <c r="Q11">
        <v>3</v>
      </c>
      <c r="R11" t="str" cm="1">
        <f t="array" ref="R11">_xlfn.IFS(Q11=1,"Low",Q11=2,"Medium",Q11=3,"High",Q11=4,"Very High")</f>
        <v>High</v>
      </c>
      <c r="S11">
        <v>2</v>
      </c>
      <c r="T11" t="str" cm="1">
        <f t="array" ref="T11">_xlfn.IFS(S11=1,"Entry Level",S11=2,"Junior",S11=3,"Mid-Level",S11=4,"Senior",S11=5,"Executive")</f>
        <v>Junior</v>
      </c>
      <c r="U11" t="s">
        <v>50</v>
      </c>
      <c r="V11">
        <v>3</v>
      </c>
      <c r="W11" t="str" cm="1">
        <f t="array" ref="W11">_xlfn.IFS(V11=1,"Low",V11=2,"Medium",V11=3,"High",V11=4,"Very High")</f>
        <v>High</v>
      </c>
      <c r="X11" t="s">
        <v>44</v>
      </c>
      <c r="Y11" s="2">
        <v>5237</v>
      </c>
      <c r="Z11" s="2">
        <v>16577</v>
      </c>
      <c r="AA11">
        <v>6</v>
      </c>
      <c r="AB11" t="s">
        <v>39</v>
      </c>
      <c r="AC11">
        <v>13</v>
      </c>
      <c r="AD11">
        <v>3</v>
      </c>
      <c r="AE11" t="str" cm="1">
        <f t="array" ref="AE11">_xlfn.IFS(AD11=1,"Low",AD11=2,"Good",AD11=3,"Excellent",AD11=4,"Outstanding")</f>
        <v>Excellent</v>
      </c>
      <c r="AF11">
        <v>2</v>
      </c>
      <c r="AG11" t="str" cm="1">
        <f t="array" ref="AG11">_xlfn.IFS(AF11=1,"Low",AF11=2,"Medium",AF11=3,"High",AF11=4,"Very High")</f>
        <v>Medium</v>
      </c>
      <c r="AH11">
        <v>2</v>
      </c>
      <c r="AI11">
        <v>17</v>
      </c>
      <c r="AJ11">
        <v>3</v>
      </c>
      <c r="AK11">
        <v>2</v>
      </c>
      <c r="AL11" t="str" cm="1">
        <f t="array" ref="AL11">_xlfn.IFS(AK11=1,"Low",AK11=2,"Medium",AK11=3,"High",AK11=4,"Very High")</f>
        <v>Medium</v>
      </c>
      <c r="AM11">
        <v>7</v>
      </c>
      <c r="AN11">
        <v>7</v>
      </c>
      <c r="AO11">
        <v>7</v>
      </c>
      <c r="AP11">
        <v>7</v>
      </c>
    </row>
    <row r="12" spans="1:42">
      <c r="A12">
        <v>35</v>
      </c>
      <c r="B12" t="str" cm="1">
        <f t="array" ref="B12">_xlfn.IFS(A12&lt;=25,"18-25",A12&lt;=35,"26-35",A12&lt;=45,"36-45",A12&lt;=55,"46-55",A12&gt;55,"56+")</f>
        <v>26-35</v>
      </c>
      <c r="C12" t="s">
        <v>39</v>
      </c>
      <c r="D12" t="s">
        <v>33</v>
      </c>
      <c r="E12" s="2">
        <v>809</v>
      </c>
      <c r="F12" t="s">
        <v>41</v>
      </c>
      <c r="G12">
        <v>16</v>
      </c>
      <c r="H12" t="str">
        <f t="shared" si="0"/>
        <v>11-20 km</v>
      </c>
      <c r="I12">
        <v>3</v>
      </c>
      <c r="J12" t="str" cm="1">
        <f t="array" ref="J12">_xlfn.IFS(I12=1,"Below College",I12=2,"College",I12=3,"Bachelor",I12=4,"Master",I12=5,"Doctor")</f>
        <v>Bachelor</v>
      </c>
      <c r="K12" t="s">
        <v>47</v>
      </c>
      <c r="L12">
        <v>14</v>
      </c>
      <c r="M12">
        <v>1</v>
      </c>
      <c r="N12" t="str" cm="1">
        <f t="array" ref="N12">_xlfn.IFS(M12=1,"Low",M12=2,"Medium",M12=3,"High",M12=4,"Very High")</f>
        <v>Low</v>
      </c>
      <c r="O12" t="s">
        <v>42</v>
      </c>
      <c r="P12" s="2">
        <v>84</v>
      </c>
      <c r="Q12">
        <v>4</v>
      </c>
      <c r="R12" t="str" cm="1">
        <f t="array" ref="R12">_xlfn.IFS(Q12=1,"Low",Q12=2,"Medium",Q12=3,"High",Q12=4,"Very High")</f>
        <v>Very High</v>
      </c>
      <c r="S12">
        <v>1</v>
      </c>
      <c r="T12" t="str" cm="1">
        <f t="array" ref="T12">_xlfn.IFS(S12=1,"Entry Level",S12=2,"Junior",S12=3,"Mid-Level",S12=4,"Senior",S12=5,"Executive")</f>
        <v>Entry Level</v>
      </c>
      <c r="U12" t="s">
        <v>46</v>
      </c>
      <c r="V12">
        <v>2</v>
      </c>
      <c r="W12" t="str" cm="1">
        <f t="array" ref="W12">_xlfn.IFS(V12=1,"Low",V12=2,"Medium",V12=3,"High",V12=4,"Very High")</f>
        <v>Medium</v>
      </c>
      <c r="X12" t="s">
        <v>44</v>
      </c>
      <c r="Y12" s="2">
        <v>2426</v>
      </c>
      <c r="Z12" s="2">
        <v>16479</v>
      </c>
      <c r="AA12">
        <v>0</v>
      </c>
      <c r="AB12" t="s">
        <v>39</v>
      </c>
      <c r="AC12">
        <v>13</v>
      </c>
      <c r="AD12">
        <v>3</v>
      </c>
      <c r="AE12" t="str" cm="1">
        <f t="array" ref="AE12">_xlfn.IFS(AD12=1,"Low",AD12=2,"Good",AD12=3,"Excellent",AD12=4,"Outstanding")</f>
        <v>Excellent</v>
      </c>
      <c r="AF12">
        <v>3</v>
      </c>
      <c r="AG12" t="str" cm="1">
        <f t="array" ref="AG12">_xlfn.IFS(AF12=1,"Low",AF12=2,"Medium",AF12=3,"High",AF12=4,"Very High")</f>
        <v>High</v>
      </c>
      <c r="AH12">
        <v>1</v>
      </c>
      <c r="AI12">
        <v>6</v>
      </c>
      <c r="AJ12">
        <v>5</v>
      </c>
      <c r="AK12">
        <v>3</v>
      </c>
      <c r="AL12" t="str" cm="1">
        <f t="array" ref="AL12">_xlfn.IFS(AK12=1,"Low",AK12=2,"Medium",AK12=3,"High",AK12=4,"Very High")</f>
        <v>High</v>
      </c>
      <c r="AM12">
        <v>5</v>
      </c>
      <c r="AN12">
        <v>4</v>
      </c>
      <c r="AO12">
        <v>0</v>
      </c>
      <c r="AP12">
        <v>3</v>
      </c>
    </row>
    <row r="13" spans="1:42">
      <c r="A13">
        <v>29</v>
      </c>
      <c r="B13" t="str" cm="1">
        <f t="array" ref="B13">_xlfn.IFS(A13&lt;=25,"18-25",A13&lt;=35,"26-35",A13&lt;=45,"36-45",A13&lt;=55,"46-55",A13&gt;55,"56+")</f>
        <v>26-35</v>
      </c>
      <c r="C13" t="s">
        <v>39</v>
      </c>
      <c r="D13" t="s">
        <v>33</v>
      </c>
      <c r="E13" s="2">
        <v>153</v>
      </c>
      <c r="F13" t="s">
        <v>41</v>
      </c>
      <c r="G13">
        <v>15</v>
      </c>
      <c r="H13" t="str">
        <f t="shared" si="0"/>
        <v>11-20 km</v>
      </c>
      <c r="I13">
        <v>2</v>
      </c>
      <c r="J13" t="str" cm="1">
        <f t="array" ref="J13">_xlfn.IFS(I13=1,"Below College",I13=2,"College",I13=3,"Bachelor",I13=4,"Master",I13=5,"Doctor")</f>
        <v>College</v>
      </c>
      <c r="K13" t="s">
        <v>35</v>
      </c>
      <c r="L13">
        <v>15</v>
      </c>
      <c r="M13">
        <v>4</v>
      </c>
      <c r="N13" t="str" cm="1">
        <f t="array" ref="N13">_xlfn.IFS(M13=1,"Low",M13=2,"Medium",M13=3,"High",M13=4,"Very High")</f>
        <v>Very High</v>
      </c>
      <c r="O13" t="s">
        <v>36</v>
      </c>
      <c r="P13" s="2">
        <v>49</v>
      </c>
      <c r="Q13">
        <v>2</v>
      </c>
      <c r="R13" t="str" cm="1">
        <f t="array" ref="R13">_xlfn.IFS(Q13=1,"Low",Q13=2,"Medium",Q13=3,"High",Q13=4,"Very High")</f>
        <v>Medium</v>
      </c>
      <c r="S13">
        <v>2</v>
      </c>
      <c r="T13" t="str" cm="1">
        <f t="array" ref="T13">_xlfn.IFS(S13=1,"Entry Level",S13=2,"Junior",S13=3,"Mid-Level",S13=4,"Senior",S13=5,"Executive")</f>
        <v>Junior</v>
      </c>
      <c r="U13" t="s">
        <v>46</v>
      </c>
      <c r="V13">
        <v>3</v>
      </c>
      <c r="W13" t="str" cm="1">
        <f t="array" ref="W13">_xlfn.IFS(V13=1,"Low",V13=2,"Medium",V13=3,"High",V13=4,"Very High")</f>
        <v>High</v>
      </c>
      <c r="X13" t="s">
        <v>38</v>
      </c>
      <c r="Y13" s="2">
        <v>4193</v>
      </c>
      <c r="Z13" s="2">
        <v>12682</v>
      </c>
      <c r="AA13">
        <v>0</v>
      </c>
      <c r="AB13" t="s">
        <v>32</v>
      </c>
      <c r="AC13">
        <v>12</v>
      </c>
      <c r="AD13">
        <v>3</v>
      </c>
      <c r="AE13" t="str" cm="1">
        <f t="array" ref="AE13">_xlfn.IFS(AD13=1,"Low",AD13=2,"Good",AD13=3,"Excellent",AD13=4,"Outstanding")</f>
        <v>Excellent</v>
      </c>
      <c r="AF13">
        <v>4</v>
      </c>
      <c r="AG13" t="str" cm="1">
        <f t="array" ref="AG13">_xlfn.IFS(AF13=1,"Low",AF13=2,"Medium",AF13=3,"High",AF13=4,"Very High")</f>
        <v>Very High</v>
      </c>
      <c r="AH13">
        <v>0</v>
      </c>
      <c r="AI13">
        <v>10</v>
      </c>
      <c r="AJ13">
        <v>3</v>
      </c>
      <c r="AK13">
        <v>3</v>
      </c>
      <c r="AL13" t="str" cm="1">
        <f t="array" ref="AL13">_xlfn.IFS(AK13=1,"Low",AK13=2,"Medium",AK13=3,"High",AK13=4,"Very High")</f>
        <v>High</v>
      </c>
      <c r="AM13">
        <v>9</v>
      </c>
      <c r="AN13">
        <v>5</v>
      </c>
      <c r="AO13">
        <v>0</v>
      </c>
      <c r="AP13">
        <v>8</v>
      </c>
    </row>
    <row r="14" spans="1:42">
      <c r="A14">
        <v>31</v>
      </c>
      <c r="B14" t="str" cm="1">
        <f t="array" ref="B14">_xlfn.IFS(A14&lt;=25,"18-25",A14&lt;=35,"26-35",A14&lt;=45,"36-45",A14&lt;=55,"46-55",A14&gt;55,"56+")</f>
        <v>26-35</v>
      </c>
      <c r="C14" t="s">
        <v>39</v>
      </c>
      <c r="D14" t="s">
        <v>33</v>
      </c>
      <c r="E14" s="2">
        <v>670</v>
      </c>
      <c r="F14" t="s">
        <v>41</v>
      </c>
      <c r="G14">
        <v>26</v>
      </c>
      <c r="H14" t="str">
        <f t="shared" si="0"/>
        <v>21-30 km</v>
      </c>
      <c r="I14">
        <v>1</v>
      </c>
      <c r="J14" t="str" cm="1">
        <f t="array" ref="J14">_xlfn.IFS(I14=1,"Below College",I14=2,"College",I14=3,"Bachelor",I14=4,"Master",I14=5,"Doctor")</f>
        <v>Below College</v>
      </c>
      <c r="K14" t="s">
        <v>35</v>
      </c>
      <c r="L14">
        <v>16</v>
      </c>
      <c r="M14">
        <v>1</v>
      </c>
      <c r="N14" t="str" cm="1">
        <f t="array" ref="N14">_xlfn.IFS(M14=1,"Low",M14=2,"Medium",M14=3,"High",M14=4,"Very High")</f>
        <v>Low</v>
      </c>
      <c r="O14" t="s">
        <v>42</v>
      </c>
      <c r="P14" s="2">
        <v>31</v>
      </c>
      <c r="Q14">
        <v>3</v>
      </c>
      <c r="R14" t="str" cm="1">
        <f t="array" ref="R14">_xlfn.IFS(Q14=1,"Low",Q14=2,"Medium",Q14=3,"High",Q14=4,"Very High")</f>
        <v>High</v>
      </c>
      <c r="S14">
        <v>1</v>
      </c>
      <c r="T14" t="str" cm="1">
        <f t="array" ref="T14">_xlfn.IFS(S14=1,"Entry Level",S14=2,"Junior",S14=3,"Mid-Level",S14=4,"Senior",S14=5,"Executive")</f>
        <v>Entry Level</v>
      </c>
      <c r="U14" t="s">
        <v>43</v>
      </c>
      <c r="V14">
        <v>3</v>
      </c>
      <c r="W14" t="str" cm="1">
        <f t="array" ref="W14">_xlfn.IFS(V14=1,"Low",V14=2,"Medium",V14=3,"High",V14=4,"Very High")</f>
        <v>High</v>
      </c>
      <c r="X14" t="s">
        <v>48</v>
      </c>
      <c r="Y14" s="2">
        <v>2911</v>
      </c>
      <c r="Z14" s="2">
        <v>15170</v>
      </c>
      <c r="AA14">
        <v>1</v>
      </c>
      <c r="AB14" t="s">
        <v>39</v>
      </c>
      <c r="AC14">
        <v>17</v>
      </c>
      <c r="AD14">
        <v>3</v>
      </c>
      <c r="AE14" t="str" cm="1">
        <f t="array" ref="AE14">_xlfn.IFS(AD14=1,"Low",AD14=2,"Good",AD14=3,"Excellent",AD14=4,"Outstanding")</f>
        <v>Excellent</v>
      </c>
      <c r="AF14">
        <v>4</v>
      </c>
      <c r="AG14" t="str" cm="1">
        <f t="array" ref="AG14">_xlfn.IFS(AF14=1,"Low",AF14=2,"Medium",AF14=3,"High",AF14=4,"Very High")</f>
        <v>Very High</v>
      </c>
      <c r="AH14">
        <v>1</v>
      </c>
      <c r="AI14">
        <v>5</v>
      </c>
      <c r="AJ14">
        <v>1</v>
      </c>
      <c r="AK14">
        <v>2</v>
      </c>
      <c r="AL14" t="str" cm="1">
        <f t="array" ref="AL14">_xlfn.IFS(AK14=1,"Low",AK14=2,"Medium",AK14=3,"High",AK14=4,"Very High")</f>
        <v>Medium</v>
      </c>
      <c r="AM14">
        <v>5</v>
      </c>
      <c r="AN14">
        <v>2</v>
      </c>
      <c r="AO14">
        <v>4</v>
      </c>
      <c r="AP14">
        <v>3</v>
      </c>
    </row>
    <row r="15" spans="1:42">
      <c r="A15">
        <v>34</v>
      </c>
      <c r="B15" t="str" cm="1">
        <f t="array" ref="B15">_xlfn.IFS(A15&lt;=25,"18-25",A15&lt;=35,"26-35",A15&lt;=45,"36-45",A15&lt;=55,"46-55",A15&gt;55,"56+")</f>
        <v>26-35</v>
      </c>
      <c r="C15" t="s">
        <v>39</v>
      </c>
      <c r="D15" t="s">
        <v>33</v>
      </c>
      <c r="E15" s="2">
        <v>1346</v>
      </c>
      <c r="F15" t="s">
        <v>41</v>
      </c>
      <c r="G15">
        <v>19</v>
      </c>
      <c r="H15" t="str">
        <f t="shared" si="0"/>
        <v>11-20 km</v>
      </c>
      <c r="I15">
        <v>2</v>
      </c>
      <c r="J15" t="str" cm="1">
        <f t="array" ref="J15">_xlfn.IFS(I15=1,"Below College",I15=2,"College",I15=3,"Bachelor",I15=4,"Master",I15=5,"Doctor")</f>
        <v>College</v>
      </c>
      <c r="K15" t="s">
        <v>47</v>
      </c>
      <c r="L15">
        <v>18</v>
      </c>
      <c r="M15">
        <v>2</v>
      </c>
      <c r="N15" t="str" cm="1">
        <f t="array" ref="N15">_xlfn.IFS(M15=1,"Low",M15=2,"Medium",M15=3,"High",M15=4,"Very High")</f>
        <v>Medium</v>
      </c>
      <c r="O15" t="s">
        <v>42</v>
      </c>
      <c r="P15" s="2">
        <v>93</v>
      </c>
      <c r="Q15">
        <v>3</v>
      </c>
      <c r="R15" t="str" cm="1">
        <f t="array" ref="R15">_xlfn.IFS(Q15=1,"Low",Q15=2,"Medium",Q15=3,"High",Q15=4,"Very High")</f>
        <v>High</v>
      </c>
      <c r="S15">
        <v>1</v>
      </c>
      <c r="T15" t="str" cm="1">
        <f t="array" ref="T15">_xlfn.IFS(S15=1,"Entry Level",S15=2,"Junior",S15=3,"Mid-Level",S15=4,"Senior",S15=5,"Executive")</f>
        <v>Entry Level</v>
      </c>
      <c r="U15" t="s">
        <v>46</v>
      </c>
      <c r="V15">
        <v>4</v>
      </c>
      <c r="W15" t="str" cm="1">
        <f t="array" ref="W15">_xlfn.IFS(V15=1,"Low",V15=2,"Medium",V15=3,"High",V15=4,"Very High")</f>
        <v>Very High</v>
      </c>
      <c r="X15" t="s">
        <v>48</v>
      </c>
      <c r="Y15" s="2">
        <v>2661</v>
      </c>
      <c r="Z15" s="2">
        <v>8758</v>
      </c>
      <c r="AA15">
        <v>0</v>
      </c>
      <c r="AB15" t="s">
        <v>39</v>
      </c>
      <c r="AC15">
        <v>11</v>
      </c>
      <c r="AD15">
        <v>3</v>
      </c>
      <c r="AE15" t="str" cm="1">
        <f t="array" ref="AE15">_xlfn.IFS(AD15=1,"Low",AD15=2,"Good",AD15=3,"Excellent",AD15=4,"Outstanding")</f>
        <v>Excellent</v>
      </c>
      <c r="AF15">
        <v>3</v>
      </c>
      <c r="AG15" t="str" cm="1">
        <f t="array" ref="AG15">_xlfn.IFS(AF15=1,"Low",AF15=2,"Medium",AF15=3,"High",AF15=4,"Very High")</f>
        <v>High</v>
      </c>
      <c r="AH15">
        <v>1</v>
      </c>
      <c r="AI15">
        <v>3</v>
      </c>
      <c r="AJ15">
        <v>2</v>
      </c>
      <c r="AK15">
        <v>3</v>
      </c>
      <c r="AL15" t="str" cm="1">
        <f t="array" ref="AL15">_xlfn.IFS(AK15=1,"Low",AK15=2,"Medium",AK15=3,"High",AK15=4,"Very High")</f>
        <v>High</v>
      </c>
      <c r="AM15">
        <v>2</v>
      </c>
      <c r="AN15">
        <v>2</v>
      </c>
      <c r="AO15">
        <v>1</v>
      </c>
      <c r="AP15">
        <v>2</v>
      </c>
    </row>
    <row r="16" spans="1:42">
      <c r="A16">
        <v>28</v>
      </c>
      <c r="B16" t="str" cm="1">
        <f t="array" ref="B16">_xlfn.IFS(A16&lt;=25,"18-25",A16&lt;=35,"26-35",A16&lt;=45,"36-45",A16&lt;=55,"46-55",A16&gt;55,"56+")</f>
        <v>26-35</v>
      </c>
      <c r="C16" t="s">
        <v>32</v>
      </c>
      <c r="D16" t="s">
        <v>33</v>
      </c>
      <c r="E16" s="2">
        <v>103</v>
      </c>
      <c r="F16" t="s">
        <v>41</v>
      </c>
      <c r="G16">
        <v>24</v>
      </c>
      <c r="H16" t="str">
        <f t="shared" si="0"/>
        <v>21-30 km</v>
      </c>
      <c r="I16">
        <v>3</v>
      </c>
      <c r="J16" t="str" cm="1">
        <f t="array" ref="J16">_xlfn.IFS(I16=1,"Below College",I16=2,"College",I16=3,"Bachelor",I16=4,"Master",I16=5,"Doctor")</f>
        <v>Bachelor</v>
      </c>
      <c r="K16" t="s">
        <v>35</v>
      </c>
      <c r="L16">
        <v>19</v>
      </c>
      <c r="M16">
        <v>3</v>
      </c>
      <c r="N16" t="str" cm="1">
        <f t="array" ref="N16">_xlfn.IFS(M16=1,"Low",M16=2,"Medium",M16=3,"High",M16=4,"Very High")</f>
        <v>High</v>
      </c>
      <c r="O16" t="s">
        <v>42</v>
      </c>
      <c r="P16" s="2">
        <v>50</v>
      </c>
      <c r="Q16">
        <v>2</v>
      </c>
      <c r="R16" t="str" cm="1">
        <f t="array" ref="R16">_xlfn.IFS(Q16=1,"Low",Q16=2,"Medium",Q16=3,"High",Q16=4,"Very High")</f>
        <v>Medium</v>
      </c>
      <c r="S16">
        <v>1</v>
      </c>
      <c r="T16" t="str" cm="1">
        <f t="array" ref="T16">_xlfn.IFS(S16=1,"Entry Level",S16=2,"Junior",S16=3,"Mid-Level",S16=4,"Senior",S16=5,"Executive")</f>
        <v>Entry Level</v>
      </c>
      <c r="U16" t="s">
        <v>46</v>
      </c>
      <c r="V16">
        <v>3</v>
      </c>
      <c r="W16" t="str" cm="1">
        <f t="array" ref="W16">_xlfn.IFS(V16=1,"Low",V16=2,"Medium",V16=3,"High",V16=4,"Very High")</f>
        <v>High</v>
      </c>
      <c r="X16" t="s">
        <v>38</v>
      </c>
      <c r="Y16" s="2">
        <v>2028</v>
      </c>
      <c r="Z16" s="2">
        <v>12947</v>
      </c>
      <c r="AA16">
        <v>5</v>
      </c>
      <c r="AB16" t="s">
        <v>32</v>
      </c>
      <c r="AC16">
        <v>14</v>
      </c>
      <c r="AD16">
        <v>3</v>
      </c>
      <c r="AE16" t="str" cm="1">
        <f t="array" ref="AE16">_xlfn.IFS(AD16=1,"Low",AD16=2,"Good",AD16=3,"Excellent",AD16=4,"Outstanding")</f>
        <v>Excellent</v>
      </c>
      <c r="AF16">
        <v>2</v>
      </c>
      <c r="AG16" t="str" cm="1">
        <f t="array" ref="AG16">_xlfn.IFS(AF16=1,"Low",AF16=2,"Medium",AF16=3,"High",AF16=4,"Very High")</f>
        <v>Medium</v>
      </c>
      <c r="AH16">
        <v>0</v>
      </c>
      <c r="AI16">
        <v>6</v>
      </c>
      <c r="AJ16">
        <v>4</v>
      </c>
      <c r="AK16">
        <v>3</v>
      </c>
      <c r="AL16" t="str" cm="1">
        <f t="array" ref="AL16">_xlfn.IFS(AK16=1,"Low",AK16=2,"Medium",AK16=3,"High",AK16=4,"Very High")</f>
        <v>High</v>
      </c>
      <c r="AM16">
        <v>4</v>
      </c>
      <c r="AN16">
        <v>2</v>
      </c>
      <c r="AO16">
        <v>0</v>
      </c>
      <c r="AP16">
        <v>3</v>
      </c>
    </row>
    <row r="17" spans="1:42">
      <c r="A17">
        <v>29</v>
      </c>
      <c r="B17" t="str" cm="1">
        <f t="array" ref="B17">_xlfn.IFS(A17&lt;=25,"18-25",A17&lt;=35,"26-35",A17&lt;=45,"36-45",A17&lt;=55,"46-55",A17&gt;55,"56+")</f>
        <v>26-35</v>
      </c>
      <c r="C17" t="s">
        <v>39</v>
      </c>
      <c r="D17" t="s">
        <v>33</v>
      </c>
      <c r="E17" s="2">
        <v>1389</v>
      </c>
      <c r="F17" t="s">
        <v>41</v>
      </c>
      <c r="G17">
        <v>21</v>
      </c>
      <c r="H17" t="str">
        <f t="shared" si="0"/>
        <v>21-30 km</v>
      </c>
      <c r="I17">
        <v>4</v>
      </c>
      <c r="J17" t="str" cm="1">
        <f t="array" ref="J17">_xlfn.IFS(I17=1,"Below College",I17=2,"College",I17=3,"Bachelor",I17=4,"Master",I17=5,"Doctor")</f>
        <v>Master</v>
      </c>
      <c r="K17" t="s">
        <v>35</v>
      </c>
      <c r="L17">
        <v>20</v>
      </c>
      <c r="M17">
        <v>2</v>
      </c>
      <c r="N17" t="str" cm="1">
        <f t="array" ref="N17">_xlfn.IFS(M17=1,"Low",M17=2,"Medium",M17=3,"High",M17=4,"Very High")</f>
        <v>Medium</v>
      </c>
      <c r="O17" t="s">
        <v>36</v>
      </c>
      <c r="P17" s="2">
        <v>51</v>
      </c>
      <c r="Q17">
        <v>4</v>
      </c>
      <c r="R17" t="str" cm="1">
        <f t="array" ref="R17">_xlfn.IFS(Q17=1,"Low",Q17=2,"Medium",Q17=3,"High",Q17=4,"Very High")</f>
        <v>Very High</v>
      </c>
      <c r="S17">
        <v>3</v>
      </c>
      <c r="T17" t="str" cm="1">
        <f t="array" ref="T17">_xlfn.IFS(S17=1,"Entry Level",S17=2,"Junior",S17=3,"Mid-Level",S17=4,"Senior",S17=5,"Executive")</f>
        <v>Mid-Level</v>
      </c>
      <c r="U17" t="s">
        <v>49</v>
      </c>
      <c r="V17">
        <v>1</v>
      </c>
      <c r="W17" t="str" cm="1">
        <f t="array" ref="W17">_xlfn.IFS(V17=1,"Low",V17=2,"Medium",V17=3,"High",V17=4,"Very High")</f>
        <v>Low</v>
      </c>
      <c r="X17" t="s">
        <v>48</v>
      </c>
      <c r="Y17" s="2">
        <v>9980</v>
      </c>
      <c r="Z17" s="2">
        <v>10195</v>
      </c>
      <c r="AA17">
        <v>1</v>
      </c>
      <c r="AB17" t="s">
        <v>39</v>
      </c>
      <c r="AC17">
        <v>11</v>
      </c>
      <c r="AD17">
        <v>3</v>
      </c>
      <c r="AE17" t="str" cm="1">
        <f t="array" ref="AE17">_xlfn.IFS(AD17=1,"Low",AD17=2,"Good",AD17=3,"Excellent",AD17=4,"Outstanding")</f>
        <v>Excellent</v>
      </c>
      <c r="AF17">
        <v>3</v>
      </c>
      <c r="AG17" t="str" cm="1">
        <f t="array" ref="AG17">_xlfn.IFS(AF17=1,"Low",AF17=2,"Medium",AF17=3,"High",AF17=4,"Very High")</f>
        <v>High</v>
      </c>
      <c r="AH17">
        <v>1</v>
      </c>
      <c r="AI17">
        <v>10</v>
      </c>
      <c r="AJ17">
        <v>1</v>
      </c>
      <c r="AK17">
        <v>3</v>
      </c>
      <c r="AL17" t="str" cm="1">
        <f t="array" ref="AL17">_xlfn.IFS(AK17=1,"Low",AK17=2,"Medium",AK17=3,"High",AK17=4,"Very High")</f>
        <v>High</v>
      </c>
      <c r="AM17">
        <v>10</v>
      </c>
      <c r="AN17">
        <v>9</v>
      </c>
      <c r="AO17">
        <v>8</v>
      </c>
      <c r="AP17">
        <v>8</v>
      </c>
    </row>
    <row r="18" spans="1:42">
      <c r="A18">
        <v>32</v>
      </c>
      <c r="B18" t="str" cm="1">
        <f t="array" ref="B18">_xlfn.IFS(A18&lt;=25,"18-25",A18&lt;=35,"26-35",A18&lt;=45,"36-45",A18&lt;=55,"46-55",A18&gt;55,"56+")</f>
        <v>26-35</v>
      </c>
      <c r="C18" t="s">
        <v>39</v>
      </c>
      <c r="D18" t="s">
        <v>33</v>
      </c>
      <c r="E18" s="2">
        <v>334</v>
      </c>
      <c r="F18" t="s">
        <v>41</v>
      </c>
      <c r="G18">
        <v>5</v>
      </c>
      <c r="H18" t="str">
        <f t="shared" si="0"/>
        <v>1-10 km</v>
      </c>
      <c r="I18">
        <v>2</v>
      </c>
      <c r="J18" t="str" cm="1">
        <f t="array" ref="J18">_xlfn.IFS(I18=1,"Below College",I18=2,"College",I18=3,"Bachelor",I18=4,"Master",I18=5,"Doctor")</f>
        <v>College</v>
      </c>
      <c r="K18" t="s">
        <v>35</v>
      </c>
      <c r="L18">
        <v>21</v>
      </c>
      <c r="M18">
        <v>1</v>
      </c>
      <c r="N18" t="str" cm="1">
        <f t="array" ref="N18">_xlfn.IFS(M18=1,"Low",M18=2,"Medium",M18=3,"High",M18=4,"Very High")</f>
        <v>Low</v>
      </c>
      <c r="O18" t="s">
        <v>42</v>
      </c>
      <c r="P18" s="2">
        <v>80</v>
      </c>
      <c r="Q18">
        <v>4</v>
      </c>
      <c r="R18" t="str" cm="1">
        <f t="array" ref="R18">_xlfn.IFS(Q18=1,"Low",Q18=2,"Medium",Q18=3,"High",Q18=4,"Very High")</f>
        <v>Very High</v>
      </c>
      <c r="S18">
        <v>1</v>
      </c>
      <c r="T18" t="str" cm="1">
        <f t="array" ref="T18">_xlfn.IFS(S18=1,"Entry Level",S18=2,"Junior",S18=3,"Mid-Level",S18=4,"Senior",S18=5,"Executive")</f>
        <v>Entry Level</v>
      </c>
      <c r="U18" t="s">
        <v>43</v>
      </c>
      <c r="V18">
        <v>2</v>
      </c>
      <c r="W18" t="str" cm="1">
        <f t="array" ref="W18">_xlfn.IFS(V18=1,"Low",V18=2,"Medium",V18=3,"High",V18=4,"Very High")</f>
        <v>Medium</v>
      </c>
      <c r="X18" t="s">
        <v>48</v>
      </c>
      <c r="Y18" s="2">
        <v>3298</v>
      </c>
      <c r="Z18" s="2">
        <v>15053</v>
      </c>
      <c r="AA18">
        <v>0</v>
      </c>
      <c r="AB18" t="s">
        <v>32</v>
      </c>
      <c r="AC18">
        <v>12</v>
      </c>
      <c r="AD18">
        <v>3</v>
      </c>
      <c r="AE18" t="str" cm="1">
        <f t="array" ref="AE18">_xlfn.IFS(AD18=1,"Low",AD18=2,"Good",AD18=3,"Excellent",AD18=4,"Outstanding")</f>
        <v>Excellent</v>
      </c>
      <c r="AF18">
        <v>4</v>
      </c>
      <c r="AG18" t="str" cm="1">
        <f t="array" ref="AG18">_xlfn.IFS(AF18=1,"Low",AF18=2,"Medium",AF18=3,"High",AF18=4,"Very High")</f>
        <v>Very High</v>
      </c>
      <c r="AH18">
        <v>2</v>
      </c>
      <c r="AI18">
        <v>7</v>
      </c>
      <c r="AJ18">
        <v>5</v>
      </c>
      <c r="AK18">
        <v>2</v>
      </c>
      <c r="AL18" t="str" cm="1">
        <f t="array" ref="AL18">_xlfn.IFS(AK18=1,"Low",AK18=2,"Medium",AK18=3,"High",AK18=4,"Very High")</f>
        <v>Medium</v>
      </c>
      <c r="AM18">
        <v>6</v>
      </c>
      <c r="AN18">
        <v>2</v>
      </c>
      <c r="AO18">
        <v>0</v>
      </c>
      <c r="AP18">
        <v>5</v>
      </c>
    </row>
    <row r="19" spans="1:42">
      <c r="A19">
        <v>22</v>
      </c>
      <c r="B19" t="str" cm="1">
        <f t="array" ref="B19">_xlfn.IFS(A19&lt;=25,"18-25",A19&lt;=35,"26-35",A19&lt;=45,"36-45",A19&lt;=55,"46-55",A19&gt;55,"56+")</f>
        <v>18-25</v>
      </c>
      <c r="C19" t="s">
        <v>39</v>
      </c>
      <c r="D19" t="s">
        <v>51</v>
      </c>
      <c r="E19" s="2">
        <v>1123</v>
      </c>
      <c r="F19" t="s">
        <v>41</v>
      </c>
      <c r="G19">
        <v>16</v>
      </c>
      <c r="H19" t="str">
        <f t="shared" si="0"/>
        <v>11-20 km</v>
      </c>
      <c r="I19">
        <v>2</v>
      </c>
      <c r="J19" t="str" cm="1">
        <f t="array" ref="J19">_xlfn.IFS(I19=1,"Below College",I19=2,"College",I19=3,"Bachelor",I19=4,"Master",I19=5,"Doctor")</f>
        <v>College</v>
      </c>
      <c r="K19" t="s">
        <v>47</v>
      </c>
      <c r="L19">
        <v>22</v>
      </c>
      <c r="M19">
        <v>4</v>
      </c>
      <c r="N19" t="str" cm="1">
        <f t="array" ref="N19">_xlfn.IFS(M19=1,"Low",M19=2,"Medium",M19=3,"High",M19=4,"Very High")</f>
        <v>Very High</v>
      </c>
      <c r="O19" t="s">
        <v>42</v>
      </c>
      <c r="P19" s="2">
        <v>96</v>
      </c>
      <c r="Q19">
        <v>4</v>
      </c>
      <c r="R19" t="str" cm="1">
        <f t="array" ref="R19">_xlfn.IFS(Q19=1,"Low",Q19=2,"Medium",Q19=3,"High",Q19=4,"Very High")</f>
        <v>Very High</v>
      </c>
      <c r="S19">
        <v>1</v>
      </c>
      <c r="T19" t="str" cm="1">
        <f t="array" ref="T19">_xlfn.IFS(S19=1,"Entry Level",S19=2,"Junior",S19=3,"Mid-Level",S19=4,"Senior",S19=5,"Executive")</f>
        <v>Entry Level</v>
      </c>
      <c r="U19" t="s">
        <v>46</v>
      </c>
      <c r="V19">
        <v>4</v>
      </c>
      <c r="W19" t="str" cm="1">
        <f t="array" ref="W19">_xlfn.IFS(V19=1,"Low",V19=2,"Medium",V19=3,"High",V19=4,"Very High")</f>
        <v>Very High</v>
      </c>
      <c r="X19" t="s">
        <v>48</v>
      </c>
      <c r="Y19" s="2">
        <v>2935</v>
      </c>
      <c r="Z19" s="2">
        <v>7324</v>
      </c>
      <c r="AA19">
        <v>1</v>
      </c>
      <c r="AB19" t="s">
        <v>32</v>
      </c>
      <c r="AC19">
        <v>13</v>
      </c>
      <c r="AD19">
        <v>3</v>
      </c>
      <c r="AE19" t="str" cm="1">
        <f t="array" ref="AE19">_xlfn.IFS(AD19=1,"Low",AD19=2,"Good",AD19=3,"Excellent",AD19=4,"Outstanding")</f>
        <v>Excellent</v>
      </c>
      <c r="AF19">
        <v>2</v>
      </c>
      <c r="AG19" t="str" cm="1">
        <f t="array" ref="AG19">_xlfn.IFS(AF19=1,"Low",AF19=2,"Medium",AF19=3,"High",AF19=4,"Very High")</f>
        <v>Medium</v>
      </c>
      <c r="AH19">
        <v>2</v>
      </c>
      <c r="AI19">
        <v>1</v>
      </c>
      <c r="AJ19">
        <v>2</v>
      </c>
      <c r="AK19">
        <v>2</v>
      </c>
      <c r="AL19" t="str" cm="1">
        <f t="array" ref="AL19">_xlfn.IFS(AK19=1,"Low",AK19=2,"Medium",AK19=3,"High",AK19=4,"Very High")</f>
        <v>Medium</v>
      </c>
      <c r="AM19">
        <v>1</v>
      </c>
      <c r="AN19">
        <v>0</v>
      </c>
      <c r="AO19">
        <v>0</v>
      </c>
      <c r="AP19">
        <v>0</v>
      </c>
    </row>
    <row r="20" spans="1:42">
      <c r="A20">
        <v>53</v>
      </c>
      <c r="B20" t="str" cm="1">
        <f t="array" ref="B20">_xlfn.IFS(A20&lt;=25,"18-25",A20&lt;=35,"26-35",A20&lt;=45,"36-45",A20&lt;=55,"46-55",A20&gt;55,"56+")</f>
        <v>46-55</v>
      </c>
      <c r="C20" t="s">
        <v>39</v>
      </c>
      <c r="D20" t="s">
        <v>33</v>
      </c>
      <c r="E20" s="2">
        <v>1219</v>
      </c>
      <c r="F20" t="s">
        <v>34</v>
      </c>
      <c r="G20">
        <v>2</v>
      </c>
      <c r="H20" t="str">
        <f t="shared" si="0"/>
        <v>1-10 km</v>
      </c>
      <c r="I20">
        <v>4</v>
      </c>
      <c r="J20" t="str" cm="1">
        <f t="array" ref="J20">_xlfn.IFS(I20=1,"Below College",I20=2,"College",I20=3,"Bachelor",I20=4,"Master",I20=5,"Doctor")</f>
        <v>Master</v>
      </c>
      <c r="K20" t="s">
        <v>35</v>
      </c>
      <c r="L20">
        <v>23</v>
      </c>
      <c r="M20">
        <v>1</v>
      </c>
      <c r="N20" t="str" cm="1">
        <f t="array" ref="N20">_xlfn.IFS(M20=1,"Low",M20=2,"Medium",M20=3,"High",M20=4,"Very High")</f>
        <v>Low</v>
      </c>
      <c r="O20" t="s">
        <v>36</v>
      </c>
      <c r="P20" s="2">
        <v>78</v>
      </c>
      <c r="Q20">
        <v>2</v>
      </c>
      <c r="R20" t="str" cm="1">
        <f t="array" ref="R20">_xlfn.IFS(Q20=1,"Low",Q20=2,"Medium",Q20=3,"High",Q20=4,"Very High")</f>
        <v>Medium</v>
      </c>
      <c r="S20">
        <v>4</v>
      </c>
      <c r="T20" t="str" cm="1">
        <f t="array" ref="T20">_xlfn.IFS(S20=1,"Entry Level",S20=2,"Junior",S20=3,"Mid-Level",S20=4,"Senior",S20=5,"Executive")</f>
        <v>Senior</v>
      </c>
      <c r="U20" t="s">
        <v>52</v>
      </c>
      <c r="V20">
        <v>4</v>
      </c>
      <c r="W20" t="str" cm="1">
        <f t="array" ref="W20">_xlfn.IFS(V20=1,"Low",V20=2,"Medium",V20=3,"High",V20=4,"Very High")</f>
        <v>Very High</v>
      </c>
      <c r="X20" t="s">
        <v>44</v>
      </c>
      <c r="Y20" s="2">
        <v>15427</v>
      </c>
      <c r="Z20" s="2">
        <v>22021</v>
      </c>
      <c r="AA20">
        <v>2</v>
      </c>
      <c r="AB20" t="s">
        <v>39</v>
      </c>
      <c r="AC20">
        <v>16</v>
      </c>
      <c r="AD20">
        <v>3</v>
      </c>
      <c r="AE20" t="str" cm="1">
        <f t="array" ref="AE20">_xlfn.IFS(AD20=1,"Low",AD20=2,"Good",AD20=3,"Excellent",AD20=4,"Outstanding")</f>
        <v>Excellent</v>
      </c>
      <c r="AF20">
        <v>3</v>
      </c>
      <c r="AG20" t="str" cm="1">
        <f t="array" ref="AG20">_xlfn.IFS(AF20=1,"Low",AF20=2,"Medium",AF20=3,"High",AF20=4,"Very High")</f>
        <v>High</v>
      </c>
      <c r="AH20">
        <v>0</v>
      </c>
      <c r="AI20">
        <v>31</v>
      </c>
      <c r="AJ20">
        <v>3</v>
      </c>
      <c r="AK20">
        <v>3</v>
      </c>
      <c r="AL20" t="str" cm="1">
        <f t="array" ref="AL20">_xlfn.IFS(AK20=1,"Low",AK20=2,"Medium",AK20=3,"High",AK20=4,"Very High")</f>
        <v>High</v>
      </c>
      <c r="AM20">
        <v>25</v>
      </c>
      <c r="AN20">
        <v>8</v>
      </c>
      <c r="AO20">
        <v>3</v>
      </c>
      <c r="AP20">
        <v>7</v>
      </c>
    </row>
    <row r="21" spans="1:42">
      <c r="A21">
        <v>38</v>
      </c>
      <c r="B21" t="str" cm="1">
        <f t="array" ref="B21">_xlfn.IFS(A21&lt;=25,"18-25",A21&lt;=35,"26-35",A21&lt;=45,"36-45",A21&lt;=55,"46-55",A21&gt;55,"56+")</f>
        <v>36-45</v>
      </c>
      <c r="C21" t="s">
        <v>39</v>
      </c>
      <c r="D21" t="s">
        <v>33</v>
      </c>
      <c r="E21" s="2">
        <v>371</v>
      </c>
      <c r="F21" t="s">
        <v>41</v>
      </c>
      <c r="G21">
        <v>2</v>
      </c>
      <c r="H21" t="str">
        <f t="shared" si="0"/>
        <v>1-10 km</v>
      </c>
      <c r="I21">
        <v>3</v>
      </c>
      <c r="J21" t="str" cm="1">
        <f t="array" ref="J21">_xlfn.IFS(I21=1,"Below College",I21=2,"College",I21=3,"Bachelor",I21=4,"Master",I21=5,"Doctor")</f>
        <v>Bachelor</v>
      </c>
      <c r="K21" t="s">
        <v>35</v>
      </c>
      <c r="L21">
        <v>24</v>
      </c>
      <c r="M21">
        <v>4</v>
      </c>
      <c r="N21" t="str" cm="1">
        <f t="array" ref="N21">_xlfn.IFS(M21=1,"Low",M21=2,"Medium",M21=3,"High",M21=4,"Very High")</f>
        <v>Very High</v>
      </c>
      <c r="O21" t="s">
        <v>42</v>
      </c>
      <c r="P21" s="2">
        <v>45</v>
      </c>
      <c r="Q21">
        <v>3</v>
      </c>
      <c r="R21" t="str" cm="1">
        <f t="array" ref="R21">_xlfn.IFS(Q21=1,"Low",Q21=2,"Medium",Q21=3,"High",Q21=4,"Very High")</f>
        <v>High</v>
      </c>
      <c r="S21">
        <v>1</v>
      </c>
      <c r="T21" t="str" cm="1">
        <f t="array" ref="T21">_xlfn.IFS(S21=1,"Entry Level",S21=2,"Junior",S21=3,"Mid-Level",S21=4,"Senior",S21=5,"Executive")</f>
        <v>Entry Level</v>
      </c>
      <c r="U21" t="s">
        <v>43</v>
      </c>
      <c r="V21">
        <v>4</v>
      </c>
      <c r="W21" t="str" cm="1">
        <f t="array" ref="W21">_xlfn.IFS(V21=1,"Low",V21=2,"Medium",V21=3,"High",V21=4,"Very High")</f>
        <v>Very High</v>
      </c>
      <c r="X21" t="s">
        <v>38</v>
      </c>
      <c r="Y21" s="2">
        <v>3944</v>
      </c>
      <c r="Z21" s="2">
        <v>4306</v>
      </c>
      <c r="AA21">
        <v>5</v>
      </c>
      <c r="AB21" t="s">
        <v>32</v>
      </c>
      <c r="AC21">
        <v>11</v>
      </c>
      <c r="AD21">
        <v>3</v>
      </c>
      <c r="AE21" t="str" cm="1">
        <f t="array" ref="AE21">_xlfn.IFS(AD21=1,"Low",AD21=2,"Good",AD21=3,"Excellent",AD21=4,"Outstanding")</f>
        <v>Excellent</v>
      </c>
      <c r="AF21">
        <v>3</v>
      </c>
      <c r="AG21" t="str" cm="1">
        <f t="array" ref="AG21">_xlfn.IFS(AF21=1,"Low",AF21=2,"Medium",AF21=3,"High",AF21=4,"Very High")</f>
        <v>High</v>
      </c>
      <c r="AH21">
        <v>0</v>
      </c>
      <c r="AI21">
        <v>6</v>
      </c>
      <c r="AJ21">
        <v>3</v>
      </c>
      <c r="AK21">
        <v>3</v>
      </c>
      <c r="AL21" t="str" cm="1">
        <f t="array" ref="AL21">_xlfn.IFS(AK21=1,"Low",AK21=2,"Medium",AK21=3,"High",AK21=4,"Very High")</f>
        <v>High</v>
      </c>
      <c r="AM21">
        <v>3</v>
      </c>
      <c r="AN21">
        <v>2</v>
      </c>
      <c r="AO21">
        <v>1</v>
      </c>
      <c r="AP21">
        <v>2</v>
      </c>
    </row>
    <row r="22" spans="1:42">
      <c r="A22">
        <v>24</v>
      </c>
      <c r="B22" t="str" cm="1">
        <f t="array" ref="B22">_xlfn.IFS(A22&lt;=25,"18-25",A22&lt;=35,"26-35",A22&lt;=45,"36-45",A22&lt;=55,"46-55",A22&gt;55,"56+")</f>
        <v>18-25</v>
      </c>
      <c r="C22" t="s">
        <v>39</v>
      </c>
      <c r="D22" t="s">
        <v>51</v>
      </c>
      <c r="E22" s="2">
        <v>673</v>
      </c>
      <c r="F22" t="s">
        <v>41</v>
      </c>
      <c r="G22">
        <v>11</v>
      </c>
      <c r="H22" t="str">
        <f t="shared" si="0"/>
        <v>11-20 km</v>
      </c>
      <c r="I22">
        <v>2</v>
      </c>
      <c r="J22" t="str" cm="1">
        <f t="array" ref="J22">_xlfn.IFS(I22=1,"Below College",I22=2,"College",I22=3,"Bachelor",I22=4,"Master",I22=5,"Doctor")</f>
        <v>College</v>
      </c>
      <c r="K22" t="s">
        <v>45</v>
      </c>
      <c r="L22">
        <v>26</v>
      </c>
      <c r="M22">
        <v>1</v>
      </c>
      <c r="N22" t="str" cm="1">
        <f t="array" ref="N22">_xlfn.IFS(M22=1,"Low",M22=2,"Medium",M22=3,"High",M22=4,"Very High")</f>
        <v>Low</v>
      </c>
      <c r="O22" t="s">
        <v>36</v>
      </c>
      <c r="P22" s="2">
        <v>96</v>
      </c>
      <c r="Q22">
        <v>4</v>
      </c>
      <c r="R22" t="str" cm="1">
        <f t="array" ref="R22">_xlfn.IFS(Q22=1,"Low",Q22=2,"Medium",Q22=3,"High",Q22=4,"Very High")</f>
        <v>Very High</v>
      </c>
      <c r="S22">
        <v>2</v>
      </c>
      <c r="T22" t="str" cm="1">
        <f t="array" ref="T22">_xlfn.IFS(S22=1,"Entry Level",S22=2,"Junior",S22=3,"Mid-Level",S22=4,"Senior",S22=5,"Executive")</f>
        <v>Junior</v>
      </c>
      <c r="U22" t="s">
        <v>49</v>
      </c>
      <c r="V22">
        <v>3</v>
      </c>
      <c r="W22" t="str" cm="1">
        <f t="array" ref="W22">_xlfn.IFS(V22=1,"Low",V22=2,"Medium",V22=3,"High",V22=4,"Very High")</f>
        <v>High</v>
      </c>
      <c r="X22" t="s">
        <v>48</v>
      </c>
      <c r="Y22" s="2">
        <v>4011</v>
      </c>
      <c r="Z22" s="2">
        <v>8232</v>
      </c>
      <c r="AA22">
        <v>0</v>
      </c>
      <c r="AB22" t="s">
        <v>39</v>
      </c>
      <c r="AC22">
        <v>18</v>
      </c>
      <c r="AD22">
        <v>3</v>
      </c>
      <c r="AE22" t="str" cm="1">
        <f t="array" ref="AE22">_xlfn.IFS(AD22=1,"Low",AD22=2,"Good",AD22=3,"Excellent",AD22=4,"Outstanding")</f>
        <v>Excellent</v>
      </c>
      <c r="AF22">
        <v>4</v>
      </c>
      <c r="AG22" t="str" cm="1">
        <f t="array" ref="AG22">_xlfn.IFS(AF22=1,"Low",AF22=2,"Medium",AF22=3,"High",AF22=4,"Very High")</f>
        <v>Very High</v>
      </c>
      <c r="AH22">
        <v>1</v>
      </c>
      <c r="AI22">
        <v>5</v>
      </c>
      <c r="AJ22">
        <v>5</v>
      </c>
      <c r="AK22">
        <v>2</v>
      </c>
      <c r="AL22" t="str" cm="1">
        <f t="array" ref="AL22">_xlfn.IFS(AK22=1,"Low",AK22=2,"Medium",AK22=3,"High",AK22=4,"Very High")</f>
        <v>Medium</v>
      </c>
      <c r="AM22">
        <v>4</v>
      </c>
      <c r="AN22">
        <v>2</v>
      </c>
      <c r="AO22">
        <v>1</v>
      </c>
      <c r="AP22">
        <v>3</v>
      </c>
    </row>
    <row r="23" spans="1:42">
      <c r="A23">
        <v>36</v>
      </c>
      <c r="B23" t="str" cm="1">
        <f t="array" ref="B23">_xlfn.IFS(A23&lt;=25,"18-25",A23&lt;=35,"26-35",A23&lt;=45,"36-45",A23&lt;=55,"46-55",A23&gt;55,"56+")</f>
        <v>36-45</v>
      </c>
      <c r="C23" t="s">
        <v>32</v>
      </c>
      <c r="D23" t="s">
        <v>33</v>
      </c>
      <c r="E23" s="2">
        <v>1218</v>
      </c>
      <c r="F23" t="s">
        <v>34</v>
      </c>
      <c r="G23">
        <v>9</v>
      </c>
      <c r="H23" t="str">
        <f t="shared" si="0"/>
        <v>1-10 km</v>
      </c>
      <c r="I23">
        <v>4</v>
      </c>
      <c r="J23" t="str" cm="1">
        <f t="array" ref="J23">_xlfn.IFS(I23=1,"Below College",I23=2,"College",I23=3,"Bachelor",I23=4,"Master",I23=5,"Doctor")</f>
        <v>Master</v>
      </c>
      <c r="K23" t="s">
        <v>35</v>
      </c>
      <c r="L23">
        <v>27</v>
      </c>
      <c r="M23">
        <v>3</v>
      </c>
      <c r="N23" t="str" cm="1">
        <f t="array" ref="N23">_xlfn.IFS(M23=1,"Low",M23=2,"Medium",M23=3,"High",M23=4,"Very High")</f>
        <v>High</v>
      </c>
      <c r="O23" t="s">
        <v>42</v>
      </c>
      <c r="P23" s="2">
        <v>82</v>
      </c>
      <c r="Q23">
        <v>2</v>
      </c>
      <c r="R23" t="str" cm="1">
        <f t="array" ref="R23">_xlfn.IFS(Q23=1,"Low",Q23=2,"Medium",Q23=3,"High",Q23=4,"Very High")</f>
        <v>Medium</v>
      </c>
      <c r="S23">
        <v>1</v>
      </c>
      <c r="T23" t="str" cm="1">
        <f t="array" ref="T23">_xlfn.IFS(S23=1,"Entry Level",S23=2,"Junior",S23=3,"Mid-Level",S23=4,"Senior",S23=5,"Executive")</f>
        <v>Entry Level</v>
      </c>
      <c r="U23" t="s">
        <v>53</v>
      </c>
      <c r="V23">
        <v>1</v>
      </c>
      <c r="W23" t="str" cm="1">
        <f t="array" ref="W23">_xlfn.IFS(V23=1,"Low",V23=2,"Medium",V23=3,"High",V23=4,"Very High")</f>
        <v>Low</v>
      </c>
      <c r="X23" t="s">
        <v>38</v>
      </c>
      <c r="Y23" s="2">
        <v>3407</v>
      </c>
      <c r="Z23" s="2">
        <v>6986</v>
      </c>
      <c r="AA23">
        <v>7</v>
      </c>
      <c r="AB23" t="s">
        <v>39</v>
      </c>
      <c r="AC23">
        <v>23</v>
      </c>
      <c r="AD23">
        <v>4</v>
      </c>
      <c r="AE23" t="str" cm="1">
        <f t="array" ref="AE23">_xlfn.IFS(AD23=1,"Low",AD23=2,"Good",AD23=3,"Excellent",AD23=4,"Outstanding")</f>
        <v>Outstanding</v>
      </c>
      <c r="AF23">
        <v>2</v>
      </c>
      <c r="AG23" t="str" cm="1">
        <f t="array" ref="AG23">_xlfn.IFS(AF23=1,"Low",AF23=2,"Medium",AF23=3,"High",AF23=4,"Very High")</f>
        <v>Medium</v>
      </c>
      <c r="AH23">
        <v>0</v>
      </c>
      <c r="AI23">
        <v>10</v>
      </c>
      <c r="AJ23">
        <v>4</v>
      </c>
      <c r="AK23">
        <v>3</v>
      </c>
      <c r="AL23" t="str" cm="1">
        <f t="array" ref="AL23">_xlfn.IFS(AK23=1,"Low",AK23=2,"Medium",AK23=3,"High",AK23=4,"Very High")</f>
        <v>High</v>
      </c>
      <c r="AM23">
        <v>5</v>
      </c>
      <c r="AN23">
        <v>3</v>
      </c>
      <c r="AO23">
        <v>0</v>
      </c>
      <c r="AP23">
        <v>3</v>
      </c>
    </row>
    <row r="24" spans="1:42">
      <c r="A24">
        <v>34</v>
      </c>
      <c r="B24" t="str" cm="1">
        <f t="array" ref="B24">_xlfn.IFS(A24&lt;=25,"18-25",A24&lt;=35,"26-35",A24&lt;=45,"36-45",A24&lt;=55,"46-55",A24&gt;55,"56+")</f>
        <v>26-35</v>
      </c>
      <c r="C24" t="s">
        <v>39</v>
      </c>
      <c r="D24" t="s">
        <v>33</v>
      </c>
      <c r="E24" s="2">
        <v>419</v>
      </c>
      <c r="F24" t="s">
        <v>41</v>
      </c>
      <c r="G24">
        <v>7</v>
      </c>
      <c r="H24" t="str">
        <f t="shared" si="0"/>
        <v>1-10 km</v>
      </c>
      <c r="I24">
        <v>4</v>
      </c>
      <c r="J24" t="str" cm="1">
        <f t="array" ref="J24">_xlfn.IFS(I24=1,"Below College",I24=2,"College",I24=3,"Bachelor",I24=4,"Master",I24=5,"Doctor")</f>
        <v>Master</v>
      </c>
      <c r="K24" t="s">
        <v>35</v>
      </c>
      <c r="L24">
        <v>28</v>
      </c>
      <c r="M24">
        <v>1</v>
      </c>
      <c r="N24" t="str" cm="1">
        <f t="array" ref="N24">_xlfn.IFS(M24=1,"Low",M24=2,"Medium",M24=3,"High",M24=4,"Very High")</f>
        <v>Low</v>
      </c>
      <c r="O24" t="s">
        <v>36</v>
      </c>
      <c r="P24" s="2">
        <v>53</v>
      </c>
      <c r="Q24">
        <v>3</v>
      </c>
      <c r="R24" t="str" cm="1">
        <f t="array" ref="R24">_xlfn.IFS(Q24=1,"Low",Q24=2,"Medium",Q24=3,"High",Q24=4,"Very High")</f>
        <v>High</v>
      </c>
      <c r="S24">
        <v>3</v>
      </c>
      <c r="T24" t="str" cm="1">
        <f t="array" ref="T24">_xlfn.IFS(S24=1,"Entry Level",S24=2,"Junior",S24=3,"Mid-Level",S24=4,"Senior",S24=5,"Executive")</f>
        <v>Mid-Level</v>
      </c>
      <c r="U24" t="s">
        <v>54</v>
      </c>
      <c r="V24">
        <v>2</v>
      </c>
      <c r="W24" t="str" cm="1">
        <f t="array" ref="W24">_xlfn.IFS(V24=1,"Low",V24=2,"Medium",V24=3,"High",V24=4,"Very High")</f>
        <v>Medium</v>
      </c>
      <c r="X24" t="s">
        <v>38</v>
      </c>
      <c r="Y24" s="2">
        <v>11994</v>
      </c>
      <c r="Z24" s="2">
        <v>21293</v>
      </c>
      <c r="AA24">
        <v>0</v>
      </c>
      <c r="AB24" t="s">
        <v>39</v>
      </c>
      <c r="AC24">
        <v>11</v>
      </c>
      <c r="AD24">
        <v>3</v>
      </c>
      <c r="AE24" t="str" cm="1">
        <f t="array" ref="AE24">_xlfn.IFS(AD24=1,"Low",AD24=2,"Good",AD24=3,"Excellent",AD24=4,"Outstanding")</f>
        <v>Excellent</v>
      </c>
      <c r="AF24">
        <v>3</v>
      </c>
      <c r="AG24" t="str" cm="1">
        <f t="array" ref="AG24">_xlfn.IFS(AF24=1,"Low",AF24=2,"Medium",AF24=3,"High",AF24=4,"Very High")</f>
        <v>High</v>
      </c>
      <c r="AH24">
        <v>0</v>
      </c>
      <c r="AI24">
        <v>13</v>
      </c>
      <c r="AJ24">
        <v>4</v>
      </c>
      <c r="AK24">
        <v>3</v>
      </c>
      <c r="AL24" t="str" cm="1">
        <f t="array" ref="AL24">_xlfn.IFS(AK24=1,"Low",AK24=2,"Medium",AK24=3,"High",AK24=4,"Very High")</f>
        <v>High</v>
      </c>
      <c r="AM24">
        <v>12</v>
      </c>
      <c r="AN24">
        <v>6</v>
      </c>
      <c r="AO24">
        <v>2</v>
      </c>
      <c r="AP24">
        <v>11</v>
      </c>
    </row>
    <row r="25" spans="1:42">
      <c r="A25">
        <v>21</v>
      </c>
      <c r="B25" t="str" cm="1">
        <f t="array" ref="B25">_xlfn.IFS(A25&lt;=25,"18-25",A25&lt;=35,"26-35",A25&lt;=45,"36-45",A25&lt;=55,"46-55",A25&gt;55,"56+")</f>
        <v>18-25</v>
      </c>
      <c r="C25" t="s">
        <v>39</v>
      </c>
      <c r="D25" t="s">
        <v>33</v>
      </c>
      <c r="E25" s="2">
        <v>391</v>
      </c>
      <c r="F25" t="s">
        <v>41</v>
      </c>
      <c r="G25">
        <v>15</v>
      </c>
      <c r="H25" t="str">
        <f t="shared" si="0"/>
        <v>11-20 km</v>
      </c>
      <c r="I25">
        <v>2</v>
      </c>
      <c r="J25" t="str" cm="1">
        <f t="array" ref="J25">_xlfn.IFS(I25=1,"Below College",I25=2,"College",I25=3,"Bachelor",I25=4,"Master",I25=5,"Doctor")</f>
        <v>College</v>
      </c>
      <c r="K25" t="s">
        <v>35</v>
      </c>
      <c r="L25">
        <v>30</v>
      </c>
      <c r="M25">
        <v>3</v>
      </c>
      <c r="N25" t="str" cm="1">
        <f t="array" ref="N25">_xlfn.IFS(M25=1,"Low",M25=2,"Medium",M25=3,"High",M25=4,"Very High")</f>
        <v>High</v>
      </c>
      <c r="O25" t="s">
        <v>42</v>
      </c>
      <c r="P25" s="2">
        <v>96</v>
      </c>
      <c r="Q25">
        <v>3</v>
      </c>
      <c r="R25" t="str" cm="1">
        <f t="array" ref="R25">_xlfn.IFS(Q25=1,"Low",Q25=2,"Medium",Q25=3,"High",Q25=4,"Very High")</f>
        <v>High</v>
      </c>
      <c r="S25">
        <v>1</v>
      </c>
      <c r="T25" t="str" cm="1">
        <f t="array" ref="T25">_xlfn.IFS(S25=1,"Entry Level",S25=2,"Junior",S25=3,"Mid-Level",S25=4,"Senior",S25=5,"Executive")</f>
        <v>Entry Level</v>
      </c>
      <c r="U25" t="s">
        <v>43</v>
      </c>
      <c r="V25">
        <v>4</v>
      </c>
      <c r="W25" t="str" cm="1">
        <f t="array" ref="W25">_xlfn.IFS(V25=1,"Low",V25=2,"Medium",V25=3,"High",V25=4,"Very High")</f>
        <v>Very High</v>
      </c>
      <c r="X25" t="s">
        <v>38</v>
      </c>
      <c r="Y25" s="2">
        <v>1232</v>
      </c>
      <c r="Z25" s="2">
        <v>19281</v>
      </c>
      <c r="AA25">
        <v>1</v>
      </c>
      <c r="AB25" t="s">
        <v>39</v>
      </c>
      <c r="AC25">
        <v>14</v>
      </c>
      <c r="AD25">
        <v>3</v>
      </c>
      <c r="AE25" t="str" cm="1">
        <f t="array" ref="AE25">_xlfn.IFS(AD25=1,"Low",AD25=2,"Good",AD25=3,"Excellent",AD25=4,"Outstanding")</f>
        <v>Excellent</v>
      </c>
      <c r="AF25">
        <v>4</v>
      </c>
      <c r="AG25" t="str" cm="1">
        <f t="array" ref="AG25">_xlfn.IFS(AF25=1,"Low",AF25=2,"Medium",AF25=3,"High",AF25=4,"Very High")</f>
        <v>Very High</v>
      </c>
      <c r="AH25">
        <v>0</v>
      </c>
      <c r="AI25">
        <v>0</v>
      </c>
      <c r="AJ25">
        <v>6</v>
      </c>
      <c r="AK25">
        <v>3</v>
      </c>
      <c r="AL25" t="str" cm="1">
        <f t="array" ref="AL25">_xlfn.IFS(AK25=1,"Low",AK25=2,"Medium",AK25=3,"High",AK25=4,"Very High")</f>
        <v>High</v>
      </c>
      <c r="AM25">
        <v>0</v>
      </c>
      <c r="AN25">
        <v>0</v>
      </c>
      <c r="AO25">
        <v>0</v>
      </c>
      <c r="AP25">
        <v>0</v>
      </c>
    </row>
    <row r="26" spans="1:42">
      <c r="A26">
        <v>34</v>
      </c>
      <c r="B26" t="str" cm="1">
        <f t="array" ref="B26">_xlfn.IFS(A26&lt;=25,"18-25",A26&lt;=35,"26-35",A26&lt;=45,"36-45",A26&lt;=55,"46-55",A26&gt;55,"56+")</f>
        <v>26-35</v>
      </c>
      <c r="C26" t="s">
        <v>32</v>
      </c>
      <c r="D26" t="s">
        <v>33</v>
      </c>
      <c r="E26" s="2">
        <v>699</v>
      </c>
      <c r="F26" t="s">
        <v>41</v>
      </c>
      <c r="G26">
        <v>6</v>
      </c>
      <c r="H26" t="str">
        <f t="shared" si="0"/>
        <v>1-10 km</v>
      </c>
      <c r="I26">
        <v>1</v>
      </c>
      <c r="J26" t="str" cm="1">
        <f t="array" ref="J26">_xlfn.IFS(I26=1,"Below College",I26=2,"College",I26=3,"Bachelor",I26=4,"Master",I26=5,"Doctor")</f>
        <v>Below College</v>
      </c>
      <c r="K26" t="s">
        <v>47</v>
      </c>
      <c r="L26">
        <v>31</v>
      </c>
      <c r="M26">
        <v>2</v>
      </c>
      <c r="N26" t="str" cm="1">
        <f t="array" ref="N26">_xlfn.IFS(M26=1,"Low",M26=2,"Medium",M26=3,"High",M26=4,"Very High")</f>
        <v>Medium</v>
      </c>
      <c r="O26" t="s">
        <v>42</v>
      </c>
      <c r="P26" s="2">
        <v>83</v>
      </c>
      <c r="Q26">
        <v>3</v>
      </c>
      <c r="R26" t="str" cm="1">
        <f t="array" ref="R26">_xlfn.IFS(Q26=1,"Low",Q26=2,"Medium",Q26=3,"High",Q26=4,"Very High")</f>
        <v>High</v>
      </c>
      <c r="S26">
        <v>1</v>
      </c>
      <c r="T26" t="str" cm="1">
        <f t="array" ref="T26">_xlfn.IFS(S26=1,"Entry Level",S26=2,"Junior",S26=3,"Mid-Level",S26=4,"Senior",S26=5,"Executive")</f>
        <v>Entry Level</v>
      </c>
      <c r="U26" t="s">
        <v>43</v>
      </c>
      <c r="V26">
        <v>1</v>
      </c>
      <c r="W26" t="str" cm="1">
        <f t="array" ref="W26">_xlfn.IFS(V26=1,"Low",V26=2,"Medium",V26=3,"High",V26=4,"Very High")</f>
        <v>Low</v>
      </c>
      <c r="X26" t="s">
        <v>38</v>
      </c>
      <c r="Y26" s="2">
        <v>2960</v>
      </c>
      <c r="Z26" s="2">
        <v>17102</v>
      </c>
      <c r="AA26">
        <v>2</v>
      </c>
      <c r="AB26" t="s">
        <v>39</v>
      </c>
      <c r="AC26">
        <v>11</v>
      </c>
      <c r="AD26">
        <v>3</v>
      </c>
      <c r="AE26" t="str" cm="1">
        <f t="array" ref="AE26">_xlfn.IFS(AD26=1,"Low",AD26=2,"Good",AD26=3,"Excellent",AD26=4,"Outstanding")</f>
        <v>Excellent</v>
      </c>
      <c r="AF26">
        <v>3</v>
      </c>
      <c r="AG26" t="str" cm="1">
        <f t="array" ref="AG26">_xlfn.IFS(AF26=1,"Low",AF26=2,"Medium",AF26=3,"High",AF26=4,"Very High")</f>
        <v>High</v>
      </c>
      <c r="AH26">
        <v>0</v>
      </c>
      <c r="AI26">
        <v>8</v>
      </c>
      <c r="AJ26">
        <v>2</v>
      </c>
      <c r="AK26">
        <v>3</v>
      </c>
      <c r="AL26" t="str" cm="1">
        <f t="array" ref="AL26">_xlfn.IFS(AK26=1,"Low",AK26=2,"Medium",AK26=3,"High",AK26=4,"Very High")</f>
        <v>High</v>
      </c>
      <c r="AM26">
        <v>4</v>
      </c>
      <c r="AN26">
        <v>2</v>
      </c>
      <c r="AO26">
        <v>1</v>
      </c>
      <c r="AP26">
        <v>3</v>
      </c>
    </row>
    <row r="27" spans="1:42">
      <c r="A27">
        <v>53</v>
      </c>
      <c r="B27" t="str" cm="1">
        <f t="array" ref="B27">_xlfn.IFS(A27&lt;=25,"18-25",A27&lt;=35,"26-35",A27&lt;=45,"36-45",A27&lt;=55,"46-55",A27&gt;55,"56+")</f>
        <v>46-55</v>
      </c>
      <c r="C27" t="s">
        <v>39</v>
      </c>
      <c r="D27" t="s">
        <v>33</v>
      </c>
      <c r="E27" s="2">
        <v>1282</v>
      </c>
      <c r="F27" t="s">
        <v>41</v>
      </c>
      <c r="G27">
        <v>5</v>
      </c>
      <c r="H27" t="str">
        <f t="shared" si="0"/>
        <v>1-10 km</v>
      </c>
      <c r="I27">
        <v>3</v>
      </c>
      <c r="J27" t="str" cm="1">
        <f t="array" ref="J27">_xlfn.IFS(I27=1,"Below College",I27=2,"College",I27=3,"Bachelor",I27=4,"Master",I27=5,"Doctor")</f>
        <v>Bachelor</v>
      </c>
      <c r="K27" t="s">
        <v>45</v>
      </c>
      <c r="L27">
        <v>32</v>
      </c>
      <c r="M27">
        <v>3</v>
      </c>
      <c r="N27" t="str" cm="1">
        <f t="array" ref="N27">_xlfn.IFS(M27=1,"Low",M27=2,"Medium",M27=3,"High",M27=4,"Very High")</f>
        <v>High</v>
      </c>
      <c r="O27" t="s">
        <v>36</v>
      </c>
      <c r="P27" s="2">
        <v>58</v>
      </c>
      <c r="Q27">
        <v>3</v>
      </c>
      <c r="R27" t="str" cm="1">
        <f t="array" ref="R27">_xlfn.IFS(Q27=1,"Low",Q27=2,"Medium",Q27=3,"High",Q27=4,"Very High")</f>
        <v>High</v>
      </c>
      <c r="S27">
        <v>5</v>
      </c>
      <c r="T27" t="str" cm="1">
        <f t="array" ref="T27">_xlfn.IFS(S27=1,"Entry Level",S27=2,"Junior",S27=3,"Mid-Level",S27=4,"Senior",S27=5,"Executive")</f>
        <v>Executive</v>
      </c>
      <c r="U27" t="s">
        <v>52</v>
      </c>
      <c r="V27">
        <v>3</v>
      </c>
      <c r="W27" t="str" cm="1">
        <f t="array" ref="W27">_xlfn.IFS(V27=1,"Low",V27=2,"Medium",V27=3,"High",V27=4,"Very High")</f>
        <v>High</v>
      </c>
      <c r="X27" t="s">
        <v>48</v>
      </c>
      <c r="Y27" s="2">
        <v>19094</v>
      </c>
      <c r="Z27" s="2">
        <v>10735</v>
      </c>
      <c r="AA27">
        <v>4</v>
      </c>
      <c r="AB27" t="s">
        <v>39</v>
      </c>
      <c r="AC27">
        <v>11</v>
      </c>
      <c r="AD27">
        <v>3</v>
      </c>
      <c r="AE27" t="str" cm="1">
        <f t="array" ref="AE27">_xlfn.IFS(AD27=1,"Low",AD27=2,"Good",AD27=3,"Excellent",AD27=4,"Outstanding")</f>
        <v>Excellent</v>
      </c>
      <c r="AF27">
        <v>4</v>
      </c>
      <c r="AG27" t="str" cm="1">
        <f t="array" ref="AG27">_xlfn.IFS(AF27=1,"Low",AF27=2,"Medium",AF27=3,"High",AF27=4,"Very High")</f>
        <v>Very High</v>
      </c>
      <c r="AH27">
        <v>1</v>
      </c>
      <c r="AI27">
        <v>26</v>
      </c>
      <c r="AJ27">
        <v>3</v>
      </c>
      <c r="AK27">
        <v>2</v>
      </c>
      <c r="AL27" t="str" cm="1">
        <f t="array" ref="AL27">_xlfn.IFS(AK27=1,"Low",AK27=2,"Medium",AK27=3,"High",AK27=4,"Very High")</f>
        <v>Medium</v>
      </c>
      <c r="AM27">
        <v>14</v>
      </c>
      <c r="AN27">
        <v>13</v>
      </c>
      <c r="AO27">
        <v>4</v>
      </c>
      <c r="AP27">
        <v>8</v>
      </c>
    </row>
    <row r="28" spans="1:42">
      <c r="A28">
        <v>32</v>
      </c>
      <c r="B28" t="str" cm="1">
        <f t="array" ref="B28">_xlfn.IFS(A28&lt;=25,"18-25",A28&lt;=35,"26-35",A28&lt;=45,"36-45",A28&lt;=55,"46-55",A28&gt;55,"56+")</f>
        <v>26-35</v>
      </c>
      <c r="C28" t="s">
        <v>32</v>
      </c>
      <c r="D28" t="s">
        <v>40</v>
      </c>
      <c r="E28" s="2">
        <v>1125</v>
      </c>
      <c r="F28" t="s">
        <v>41</v>
      </c>
      <c r="G28">
        <v>16</v>
      </c>
      <c r="H28" t="str">
        <f t="shared" si="0"/>
        <v>11-20 km</v>
      </c>
      <c r="I28">
        <v>1</v>
      </c>
      <c r="J28" t="str" cm="1">
        <f t="array" ref="J28">_xlfn.IFS(I28=1,"Below College",I28=2,"College",I28=3,"Bachelor",I28=4,"Master",I28=5,"Doctor")</f>
        <v>Below College</v>
      </c>
      <c r="K28" t="s">
        <v>35</v>
      </c>
      <c r="L28">
        <v>33</v>
      </c>
      <c r="M28">
        <v>2</v>
      </c>
      <c r="N28" t="str" cm="1">
        <f t="array" ref="N28">_xlfn.IFS(M28=1,"Low",M28=2,"Medium",M28=3,"High",M28=4,"Very High")</f>
        <v>Medium</v>
      </c>
      <c r="O28" t="s">
        <v>36</v>
      </c>
      <c r="P28" s="2">
        <v>72</v>
      </c>
      <c r="Q28">
        <v>1</v>
      </c>
      <c r="R28" t="str" cm="1">
        <f t="array" ref="R28">_xlfn.IFS(Q28=1,"Low",Q28=2,"Medium",Q28=3,"High",Q28=4,"Very High")</f>
        <v>Low</v>
      </c>
      <c r="S28">
        <v>1</v>
      </c>
      <c r="T28" t="str" cm="1">
        <f t="array" ref="T28">_xlfn.IFS(S28=1,"Entry Level",S28=2,"Junior",S28=3,"Mid-Level",S28=4,"Senior",S28=5,"Executive")</f>
        <v>Entry Level</v>
      </c>
      <c r="U28" t="s">
        <v>43</v>
      </c>
      <c r="V28">
        <v>1</v>
      </c>
      <c r="W28" t="str" cm="1">
        <f t="array" ref="W28">_xlfn.IFS(V28=1,"Low",V28=2,"Medium",V28=3,"High",V28=4,"Very High")</f>
        <v>Low</v>
      </c>
      <c r="X28" t="s">
        <v>38</v>
      </c>
      <c r="Y28" s="2">
        <v>3919</v>
      </c>
      <c r="Z28" s="2">
        <v>4681</v>
      </c>
      <c r="AA28">
        <v>1</v>
      </c>
      <c r="AB28" t="s">
        <v>32</v>
      </c>
      <c r="AC28">
        <v>22</v>
      </c>
      <c r="AD28">
        <v>4</v>
      </c>
      <c r="AE28" t="str" cm="1">
        <f t="array" ref="AE28">_xlfn.IFS(AD28=1,"Low",AD28=2,"Good",AD28=3,"Excellent",AD28=4,"Outstanding")</f>
        <v>Outstanding</v>
      </c>
      <c r="AF28">
        <v>2</v>
      </c>
      <c r="AG28" t="str" cm="1">
        <f t="array" ref="AG28">_xlfn.IFS(AF28=1,"Low",AF28=2,"Medium",AF28=3,"High",AF28=4,"Very High")</f>
        <v>Medium</v>
      </c>
      <c r="AH28">
        <v>0</v>
      </c>
      <c r="AI28">
        <v>10</v>
      </c>
      <c r="AJ28">
        <v>5</v>
      </c>
      <c r="AK28">
        <v>3</v>
      </c>
      <c r="AL28" t="str" cm="1">
        <f t="array" ref="AL28">_xlfn.IFS(AK28=1,"Low",AK28=2,"Medium",AK28=3,"High",AK28=4,"Very High")</f>
        <v>High</v>
      </c>
      <c r="AM28">
        <v>10</v>
      </c>
      <c r="AN28">
        <v>2</v>
      </c>
      <c r="AO28">
        <v>6</v>
      </c>
      <c r="AP28">
        <v>7</v>
      </c>
    </row>
    <row r="29" spans="1:42">
      <c r="A29">
        <v>42</v>
      </c>
      <c r="B29" t="str" cm="1">
        <f t="array" ref="B29">_xlfn.IFS(A29&lt;=25,"18-25",A29&lt;=35,"26-35",A29&lt;=45,"36-45",A29&lt;=55,"46-55",A29&gt;55,"56+")</f>
        <v>36-45</v>
      </c>
      <c r="C29" t="s">
        <v>39</v>
      </c>
      <c r="D29" t="s">
        <v>33</v>
      </c>
      <c r="E29" s="2">
        <v>691</v>
      </c>
      <c r="F29" t="s">
        <v>34</v>
      </c>
      <c r="G29">
        <v>8</v>
      </c>
      <c r="H29" t="str">
        <f t="shared" si="0"/>
        <v>1-10 km</v>
      </c>
      <c r="I29">
        <v>4</v>
      </c>
      <c r="J29" t="str" cm="1">
        <f t="array" ref="J29">_xlfn.IFS(I29=1,"Below College",I29=2,"College",I29=3,"Bachelor",I29=4,"Master",I29=5,"Doctor")</f>
        <v>Master</v>
      </c>
      <c r="K29" t="s">
        <v>55</v>
      </c>
      <c r="L29">
        <v>35</v>
      </c>
      <c r="M29">
        <v>3</v>
      </c>
      <c r="N29" t="str" cm="1">
        <f t="array" ref="N29">_xlfn.IFS(M29=1,"Low",M29=2,"Medium",M29=3,"High",M29=4,"Very High")</f>
        <v>High</v>
      </c>
      <c r="O29" t="s">
        <v>42</v>
      </c>
      <c r="P29" s="2">
        <v>48</v>
      </c>
      <c r="Q29">
        <v>3</v>
      </c>
      <c r="R29" t="str" cm="1">
        <f t="array" ref="R29">_xlfn.IFS(Q29=1,"Low",Q29=2,"Medium",Q29=3,"High",Q29=4,"Very High")</f>
        <v>High</v>
      </c>
      <c r="S29">
        <v>2</v>
      </c>
      <c r="T29" t="str" cm="1">
        <f t="array" ref="T29">_xlfn.IFS(S29=1,"Entry Level",S29=2,"Junior",S29=3,"Mid-Level",S29=4,"Senior",S29=5,"Executive")</f>
        <v>Junior</v>
      </c>
      <c r="U29" t="s">
        <v>37</v>
      </c>
      <c r="V29">
        <v>2</v>
      </c>
      <c r="W29" t="str" cm="1">
        <f t="array" ref="W29">_xlfn.IFS(V29=1,"Low",V29=2,"Medium",V29=3,"High",V29=4,"Very High")</f>
        <v>Medium</v>
      </c>
      <c r="X29" t="s">
        <v>44</v>
      </c>
      <c r="Y29" s="2">
        <v>6825</v>
      </c>
      <c r="Z29" s="2">
        <v>21173</v>
      </c>
      <c r="AA29">
        <v>0</v>
      </c>
      <c r="AB29" t="s">
        <v>39</v>
      </c>
      <c r="AC29">
        <v>11</v>
      </c>
      <c r="AD29">
        <v>3</v>
      </c>
      <c r="AE29" t="str" cm="1">
        <f t="array" ref="AE29">_xlfn.IFS(AD29=1,"Low",AD29=2,"Good",AD29=3,"Excellent",AD29=4,"Outstanding")</f>
        <v>Excellent</v>
      </c>
      <c r="AF29">
        <v>4</v>
      </c>
      <c r="AG29" t="str" cm="1">
        <f t="array" ref="AG29">_xlfn.IFS(AF29=1,"Low",AF29=2,"Medium",AF29=3,"High",AF29=4,"Very High")</f>
        <v>Very High</v>
      </c>
      <c r="AH29">
        <v>1</v>
      </c>
      <c r="AI29">
        <v>10</v>
      </c>
      <c r="AJ29">
        <v>2</v>
      </c>
      <c r="AK29">
        <v>3</v>
      </c>
      <c r="AL29" t="str" cm="1">
        <f t="array" ref="AL29">_xlfn.IFS(AK29=1,"Low",AK29=2,"Medium",AK29=3,"High",AK29=4,"Very High")</f>
        <v>High</v>
      </c>
      <c r="AM29">
        <v>9</v>
      </c>
      <c r="AN29">
        <v>7</v>
      </c>
      <c r="AO29">
        <v>4</v>
      </c>
      <c r="AP29">
        <v>2</v>
      </c>
    </row>
    <row r="30" spans="1:42">
      <c r="A30">
        <v>44</v>
      </c>
      <c r="B30" t="str" cm="1">
        <f t="array" ref="B30">_xlfn.IFS(A30&lt;=25,"18-25",A30&lt;=35,"26-35",A30&lt;=45,"36-45",A30&lt;=55,"46-55",A30&gt;55,"56+")</f>
        <v>36-45</v>
      </c>
      <c r="C30" t="s">
        <v>39</v>
      </c>
      <c r="D30" t="s">
        <v>33</v>
      </c>
      <c r="E30" s="2">
        <v>477</v>
      </c>
      <c r="F30" t="s">
        <v>41</v>
      </c>
      <c r="G30">
        <v>7</v>
      </c>
      <c r="H30" t="str">
        <f t="shared" si="0"/>
        <v>1-10 km</v>
      </c>
      <c r="I30">
        <v>4</v>
      </c>
      <c r="J30" t="str" cm="1">
        <f t="array" ref="J30">_xlfn.IFS(I30=1,"Below College",I30=2,"College",I30=3,"Bachelor",I30=4,"Master",I30=5,"Doctor")</f>
        <v>Master</v>
      </c>
      <c r="K30" t="s">
        <v>47</v>
      </c>
      <c r="L30">
        <v>36</v>
      </c>
      <c r="M30">
        <v>1</v>
      </c>
      <c r="N30" t="str" cm="1">
        <f t="array" ref="N30">_xlfn.IFS(M30=1,"Low",M30=2,"Medium",M30=3,"High",M30=4,"Very High")</f>
        <v>Low</v>
      </c>
      <c r="O30" t="s">
        <v>36</v>
      </c>
      <c r="P30" s="2">
        <v>42</v>
      </c>
      <c r="Q30">
        <v>2</v>
      </c>
      <c r="R30" t="str" cm="1">
        <f t="array" ref="R30">_xlfn.IFS(Q30=1,"Low",Q30=2,"Medium",Q30=3,"High",Q30=4,"Very High")</f>
        <v>Medium</v>
      </c>
      <c r="S30">
        <v>3</v>
      </c>
      <c r="T30" t="str" cm="1">
        <f t="array" ref="T30">_xlfn.IFS(S30=1,"Entry Level",S30=2,"Junior",S30=3,"Mid-Level",S30=4,"Senior",S30=5,"Executive")</f>
        <v>Mid-Level</v>
      </c>
      <c r="U30" t="s">
        <v>50</v>
      </c>
      <c r="V30">
        <v>4</v>
      </c>
      <c r="W30" t="str" cm="1">
        <f t="array" ref="W30">_xlfn.IFS(V30=1,"Low",V30=2,"Medium",V30=3,"High",V30=4,"Very High")</f>
        <v>Very High</v>
      </c>
      <c r="X30" t="s">
        <v>44</v>
      </c>
      <c r="Y30" s="2">
        <v>10248</v>
      </c>
      <c r="Z30" s="2">
        <v>2094</v>
      </c>
      <c r="AA30">
        <v>3</v>
      </c>
      <c r="AB30" t="s">
        <v>39</v>
      </c>
      <c r="AC30">
        <v>14</v>
      </c>
      <c r="AD30">
        <v>3</v>
      </c>
      <c r="AE30" t="str" cm="1">
        <f t="array" ref="AE30">_xlfn.IFS(AD30=1,"Low",AD30=2,"Good",AD30=3,"Excellent",AD30=4,"Outstanding")</f>
        <v>Excellent</v>
      </c>
      <c r="AF30">
        <v>4</v>
      </c>
      <c r="AG30" t="str" cm="1">
        <f t="array" ref="AG30">_xlfn.IFS(AF30=1,"Low",AF30=2,"Medium",AF30=3,"High",AF30=4,"Very High")</f>
        <v>Very High</v>
      </c>
      <c r="AH30">
        <v>1</v>
      </c>
      <c r="AI30">
        <v>24</v>
      </c>
      <c r="AJ30">
        <v>4</v>
      </c>
      <c r="AK30">
        <v>3</v>
      </c>
      <c r="AL30" t="str" cm="1">
        <f t="array" ref="AL30">_xlfn.IFS(AK30=1,"Low",AK30=2,"Medium",AK30=3,"High",AK30=4,"Very High")</f>
        <v>High</v>
      </c>
      <c r="AM30">
        <v>22</v>
      </c>
      <c r="AN30">
        <v>6</v>
      </c>
      <c r="AO30">
        <v>5</v>
      </c>
      <c r="AP30">
        <v>17</v>
      </c>
    </row>
    <row r="31" spans="1:42">
      <c r="A31">
        <v>46</v>
      </c>
      <c r="B31" t="str" cm="1">
        <f t="array" ref="B31">_xlfn.IFS(A31&lt;=25,"18-25",A31&lt;=35,"26-35",A31&lt;=45,"36-45",A31&lt;=55,"46-55",A31&gt;55,"56+")</f>
        <v>46-55</v>
      </c>
      <c r="C31" t="s">
        <v>39</v>
      </c>
      <c r="D31" t="s">
        <v>33</v>
      </c>
      <c r="E31" s="2">
        <v>705</v>
      </c>
      <c r="F31" t="s">
        <v>34</v>
      </c>
      <c r="G31">
        <v>2</v>
      </c>
      <c r="H31" t="str">
        <f t="shared" si="0"/>
        <v>1-10 km</v>
      </c>
      <c r="I31">
        <v>4</v>
      </c>
      <c r="J31" t="str" cm="1">
        <f t="array" ref="J31">_xlfn.IFS(I31=1,"Below College",I31=2,"College",I31=3,"Bachelor",I31=4,"Master",I31=5,"Doctor")</f>
        <v>Master</v>
      </c>
      <c r="K31" t="s">
        <v>55</v>
      </c>
      <c r="L31">
        <v>38</v>
      </c>
      <c r="M31">
        <v>2</v>
      </c>
      <c r="N31" t="str" cm="1">
        <f t="array" ref="N31">_xlfn.IFS(M31=1,"Low",M31=2,"Medium",M31=3,"High",M31=4,"Very High")</f>
        <v>Medium</v>
      </c>
      <c r="O31" t="s">
        <v>36</v>
      </c>
      <c r="P31" s="2">
        <v>83</v>
      </c>
      <c r="Q31">
        <v>3</v>
      </c>
      <c r="R31" t="str" cm="1">
        <f t="array" ref="R31">_xlfn.IFS(Q31=1,"Low",Q31=2,"Medium",Q31=3,"High",Q31=4,"Very High")</f>
        <v>High</v>
      </c>
      <c r="S31">
        <v>5</v>
      </c>
      <c r="T31" t="str" cm="1">
        <f t="array" ref="T31">_xlfn.IFS(S31=1,"Entry Level",S31=2,"Junior",S31=3,"Mid-Level",S31=4,"Senior",S31=5,"Executive")</f>
        <v>Executive</v>
      </c>
      <c r="U31" t="s">
        <v>52</v>
      </c>
      <c r="V31">
        <v>1</v>
      </c>
      <c r="W31" t="str" cm="1">
        <f t="array" ref="W31">_xlfn.IFS(V31=1,"Low",V31=2,"Medium",V31=3,"High",V31=4,"Very High")</f>
        <v>Low</v>
      </c>
      <c r="X31" t="s">
        <v>38</v>
      </c>
      <c r="Y31" s="2">
        <v>18947</v>
      </c>
      <c r="Z31" s="2">
        <v>22822</v>
      </c>
      <c r="AA31">
        <v>3</v>
      </c>
      <c r="AB31" t="s">
        <v>39</v>
      </c>
      <c r="AC31">
        <v>12</v>
      </c>
      <c r="AD31">
        <v>3</v>
      </c>
      <c r="AE31" t="str" cm="1">
        <f t="array" ref="AE31">_xlfn.IFS(AD31=1,"Low",AD31=2,"Good",AD31=3,"Excellent",AD31=4,"Outstanding")</f>
        <v>Excellent</v>
      </c>
      <c r="AF31">
        <v>4</v>
      </c>
      <c r="AG31" t="str" cm="1">
        <f t="array" ref="AG31">_xlfn.IFS(AF31=1,"Low",AF31=2,"Medium",AF31=3,"High",AF31=4,"Very High")</f>
        <v>Very High</v>
      </c>
      <c r="AH31">
        <v>0</v>
      </c>
      <c r="AI31">
        <v>22</v>
      </c>
      <c r="AJ31">
        <v>2</v>
      </c>
      <c r="AK31">
        <v>2</v>
      </c>
      <c r="AL31" t="str" cm="1">
        <f t="array" ref="AL31">_xlfn.IFS(AK31=1,"Low",AK31=2,"Medium",AK31=3,"High",AK31=4,"Very High")</f>
        <v>Medium</v>
      </c>
      <c r="AM31">
        <v>2</v>
      </c>
      <c r="AN31">
        <v>2</v>
      </c>
      <c r="AO31">
        <v>2</v>
      </c>
      <c r="AP31">
        <v>1</v>
      </c>
    </row>
    <row r="32" spans="1:42">
      <c r="A32">
        <v>33</v>
      </c>
      <c r="B32" t="str" cm="1">
        <f t="array" ref="B32">_xlfn.IFS(A32&lt;=25,"18-25",A32&lt;=35,"26-35",A32&lt;=45,"36-45",A32&lt;=55,"46-55",A32&gt;55,"56+")</f>
        <v>26-35</v>
      </c>
      <c r="C32" t="s">
        <v>39</v>
      </c>
      <c r="D32" t="s">
        <v>33</v>
      </c>
      <c r="E32" s="2">
        <v>924</v>
      </c>
      <c r="F32" t="s">
        <v>41</v>
      </c>
      <c r="G32">
        <v>2</v>
      </c>
      <c r="H32" t="str">
        <f t="shared" si="0"/>
        <v>1-10 km</v>
      </c>
      <c r="I32">
        <v>3</v>
      </c>
      <c r="J32" t="str" cm="1">
        <f t="array" ref="J32">_xlfn.IFS(I32=1,"Below College",I32=2,"College",I32=3,"Bachelor",I32=4,"Master",I32=5,"Doctor")</f>
        <v>Bachelor</v>
      </c>
      <c r="K32" t="s">
        <v>47</v>
      </c>
      <c r="L32">
        <v>39</v>
      </c>
      <c r="M32">
        <v>3</v>
      </c>
      <c r="N32" t="str" cm="1">
        <f t="array" ref="N32">_xlfn.IFS(M32=1,"Low",M32=2,"Medium",M32=3,"High",M32=4,"Very High")</f>
        <v>High</v>
      </c>
      <c r="O32" t="s">
        <v>42</v>
      </c>
      <c r="P32" s="2">
        <v>78</v>
      </c>
      <c r="Q32">
        <v>3</v>
      </c>
      <c r="R32" t="str" cm="1">
        <f t="array" ref="R32">_xlfn.IFS(Q32=1,"Low",Q32=2,"Medium",Q32=3,"High",Q32=4,"Very High")</f>
        <v>High</v>
      </c>
      <c r="S32">
        <v>1</v>
      </c>
      <c r="T32" t="str" cm="1">
        <f t="array" ref="T32">_xlfn.IFS(S32=1,"Entry Level",S32=2,"Junior",S32=3,"Mid-Level",S32=4,"Senior",S32=5,"Executive")</f>
        <v>Entry Level</v>
      </c>
      <c r="U32" t="s">
        <v>46</v>
      </c>
      <c r="V32">
        <v>4</v>
      </c>
      <c r="W32" t="str" cm="1">
        <f t="array" ref="W32">_xlfn.IFS(V32=1,"Low",V32=2,"Medium",V32=3,"High",V32=4,"Very High")</f>
        <v>Very High</v>
      </c>
      <c r="X32" t="s">
        <v>38</v>
      </c>
      <c r="Y32" s="2">
        <v>2496</v>
      </c>
      <c r="Z32" s="2">
        <v>6670</v>
      </c>
      <c r="AA32">
        <v>4</v>
      </c>
      <c r="AB32" t="s">
        <v>39</v>
      </c>
      <c r="AC32">
        <v>11</v>
      </c>
      <c r="AD32">
        <v>3</v>
      </c>
      <c r="AE32" t="str" cm="1">
        <f t="array" ref="AE32">_xlfn.IFS(AD32=1,"Low",AD32=2,"Good",AD32=3,"Excellent",AD32=4,"Outstanding")</f>
        <v>Excellent</v>
      </c>
      <c r="AF32">
        <v>4</v>
      </c>
      <c r="AG32" t="str" cm="1">
        <f t="array" ref="AG32">_xlfn.IFS(AF32=1,"Low",AF32=2,"Medium",AF32=3,"High",AF32=4,"Very High")</f>
        <v>Very High</v>
      </c>
      <c r="AH32">
        <v>0</v>
      </c>
      <c r="AI32">
        <v>7</v>
      </c>
      <c r="AJ32">
        <v>3</v>
      </c>
      <c r="AK32">
        <v>3</v>
      </c>
      <c r="AL32" t="str" cm="1">
        <f t="array" ref="AL32">_xlfn.IFS(AK32=1,"Low",AK32=2,"Medium",AK32=3,"High",AK32=4,"Very High")</f>
        <v>High</v>
      </c>
      <c r="AM32">
        <v>1</v>
      </c>
      <c r="AN32">
        <v>1</v>
      </c>
      <c r="AO32">
        <v>0</v>
      </c>
      <c r="AP32">
        <v>0</v>
      </c>
    </row>
    <row r="33" spans="1:42">
      <c r="A33">
        <v>44</v>
      </c>
      <c r="B33" t="str" cm="1">
        <f t="array" ref="B33">_xlfn.IFS(A33&lt;=25,"18-25",A33&lt;=35,"26-35",A33&lt;=45,"36-45",A33&lt;=55,"46-55",A33&gt;55,"56+")</f>
        <v>36-45</v>
      </c>
      <c r="C33" t="s">
        <v>39</v>
      </c>
      <c r="D33" t="s">
        <v>33</v>
      </c>
      <c r="E33" s="2">
        <v>1459</v>
      </c>
      <c r="F33" t="s">
        <v>41</v>
      </c>
      <c r="G33">
        <v>10</v>
      </c>
      <c r="H33" t="str">
        <f t="shared" si="0"/>
        <v>1-10 km</v>
      </c>
      <c r="I33">
        <v>4</v>
      </c>
      <c r="J33" t="str" cm="1">
        <f t="array" ref="J33">_xlfn.IFS(I33=1,"Below College",I33=2,"College",I33=3,"Bachelor",I33=4,"Master",I33=5,"Doctor")</f>
        <v>Master</v>
      </c>
      <c r="K33" t="s">
        <v>45</v>
      </c>
      <c r="L33">
        <v>40</v>
      </c>
      <c r="M33">
        <v>4</v>
      </c>
      <c r="N33" t="str" cm="1">
        <f t="array" ref="N33">_xlfn.IFS(M33=1,"Low",M33=2,"Medium",M33=3,"High",M33=4,"Very High")</f>
        <v>Very High</v>
      </c>
      <c r="O33" t="s">
        <v>42</v>
      </c>
      <c r="P33" s="2">
        <v>41</v>
      </c>
      <c r="Q33">
        <v>3</v>
      </c>
      <c r="R33" t="str" cm="1">
        <f t="array" ref="R33">_xlfn.IFS(Q33=1,"Low",Q33=2,"Medium",Q33=3,"High",Q33=4,"Very High")</f>
        <v>High</v>
      </c>
      <c r="S33">
        <v>2</v>
      </c>
      <c r="T33" t="str" cm="1">
        <f t="array" ref="T33">_xlfn.IFS(S33=1,"Entry Level",S33=2,"Junior",S33=3,"Mid-Level",S33=4,"Senior",S33=5,"Executive")</f>
        <v>Junior</v>
      </c>
      <c r="U33" t="s">
        <v>50</v>
      </c>
      <c r="V33">
        <v>4</v>
      </c>
      <c r="W33" t="str" cm="1">
        <f t="array" ref="W33">_xlfn.IFS(V33=1,"Low",V33=2,"Medium",V33=3,"High",V33=4,"Very High")</f>
        <v>Very High</v>
      </c>
      <c r="X33" t="s">
        <v>44</v>
      </c>
      <c r="Y33" s="2">
        <v>6465</v>
      </c>
      <c r="Z33" s="2">
        <v>19121</v>
      </c>
      <c r="AA33">
        <v>2</v>
      </c>
      <c r="AB33" t="s">
        <v>32</v>
      </c>
      <c r="AC33">
        <v>13</v>
      </c>
      <c r="AD33">
        <v>3</v>
      </c>
      <c r="AE33" t="str" cm="1">
        <f t="array" ref="AE33">_xlfn.IFS(AD33=1,"Low",AD33=2,"Good",AD33=3,"Excellent",AD33=4,"Outstanding")</f>
        <v>Excellent</v>
      </c>
      <c r="AF33">
        <v>4</v>
      </c>
      <c r="AG33" t="str" cm="1">
        <f t="array" ref="AG33">_xlfn.IFS(AF33=1,"Low",AF33=2,"Medium",AF33=3,"High",AF33=4,"Very High")</f>
        <v>Very High</v>
      </c>
      <c r="AH33">
        <v>0</v>
      </c>
      <c r="AI33">
        <v>9</v>
      </c>
      <c r="AJ33">
        <v>5</v>
      </c>
      <c r="AK33">
        <v>4</v>
      </c>
      <c r="AL33" t="str" cm="1">
        <f t="array" ref="AL33">_xlfn.IFS(AK33=1,"Low",AK33=2,"Medium",AK33=3,"High",AK33=4,"Very High")</f>
        <v>Very High</v>
      </c>
      <c r="AM33">
        <v>4</v>
      </c>
      <c r="AN33">
        <v>2</v>
      </c>
      <c r="AO33">
        <v>1</v>
      </c>
      <c r="AP33">
        <v>3</v>
      </c>
    </row>
    <row r="34" spans="1:42">
      <c r="A34">
        <v>30</v>
      </c>
      <c r="B34" t="str" cm="1">
        <f t="array" ref="B34">_xlfn.IFS(A34&lt;=25,"18-25",A34&lt;=35,"26-35",A34&lt;=45,"36-45",A34&lt;=55,"46-55",A34&gt;55,"56+")</f>
        <v>26-35</v>
      </c>
      <c r="C34" t="s">
        <v>39</v>
      </c>
      <c r="D34" t="s">
        <v>33</v>
      </c>
      <c r="E34" s="2">
        <v>125</v>
      </c>
      <c r="F34" t="s">
        <v>41</v>
      </c>
      <c r="G34">
        <v>9</v>
      </c>
      <c r="H34" t="str">
        <f t="shared" si="0"/>
        <v>1-10 km</v>
      </c>
      <c r="I34">
        <v>2</v>
      </c>
      <c r="J34" t="str" cm="1">
        <f t="array" ref="J34">_xlfn.IFS(I34=1,"Below College",I34=2,"College",I34=3,"Bachelor",I34=4,"Master",I34=5,"Doctor")</f>
        <v>College</v>
      </c>
      <c r="K34" t="s">
        <v>47</v>
      </c>
      <c r="L34">
        <v>41</v>
      </c>
      <c r="M34">
        <v>4</v>
      </c>
      <c r="N34" t="str" cm="1">
        <f t="array" ref="N34">_xlfn.IFS(M34=1,"Low",M34=2,"Medium",M34=3,"High",M34=4,"Very High")</f>
        <v>Very High</v>
      </c>
      <c r="O34" t="s">
        <v>42</v>
      </c>
      <c r="P34" s="2">
        <v>83</v>
      </c>
      <c r="Q34">
        <v>2</v>
      </c>
      <c r="R34" t="str" cm="1">
        <f t="array" ref="R34">_xlfn.IFS(Q34=1,"Low",Q34=2,"Medium",Q34=3,"High",Q34=4,"Very High")</f>
        <v>Medium</v>
      </c>
      <c r="S34">
        <v>1</v>
      </c>
      <c r="T34" t="str" cm="1">
        <f t="array" ref="T34">_xlfn.IFS(S34=1,"Entry Level",S34=2,"Junior",S34=3,"Mid-Level",S34=4,"Senior",S34=5,"Executive")</f>
        <v>Entry Level</v>
      </c>
      <c r="U34" t="s">
        <v>46</v>
      </c>
      <c r="V34">
        <v>3</v>
      </c>
      <c r="W34" t="str" cm="1">
        <f t="array" ref="W34">_xlfn.IFS(V34=1,"Low",V34=2,"Medium",V34=3,"High",V34=4,"Very High")</f>
        <v>High</v>
      </c>
      <c r="X34" t="s">
        <v>38</v>
      </c>
      <c r="Y34" s="2">
        <v>2206</v>
      </c>
      <c r="Z34" s="2">
        <v>16117</v>
      </c>
      <c r="AA34">
        <v>1</v>
      </c>
      <c r="AB34" t="s">
        <v>39</v>
      </c>
      <c r="AC34">
        <v>13</v>
      </c>
      <c r="AD34">
        <v>3</v>
      </c>
      <c r="AE34" t="str" cm="1">
        <f t="array" ref="AE34">_xlfn.IFS(AD34=1,"Low",AD34=2,"Good",AD34=3,"Excellent",AD34=4,"Outstanding")</f>
        <v>Excellent</v>
      </c>
      <c r="AF34">
        <v>1</v>
      </c>
      <c r="AG34" t="str" cm="1">
        <f t="array" ref="AG34">_xlfn.IFS(AF34=1,"Low",AF34=2,"Medium",AF34=3,"High",AF34=4,"Very High")</f>
        <v>Low</v>
      </c>
      <c r="AH34">
        <v>0</v>
      </c>
      <c r="AI34">
        <v>10</v>
      </c>
      <c r="AJ34">
        <v>5</v>
      </c>
      <c r="AK34">
        <v>3</v>
      </c>
      <c r="AL34" t="str" cm="1">
        <f t="array" ref="AL34">_xlfn.IFS(AK34=1,"Low",AK34=2,"Medium",AK34=3,"High",AK34=4,"Very High")</f>
        <v>High</v>
      </c>
      <c r="AM34">
        <v>10</v>
      </c>
      <c r="AN34">
        <v>0</v>
      </c>
      <c r="AO34">
        <v>1</v>
      </c>
      <c r="AP34">
        <v>8</v>
      </c>
    </row>
    <row r="35" spans="1:42">
      <c r="A35">
        <v>39</v>
      </c>
      <c r="B35" t="str" cm="1">
        <f t="array" ref="B35">_xlfn.IFS(A35&lt;=25,"18-25",A35&lt;=35,"26-35",A35&lt;=45,"36-45",A35&lt;=55,"46-55",A35&gt;55,"56+")</f>
        <v>36-45</v>
      </c>
      <c r="C35" t="s">
        <v>32</v>
      </c>
      <c r="D35" t="s">
        <v>33</v>
      </c>
      <c r="E35" s="2">
        <v>895</v>
      </c>
      <c r="F35" t="s">
        <v>34</v>
      </c>
      <c r="G35">
        <v>5</v>
      </c>
      <c r="H35" t="str">
        <f t="shared" si="0"/>
        <v>1-10 km</v>
      </c>
      <c r="I35">
        <v>3</v>
      </c>
      <c r="J35" t="str" cm="1">
        <f t="array" ref="J35">_xlfn.IFS(I35=1,"Below College",I35=2,"College",I35=3,"Bachelor",I35=4,"Master",I35=5,"Doctor")</f>
        <v>Bachelor</v>
      </c>
      <c r="K35" t="s">
        <v>56</v>
      </c>
      <c r="L35">
        <v>42</v>
      </c>
      <c r="M35">
        <v>4</v>
      </c>
      <c r="N35" t="str" cm="1">
        <f t="array" ref="N35">_xlfn.IFS(M35=1,"Low",M35=2,"Medium",M35=3,"High",M35=4,"Very High")</f>
        <v>Very High</v>
      </c>
      <c r="O35" t="s">
        <v>42</v>
      </c>
      <c r="P35" s="2">
        <v>56</v>
      </c>
      <c r="Q35">
        <v>3</v>
      </c>
      <c r="R35" t="str" cm="1">
        <f t="array" ref="R35">_xlfn.IFS(Q35=1,"Low",Q35=2,"Medium",Q35=3,"High",Q35=4,"Very High")</f>
        <v>High</v>
      </c>
      <c r="S35">
        <v>2</v>
      </c>
      <c r="T35" t="str" cm="1">
        <f t="array" ref="T35">_xlfn.IFS(S35=1,"Entry Level",S35=2,"Junior",S35=3,"Mid-Level",S35=4,"Senior",S35=5,"Executive")</f>
        <v>Junior</v>
      </c>
      <c r="U35" t="s">
        <v>53</v>
      </c>
      <c r="V35">
        <v>4</v>
      </c>
      <c r="W35" t="str" cm="1">
        <f t="array" ref="W35">_xlfn.IFS(V35=1,"Low",V35=2,"Medium",V35=3,"High",V35=4,"Very High")</f>
        <v>Very High</v>
      </c>
      <c r="X35" t="s">
        <v>44</v>
      </c>
      <c r="Y35" s="2">
        <v>2086</v>
      </c>
      <c r="Z35" s="2">
        <v>3335</v>
      </c>
      <c r="AA35">
        <v>3</v>
      </c>
      <c r="AB35" t="s">
        <v>39</v>
      </c>
      <c r="AC35">
        <v>14</v>
      </c>
      <c r="AD35">
        <v>3</v>
      </c>
      <c r="AE35" t="str" cm="1">
        <f t="array" ref="AE35">_xlfn.IFS(AD35=1,"Low",AD35=2,"Good",AD35=3,"Excellent",AD35=4,"Outstanding")</f>
        <v>Excellent</v>
      </c>
      <c r="AF35">
        <v>3</v>
      </c>
      <c r="AG35" t="str" cm="1">
        <f t="array" ref="AG35">_xlfn.IFS(AF35=1,"Low",AF35=2,"Medium",AF35=3,"High",AF35=4,"Very High")</f>
        <v>High</v>
      </c>
      <c r="AH35">
        <v>1</v>
      </c>
      <c r="AI35">
        <v>19</v>
      </c>
      <c r="AJ35">
        <v>6</v>
      </c>
      <c r="AK35">
        <v>4</v>
      </c>
      <c r="AL35" t="str" cm="1">
        <f t="array" ref="AL35">_xlfn.IFS(AK35=1,"Low",AK35=2,"Medium",AK35=3,"High",AK35=4,"Very High")</f>
        <v>Very High</v>
      </c>
      <c r="AM35">
        <v>1</v>
      </c>
      <c r="AN35">
        <v>0</v>
      </c>
      <c r="AO35">
        <v>0</v>
      </c>
      <c r="AP35">
        <v>0</v>
      </c>
    </row>
    <row r="36" spans="1:42">
      <c r="A36">
        <v>24</v>
      </c>
      <c r="B36" t="str" cm="1">
        <f t="array" ref="B36">_xlfn.IFS(A36&lt;=25,"18-25",A36&lt;=35,"26-35",A36&lt;=45,"36-45",A36&lt;=55,"46-55",A36&gt;55,"56+")</f>
        <v>18-25</v>
      </c>
      <c r="C36" t="s">
        <v>32</v>
      </c>
      <c r="D36" t="s">
        <v>33</v>
      </c>
      <c r="E36" s="2">
        <v>813</v>
      </c>
      <c r="F36" t="s">
        <v>41</v>
      </c>
      <c r="G36">
        <v>1</v>
      </c>
      <c r="H36" t="str">
        <f t="shared" si="0"/>
        <v>1-10 km</v>
      </c>
      <c r="I36">
        <v>3</v>
      </c>
      <c r="J36" t="str" cm="1">
        <f t="array" ref="J36">_xlfn.IFS(I36=1,"Below College",I36=2,"College",I36=3,"Bachelor",I36=4,"Master",I36=5,"Doctor")</f>
        <v>Bachelor</v>
      </c>
      <c r="K36" t="s">
        <v>47</v>
      </c>
      <c r="L36">
        <v>45</v>
      </c>
      <c r="M36">
        <v>2</v>
      </c>
      <c r="N36" t="str" cm="1">
        <f t="array" ref="N36">_xlfn.IFS(M36=1,"Low",M36=2,"Medium",M36=3,"High",M36=4,"Very High")</f>
        <v>Medium</v>
      </c>
      <c r="O36" t="s">
        <v>42</v>
      </c>
      <c r="P36" s="2">
        <v>61</v>
      </c>
      <c r="Q36">
        <v>3</v>
      </c>
      <c r="R36" t="str" cm="1">
        <f t="array" ref="R36">_xlfn.IFS(Q36=1,"Low",Q36=2,"Medium",Q36=3,"High",Q36=4,"Very High")</f>
        <v>High</v>
      </c>
      <c r="S36">
        <v>1</v>
      </c>
      <c r="T36" t="str" cm="1">
        <f t="array" ref="T36">_xlfn.IFS(S36=1,"Entry Level",S36=2,"Junior",S36=3,"Mid-Level",S36=4,"Senior",S36=5,"Executive")</f>
        <v>Entry Level</v>
      </c>
      <c r="U36" t="s">
        <v>43</v>
      </c>
      <c r="V36">
        <v>4</v>
      </c>
      <c r="W36" t="str" cm="1">
        <f t="array" ref="W36">_xlfn.IFS(V36=1,"Low",V36=2,"Medium",V36=3,"High",V36=4,"Very High")</f>
        <v>Very High</v>
      </c>
      <c r="X36" t="s">
        <v>44</v>
      </c>
      <c r="Y36" s="2">
        <v>2293</v>
      </c>
      <c r="Z36" s="2">
        <v>3020</v>
      </c>
      <c r="AA36">
        <v>2</v>
      </c>
      <c r="AB36" t="s">
        <v>32</v>
      </c>
      <c r="AC36">
        <v>16</v>
      </c>
      <c r="AD36">
        <v>3</v>
      </c>
      <c r="AE36" t="str" cm="1">
        <f t="array" ref="AE36">_xlfn.IFS(AD36=1,"Low",AD36=2,"Good",AD36=3,"Excellent",AD36=4,"Outstanding")</f>
        <v>Excellent</v>
      </c>
      <c r="AF36">
        <v>1</v>
      </c>
      <c r="AG36" t="str" cm="1">
        <f t="array" ref="AG36">_xlfn.IFS(AF36=1,"Low",AF36=2,"Medium",AF36=3,"High",AF36=4,"Very High")</f>
        <v>Low</v>
      </c>
      <c r="AH36">
        <v>1</v>
      </c>
      <c r="AI36">
        <v>6</v>
      </c>
      <c r="AJ36">
        <v>2</v>
      </c>
      <c r="AK36">
        <v>2</v>
      </c>
      <c r="AL36" t="str" cm="1">
        <f t="array" ref="AL36">_xlfn.IFS(AK36=1,"Low",AK36=2,"Medium",AK36=3,"High",AK36=4,"Very High")</f>
        <v>Medium</v>
      </c>
      <c r="AM36">
        <v>2</v>
      </c>
      <c r="AN36">
        <v>0</v>
      </c>
      <c r="AO36">
        <v>2</v>
      </c>
      <c r="AP36">
        <v>0</v>
      </c>
    </row>
    <row r="37" spans="1:42">
      <c r="A37">
        <v>43</v>
      </c>
      <c r="B37" t="str" cm="1">
        <f t="array" ref="B37">_xlfn.IFS(A37&lt;=25,"18-25",A37&lt;=35,"26-35",A37&lt;=45,"36-45",A37&lt;=55,"46-55",A37&gt;55,"56+")</f>
        <v>36-45</v>
      </c>
      <c r="C37" t="s">
        <v>39</v>
      </c>
      <c r="D37" t="s">
        <v>33</v>
      </c>
      <c r="E37" s="2">
        <v>1273</v>
      </c>
      <c r="F37" t="s">
        <v>41</v>
      </c>
      <c r="G37">
        <v>2</v>
      </c>
      <c r="H37" t="str">
        <f t="shared" si="0"/>
        <v>1-10 km</v>
      </c>
      <c r="I37">
        <v>2</v>
      </c>
      <c r="J37" t="str" cm="1">
        <f t="array" ref="J37">_xlfn.IFS(I37=1,"Below College",I37=2,"College",I37=3,"Bachelor",I37=4,"Master",I37=5,"Doctor")</f>
        <v>College</v>
      </c>
      <c r="K37" t="s">
        <v>47</v>
      </c>
      <c r="L37">
        <v>46</v>
      </c>
      <c r="M37">
        <v>4</v>
      </c>
      <c r="N37" t="str" cm="1">
        <f t="array" ref="N37">_xlfn.IFS(M37=1,"Low",M37=2,"Medium",M37=3,"High",M37=4,"Very High")</f>
        <v>Very High</v>
      </c>
      <c r="O37" t="s">
        <v>36</v>
      </c>
      <c r="P37" s="2">
        <v>72</v>
      </c>
      <c r="Q37">
        <v>4</v>
      </c>
      <c r="R37" t="str" cm="1">
        <f t="array" ref="R37">_xlfn.IFS(Q37=1,"Low",Q37=2,"Medium",Q37=3,"High",Q37=4,"Very High")</f>
        <v>Very High</v>
      </c>
      <c r="S37">
        <v>1</v>
      </c>
      <c r="T37" t="str" cm="1">
        <f t="array" ref="T37">_xlfn.IFS(S37=1,"Entry Level",S37=2,"Junior",S37=3,"Mid-Level",S37=4,"Senior",S37=5,"Executive")</f>
        <v>Entry Level</v>
      </c>
      <c r="U37" t="s">
        <v>43</v>
      </c>
      <c r="V37">
        <v>3</v>
      </c>
      <c r="W37" t="str" cm="1">
        <f t="array" ref="W37">_xlfn.IFS(V37=1,"Low",V37=2,"Medium",V37=3,"High",V37=4,"Very High")</f>
        <v>High</v>
      </c>
      <c r="X37" t="s">
        <v>48</v>
      </c>
      <c r="Y37" s="2">
        <v>2645</v>
      </c>
      <c r="Z37" s="2">
        <v>21923</v>
      </c>
      <c r="AA37">
        <v>1</v>
      </c>
      <c r="AB37" t="s">
        <v>39</v>
      </c>
      <c r="AC37">
        <v>12</v>
      </c>
      <c r="AD37">
        <v>3</v>
      </c>
      <c r="AE37" t="str" cm="1">
        <f t="array" ref="AE37">_xlfn.IFS(AD37=1,"Low",AD37=2,"Good",AD37=3,"Excellent",AD37=4,"Outstanding")</f>
        <v>Excellent</v>
      </c>
      <c r="AF37">
        <v>4</v>
      </c>
      <c r="AG37" t="str" cm="1">
        <f t="array" ref="AG37">_xlfn.IFS(AF37=1,"Low",AF37=2,"Medium",AF37=3,"High",AF37=4,"Very High")</f>
        <v>Very High</v>
      </c>
      <c r="AH37">
        <v>2</v>
      </c>
      <c r="AI37">
        <v>6</v>
      </c>
      <c r="AJ37">
        <v>3</v>
      </c>
      <c r="AK37">
        <v>2</v>
      </c>
      <c r="AL37" t="str" cm="1">
        <f t="array" ref="AL37">_xlfn.IFS(AK37=1,"Low",AK37=2,"Medium",AK37=3,"High",AK37=4,"Very High")</f>
        <v>Medium</v>
      </c>
      <c r="AM37">
        <v>5</v>
      </c>
      <c r="AN37">
        <v>3</v>
      </c>
      <c r="AO37">
        <v>1</v>
      </c>
      <c r="AP37">
        <v>4</v>
      </c>
    </row>
    <row r="38" spans="1:42">
      <c r="A38">
        <v>50</v>
      </c>
      <c r="B38" t="str" cm="1">
        <f t="array" ref="B38">_xlfn.IFS(A38&lt;=25,"18-25",A38&lt;=35,"26-35",A38&lt;=45,"36-45",A38&lt;=55,"46-55",A38&gt;55,"56+")</f>
        <v>46-55</v>
      </c>
      <c r="C38" t="s">
        <v>32</v>
      </c>
      <c r="D38" t="s">
        <v>33</v>
      </c>
      <c r="E38" s="2">
        <v>869</v>
      </c>
      <c r="F38" t="s">
        <v>34</v>
      </c>
      <c r="G38">
        <v>3</v>
      </c>
      <c r="H38" t="str">
        <f t="shared" si="0"/>
        <v>1-10 km</v>
      </c>
      <c r="I38">
        <v>2</v>
      </c>
      <c r="J38" t="str" cm="1">
        <f t="array" ref="J38">_xlfn.IFS(I38=1,"Below College",I38=2,"College",I38=3,"Bachelor",I38=4,"Master",I38=5,"Doctor")</f>
        <v>College</v>
      </c>
      <c r="K38" t="s">
        <v>55</v>
      </c>
      <c r="L38">
        <v>47</v>
      </c>
      <c r="M38">
        <v>1</v>
      </c>
      <c r="N38" t="str" cm="1">
        <f t="array" ref="N38">_xlfn.IFS(M38=1,"Low",M38=2,"Medium",M38=3,"High",M38=4,"Very High")</f>
        <v>Low</v>
      </c>
      <c r="O38" t="s">
        <v>42</v>
      </c>
      <c r="P38" s="2">
        <v>86</v>
      </c>
      <c r="Q38">
        <v>2</v>
      </c>
      <c r="R38" t="str" cm="1">
        <f t="array" ref="R38">_xlfn.IFS(Q38=1,"Low",Q38=2,"Medium",Q38=3,"High",Q38=4,"Very High")</f>
        <v>Medium</v>
      </c>
      <c r="S38">
        <v>1</v>
      </c>
      <c r="T38" t="str" cm="1">
        <f t="array" ref="T38">_xlfn.IFS(S38=1,"Entry Level",S38=2,"Junior",S38=3,"Mid-Level",S38=4,"Senior",S38=5,"Executive")</f>
        <v>Entry Level</v>
      </c>
      <c r="U38" t="s">
        <v>53</v>
      </c>
      <c r="V38">
        <v>3</v>
      </c>
      <c r="W38" t="str" cm="1">
        <f t="array" ref="W38">_xlfn.IFS(V38=1,"Low",V38=2,"Medium",V38=3,"High",V38=4,"Very High")</f>
        <v>High</v>
      </c>
      <c r="X38" t="s">
        <v>44</v>
      </c>
      <c r="Y38" s="2">
        <v>2683</v>
      </c>
      <c r="Z38" s="2">
        <v>3810</v>
      </c>
      <c r="AA38">
        <v>1</v>
      </c>
      <c r="AB38" t="s">
        <v>32</v>
      </c>
      <c r="AC38">
        <v>14</v>
      </c>
      <c r="AD38">
        <v>3</v>
      </c>
      <c r="AE38" t="str" cm="1">
        <f t="array" ref="AE38">_xlfn.IFS(AD38=1,"Low",AD38=2,"Good",AD38=3,"Excellent",AD38=4,"Outstanding")</f>
        <v>Excellent</v>
      </c>
      <c r="AF38">
        <v>3</v>
      </c>
      <c r="AG38" t="str" cm="1">
        <f t="array" ref="AG38">_xlfn.IFS(AF38=1,"Low",AF38=2,"Medium",AF38=3,"High",AF38=4,"Very High")</f>
        <v>High</v>
      </c>
      <c r="AH38">
        <v>0</v>
      </c>
      <c r="AI38">
        <v>3</v>
      </c>
      <c r="AJ38">
        <v>2</v>
      </c>
      <c r="AK38">
        <v>3</v>
      </c>
      <c r="AL38" t="str" cm="1">
        <f t="array" ref="AL38">_xlfn.IFS(AK38=1,"Low",AK38=2,"Medium",AK38=3,"High",AK38=4,"Very High")</f>
        <v>High</v>
      </c>
      <c r="AM38">
        <v>3</v>
      </c>
      <c r="AN38">
        <v>2</v>
      </c>
      <c r="AO38">
        <v>0</v>
      </c>
      <c r="AP38">
        <v>2</v>
      </c>
    </row>
    <row r="39" spans="1:42">
      <c r="A39">
        <v>35</v>
      </c>
      <c r="B39" t="str" cm="1">
        <f t="array" ref="B39">_xlfn.IFS(A39&lt;=25,"18-25",A39&lt;=35,"26-35",A39&lt;=45,"36-45",A39&lt;=55,"46-55",A39&gt;55,"56+")</f>
        <v>26-35</v>
      </c>
      <c r="C39" t="s">
        <v>39</v>
      </c>
      <c r="D39" t="s">
        <v>33</v>
      </c>
      <c r="E39" s="2">
        <v>890</v>
      </c>
      <c r="F39" t="s">
        <v>34</v>
      </c>
      <c r="G39">
        <v>2</v>
      </c>
      <c r="H39" t="str">
        <f t="shared" si="0"/>
        <v>1-10 km</v>
      </c>
      <c r="I39">
        <v>3</v>
      </c>
      <c r="J39" t="str" cm="1">
        <f t="array" ref="J39">_xlfn.IFS(I39=1,"Below College",I39=2,"College",I39=3,"Bachelor",I39=4,"Master",I39=5,"Doctor")</f>
        <v>Bachelor</v>
      </c>
      <c r="K39" t="s">
        <v>55</v>
      </c>
      <c r="L39">
        <v>49</v>
      </c>
      <c r="M39">
        <v>4</v>
      </c>
      <c r="N39" t="str" cm="1">
        <f t="array" ref="N39">_xlfn.IFS(M39=1,"Low",M39=2,"Medium",M39=3,"High",M39=4,"Very High")</f>
        <v>Very High</v>
      </c>
      <c r="O39" t="s">
        <v>36</v>
      </c>
      <c r="P39" s="2">
        <v>97</v>
      </c>
      <c r="Q39">
        <v>3</v>
      </c>
      <c r="R39" t="str" cm="1">
        <f t="array" ref="R39">_xlfn.IFS(Q39=1,"Low",Q39=2,"Medium",Q39=3,"High",Q39=4,"Very High")</f>
        <v>High</v>
      </c>
      <c r="S39">
        <v>1</v>
      </c>
      <c r="T39" t="str" cm="1">
        <f t="array" ref="T39">_xlfn.IFS(S39=1,"Entry Level",S39=2,"Junior",S39=3,"Mid-Level",S39=4,"Senior",S39=5,"Executive")</f>
        <v>Entry Level</v>
      </c>
      <c r="U39" t="s">
        <v>53</v>
      </c>
      <c r="V39">
        <v>4</v>
      </c>
      <c r="W39" t="str" cm="1">
        <f t="array" ref="W39">_xlfn.IFS(V39=1,"Low",V39=2,"Medium",V39=3,"High",V39=4,"Very High")</f>
        <v>Very High</v>
      </c>
      <c r="X39" t="s">
        <v>44</v>
      </c>
      <c r="Y39" s="2">
        <v>2014</v>
      </c>
      <c r="Z39" s="2">
        <v>9687</v>
      </c>
      <c r="AA39">
        <v>1</v>
      </c>
      <c r="AB39" t="s">
        <v>39</v>
      </c>
      <c r="AC39">
        <v>13</v>
      </c>
      <c r="AD39">
        <v>3</v>
      </c>
      <c r="AE39" t="str" cm="1">
        <f t="array" ref="AE39">_xlfn.IFS(AD39=1,"Low",AD39=2,"Good",AD39=3,"Excellent",AD39=4,"Outstanding")</f>
        <v>Excellent</v>
      </c>
      <c r="AF39">
        <v>1</v>
      </c>
      <c r="AG39" t="str" cm="1">
        <f t="array" ref="AG39">_xlfn.IFS(AF39=1,"Low",AF39=2,"Medium",AF39=3,"High",AF39=4,"Very High")</f>
        <v>Low</v>
      </c>
      <c r="AH39">
        <v>0</v>
      </c>
      <c r="AI39">
        <v>2</v>
      </c>
      <c r="AJ39">
        <v>3</v>
      </c>
      <c r="AK39">
        <v>3</v>
      </c>
      <c r="AL39" t="str" cm="1">
        <f t="array" ref="AL39">_xlfn.IFS(AK39=1,"Low",AK39=2,"Medium",AK39=3,"High",AK39=4,"Very High")</f>
        <v>High</v>
      </c>
      <c r="AM39">
        <v>2</v>
      </c>
      <c r="AN39">
        <v>2</v>
      </c>
      <c r="AO39">
        <v>2</v>
      </c>
      <c r="AP39">
        <v>2</v>
      </c>
    </row>
    <row r="40" spans="1:42">
      <c r="A40">
        <v>36</v>
      </c>
      <c r="B40" t="str" cm="1">
        <f t="array" ref="B40">_xlfn.IFS(A40&lt;=25,"18-25",A40&lt;=35,"26-35",A40&lt;=45,"36-45",A40&lt;=55,"46-55",A40&gt;55,"56+")</f>
        <v>36-45</v>
      </c>
      <c r="C40" t="s">
        <v>39</v>
      </c>
      <c r="D40" t="s">
        <v>33</v>
      </c>
      <c r="E40" s="2">
        <v>852</v>
      </c>
      <c r="F40" t="s">
        <v>41</v>
      </c>
      <c r="G40">
        <v>5</v>
      </c>
      <c r="H40" t="str">
        <f t="shared" si="0"/>
        <v>1-10 km</v>
      </c>
      <c r="I40">
        <v>4</v>
      </c>
      <c r="J40" t="str" cm="1">
        <f t="array" ref="J40">_xlfn.IFS(I40=1,"Below College",I40=2,"College",I40=3,"Bachelor",I40=4,"Master",I40=5,"Doctor")</f>
        <v>Master</v>
      </c>
      <c r="K40" t="s">
        <v>35</v>
      </c>
      <c r="L40">
        <v>51</v>
      </c>
      <c r="M40">
        <v>2</v>
      </c>
      <c r="N40" t="str" cm="1">
        <f t="array" ref="N40">_xlfn.IFS(M40=1,"Low",M40=2,"Medium",M40=3,"High",M40=4,"Very High")</f>
        <v>Medium</v>
      </c>
      <c r="O40" t="s">
        <v>36</v>
      </c>
      <c r="P40" s="2">
        <v>82</v>
      </c>
      <c r="Q40">
        <v>2</v>
      </c>
      <c r="R40" t="str" cm="1">
        <f t="array" ref="R40">_xlfn.IFS(Q40=1,"Low",Q40=2,"Medium",Q40=3,"High",Q40=4,"Very High")</f>
        <v>Medium</v>
      </c>
      <c r="S40">
        <v>1</v>
      </c>
      <c r="T40" t="str" cm="1">
        <f t="array" ref="T40">_xlfn.IFS(S40=1,"Entry Level",S40=2,"Junior",S40=3,"Mid-Level",S40=4,"Senior",S40=5,"Executive")</f>
        <v>Entry Level</v>
      </c>
      <c r="U40" t="s">
        <v>43</v>
      </c>
      <c r="V40">
        <v>1</v>
      </c>
      <c r="W40" t="str" cm="1">
        <f t="array" ref="W40">_xlfn.IFS(V40=1,"Low",V40=2,"Medium",V40=3,"High",V40=4,"Very High")</f>
        <v>Low</v>
      </c>
      <c r="X40" t="s">
        <v>44</v>
      </c>
      <c r="Y40" s="2">
        <v>3419</v>
      </c>
      <c r="Z40" s="2">
        <v>13072</v>
      </c>
      <c r="AA40">
        <v>9</v>
      </c>
      <c r="AB40" t="s">
        <v>32</v>
      </c>
      <c r="AC40">
        <v>14</v>
      </c>
      <c r="AD40">
        <v>3</v>
      </c>
      <c r="AE40" t="str" cm="1">
        <f t="array" ref="AE40">_xlfn.IFS(AD40=1,"Low",AD40=2,"Good",AD40=3,"Excellent",AD40=4,"Outstanding")</f>
        <v>Excellent</v>
      </c>
      <c r="AF40">
        <v>4</v>
      </c>
      <c r="AG40" t="str" cm="1">
        <f t="array" ref="AG40">_xlfn.IFS(AF40=1,"Low",AF40=2,"Medium",AF40=3,"High",AF40=4,"Very High")</f>
        <v>Very High</v>
      </c>
      <c r="AH40">
        <v>1</v>
      </c>
      <c r="AI40">
        <v>6</v>
      </c>
      <c r="AJ40">
        <v>3</v>
      </c>
      <c r="AK40">
        <v>4</v>
      </c>
      <c r="AL40" t="str" cm="1">
        <f t="array" ref="AL40">_xlfn.IFS(AK40=1,"Low",AK40=2,"Medium",AK40=3,"High",AK40=4,"Very High")</f>
        <v>Very High</v>
      </c>
      <c r="AM40">
        <v>1</v>
      </c>
      <c r="AN40">
        <v>1</v>
      </c>
      <c r="AO40">
        <v>0</v>
      </c>
      <c r="AP40">
        <v>0</v>
      </c>
    </row>
    <row r="41" spans="1:42">
      <c r="A41">
        <v>33</v>
      </c>
      <c r="B41" t="str" cm="1">
        <f t="array" ref="B41">_xlfn.IFS(A41&lt;=25,"18-25",A41&lt;=35,"26-35",A41&lt;=45,"36-45",A41&lt;=55,"46-55",A41&gt;55,"56+")</f>
        <v>26-35</v>
      </c>
      <c r="C41" t="s">
        <v>39</v>
      </c>
      <c r="D41" t="s">
        <v>40</v>
      </c>
      <c r="E41" s="2">
        <v>1141</v>
      </c>
      <c r="F41" t="s">
        <v>34</v>
      </c>
      <c r="G41">
        <v>1</v>
      </c>
      <c r="H41" t="str">
        <f t="shared" si="0"/>
        <v>1-10 km</v>
      </c>
      <c r="I41">
        <v>3</v>
      </c>
      <c r="J41" t="str" cm="1">
        <f t="array" ref="J41">_xlfn.IFS(I41=1,"Below College",I41=2,"College",I41=3,"Bachelor",I41=4,"Master",I41=5,"Doctor")</f>
        <v>Bachelor</v>
      </c>
      <c r="K41" t="s">
        <v>35</v>
      </c>
      <c r="L41">
        <v>52</v>
      </c>
      <c r="M41">
        <v>3</v>
      </c>
      <c r="N41" t="str" cm="1">
        <f t="array" ref="N41">_xlfn.IFS(M41=1,"Low",M41=2,"Medium",M41=3,"High",M41=4,"Very High")</f>
        <v>High</v>
      </c>
      <c r="O41" t="s">
        <v>36</v>
      </c>
      <c r="P41" s="2">
        <v>42</v>
      </c>
      <c r="Q41">
        <v>4</v>
      </c>
      <c r="R41" t="str" cm="1">
        <f t="array" ref="R41">_xlfn.IFS(Q41=1,"Low",Q41=2,"Medium",Q41=3,"High",Q41=4,"Very High")</f>
        <v>Very High</v>
      </c>
      <c r="S41">
        <v>2</v>
      </c>
      <c r="T41" t="str" cm="1">
        <f t="array" ref="T41">_xlfn.IFS(S41=1,"Entry Level",S41=2,"Junior",S41=3,"Mid-Level",S41=4,"Senior",S41=5,"Executive")</f>
        <v>Junior</v>
      </c>
      <c r="U41" t="s">
        <v>37</v>
      </c>
      <c r="V41">
        <v>1</v>
      </c>
      <c r="W41" t="str" cm="1">
        <f t="array" ref="W41">_xlfn.IFS(V41=1,"Low",V41=2,"Medium",V41=3,"High",V41=4,"Very High")</f>
        <v>Low</v>
      </c>
      <c r="X41" t="s">
        <v>44</v>
      </c>
      <c r="Y41" s="2">
        <v>5376</v>
      </c>
      <c r="Z41" s="2">
        <v>3193</v>
      </c>
      <c r="AA41">
        <v>2</v>
      </c>
      <c r="AB41" t="s">
        <v>39</v>
      </c>
      <c r="AC41">
        <v>19</v>
      </c>
      <c r="AD41">
        <v>3</v>
      </c>
      <c r="AE41" t="str" cm="1">
        <f t="array" ref="AE41">_xlfn.IFS(AD41=1,"Low",AD41=2,"Good",AD41=3,"Excellent",AD41=4,"Outstanding")</f>
        <v>Excellent</v>
      </c>
      <c r="AF41">
        <v>1</v>
      </c>
      <c r="AG41" t="str" cm="1">
        <f t="array" ref="AG41">_xlfn.IFS(AF41=1,"Low",AF41=2,"Medium",AF41=3,"High",AF41=4,"Very High")</f>
        <v>Low</v>
      </c>
      <c r="AH41">
        <v>2</v>
      </c>
      <c r="AI41">
        <v>10</v>
      </c>
      <c r="AJ41">
        <v>3</v>
      </c>
      <c r="AK41">
        <v>3</v>
      </c>
      <c r="AL41" t="str" cm="1">
        <f t="array" ref="AL41">_xlfn.IFS(AK41=1,"Low",AK41=2,"Medium",AK41=3,"High",AK41=4,"Very High")</f>
        <v>High</v>
      </c>
      <c r="AM41">
        <v>5</v>
      </c>
      <c r="AN41">
        <v>3</v>
      </c>
      <c r="AO41">
        <v>1</v>
      </c>
      <c r="AP41">
        <v>3</v>
      </c>
    </row>
    <row r="42" spans="1:42">
      <c r="A42">
        <v>35</v>
      </c>
      <c r="B42" t="str" cm="1">
        <f t="array" ref="B42">_xlfn.IFS(A42&lt;=25,"18-25",A42&lt;=35,"26-35",A42&lt;=45,"36-45",A42&lt;=55,"46-55",A42&gt;55,"56+")</f>
        <v>26-35</v>
      </c>
      <c r="C42" t="s">
        <v>39</v>
      </c>
      <c r="D42" t="s">
        <v>33</v>
      </c>
      <c r="E42" s="2">
        <v>464</v>
      </c>
      <c r="F42" t="s">
        <v>41</v>
      </c>
      <c r="G42">
        <v>4</v>
      </c>
      <c r="H42" t="str">
        <f t="shared" si="0"/>
        <v>1-10 km</v>
      </c>
      <c r="I42">
        <v>2</v>
      </c>
      <c r="J42" t="str" cm="1">
        <f t="array" ref="J42">_xlfn.IFS(I42=1,"Below College",I42=2,"College",I42=3,"Bachelor",I42=4,"Master",I42=5,"Doctor")</f>
        <v>College</v>
      </c>
      <c r="K42" t="s">
        <v>45</v>
      </c>
      <c r="L42">
        <v>53</v>
      </c>
      <c r="M42">
        <v>3</v>
      </c>
      <c r="N42" t="str" cm="1">
        <f t="array" ref="N42">_xlfn.IFS(M42=1,"Low",M42=2,"Medium",M42=3,"High",M42=4,"Very High")</f>
        <v>High</v>
      </c>
      <c r="O42" t="s">
        <v>42</v>
      </c>
      <c r="P42" s="2">
        <v>75</v>
      </c>
      <c r="Q42">
        <v>3</v>
      </c>
      <c r="R42" t="str" cm="1">
        <f t="array" ref="R42">_xlfn.IFS(Q42=1,"Low",Q42=2,"Medium",Q42=3,"High",Q42=4,"Very High")</f>
        <v>High</v>
      </c>
      <c r="S42">
        <v>1</v>
      </c>
      <c r="T42" t="str" cm="1">
        <f t="array" ref="T42">_xlfn.IFS(S42=1,"Entry Level",S42=2,"Junior",S42=3,"Mid-Level",S42=4,"Senior",S42=5,"Executive")</f>
        <v>Entry Level</v>
      </c>
      <c r="U42" t="s">
        <v>46</v>
      </c>
      <c r="V42">
        <v>4</v>
      </c>
      <c r="W42" t="str" cm="1">
        <f t="array" ref="W42">_xlfn.IFS(V42=1,"Low",V42=2,"Medium",V42=3,"High",V42=4,"Very High")</f>
        <v>Very High</v>
      </c>
      <c r="X42" t="s">
        <v>48</v>
      </c>
      <c r="Y42" s="2">
        <v>1951</v>
      </c>
      <c r="Z42" s="2">
        <v>10910</v>
      </c>
      <c r="AA42">
        <v>1</v>
      </c>
      <c r="AB42" t="s">
        <v>39</v>
      </c>
      <c r="AC42">
        <v>12</v>
      </c>
      <c r="AD42">
        <v>3</v>
      </c>
      <c r="AE42" t="str" cm="1">
        <f t="array" ref="AE42">_xlfn.IFS(AD42=1,"Low",AD42=2,"Good",AD42=3,"Excellent",AD42=4,"Outstanding")</f>
        <v>Excellent</v>
      </c>
      <c r="AF42">
        <v>3</v>
      </c>
      <c r="AG42" t="str" cm="1">
        <f t="array" ref="AG42">_xlfn.IFS(AF42=1,"Low",AF42=2,"Medium",AF42=3,"High",AF42=4,"Very High")</f>
        <v>High</v>
      </c>
      <c r="AH42">
        <v>1</v>
      </c>
      <c r="AI42">
        <v>1</v>
      </c>
      <c r="AJ42">
        <v>3</v>
      </c>
      <c r="AK42">
        <v>3</v>
      </c>
      <c r="AL42" t="str" cm="1">
        <f t="array" ref="AL42">_xlfn.IFS(AK42=1,"Low",AK42=2,"Medium",AK42=3,"High",AK42=4,"Very High")</f>
        <v>High</v>
      </c>
      <c r="AM42">
        <v>1</v>
      </c>
      <c r="AN42">
        <v>0</v>
      </c>
      <c r="AO42">
        <v>0</v>
      </c>
      <c r="AP42">
        <v>0</v>
      </c>
    </row>
    <row r="43" spans="1:42">
      <c r="A43">
        <v>27</v>
      </c>
      <c r="B43" t="str" cm="1">
        <f t="array" ref="B43">_xlfn.IFS(A43&lt;=25,"18-25",A43&lt;=35,"26-35",A43&lt;=45,"36-45",A43&lt;=55,"46-55",A43&gt;55,"56+")</f>
        <v>26-35</v>
      </c>
      <c r="C43" t="s">
        <v>39</v>
      </c>
      <c r="D43" t="s">
        <v>33</v>
      </c>
      <c r="E43" s="2">
        <v>1240</v>
      </c>
      <c r="F43" t="s">
        <v>41</v>
      </c>
      <c r="G43">
        <v>2</v>
      </c>
      <c r="H43" t="str">
        <f t="shared" si="0"/>
        <v>1-10 km</v>
      </c>
      <c r="I43">
        <v>4</v>
      </c>
      <c r="J43" t="str" cm="1">
        <f t="array" ref="J43">_xlfn.IFS(I43=1,"Below College",I43=2,"College",I43=3,"Bachelor",I43=4,"Master",I43=5,"Doctor")</f>
        <v>Master</v>
      </c>
      <c r="K43" t="s">
        <v>35</v>
      </c>
      <c r="L43">
        <v>54</v>
      </c>
      <c r="M43">
        <v>4</v>
      </c>
      <c r="N43" t="str" cm="1">
        <f t="array" ref="N43">_xlfn.IFS(M43=1,"Low",M43=2,"Medium",M43=3,"High",M43=4,"Very High")</f>
        <v>Very High</v>
      </c>
      <c r="O43" t="s">
        <v>36</v>
      </c>
      <c r="P43" s="2">
        <v>33</v>
      </c>
      <c r="Q43">
        <v>3</v>
      </c>
      <c r="R43" t="str" cm="1">
        <f t="array" ref="R43">_xlfn.IFS(Q43=1,"Low",Q43=2,"Medium",Q43=3,"High",Q43=4,"Very High")</f>
        <v>High</v>
      </c>
      <c r="S43">
        <v>1</v>
      </c>
      <c r="T43" t="str" cm="1">
        <f t="array" ref="T43">_xlfn.IFS(S43=1,"Entry Level",S43=2,"Junior",S43=3,"Mid-Level",S43=4,"Senior",S43=5,"Executive")</f>
        <v>Entry Level</v>
      </c>
      <c r="U43" t="s">
        <v>46</v>
      </c>
      <c r="V43">
        <v>1</v>
      </c>
      <c r="W43" t="str" cm="1">
        <f t="array" ref="W43">_xlfn.IFS(V43=1,"Low",V43=2,"Medium",V43=3,"High",V43=4,"Very High")</f>
        <v>Low</v>
      </c>
      <c r="X43" t="s">
        <v>48</v>
      </c>
      <c r="Y43" s="2">
        <v>2341</v>
      </c>
      <c r="Z43" s="2">
        <v>19715</v>
      </c>
      <c r="AA43">
        <v>1</v>
      </c>
      <c r="AB43" t="s">
        <v>39</v>
      </c>
      <c r="AC43">
        <v>13</v>
      </c>
      <c r="AD43">
        <v>3</v>
      </c>
      <c r="AE43" t="str" cm="1">
        <f t="array" ref="AE43">_xlfn.IFS(AD43=1,"Low",AD43=2,"Good",AD43=3,"Excellent",AD43=4,"Outstanding")</f>
        <v>Excellent</v>
      </c>
      <c r="AF43">
        <v>4</v>
      </c>
      <c r="AG43" t="str" cm="1">
        <f t="array" ref="AG43">_xlfn.IFS(AF43=1,"Low",AF43=2,"Medium",AF43=3,"High",AF43=4,"Very High")</f>
        <v>Very High</v>
      </c>
      <c r="AH43">
        <v>1</v>
      </c>
      <c r="AI43">
        <v>1</v>
      </c>
      <c r="AJ43">
        <v>6</v>
      </c>
      <c r="AK43">
        <v>3</v>
      </c>
      <c r="AL43" t="str" cm="1">
        <f t="array" ref="AL43">_xlfn.IFS(AK43=1,"Low",AK43=2,"Medium",AK43=3,"High",AK43=4,"Very High")</f>
        <v>High</v>
      </c>
      <c r="AM43">
        <v>1</v>
      </c>
      <c r="AN43">
        <v>0</v>
      </c>
      <c r="AO43">
        <v>0</v>
      </c>
      <c r="AP43">
        <v>0</v>
      </c>
    </row>
    <row r="44" spans="1:42">
      <c r="A44">
        <v>26</v>
      </c>
      <c r="B44" t="str" cm="1">
        <f t="array" ref="B44">_xlfn.IFS(A44&lt;=25,"18-25",A44&lt;=35,"26-35",A44&lt;=45,"36-45",A44&lt;=55,"46-55",A44&gt;55,"56+")</f>
        <v>26-35</v>
      </c>
      <c r="C44" t="s">
        <v>32</v>
      </c>
      <c r="D44" t="s">
        <v>33</v>
      </c>
      <c r="E44" s="2">
        <v>1357</v>
      </c>
      <c r="F44" t="s">
        <v>41</v>
      </c>
      <c r="G44">
        <v>25</v>
      </c>
      <c r="H44" t="str">
        <f t="shared" si="0"/>
        <v>21-30 km</v>
      </c>
      <c r="I44">
        <v>3</v>
      </c>
      <c r="J44" t="str" cm="1">
        <f t="array" ref="J44">_xlfn.IFS(I44=1,"Below College",I44=2,"College",I44=3,"Bachelor",I44=4,"Master",I44=5,"Doctor")</f>
        <v>Bachelor</v>
      </c>
      <c r="K44" t="s">
        <v>35</v>
      </c>
      <c r="L44">
        <v>55</v>
      </c>
      <c r="M44">
        <v>1</v>
      </c>
      <c r="N44" t="str" cm="1">
        <f t="array" ref="N44">_xlfn.IFS(M44=1,"Low",M44=2,"Medium",M44=3,"High",M44=4,"Very High")</f>
        <v>Low</v>
      </c>
      <c r="O44" t="s">
        <v>42</v>
      </c>
      <c r="P44" s="2">
        <v>48</v>
      </c>
      <c r="Q44">
        <v>1</v>
      </c>
      <c r="R44" t="str" cm="1">
        <f t="array" ref="R44">_xlfn.IFS(Q44=1,"Low",Q44=2,"Medium",Q44=3,"High",Q44=4,"Very High")</f>
        <v>Low</v>
      </c>
      <c r="S44">
        <v>1</v>
      </c>
      <c r="T44" t="str" cm="1">
        <f t="array" ref="T44">_xlfn.IFS(S44=1,"Entry Level",S44=2,"Junior",S44=3,"Mid-Level",S44=4,"Senior",S44=5,"Executive")</f>
        <v>Entry Level</v>
      </c>
      <c r="U44" t="s">
        <v>46</v>
      </c>
      <c r="V44">
        <v>3</v>
      </c>
      <c r="W44" t="str" cm="1">
        <f t="array" ref="W44">_xlfn.IFS(V44=1,"Low",V44=2,"Medium",V44=3,"High",V44=4,"Very High")</f>
        <v>High</v>
      </c>
      <c r="X44" t="s">
        <v>38</v>
      </c>
      <c r="Y44" s="2">
        <v>2293</v>
      </c>
      <c r="Z44" s="2">
        <v>10558</v>
      </c>
      <c r="AA44">
        <v>1</v>
      </c>
      <c r="AB44" t="s">
        <v>39</v>
      </c>
      <c r="AC44">
        <v>12</v>
      </c>
      <c r="AD44">
        <v>3</v>
      </c>
      <c r="AE44" t="str" cm="1">
        <f t="array" ref="AE44">_xlfn.IFS(AD44=1,"Low",AD44=2,"Good",AD44=3,"Excellent",AD44=4,"Outstanding")</f>
        <v>Excellent</v>
      </c>
      <c r="AF44">
        <v>3</v>
      </c>
      <c r="AG44" t="str" cm="1">
        <f t="array" ref="AG44">_xlfn.IFS(AF44=1,"Low",AF44=2,"Medium",AF44=3,"High",AF44=4,"Very High")</f>
        <v>High</v>
      </c>
      <c r="AH44">
        <v>0</v>
      </c>
      <c r="AI44">
        <v>1</v>
      </c>
      <c r="AJ44">
        <v>2</v>
      </c>
      <c r="AK44">
        <v>2</v>
      </c>
      <c r="AL44" t="str" cm="1">
        <f t="array" ref="AL44">_xlfn.IFS(AK44=1,"Low",AK44=2,"Medium",AK44=3,"High",AK44=4,"Very High")</f>
        <v>Medium</v>
      </c>
      <c r="AM44">
        <v>1</v>
      </c>
      <c r="AN44">
        <v>0</v>
      </c>
      <c r="AO44">
        <v>0</v>
      </c>
      <c r="AP44">
        <v>1</v>
      </c>
    </row>
    <row r="45" spans="1:42">
      <c r="A45">
        <v>27</v>
      </c>
      <c r="B45" t="str" cm="1">
        <f t="array" ref="B45">_xlfn.IFS(A45&lt;=25,"18-25",A45&lt;=35,"26-35",A45&lt;=45,"36-45",A45&lt;=55,"46-55",A45&gt;55,"56+")</f>
        <v>26-35</v>
      </c>
      <c r="C45" t="s">
        <v>39</v>
      </c>
      <c r="D45" t="s">
        <v>40</v>
      </c>
      <c r="E45" s="2">
        <v>994</v>
      </c>
      <c r="F45" t="s">
        <v>34</v>
      </c>
      <c r="G45">
        <v>8</v>
      </c>
      <c r="H45" t="str">
        <f t="shared" si="0"/>
        <v>1-10 km</v>
      </c>
      <c r="I45">
        <v>3</v>
      </c>
      <c r="J45" t="str" cm="1">
        <f t="array" ref="J45">_xlfn.IFS(I45=1,"Below College",I45=2,"College",I45=3,"Bachelor",I45=4,"Master",I45=5,"Doctor")</f>
        <v>Bachelor</v>
      </c>
      <c r="K45" t="s">
        <v>35</v>
      </c>
      <c r="L45">
        <v>56</v>
      </c>
      <c r="M45">
        <v>4</v>
      </c>
      <c r="N45" t="str" cm="1">
        <f t="array" ref="N45">_xlfn.IFS(M45=1,"Low",M45=2,"Medium",M45=3,"High",M45=4,"Very High")</f>
        <v>Very High</v>
      </c>
      <c r="O45" t="s">
        <v>42</v>
      </c>
      <c r="P45" s="2">
        <v>37</v>
      </c>
      <c r="Q45">
        <v>3</v>
      </c>
      <c r="R45" t="str" cm="1">
        <f t="array" ref="R45">_xlfn.IFS(Q45=1,"Low",Q45=2,"Medium",Q45=3,"High",Q45=4,"Very High")</f>
        <v>High</v>
      </c>
      <c r="S45">
        <v>3</v>
      </c>
      <c r="T45" t="str" cm="1">
        <f t="array" ref="T45">_xlfn.IFS(S45=1,"Entry Level",S45=2,"Junior",S45=3,"Mid-Level",S45=4,"Senior",S45=5,"Executive")</f>
        <v>Mid-Level</v>
      </c>
      <c r="U45" t="s">
        <v>37</v>
      </c>
      <c r="V45">
        <v>3</v>
      </c>
      <c r="W45" t="str" cm="1">
        <f t="array" ref="W45">_xlfn.IFS(V45=1,"Low",V45=2,"Medium",V45=3,"High",V45=4,"Very High")</f>
        <v>High</v>
      </c>
      <c r="X45" t="s">
        <v>38</v>
      </c>
      <c r="Y45" s="2">
        <v>8726</v>
      </c>
      <c r="Z45" s="2">
        <v>2975</v>
      </c>
      <c r="AA45">
        <v>1</v>
      </c>
      <c r="AB45" t="s">
        <v>39</v>
      </c>
      <c r="AC45">
        <v>15</v>
      </c>
      <c r="AD45">
        <v>3</v>
      </c>
      <c r="AE45" t="str" cm="1">
        <f t="array" ref="AE45">_xlfn.IFS(AD45=1,"Low",AD45=2,"Good",AD45=3,"Excellent",AD45=4,"Outstanding")</f>
        <v>Excellent</v>
      </c>
      <c r="AF45">
        <v>4</v>
      </c>
      <c r="AG45" t="str" cm="1">
        <f t="array" ref="AG45">_xlfn.IFS(AF45=1,"Low",AF45=2,"Medium",AF45=3,"High",AF45=4,"Very High")</f>
        <v>Very High</v>
      </c>
      <c r="AH45">
        <v>0</v>
      </c>
      <c r="AI45">
        <v>9</v>
      </c>
      <c r="AJ45">
        <v>0</v>
      </c>
      <c r="AK45">
        <v>3</v>
      </c>
      <c r="AL45" t="str" cm="1">
        <f t="array" ref="AL45">_xlfn.IFS(AK45=1,"Low",AK45=2,"Medium",AK45=3,"High",AK45=4,"Very High")</f>
        <v>High</v>
      </c>
      <c r="AM45">
        <v>9</v>
      </c>
      <c r="AN45">
        <v>8</v>
      </c>
      <c r="AO45">
        <v>1</v>
      </c>
      <c r="AP45">
        <v>7</v>
      </c>
    </row>
    <row r="46" spans="1:42">
      <c r="A46">
        <v>30</v>
      </c>
      <c r="B46" t="str" cm="1">
        <f t="array" ref="B46">_xlfn.IFS(A46&lt;=25,"18-25",A46&lt;=35,"26-35",A46&lt;=45,"36-45",A46&lt;=55,"46-55",A46&gt;55,"56+")</f>
        <v>26-35</v>
      </c>
      <c r="C46" t="s">
        <v>39</v>
      </c>
      <c r="D46" t="s">
        <v>40</v>
      </c>
      <c r="E46" s="2">
        <v>721</v>
      </c>
      <c r="F46" t="s">
        <v>41</v>
      </c>
      <c r="G46">
        <v>1</v>
      </c>
      <c r="H46" t="str">
        <f t="shared" si="0"/>
        <v>1-10 km</v>
      </c>
      <c r="I46">
        <v>2</v>
      </c>
      <c r="J46" t="str" cm="1">
        <f t="array" ref="J46">_xlfn.IFS(I46=1,"Below College",I46=2,"College",I46=3,"Bachelor",I46=4,"Master",I46=5,"Doctor")</f>
        <v>College</v>
      </c>
      <c r="K46" t="s">
        <v>47</v>
      </c>
      <c r="L46">
        <v>57</v>
      </c>
      <c r="M46">
        <v>3</v>
      </c>
      <c r="N46" t="str" cm="1">
        <f t="array" ref="N46">_xlfn.IFS(M46=1,"Low",M46=2,"Medium",M46=3,"High",M46=4,"Very High")</f>
        <v>High</v>
      </c>
      <c r="O46" t="s">
        <v>36</v>
      </c>
      <c r="P46" s="2">
        <v>58</v>
      </c>
      <c r="Q46">
        <v>3</v>
      </c>
      <c r="R46" t="str" cm="1">
        <f t="array" ref="R46">_xlfn.IFS(Q46=1,"Low",Q46=2,"Medium",Q46=3,"High",Q46=4,"Very High")</f>
        <v>High</v>
      </c>
      <c r="S46">
        <v>2</v>
      </c>
      <c r="T46" t="str" cm="1">
        <f t="array" ref="T46">_xlfn.IFS(S46=1,"Entry Level",S46=2,"Junior",S46=3,"Mid-Level",S46=4,"Senior",S46=5,"Executive")</f>
        <v>Junior</v>
      </c>
      <c r="U46" t="s">
        <v>46</v>
      </c>
      <c r="V46">
        <v>4</v>
      </c>
      <c r="W46" t="str" cm="1">
        <f t="array" ref="W46">_xlfn.IFS(V46=1,"Low",V46=2,"Medium",V46=3,"High",V46=4,"Very High")</f>
        <v>Very High</v>
      </c>
      <c r="X46" t="s">
        <v>38</v>
      </c>
      <c r="Y46" s="2">
        <v>4011</v>
      </c>
      <c r="Z46" s="2">
        <v>10781</v>
      </c>
      <c r="AA46">
        <v>1</v>
      </c>
      <c r="AB46" t="s">
        <v>39</v>
      </c>
      <c r="AC46">
        <v>23</v>
      </c>
      <c r="AD46">
        <v>4</v>
      </c>
      <c r="AE46" t="str" cm="1">
        <f t="array" ref="AE46">_xlfn.IFS(AD46=1,"Low",AD46=2,"Good",AD46=3,"Excellent",AD46=4,"Outstanding")</f>
        <v>Outstanding</v>
      </c>
      <c r="AF46">
        <v>4</v>
      </c>
      <c r="AG46" t="str" cm="1">
        <f t="array" ref="AG46">_xlfn.IFS(AF46=1,"Low",AF46=2,"Medium",AF46=3,"High",AF46=4,"Very High")</f>
        <v>Very High</v>
      </c>
      <c r="AH46">
        <v>0</v>
      </c>
      <c r="AI46">
        <v>12</v>
      </c>
      <c r="AJ46">
        <v>2</v>
      </c>
      <c r="AK46">
        <v>3</v>
      </c>
      <c r="AL46" t="str" cm="1">
        <f t="array" ref="AL46">_xlfn.IFS(AK46=1,"Low",AK46=2,"Medium",AK46=3,"High",AK46=4,"Very High")</f>
        <v>High</v>
      </c>
      <c r="AM46">
        <v>12</v>
      </c>
      <c r="AN46">
        <v>8</v>
      </c>
      <c r="AO46">
        <v>3</v>
      </c>
      <c r="AP46">
        <v>7</v>
      </c>
    </row>
    <row r="47" spans="1:42">
      <c r="A47">
        <v>41</v>
      </c>
      <c r="B47" t="str" cm="1">
        <f t="array" ref="B47">_xlfn.IFS(A47&lt;=25,"18-25",A47&lt;=35,"26-35",A47&lt;=45,"36-45",A47&lt;=55,"46-55",A47&gt;55,"56+")</f>
        <v>36-45</v>
      </c>
      <c r="C47" t="s">
        <v>32</v>
      </c>
      <c r="D47" t="s">
        <v>33</v>
      </c>
      <c r="E47" s="2">
        <v>1360</v>
      </c>
      <c r="F47" t="s">
        <v>41</v>
      </c>
      <c r="G47">
        <v>12</v>
      </c>
      <c r="H47" t="str">
        <f t="shared" si="0"/>
        <v>11-20 km</v>
      </c>
      <c r="I47">
        <v>3</v>
      </c>
      <c r="J47" t="str" cm="1">
        <f t="array" ref="J47">_xlfn.IFS(I47=1,"Below College",I47=2,"College",I47=3,"Bachelor",I47=4,"Master",I47=5,"Doctor")</f>
        <v>Bachelor</v>
      </c>
      <c r="K47" t="s">
        <v>56</v>
      </c>
      <c r="L47">
        <v>58</v>
      </c>
      <c r="M47">
        <v>2</v>
      </c>
      <c r="N47" t="str" cm="1">
        <f t="array" ref="N47">_xlfn.IFS(M47=1,"Low",M47=2,"Medium",M47=3,"High",M47=4,"Very High")</f>
        <v>Medium</v>
      </c>
      <c r="O47" t="s">
        <v>36</v>
      </c>
      <c r="P47" s="2">
        <v>49</v>
      </c>
      <c r="Q47">
        <v>3</v>
      </c>
      <c r="R47" t="str" cm="1">
        <f t="array" ref="R47">_xlfn.IFS(Q47=1,"Low",Q47=2,"Medium",Q47=3,"High",Q47=4,"Very High")</f>
        <v>High</v>
      </c>
      <c r="S47">
        <v>5</v>
      </c>
      <c r="T47" t="str" cm="1">
        <f t="array" ref="T47">_xlfn.IFS(S47=1,"Entry Level",S47=2,"Junior",S47=3,"Mid-Level",S47=4,"Senior",S47=5,"Executive")</f>
        <v>Executive</v>
      </c>
      <c r="U47" t="s">
        <v>54</v>
      </c>
      <c r="V47">
        <v>3</v>
      </c>
      <c r="W47" t="str" cm="1">
        <f t="array" ref="W47">_xlfn.IFS(V47=1,"Low",V47=2,"Medium",V47=3,"High",V47=4,"Very High")</f>
        <v>High</v>
      </c>
      <c r="X47" t="s">
        <v>44</v>
      </c>
      <c r="Y47" s="2">
        <v>19545</v>
      </c>
      <c r="Z47" s="2">
        <v>16280</v>
      </c>
      <c r="AA47">
        <v>1</v>
      </c>
      <c r="AB47" t="s">
        <v>39</v>
      </c>
      <c r="AC47">
        <v>12</v>
      </c>
      <c r="AD47">
        <v>3</v>
      </c>
      <c r="AE47" t="str" cm="1">
        <f t="array" ref="AE47">_xlfn.IFS(AD47=1,"Low",AD47=2,"Good",AD47=3,"Excellent",AD47=4,"Outstanding")</f>
        <v>Excellent</v>
      </c>
      <c r="AF47">
        <v>4</v>
      </c>
      <c r="AG47" t="str" cm="1">
        <f t="array" ref="AG47">_xlfn.IFS(AF47=1,"Low",AF47=2,"Medium",AF47=3,"High",AF47=4,"Very High")</f>
        <v>Very High</v>
      </c>
      <c r="AH47">
        <v>0</v>
      </c>
      <c r="AI47">
        <v>23</v>
      </c>
      <c r="AJ47">
        <v>0</v>
      </c>
      <c r="AK47">
        <v>3</v>
      </c>
      <c r="AL47" t="str" cm="1">
        <f t="array" ref="AL47">_xlfn.IFS(AK47=1,"Low",AK47=2,"Medium",AK47=3,"High",AK47=4,"Very High")</f>
        <v>High</v>
      </c>
      <c r="AM47">
        <v>22</v>
      </c>
      <c r="AN47">
        <v>15</v>
      </c>
      <c r="AO47">
        <v>15</v>
      </c>
      <c r="AP47">
        <v>8</v>
      </c>
    </row>
    <row r="48" spans="1:42">
      <c r="A48">
        <v>34</v>
      </c>
      <c r="B48" t="str" cm="1">
        <f t="array" ref="B48">_xlfn.IFS(A48&lt;=25,"18-25",A48&lt;=35,"26-35",A48&lt;=45,"36-45",A48&lt;=55,"46-55",A48&gt;55,"56+")</f>
        <v>26-35</v>
      </c>
      <c r="C48" t="s">
        <v>39</v>
      </c>
      <c r="D48" t="s">
        <v>51</v>
      </c>
      <c r="E48" s="2">
        <v>1065</v>
      </c>
      <c r="F48" t="s">
        <v>34</v>
      </c>
      <c r="G48">
        <v>23</v>
      </c>
      <c r="H48" t="str">
        <f t="shared" si="0"/>
        <v>21-30 km</v>
      </c>
      <c r="I48">
        <v>4</v>
      </c>
      <c r="J48" t="str" cm="1">
        <f t="array" ref="J48">_xlfn.IFS(I48=1,"Below College",I48=2,"College",I48=3,"Bachelor",I48=4,"Master",I48=5,"Doctor")</f>
        <v>Master</v>
      </c>
      <c r="K48" t="s">
        <v>55</v>
      </c>
      <c r="L48">
        <v>60</v>
      </c>
      <c r="M48">
        <v>2</v>
      </c>
      <c r="N48" t="str" cm="1">
        <f t="array" ref="N48">_xlfn.IFS(M48=1,"Low",M48=2,"Medium",M48=3,"High",M48=4,"Very High")</f>
        <v>Medium</v>
      </c>
      <c r="O48" t="s">
        <v>42</v>
      </c>
      <c r="P48" s="2">
        <v>72</v>
      </c>
      <c r="Q48">
        <v>3</v>
      </c>
      <c r="R48" t="str" cm="1">
        <f t="array" ref="R48">_xlfn.IFS(Q48=1,"Low",Q48=2,"Medium",Q48=3,"High",Q48=4,"Very High")</f>
        <v>High</v>
      </c>
      <c r="S48">
        <v>2</v>
      </c>
      <c r="T48" t="str" cm="1">
        <f t="array" ref="T48">_xlfn.IFS(S48=1,"Entry Level",S48=2,"Junior",S48=3,"Mid-Level",S48=4,"Senior",S48=5,"Executive")</f>
        <v>Junior</v>
      </c>
      <c r="U48" t="s">
        <v>37</v>
      </c>
      <c r="V48">
        <v>3</v>
      </c>
      <c r="W48" t="str" cm="1">
        <f t="array" ref="W48">_xlfn.IFS(V48=1,"Low",V48=2,"Medium",V48=3,"High",V48=4,"Very High")</f>
        <v>High</v>
      </c>
      <c r="X48" t="s">
        <v>38</v>
      </c>
      <c r="Y48" s="2">
        <v>4568</v>
      </c>
      <c r="Z48" s="2">
        <v>10034</v>
      </c>
      <c r="AA48">
        <v>0</v>
      </c>
      <c r="AB48" t="s">
        <v>39</v>
      </c>
      <c r="AC48">
        <v>20</v>
      </c>
      <c r="AD48">
        <v>4</v>
      </c>
      <c r="AE48" t="str" cm="1">
        <f t="array" ref="AE48">_xlfn.IFS(AD48=1,"Low",AD48=2,"Good",AD48=3,"Excellent",AD48=4,"Outstanding")</f>
        <v>Outstanding</v>
      </c>
      <c r="AF48">
        <v>3</v>
      </c>
      <c r="AG48" t="str" cm="1">
        <f t="array" ref="AG48">_xlfn.IFS(AF48=1,"Low",AF48=2,"Medium",AF48=3,"High",AF48=4,"Very High")</f>
        <v>High</v>
      </c>
      <c r="AH48">
        <v>0</v>
      </c>
      <c r="AI48">
        <v>10</v>
      </c>
      <c r="AJ48">
        <v>2</v>
      </c>
      <c r="AK48">
        <v>3</v>
      </c>
      <c r="AL48" t="str" cm="1">
        <f t="array" ref="AL48">_xlfn.IFS(AK48=1,"Low",AK48=2,"Medium",AK48=3,"High",AK48=4,"Very High")</f>
        <v>High</v>
      </c>
      <c r="AM48">
        <v>9</v>
      </c>
      <c r="AN48">
        <v>5</v>
      </c>
      <c r="AO48">
        <v>8</v>
      </c>
      <c r="AP48">
        <v>7</v>
      </c>
    </row>
    <row r="49" spans="1:42">
      <c r="A49">
        <v>37</v>
      </c>
      <c r="B49" t="str" cm="1">
        <f t="array" ref="B49">_xlfn.IFS(A49&lt;=25,"18-25",A49&lt;=35,"26-35",A49&lt;=45,"36-45",A49&lt;=55,"46-55",A49&gt;55,"56+")</f>
        <v>36-45</v>
      </c>
      <c r="C49" t="s">
        <v>39</v>
      </c>
      <c r="D49" t="s">
        <v>33</v>
      </c>
      <c r="E49" s="2">
        <v>408</v>
      </c>
      <c r="F49" t="s">
        <v>41</v>
      </c>
      <c r="G49">
        <v>19</v>
      </c>
      <c r="H49" t="str">
        <f t="shared" si="0"/>
        <v>11-20 km</v>
      </c>
      <c r="I49">
        <v>2</v>
      </c>
      <c r="J49" t="str" cm="1">
        <f t="array" ref="J49">_xlfn.IFS(I49=1,"Below College",I49=2,"College",I49=3,"Bachelor",I49=4,"Master",I49=5,"Doctor")</f>
        <v>College</v>
      </c>
      <c r="K49" t="s">
        <v>35</v>
      </c>
      <c r="L49">
        <v>61</v>
      </c>
      <c r="M49">
        <v>2</v>
      </c>
      <c r="N49" t="str" cm="1">
        <f t="array" ref="N49">_xlfn.IFS(M49=1,"Low",M49=2,"Medium",M49=3,"High",M49=4,"Very High")</f>
        <v>Medium</v>
      </c>
      <c r="O49" t="s">
        <v>42</v>
      </c>
      <c r="P49" s="2">
        <v>73</v>
      </c>
      <c r="Q49">
        <v>3</v>
      </c>
      <c r="R49" t="str" cm="1">
        <f t="array" ref="R49">_xlfn.IFS(Q49=1,"Low",Q49=2,"Medium",Q49=3,"High",Q49=4,"Very High")</f>
        <v>High</v>
      </c>
      <c r="S49">
        <v>1</v>
      </c>
      <c r="T49" t="str" cm="1">
        <f t="array" ref="T49">_xlfn.IFS(S49=1,"Entry Level",S49=2,"Junior",S49=3,"Mid-Level",S49=4,"Senior",S49=5,"Executive")</f>
        <v>Entry Level</v>
      </c>
      <c r="U49" t="s">
        <v>43</v>
      </c>
      <c r="V49">
        <v>2</v>
      </c>
      <c r="W49" t="str" cm="1">
        <f t="array" ref="W49">_xlfn.IFS(V49=1,"Low",V49=2,"Medium",V49=3,"High",V49=4,"Very High")</f>
        <v>Medium</v>
      </c>
      <c r="X49" t="s">
        <v>44</v>
      </c>
      <c r="Y49" s="2">
        <v>3022</v>
      </c>
      <c r="Z49" s="2">
        <v>10227</v>
      </c>
      <c r="AA49">
        <v>4</v>
      </c>
      <c r="AB49" t="s">
        <v>39</v>
      </c>
      <c r="AC49">
        <v>21</v>
      </c>
      <c r="AD49">
        <v>4</v>
      </c>
      <c r="AE49" t="str" cm="1">
        <f t="array" ref="AE49">_xlfn.IFS(AD49=1,"Low",AD49=2,"Good",AD49=3,"Excellent",AD49=4,"Outstanding")</f>
        <v>Outstanding</v>
      </c>
      <c r="AF49">
        <v>1</v>
      </c>
      <c r="AG49" t="str" cm="1">
        <f t="array" ref="AG49">_xlfn.IFS(AF49=1,"Low",AF49=2,"Medium",AF49=3,"High",AF49=4,"Very High")</f>
        <v>Low</v>
      </c>
      <c r="AH49">
        <v>0</v>
      </c>
      <c r="AI49">
        <v>8</v>
      </c>
      <c r="AJ49">
        <v>1</v>
      </c>
      <c r="AK49">
        <v>3</v>
      </c>
      <c r="AL49" t="str" cm="1">
        <f t="array" ref="AL49">_xlfn.IFS(AK49=1,"Low",AK49=2,"Medium",AK49=3,"High",AK49=4,"Very High")</f>
        <v>High</v>
      </c>
      <c r="AM49">
        <v>1</v>
      </c>
      <c r="AN49">
        <v>0</v>
      </c>
      <c r="AO49">
        <v>0</v>
      </c>
      <c r="AP49">
        <v>0</v>
      </c>
    </row>
    <row r="50" spans="1:42">
      <c r="A50">
        <v>46</v>
      </c>
      <c r="B50" t="str" cm="1">
        <f t="array" ref="B50">_xlfn.IFS(A50&lt;=25,"18-25",A50&lt;=35,"26-35",A50&lt;=45,"36-45",A50&lt;=55,"46-55",A50&gt;55,"56+")</f>
        <v>46-55</v>
      </c>
      <c r="C50" t="s">
        <v>39</v>
      </c>
      <c r="D50" t="s">
        <v>40</v>
      </c>
      <c r="E50" s="2">
        <v>1211</v>
      </c>
      <c r="F50" t="s">
        <v>34</v>
      </c>
      <c r="G50">
        <v>5</v>
      </c>
      <c r="H50" t="str">
        <f t="shared" si="0"/>
        <v>1-10 km</v>
      </c>
      <c r="I50">
        <v>4</v>
      </c>
      <c r="J50" t="str" cm="1">
        <f t="array" ref="J50">_xlfn.IFS(I50=1,"Below College",I50=2,"College",I50=3,"Bachelor",I50=4,"Master",I50=5,"Doctor")</f>
        <v>Master</v>
      </c>
      <c r="K50" t="s">
        <v>55</v>
      </c>
      <c r="L50">
        <v>62</v>
      </c>
      <c r="M50">
        <v>1</v>
      </c>
      <c r="N50" t="str" cm="1">
        <f t="array" ref="N50">_xlfn.IFS(M50=1,"Low",M50=2,"Medium",M50=3,"High",M50=4,"Very High")</f>
        <v>Low</v>
      </c>
      <c r="O50" t="s">
        <v>42</v>
      </c>
      <c r="P50" s="2">
        <v>98</v>
      </c>
      <c r="Q50">
        <v>3</v>
      </c>
      <c r="R50" t="str" cm="1">
        <f t="array" ref="R50">_xlfn.IFS(Q50=1,"Low",Q50=2,"Medium",Q50=3,"High",Q50=4,"Very High")</f>
        <v>High</v>
      </c>
      <c r="S50">
        <v>2</v>
      </c>
      <c r="T50" t="str" cm="1">
        <f t="array" ref="T50">_xlfn.IFS(S50=1,"Entry Level",S50=2,"Junior",S50=3,"Mid-Level",S50=4,"Senior",S50=5,"Executive")</f>
        <v>Junior</v>
      </c>
      <c r="U50" t="s">
        <v>37</v>
      </c>
      <c r="V50">
        <v>4</v>
      </c>
      <c r="W50" t="str" cm="1">
        <f t="array" ref="W50">_xlfn.IFS(V50=1,"Low",V50=2,"Medium",V50=3,"High",V50=4,"Very High")</f>
        <v>Very High</v>
      </c>
      <c r="X50" t="s">
        <v>38</v>
      </c>
      <c r="Y50" s="2">
        <v>5772</v>
      </c>
      <c r="Z50" s="2">
        <v>20445</v>
      </c>
      <c r="AA50">
        <v>4</v>
      </c>
      <c r="AB50" t="s">
        <v>32</v>
      </c>
      <c r="AC50">
        <v>21</v>
      </c>
      <c r="AD50">
        <v>4</v>
      </c>
      <c r="AE50" t="str" cm="1">
        <f t="array" ref="AE50">_xlfn.IFS(AD50=1,"Low",AD50=2,"Good",AD50=3,"Excellent",AD50=4,"Outstanding")</f>
        <v>Outstanding</v>
      </c>
      <c r="AF50">
        <v>3</v>
      </c>
      <c r="AG50" t="str" cm="1">
        <f t="array" ref="AG50">_xlfn.IFS(AF50=1,"Low",AF50=2,"Medium",AF50=3,"High",AF50=4,"Very High")</f>
        <v>High</v>
      </c>
      <c r="AH50">
        <v>0</v>
      </c>
      <c r="AI50">
        <v>14</v>
      </c>
      <c r="AJ50">
        <v>4</v>
      </c>
      <c r="AK50">
        <v>3</v>
      </c>
      <c r="AL50" t="str" cm="1">
        <f t="array" ref="AL50">_xlfn.IFS(AK50=1,"Low",AK50=2,"Medium",AK50=3,"High",AK50=4,"Very High")</f>
        <v>High</v>
      </c>
      <c r="AM50">
        <v>9</v>
      </c>
      <c r="AN50">
        <v>6</v>
      </c>
      <c r="AO50">
        <v>0</v>
      </c>
      <c r="AP50">
        <v>8</v>
      </c>
    </row>
    <row r="51" spans="1:42">
      <c r="A51">
        <v>35</v>
      </c>
      <c r="B51" t="str" cm="1">
        <f t="array" ref="B51">_xlfn.IFS(A51&lt;=25,"18-25",A51&lt;=35,"26-35",A51&lt;=45,"36-45",A51&lt;=55,"46-55",A51&gt;55,"56+")</f>
        <v>26-35</v>
      </c>
      <c r="C51" t="s">
        <v>39</v>
      </c>
      <c r="D51" t="s">
        <v>33</v>
      </c>
      <c r="E51" s="2">
        <v>1229</v>
      </c>
      <c r="F51" t="s">
        <v>41</v>
      </c>
      <c r="G51">
        <v>8</v>
      </c>
      <c r="H51" t="str">
        <f t="shared" si="0"/>
        <v>1-10 km</v>
      </c>
      <c r="I51">
        <v>1</v>
      </c>
      <c r="J51" t="str" cm="1">
        <f t="array" ref="J51">_xlfn.IFS(I51=1,"Below College",I51=2,"College",I51=3,"Bachelor",I51=4,"Master",I51=5,"Doctor")</f>
        <v>Below College</v>
      </c>
      <c r="K51" t="s">
        <v>35</v>
      </c>
      <c r="L51">
        <v>63</v>
      </c>
      <c r="M51">
        <v>4</v>
      </c>
      <c r="N51" t="str" cm="1">
        <f t="array" ref="N51">_xlfn.IFS(M51=1,"Low",M51=2,"Medium",M51=3,"High",M51=4,"Very High")</f>
        <v>Very High</v>
      </c>
      <c r="O51" t="s">
        <v>42</v>
      </c>
      <c r="P51" s="2">
        <v>36</v>
      </c>
      <c r="Q51">
        <v>4</v>
      </c>
      <c r="R51" t="str" cm="1">
        <f t="array" ref="R51">_xlfn.IFS(Q51=1,"Low",Q51=2,"Medium",Q51=3,"High",Q51=4,"Very High")</f>
        <v>Very High</v>
      </c>
      <c r="S51">
        <v>1</v>
      </c>
      <c r="T51" t="str" cm="1">
        <f t="array" ref="T51">_xlfn.IFS(S51=1,"Entry Level",S51=2,"Junior",S51=3,"Mid-Level",S51=4,"Senior",S51=5,"Executive")</f>
        <v>Entry Level</v>
      </c>
      <c r="U51" t="s">
        <v>46</v>
      </c>
      <c r="V51">
        <v>4</v>
      </c>
      <c r="W51" t="str" cm="1">
        <f t="array" ref="W51">_xlfn.IFS(V51=1,"Low",V51=2,"Medium",V51=3,"High",V51=4,"Very High")</f>
        <v>Very High</v>
      </c>
      <c r="X51" t="s">
        <v>44</v>
      </c>
      <c r="Y51" s="2">
        <v>2269</v>
      </c>
      <c r="Z51" s="2">
        <v>4892</v>
      </c>
      <c r="AA51">
        <v>1</v>
      </c>
      <c r="AB51" t="s">
        <v>39</v>
      </c>
      <c r="AC51">
        <v>19</v>
      </c>
      <c r="AD51">
        <v>3</v>
      </c>
      <c r="AE51" t="str" cm="1">
        <f t="array" ref="AE51">_xlfn.IFS(AD51=1,"Low",AD51=2,"Good",AD51=3,"Excellent",AD51=4,"Outstanding")</f>
        <v>Excellent</v>
      </c>
      <c r="AF51">
        <v>4</v>
      </c>
      <c r="AG51" t="str" cm="1">
        <f t="array" ref="AG51">_xlfn.IFS(AF51=1,"Low",AF51=2,"Medium",AF51=3,"High",AF51=4,"Very High")</f>
        <v>Very High</v>
      </c>
      <c r="AH51">
        <v>0</v>
      </c>
      <c r="AI51">
        <v>1</v>
      </c>
      <c r="AJ51">
        <v>2</v>
      </c>
      <c r="AK51">
        <v>3</v>
      </c>
      <c r="AL51" t="str" cm="1">
        <f t="array" ref="AL51">_xlfn.IFS(AK51=1,"Low",AK51=2,"Medium",AK51=3,"High",AK51=4,"Very High")</f>
        <v>High</v>
      </c>
      <c r="AM51">
        <v>1</v>
      </c>
      <c r="AN51">
        <v>0</v>
      </c>
      <c r="AO51">
        <v>0</v>
      </c>
      <c r="AP51">
        <v>1</v>
      </c>
    </row>
    <row r="52" spans="1:42">
      <c r="A52">
        <v>48</v>
      </c>
      <c r="B52" t="str" cm="1">
        <f t="array" ref="B52">_xlfn.IFS(A52&lt;=25,"18-25",A52&lt;=35,"26-35",A52&lt;=45,"36-45",A52&lt;=55,"46-55",A52&gt;55,"56+")</f>
        <v>46-55</v>
      </c>
      <c r="C52" t="s">
        <v>32</v>
      </c>
      <c r="D52" t="s">
        <v>33</v>
      </c>
      <c r="E52" s="2">
        <v>626</v>
      </c>
      <c r="F52" t="s">
        <v>41</v>
      </c>
      <c r="G52">
        <v>1</v>
      </c>
      <c r="H52" t="str">
        <f t="shared" si="0"/>
        <v>1-10 km</v>
      </c>
      <c r="I52">
        <v>2</v>
      </c>
      <c r="J52" t="str" cm="1">
        <f t="array" ref="J52">_xlfn.IFS(I52=1,"Below College",I52=2,"College",I52=3,"Bachelor",I52=4,"Master",I52=5,"Doctor")</f>
        <v>College</v>
      </c>
      <c r="K52" t="s">
        <v>35</v>
      </c>
      <c r="L52">
        <v>64</v>
      </c>
      <c r="M52">
        <v>1</v>
      </c>
      <c r="N52" t="str" cm="1">
        <f t="array" ref="N52">_xlfn.IFS(M52=1,"Low",M52=2,"Medium",M52=3,"High",M52=4,"Very High")</f>
        <v>Low</v>
      </c>
      <c r="O52" t="s">
        <v>42</v>
      </c>
      <c r="P52" s="2">
        <v>98</v>
      </c>
      <c r="Q52">
        <v>2</v>
      </c>
      <c r="R52" t="str" cm="1">
        <f t="array" ref="R52">_xlfn.IFS(Q52=1,"Low",Q52=2,"Medium",Q52=3,"High",Q52=4,"Very High")</f>
        <v>Medium</v>
      </c>
      <c r="S52">
        <v>3</v>
      </c>
      <c r="T52" t="str" cm="1">
        <f t="array" ref="T52">_xlfn.IFS(S52=1,"Entry Level",S52=2,"Junior",S52=3,"Mid-Level",S52=4,"Senior",S52=5,"Executive")</f>
        <v>Mid-Level</v>
      </c>
      <c r="U52" t="s">
        <v>46</v>
      </c>
      <c r="V52">
        <v>3</v>
      </c>
      <c r="W52" t="str" cm="1">
        <f t="array" ref="W52">_xlfn.IFS(V52=1,"Low",V52=2,"Medium",V52=3,"High",V52=4,"Very High")</f>
        <v>High</v>
      </c>
      <c r="X52" t="s">
        <v>38</v>
      </c>
      <c r="Y52" s="2">
        <v>5381</v>
      </c>
      <c r="Z52" s="2">
        <v>19294</v>
      </c>
      <c r="AA52">
        <v>9</v>
      </c>
      <c r="AB52" t="s">
        <v>32</v>
      </c>
      <c r="AC52">
        <v>13</v>
      </c>
      <c r="AD52">
        <v>3</v>
      </c>
      <c r="AE52" t="str" cm="1">
        <f t="array" ref="AE52">_xlfn.IFS(AD52=1,"Low",AD52=2,"Good",AD52=3,"Excellent",AD52=4,"Outstanding")</f>
        <v>Excellent</v>
      </c>
      <c r="AF52">
        <v>4</v>
      </c>
      <c r="AG52" t="str" cm="1">
        <f t="array" ref="AG52">_xlfn.IFS(AF52=1,"Low",AF52=2,"Medium",AF52=3,"High",AF52=4,"Very High")</f>
        <v>Very High</v>
      </c>
      <c r="AH52">
        <v>0</v>
      </c>
      <c r="AI52">
        <v>23</v>
      </c>
      <c r="AJ52">
        <v>2</v>
      </c>
      <c r="AK52">
        <v>3</v>
      </c>
      <c r="AL52" t="str" cm="1">
        <f t="array" ref="AL52">_xlfn.IFS(AK52=1,"Low",AK52=2,"Medium",AK52=3,"High",AK52=4,"Very High")</f>
        <v>High</v>
      </c>
      <c r="AM52">
        <v>1</v>
      </c>
      <c r="AN52">
        <v>0</v>
      </c>
      <c r="AO52">
        <v>0</v>
      </c>
      <c r="AP52">
        <v>0</v>
      </c>
    </row>
    <row r="53" spans="1:42">
      <c r="A53">
        <v>28</v>
      </c>
      <c r="B53" t="str" cm="1">
        <f t="array" ref="B53">_xlfn.IFS(A53&lt;=25,"18-25",A53&lt;=35,"26-35",A53&lt;=45,"36-45",A53&lt;=55,"46-55",A53&gt;55,"56+")</f>
        <v>26-35</v>
      </c>
      <c r="C53" t="s">
        <v>32</v>
      </c>
      <c r="D53" t="s">
        <v>33</v>
      </c>
      <c r="E53" s="2">
        <v>1434</v>
      </c>
      <c r="F53" t="s">
        <v>41</v>
      </c>
      <c r="G53">
        <v>5</v>
      </c>
      <c r="H53" t="str">
        <f t="shared" si="0"/>
        <v>1-10 km</v>
      </c>
      <c r="I53">
        <v>4</v>
      </c>
      <c r="J53" t="str" cm="1">
        <f t="array" ref="J53">_xlfn.IFS(I53=1,"Below College",I53=2,"College",I53=3,"Bachelor",I53=4,"Master",I53=5,"Doctor")</f>
        <v>Master</v>
      </c>
      <c r="K53" t="s">
        <v>56</v>
      </c>
      <c r="L53">
        <v>65</v>
      </c>
      <c r="M53">
        <v>3</v>
      </c>
      <c r="N53" t="str" cm="1">
        <f t="array" ref="N53">_xlfn.IFS(M53=1,"Low",M53=2,"Medium",M53=3,"High",M53=4,"Very High")</f>
        <v>High</v>
      </c>
      <c r="O53" t="s">
        <v>42</v>
      </c>
      <c r="P53" s="2">
        <v>50</v>
      </c>
      <c r="Q53">
        <v>3</v>
      </c>
      <c r="R53" t="str" cm="1">
        <f t="array" ref="R53">_xlfn.IFS(Q53=1,"Low",Q53=2,"Medium",Q53=3,"High",Q53=4,"Very High")</f>
        <v>High</v>
      </c>
      <c r="S53">
        <v>1</v>
      </c>
      <c r="T53" t="str" cm="1">
        <f t="array" ref="T53">_xlfn.IFS(S53=1,"Entry Level",S53=2,"Junior",S53=3,"Mid-Level",S53=4,"Senior",S53=5,"Executive")</f>
        <v>Entry Level</v>
      </c>
      <c r="U53" t="s">
        <v>46</v>
      </c>
      <c r="V53">
        <v>3</v>
      </c>
      <c r="W53" t="str" cm="1">
        <f t="array" ref="W53">_xlfn.IFS(V53=1,"Low",V53=2,"Medium",V53=3,"High",V53=4,"Very High")</f>
        <v>High</v>
      </c>
      <c r="X53" t="s">
        <v>38</v>
      </c>
      <c r="Y53" s="2">
        <v>3441</v>
      </c>
      <c r="Z53" s="2">
        <v>11179</v>
      </c>
      <c r="AA53">
        <v>1</v>
      </c>
      <c r="AB53" t="s">
        <v>32</v>
      </c>
      <c r="AC53">
        <v>13</v>
      </c>
      <c r="AD53">
        <v>3</v>
      </c>
      <c r="AE53" t="str" cm="1">
        <f t="array" ref="AE53">_xlfn.IFS(AD53=1,"Low",AD53=2,"Good",AD53=3,"Excellent",AD53=4,"Outstanding")</f>
        <v>Excellent</v>
      </c>
      <c r="AF53">
        <v>3</v>
      </c>
      <c r="AG53" t="str" cm="1">
        <f t="array" ref="AG53">_xlfn.IFS(AF53=1,"Low",AF53=2,"Medium",AF53=3,"High",AF53=4,"Very High")</f>
        <v>High</v>
      </c>
      <c r="AH53">
        <v>0</v>
      </c>
      <c r="AI53">
        <v>2</v>
      </c>
      <c r="AJ53">
        <v>3</v>
      </c>
      <c r="AK53">
        <v>2</v>
      </c>
      <c r="AL53" t="str" cm="1">
        <f t="array" ref="AL53">_xlfn.IFS(AK53=1,"Low",AK53=2,"Medium",AK53=3,"High",AK53=4,"Very High")</f>
        <v>Medium</v>
      </c>
      <c r="AM53">
        <v>2</v>
      </c>
      <c r="AN53">
        <v>2</v>
      </c>
      <c r="AO53">
        <v>2</v>
      </c>
      <c r="AP53">
        <v>2</v>
      </c>
    </row>
    <row r="54" spans="1:42">
      <c r="A54">
        <v>44</v>
      </c>
      <c r="B54" t="str" cm="1">
        <f t="array" ref="B54">_xlfn.IFS(A54&lt;=25,"18-25",A54&lt;=35,"26-35",A54&lt;=45,"36-45",A54&lt;=55,"46-55",A54&gt;55,"56+")</f>
        <v>36-45</v>
      </c>
      <c r="C54" t="s">
        <v>39</v>
      </c>
      <c r="D54" t="s">
        <v>33</v>
      </c>
      <c r="E54" s="2">
        <v>1488</v>
      </c>
      <c r="F54" t="s">
        <v>34</v>
      </c>
      <c r="G54">
        <v>1</v>
      </c>
      <c r="H54" t="str">
        <f t="shared" si="0"/>
        <v>1-10 km</v>
      </c>
      <c r="I54">
        <v>5</v>
      </c>
      <c r="J54" t="str" cm="1">
        <f t="array" ref="J54">_xlfn.IFS(I54=1,"Below College",I54=2,"College",I54=3,"Bachelor",I54=4,"Master",I54=5,"Doctor")</f>
        <v>Doctor</v>
      </c>
      <c r="K54" t="s">
        <v>55</v>
      </c>
      <c r="L54">
        <v>68</v>
      </c>
      <c r="M54">
        <v>2</v>
      </c>
      <c r="N54" t="str" cm="1">
        <f t="array" ref="N54">_xlfn.IFS(M54=1,"Low",M54=2,"Medium",M54=3,"High",M54=4,"Very High")</f>
        <v>Medium</v>
      </c>
      <c r="O54" t="s">
        <v>36</v>
      </c>
      <c r="P54" s="2">
        <v>75</v>
      </c>
      <c r="Q54">
        <v>3</v>
      </c>
      <c r="R54" t="str" cm="1">
        <f t="array" ref="R54">_xlfn.IFS(Q54=1,"Low",Q54=2,"Medium",Q54=3,"High",Q54=4,"Very High")</f>
        <v>High</v>
      </c>
      <c r="S54">
        <v>2</v>
      </c>
      <c r="T54" t="str" cm="1">
        <f t="array" ref="T54">_xlfn.IFS(S54=1,"Entry Level",S54=2,"Junior",S54=3,"Mid-Level",S54=4,"Senior",S54=5,"Executive")</f>
        <v>Junior</v>
      </c>
      <c r="U54" t="s">
        <v>37</v>
      </c>
      <c r="V54">
        <v>1</v>
      </c>
      <c r="W54" t="str" cm="1">
        <f t="array" ref="W54">_xlfn.IFS(V54=1,"Low",V54=2,"Medium",V54=3,"High",V54=4,"Very High")</f>
        <v>Low</v>
      </c>
      <c r="X54" t="s">
        <v>48</v>
      </c>
      <c r="Y54" s="2">
        <v>5454</v>
      </c>
      <c r="Z54" s="2">
        <v>4009</v>
      </c>
      <c r="AA54">
        <v>5</v>
      </c>
      <c r="AB54" t="s">
        <v>32</v>
      </c>
      <c r="AC54">
        <v>21</v>
      </c>
      <c r="AD54">
        <v>4</v>
      </c>
      <c r="AE54" t="str" cm="1">
        <f t="array" ref="AE54">_xlfn.IFS(AD54=1,"Low",AD54=2,"Good",AD54=3,"Excellent",AD54=4,"Outstanding")</f>
        <v>Outstanding</v>
      </c>
      <c r="AF54">
        <v>3</v>
      </c>
      <c r="AG54" t="str" cm="1">
        <f t="array" ref="AG54">_xlfn.IFS(AF54=1,"Low",AF54=2,"Medium",AF54=3,"High",AF54=4,"Very High")</f>
        <v>High</v>
      </c>
      <c r="AH54">
        <v>1</v>
      </c>
      <c r="AI54">
        <v>9</v>
      </c>
      <c r="AJ54">
        <v>2</v>
      </c>
      <c r="AK54">
        <v>2</v>
      </c>
      <c r="AL54" t="str" cm="1">
        <f t="array" ref="AL54">_xlfn.IFS(AK54=1,"Low",AK54=2,"Medium",AK54=3,"High",AK54=4,"Very High")</f>
        <v>Medium</v>
      </c>
      <c r="AM54">
        <v>4</v>
      </c>
      <c r="AN54">
        <v>3</v>
      </c>
      <c r="AO54">
        <v>1</v>
      </c>
      <c r="AP54">
        <v>3</v>
      </c>
    </row>
    <row r="55" spans="1:42">
      <c r="A55">
        <v>35</v>
      </c>
      <c r="B55" t="str" cm="1">
        <f t="array" ref="B55">_xlfn.IFS(A55&lt;=25,"18-25",A55&lt;=35,"26-35",A55&lt;=45,"36-45",A55&lt;=55,"46-55",A55&gt;55,"56+")</f>
        <v>26-35</v>
      </c>
      <c r="C55" t="s">
        <v>39</v>
      </c>
      <c r="D55" t="s">
        <v>51</v>
      </c>
      <c r="E55" s="2">
        <v>1097</v>
      </c>
      <c r="F55" t="s">
        <v>41</v>
      </c>
      <c r="G55">
        <v>11</v>
      </c>
      <c r="H55" t="str">
        <f t="shared" si="0"/>
        <v>11-20 km</v>
      </c>
      <c r="I55">
        <v>2</v>
      </c>
      <c r="J55" t="str" cm="1">
        <f t="array" ref="J55">_xlfn.IFS(I55=1,"Below College",I55=2,"College",I55=3,"Bachelor",I55=4,"Master",I55=5,"Doctor")</f>
        <v>College</v>
      </c>
      <c r="K55" t="s">
        <v>47</v>
      </c>
      <c r="L55">
        <v>70</v>
      </c>
      <c r="M55">
        <v>3</v>
      </c>
      <c r="N55" t="str" cm="1">
        <f t="array" ref="N55">_xlfn.IFS(M55=1,"Low",M55=2,"Medium",M55=3,"High",M55=4,"Very High")</f>
        <v>High</v>
      </c>
      <c r="O55" t="s">
        <v>42</v>
      </c>
      <c r="P55" s="2">
        <v>79</v>
      </c>
      <c r="Q55">
        <v>2</v>
      </c>
      <c r="R55" t="str" cm="1">
        <f t="array" ref="R55">_xlfn.IFS(Q55=1,"Low",Q55=2,"Medium",Q55=3,"High",Q55=4,"Very High")</f>
        <v>Medium</v>
      </c>
      <c r="S55">
        <v>3</v>
      </c>
      <c r="T55" t="str" cm="1">
        <f t="array" ref="T55">_xlfn.IFS(S55=1,"Entry Level",S55=2,"Junior",S55=3,"Mid-Level",S55=4,"Senior",S55=5,"Executive")</f>
        <v>Mid-Level</v>
      </c>
      <c r="U55" t="s">
        <v>50</v>
      </c>
      <c r="V55">
        <v>1</v>
      </c>
      <c r="W55" t="str" cm="1">
        <f t="array" ref="W55">_xlfn.IFS(V55=1,"Low",V55=2,"Medium",V55=3,"High",V55=4,"Very High")</f>
        <v>Low</v>
      </c>
      <c r="X55" t="s">
        <v>44</v>
      </c>
      <c r="Y55" s="2">
        <v>9884</v>
      </c>
      <c r="Z55" s="2">
        <v>8302</v>
      </c>
      <c r="AA55">
        <v>2</v>
      </c>
      <c r="AB55" t="s">
        <v>32</v>
      </c>
      <c r="AC55">
        <v>13</v>
      </c>
      <c r="AD55">
        <v>3</v>
      </c>
      <c r="AE55" t="str" cm="1">
        <f t="array" ref="AE55">_xlfn.IFS(AD55=1,"Low",AD55=2,"Good",AD55=3,"Excellent",AD55=4,"Outstanding")</f>
        <v>Excellent</v>
      </c>
      <c r="AF55">
        <v>3</v>
      </c>
      <c r="AG55" t="str" cm="1">
        <f t="array" ref="AG55">_xlfn.IFS(AF55=1,"Low",AF55=2,"Medium",AF55=3,"High",AF55=4,"Very High")</f>
        <v>High</v>
      </c>
      <c r="AH55">
        <v>1</v>
      </c>
      <c r="AI55">
        <v>10</v>
      </c>
      <c r="AJ55">
        <v>3</v>
      </c>
      <c r="AK55">
        <v>3</v>
      </c>
      <c r="AL55" t="str" cm="1">
        <f t="array" ref="AL55">_xlfn.IFS(AK55=1,"Low",AK55=2,"Medium",AK55=3,"High",AK55=4,"Very High")</f>
        <v>High</v>
      </c>
      <c r="AM55">
        <v>4</v>
      </c>
      <c r="AN55">
        <v>0</v>
      </c>
      <c r="AO55">
        <v>2</v>
      </c>
      <c r="AP55">
        <v>3</v>
      </c>
    </row>
    <row r="56" spans="1:42">
      <c r="A56">
        <v>26</v>
      </c>
      <c r="B56" t="str" cm="1">
        <f t="array" ref="B56">_xlfn.IFS(A56&lt;=25,"18-25",A56&lt;=35,"26-35",A56&lt;=45,"36-45",A56&lt;=55,"46-55",A56&gt;55,"56+")</f>
        <v>26-35</v>
      </c>
      <c r="C56" t="s">
        <v>39</v>
      </c>
      <c r="D56" t="s">
        <v>33</v>
      </c>
      <c r="E56" s="2">
        <v>1443</v>
      </c>
      <c r="F56" t="s">
        <v>34</v>
      </c>
      <c r="G56">
        <v>23</v>
      </c>
      <c r="H56" t="str">
        <f t="shared" si="0"/>
        <v>21-30 km</v>
      </c>
      <c r="I56">
        <v>3</v>
      </c>
      <c r="J56" t="str" cm="1">
        <f t="array" ref="J56">_xlfn.IFS(I56=1,"Below College",I56=2,"College",I56=3,"Bachelor",I56=4,"Master",I56=5,"Doctor")</f>
        <v>Bachelor</v>
      </c>
      <c r="K56" t="s">
        <v>55</v>
      </c>
      <c r="L56">
        <v>72</v>
      </c>
      <c r="M56">
        <v>3</v>
      </c>
      <c r="N56" t="str" cm="1">
        <f t="array" ref="N56">_xlfn.IFS(M56=1,"Low",M56=2,"Medium",M56=3,"High",M56=4,"Very High")</f>
        <v>High</v>
      </c>
      <c r="O56" t="s">
        <v>36</v>
      </c>
      <c r="P56" s="2">
        <v>47</v>
      </c>
      <c r="Q56">
        <v>2</v>
      </c>
      <c r="R56" t="str" cm="1">
        <f t="array" ref="R56">_xlfn.IFS(Q56=1,"Low",Q56=2,"Medium",Q56=3,"High",Q56=4,"Very High")</f>
        <v>Medium</v>
      </c>
      <c r="S56">
        <v>2</v>
      </c>
      <c r="T56" t="str" cm="1">
        <f t="array" ref="T56">_xlfn.IFS(S56=1,"Entry Level",S56=2,"Junior",S56=3,"Mid-Level",S56=4,"Senior",S56=5,"Executive")</f>
        <v>Junior</v>
      </c>
      <c r="U56" t="s">
        <v>37</v>
      </c>
      <c r="V56">
        <v>4</v>
      </c>
      <c r="W56" t="str" cm="1">
        <f t="array" ref="W56">_xlfn.IFS(V56=1,"Low",V56=2,"Medium",V56=3,"High",V56=4,"Very High")</f>
        <v>Very High</v>
      </c>
      <c r="X56" t="s">
        <v>44</v>
      </c>
      <c r="Y56" s="2">
        <v>4157</v>
      </c>
      <c r="Z56" s="2">
        <v>21436</v>
      </c>
      <c r="AA56">
        <v>7</v>
      </c>
      <c r="AB56" t="s">
        <v>32</v>
      </c>
      <c r="AC56">
        <v>19</v>
      </c>
      <c r="AD56">
        <v>3</v>
      </c>
      <c r="AE56" t="str" cm="1">
        <f t="array" ref="AE56">_xlfn.IFS(AD56=1,"Low",AD56=2,"Good",AD56=3,"Excellent",AD56=4,"Outstanding")</f>
        <v>Excellent</v>
      </c>
      <c r="AF56">
        <v>3</v>
      </c>
      <c r="AG56" t="str" cm="1">
        <f t="array" ref="AG56">_xlfn.IFS(AF56=1,"Low",AF56=2,"Medium",AF56=3,"High",AF56=4,"Very High")</f>
        <v>High</v>
      </c>
      <c r="AH56">
        <v>1</v>
      </c>
      <c r="AI56">
        <v>5</v>
      </c>
      <c r="AJ56">
        <v>2</v>
      </c>
      <c r="AK56">
        <v>2</v>
      </c>
      <c r="AL56" t="str" cm="1">
        <f t="array" ref="AL56">_xlfn.IFS(AK56=1,"Low",AK56=2,"Medium",AK56=3,"High",AK56=4,"Very High")</f>
        <v>Medium</v>
      </c>
      <c r="AM56">
        <v>2</v>
      </c>
      <c r="AN56">
        <v>2</v>
      </c>
      <c r="AO56">
        <v>0</v>
      </c>
      <c r="AP56">
        <v>0</v>
      </c>
    </row>
    <row r="57" spans="1:42">
      <c r="A57">
        <v>33</v>
      </c>
      <c r="B57" t="str" cm="1">
        <f t="array" ref="B57">_xlfn.IFS(A57&lt;=25,"18-25",A57&lt;=35,"26-35",A57&lt;=45,"36-45",A57&lt;=55,"46-55",A57&gt;55,"56+")</f>
        <v>26-35</v>
      </c>
      <c r="C57" t="s">
        <v>39</v>
      </c>
      <c r="D57" t="s">
        <v>40</v>
      </c>
      <c r="E57" s="2">
        <v>515</v>
      </c>
      <c r="F57" t="s">
        <v>41</v>
      </c>
      <c r="G57">
        <v>1</v>
      </c>
      <c r="H57" t="str">
        <f t="shared" si="0"/>
        <v>1-10 km</v>
      </c>
      <c r="I57">
        <v>2</v>
      </c>
      <c r="J57" t="str" cm="1">
        <f t="array" ref="J57">_xlfn.IFS(I57=1,"Below College",I57=2,"College",I57=3,"Bachelor",I57=4,"Master",I57=5,"Doctor")</f>
        <v>College</v>
      </c>
      <c r="K57" t="s">
        <v>35</v>
      </c>
      <c r="L57">
        <v>73</v>
      </c>
      <c r="M57">
        <v>1</v>
      </c>
      <c r="N57" t="str" cm="1">
        <f t="array" ref="N57">_xlfn.IFS(M57=1,"Low",M57=2,"Medium",M57=3,"High",M57=4,"Very High")</f>
        <v>Low</v>
      </c>
      <c r="O57" t="s">
        <v>36</v>
      </c>
      <c r="P57" s="2">
        <v>98</v>
      </c>
      <c r="Q57">
        <v>3</v>
      </c>
      <c r="R57" t="str" cm="1">
        <f t="array" ref="R57">_xlfn.IFS(Q57=1,"Low",Q57=2,"Medium",Q57=3,"High",Q57=4,"Very High")</f>
        <v>High</v>
      </c>
      <c r="S57">
        <v>3</v>
      </c>
      <c r="T57" t="str" cm="1">
        <f t="array" ref="T57">_xlfn.IFS(S57=1,"Entry Level",S57=2,"Junior",S57=3,"Mid-Level",S57=4,"Senior",S57=5,"Executive")</f>
        <v>Mid-Level</v>
      </c>
      <c r="U57" t="s">
        <v>54</v>
      </c>
      <c r="V57">
        <v>4</v>
      </c>
      <c r="W57" t="str" cm="1">
        <f t="array" ref="W57">_xlfn.IFS(V57=1,"Low",V57=2,"Medium",V57=3,"High",V57=4,"Very High")</f>
        <v>Very High</v>
      </c>
      <c r="X57" t="s">
        <v>38</v>
      </c>
      <c r="Y57" s="2">
        <v>13458</v>
      </c>
      <c r="Z57" s="2">
        <v>15146</v>
      </c>
      <c r="AA57">
        <v>1</v>
      </c>
      <c r="AB57" t="s">
        <v>32</v>
      </c>
      <c r="AC57">
        <v>12</v>
      </c>
      <c r="AD57">
        <v>3</v>
      </c>
      <c r="AE57" t="str" cm="1">
        <f t="array" ref="AE57">_xlfn.IFS(AD57=1,"Low",AD57=2,"Good",AD57=3,"Excellent",AD57=4,"Outstanding")</f>
        <v>Excellent</v>
      </c>
      <c r="AF57">
        <v>3</v>
      </c>
      <c r="AG57" t="str" cm="1">
        <f t="array" ref="AG57">_xlfn.IFS(AF57=1,"Low",AF57=2,"Medium",AF57=3,"High",AF57=4,"Very High")</f>
        <v>High</v>
      </c>
      <c r="AH57">
        <v>0</v>
      </c>
      <c r="AI57">
        <v>15</v>
      </c>
      <c r="AJ57">
        <v>1</v>
      </c>
      <c r="AK57">
        <v>3</v>
      </c>
      <c r="AL57" t="str" cm="1">
        <f t="array" ref="AL57">_xlfn.IFS(AK57=1,"Low",AK57=2,"Medium",AK57=3,"High",AK57=4,"Very High")</f>
        <v>High</v>
      </c>
      <c r="AM57">
        <v>15</v>
      </c>
      <c r="AN57">
        <v>14</v>
      </c>
      <c r="AO57">
        <v>8</v>
      </c>
      <c r="AP57">
        <v>12</v>
      </c>
    </row>
    <row r="58" spans="1:42">
      <c r="A58">
        <v>35</v>
      </c>
      <c r="B58" t="str" cm="1">
        <f t="array" ref="B58">_xlfn.IFS(A58&lt;=25,"18-25",A58&lt;=35,"26-35",A58&lt;=45,"36-45",A58&lt;=55,"46-55",A58&gt;55,"56+")</f>
        <v>26-35</v>
      </c>
      <c r="C58" t="s">
        <v>39</v>
      </c>
      <c r="D58" t="s">
        <v>40</v>
      </c>
      <c r="E58" s="2">
        <v>853</v>
      </c>
      <c r="F58" t="s">
        <v>34</v>
      </c>
      <c r="G58">
        <v>18</v>
      </c>
      <c r="H58" t="str">
        <f t="shared" si="0"/>
        <v>11-20 km</v>
      </c>
      <c r="I58">
        <v>5</v>
      </c>
      <c r="J58" t="str" cm="1">
        <f t="array" ref="J58">_xlfn.IFS(I58=1,"Below College",I58=2,"College",I58=3,"Bachelor",I58=4,"Master",I58=5,"Doctor")</f>
        <v>Doctor</v>
      </c>
      <c r="K58" t="s">
        <v>35</v>
      </c>
      <c r="L58">
        <v>74</v>
      </c>
      <c r="M58">
        <v>2</v>
      </c>
      <c r="N58" t="str" cm="1">
        <f t="array" ref="N58">_xlfn.IFS(M58=1,"Low",M58=2,"Medium",M58=3,"High",M58=4,"Very High")</f>
        <v>Medium</v>
      </c>
      <c r="O58" t="s">
        <v>42</v>
      </c>
      <c r="P58" s="2">
        <v>71</v>
      </c>
      <c r="Q58">
        <v>3</v>
      </c>
      <c r="R58" t="str" cm="1">
        <f t="array" ref="R58">_xlfn.IFS(Q58=1,"Low",Q58=2,"Medium",Q58=3,"High",Q58=4,"Very High")</f>
        <v>High</v>
      </c>
      <c r="S58">
        <v>3</v>
      </c>
      <c r="T58" t="str" cm="1">
        <f t="array" ref="T58">_xlfn.IFS(S58=1,"Entry Level",S58=2,"Junior",S58=3,"Mid-Level",S58=4,"Senior",S58=5,"Executive")</f>
        <v>Mid-Level</v>
      </c>
      <c r="U58" t="s">
        <v>37</v>
      </c>
      <c r="V58">
        <v>1</v>
      </c>
      <c r="W58" t="str" cm="1">
        <f t="array" ref="W58">_xlfn.IFS(V58=1,"Low",V58=2,"Medium",V58=3,"High",V58=4,"Very High")</f>
        <v>Low</v>
      </c>
      <c r="X58" t="s">
        <v>44</v>
      </c>
      <c r="Y58" s="2">
        <v>9069</v>
      </c>
      <c r="Z58" s="2">
        <v>11031</v>
      </c>
      <c r="AA58">
        <v>1</v>
      </c>
      <c r="AB58" t="s">
        <v>39</v>
      </c>
      <c r="AC58">
        <v>22</v>
      </c>
      <c r="AD58">
        <v>4</v>
      </c>
      <c r="AE58" t="str" cm="1">
        <f t="array" ref="AE58">_xlfn.IFS(AD58=1,"Low",AD58=2,"Good",AD58=3,"Excellent",AD58=4,"Outstanding")</f>
        <v>Outstanding</v>
      </c>
      <c r="AF58">
        <v>4</v>
      </c>
      <c r="AG58" t="str" cm="1">
        <f t="array" ref="AG58">_xlfn.IFS(AF58=1,"Low",AF58=2,"Medium",AF58=3,"High",AF58=4,"Very High")</f>
        <v>Very High</v>
      </c>
      <c r="AH58">
        <v>1</v>
      </c>
      <c r="AI58">
        <v>9</v>
      </c>
      <c r="AJ58">
        <v>3</v>
      </c>
      <c r="AK58">
        <v>2</v>
      </c>
      <c r="AL58" t="str" cm="1">
        <f t="array" ref="AL58">_xlfn.IFS(AK58=1,"Low",AK58=2,"Medium",AK58=3,"High",AK58=4,"Very High")</f>
        <v>Medium</v>
      </c>
      <c r="AM58">
        <v>9</v>
      </c>
      <c r="AN58">
        <v>8</v>
      </c>
      <c r="AO58">
        <v>1</v>
      </c>
      <c r="AP58">
        <v>8</v>
      </c>
    </row>
    <row r="59" spans="1:42">
      <c r="A59">
        <v>35</v>
      </c>
      <c r="B59" t="str" cm="1">
        <f t="array" ref="B59">_xlfn.IFS(A59&lt;=25,"18-25",A59&lt;=35,"26-35",A59&lt;=45,"36-45",A59&lt;=55,"46-55",A59&gt;55,"56+")</f>
        <v>26-35</v>
      </c>
      <c r="C59" t="s">
        <v>39</v>
      </c>
      <c r="D59" t="s">
        <v>33</v>
      </c>
      <c r="E59" s="2">
        <v>1142</v>
      </c>
      <c r="F59" t="s">
        <v>41</v>
      </c>
      <c r="G59">
        <v>23</v>
      </c>
      <c r="H59" t="str">
        <f t="shared" si="0"/>
        <v>21-30 km</v>
      </c>
      <c r="I59">
        <v>4</v>
      </c>
      <c r="J59" t="str" cm="1">
        <f t="array" ref="J59">_xlfn.IFS(I59=1,"Below College",I59=2,"College",I59=3,"Bachelor",I59=4,"Master",I59=5,"Doctor")</f>
        <v>Master</v>
      </c>
      <c r="K59" t="s">
        <v>47</v>
      </c>
      <c r="L59">
        <v>75</v>
      </c>
      <c r="M59">
        <v>3</v>
      </c>
      <c r="N59" t="str" cm="1">
        <f t="array" ref="N59">_xlfn.IFS(M59=1,"Low",M59=2,"Medium",M59=3,"High",M59=4,"Very High")</f>
        <v>High</v>
      </c>
      <c r="O59" t="s">
        <v>36</v>
      </c>
      <c r="P59" s="2">
        <v>30</v>
      </c>
      <c r="Q59">
        <v>3</v>
      </c>
      <c r="R59" t="str" cm="1">
        <f t="array" ref="R59">_xlfn.IFS(Q59=1,"Low",Q59=2,"Medium",Q59=3,"High",Q59=4,"Very High")</f>
        <v>High</v>
      </c>
      <c r="S59">
        <v>1</v>
      </c>
      <c r="T59" t="str" cm="1">
        <f t="array" ref="T59">_xlfn.IFS(S59=1,"Entry Level",S59=2,"Junior",S59=3,"Mid-Level",S59=4,"Senior",S59=5,"Executive")</f>
        <v>Entry Level</v>
      </c>
      <c r="U59" t="s">
        <v>46</v>
      </c>
      <c r="V59">
        <v>1</v>
      </c>
      <c r="W59" t="str" cm="1">
        <f t="array" ref="W59">_xlfn.IFS(V59=1,"Low",V59=2,"Medium",V59=3,"High",V59=4,"Very High")</f>
        <v>Low</v>
      </c>
      <c r="X59" t="s">
        <v>44</v>
      </c>
      <c r="Y59" s="2">
        <v>4014</v>
      </c>
      <c r="Z59" s="2">
        <v>16002</v>
      </c>
      <c r="AA59">
        <v>3</v>
      </c>
      <c r="AB59" t="s">
        <v>32</v>
      </c>
      <c r="AC59">
        <v>15</v>
      </c>
      <c r="AD59">
        <v>3</v>
      </c>
      <c r="AE59" t="str" cm="1">
        <f t="array" ref="AE59">_xlfn.IFS(AD59=1,"Low",AD59=2,"Good",AD59=3,"Excellent",AD59=4,"Outstanding")</f>
        <v>Excellent</v>
      </c>
      <c r="AF59">
        <v>3</v>
      </c>
      <c r="AG59" t="str" cm="1">
        <f t="array" ref="AG59">_xlfn.IFS(AF59=1,"Low",AF59=2,"Medium",AF59=3,"High",AF59=4,"Very High")</f>
        <v>High</v>
      </c>
      <c r="AH59">
        <v>1</v>
      </c>
      <c r="AI59">
        <v>4</v>
      </c>
      <c r="AJ59">
        <v>3</v>
      </c>
      <c r="AK59">
        <v>3</v>
      </c>
      <c r="AL59" t="str" cm="1">
        <f t="array" ref="AL59">_xlfn.IFS(AK59=1,"Low",AK59=2,"Medium",AK59=3,"High",AK59=4,"Very High")</f>
        <v>High</v>
      </c>
      <c r="AM59">
        <v>2</v>
      </c>
      <c r="AN59">
        <v>2</v>
      </c>
      <c r="AO59">
        <v>2</v>
      </c>
      <c r="AP59">
        <v>2</v>
      </c>
    </row>
    <row r="60" spans="1:42">
      <c r="A60">
        <v>31</v>
      </c>
      <c r="B60" t="str" cm="1">
        <f t="array" ref="B60">_xlfn.IFS(A60&lt;=25,"18-25",A60&lt;=35,"26-35",A60&lt;=45,"36-45",A60&lt;=55,"46-55",A60&gt;55,"56+")</f>
        <v>26-35</v>
      </c>
      <c r="C60" t="s">
        <v>39</v>
      </c>
      <c r="D60" t="s">
        <v>33</v>
      </c>
      <c r="E60" s="2">
        <v>655</v>
      </c>
      <c r="F60" t="s">
        <v>41</v>
      </c>
      <c r="G60">
        <v>7</v>
      </c>
      <c r="H60" t="str">
        <f t="shared" si="0"/>
        <v>1-10 km</v>
      </c>
      <c r="I60">
        <v>4</v>
      </c>
      <c r="J60" t="str" cm="1">
        <f t="array" ref="J60">_xlfn.IFS(I60=1,"Below College",I60=2,"College",I60=3,"Bachelor",I60=4,"Master",I60=5,"Doctor")</f>
        <v>Master</v>
      </c>
      <c r="K60" t="s">
        <v>35</v>
      </c>
      <c r="L60">
        <v>76</v>
      </c>
      <c r="M60">
        <v>4</v>
      </c>
      <c r="N60" t="str" cm="1">
        <f t="array" ref="N60">_xlfn.IFS(M60=1,"Low",M60=2,"Medium",M60=3,"High",M60=4,"Very High")</f>
        <v>Very High</v>
      </c>
      <c r="O60" t="s">
        <v>42</v>
      </c>
      <c r="P60" s="2">
        <v>48</v>
      </c>
      <c r="Q60">
        <v>3</v>
      </c>
      <c r="R60" t="str" cm="1">
        <f t="array" ref="R60">_xlfn.IFS(Q60=1,"Low",Q60=2,"Medium",Q60=3,"High",Q60=4,"Very High")</f>
        <v>High</v>
      </c>
      <c r="S60">
        <v>2</v>
      </c>
      <c r="T60" t="str" cm="1">
        <f t="array" ref="T60">_xlfn.IFS(S60=1,"Entry Level",S60=2,"Junior",S60=3,"Mid-Level",S60=4,"Senior",S60=5,"Executive")</f>
        <v>Junior</v>
      </c>
      <c r="U60" t="s">
        <v>46</v>
      </c>
      <c r="V60">
        <v>4</v>
      </c>
      <c r="W60" t="str" cm="1">
        <f t="array" ref="W60">_xlfn.IFS(V60=1,"Low",V60=2,"Medium",V60=3,"High",V60=4,"Very High")</f>
        <v>Very High</v>
      </c>
      <c r="X60" t="s">
        <v>48</v>
      </c>
      <c r="Y60" s="2">
        <v>5915</v>
      </c>
      <c r="Z60" s="2">
        <v>9528</v>
      </c>
      <c r="AA60">
        <v>3</v>
      </c>
      <c r="AB60" t="s">
        <v>39</v>
      </c>
      <c r="AC60">
        <v>22</v>
      </c>
      <c r="AD60">
        <v>4</v>
      </c>
      <c r="AE60" t="str" cm="1">
        <f t="array" ref="AE60">_xlfn.IFS(AD60=1,"Low",AD60=2,"Good",AD60=3,"Excellent",AD60=4,"Outstanding")</f>
        <v>Outstanding</v>
      </c>
      <c r="AF60">
        <v>4</v>
      </c>
      <c r="AG60" t="str" cm="1">
        <f t="array" ref="AG60">_xlfn.IFS(AF60=1,"Low",AF60=2,"Medium",AF60=3,"High",AF60=4,"Very High")</f>
        <v>Very High</v>
      </c>
      <c r="AH60">
        <v>1</v>
      </c>
      <c r="AI60">
        <v>10</v>
      </c>
      <c r="AJ60">
        <v>3</v>
      </c>
      <c r="AK60">
        <v>2</v>
      </c>
      <c r="AL60" t="str" cm="1">
        <f t="array" ref="AL60">_xlfn.IFS(AK60=1,"Low",AK60=2,"Medium",AK60=3,"High",AK60=4,"Very High")</f>
        <v>Medium</v>
      </c>
      <c r="AM60">
        <v>7</v>
      </c>
      <c r="AN60">
        <v>7</v>
      </c>
      <c r="AO60">
        <v>1</v>
      </c>
      <c r="AP60">
        <v>7</v>
      </c>
    </row>
    <row r="61" spans="1:42">
      <c r="A61">
        <v>37</v>
      </c>
      <c r="B61" t="str" cm="1">
        <f t="array" ref="B61">_xlfn.IFS(A61&lt;=25,"18-25",A61&lt;=35,"26-35",A61&lt;=45,"36-45",A61&lt;=55,"46-55",A61&gt;55,"56+")</f>
        <v>36-45</v>
      </c>
      <c r="C61" t="s">
        <v>39</v>
      </c>
      <c r="D61" t="s">
        <v>33</v>
      </c>
      <c r="E61" s="2">
        <v>1115</v>
      </c>
      <c r="F61" t="s">
        <v>41</v>
      </c>
      <c r="G61">
        <v>1</v>
      </c>
      <c r="H61" t="str">
        <f t="shared" si="0"/>
        <v>1-10 km</v>
      </c>
      <c r="I61">
        <v>4</v>
      </c>
      <c r="J61" t="str" cm="1">
        <f t="array" ref="J61">_xlfn.IFS(I61=1,"Below College",I61=2,"College",I61=3,"Bachelor",I61=4,"Master",I61=5,"Doctor")</f>
        <v>Master</v>
      </c>
      <c r="K61" t="s">
        <v>35</v>
      </c>
      <c r="L61">
        <v>77</v>
      </c>
      <c r="M61">
        <v>1</v>
      </c>
      <c r="N61" t="str" cm="1">
        <f t="array" ref="N61">_xlfn.IFS(M61=1,"Low",M61=2,"Medium",M61=3,"High",M61=4,"Very High")</f>
        <v>Low</v>
      </c>
      <c r="O61" t="s">
        <v>42</v>
      </c>
      <c r="P61" s="2">
        <v>51</v>
      </c>
      <c r="Q61">
        <v>2</v>
      </c>
      <c r="R61" t="str" cm="1">
        <f t="array" ref="R61">_xlfn.IFS(Q61=1,"Low",Q61=2,"Medium",Q61=3,"High",Q61=4,"Very High")</f>
        <v>Medium</v>
      </c>
      <c r="S61">
        <v>2</v>
      </c>
      <c r="T61" t="str" cm="1">
        <f t="array" ref="T61">_xlfn.IFS(S61=1,"Entry Level",S61=2,"Junior",S61=3,"Mid-Level",S61=4,"Senior",S61=5,"Executive")</f>
        <v>Junior</v>
      </c>
      <c r="U61" t="s">
        <v>49</v>
      </c>
      <c r="V61">
        <v>3</v>
      </c>
      <c r="W61" t="str" cm="1">
        <f t="array" ref="W61">_xlfn.IFS(V61=1,"Low",V61=2,"Medium",V61=3,"High",V61=4,"Very High")</f>
        <v>High</v>
      </c>
      <c r="X61" t="s">
        <v>48</v>
      </c>
      <c r="Y61" s="2">
        <v>5993</v>
      </c>
      <c r="Z61" s="2">
        <v>2689</v>
      </c>
      <c r="AA61">
        <v>1</v>
      </c>
      <c r="AB61" t="s">
        <v>39</v>
      </c>
      <c r="AC61">
        <v>18</v>
      </c>
      <c r="AD61">
        <v>3</v>
      </c>
      <c r="AE61" t="str" cm="1">
        <f t="array" ref="AE61">_xlfn.IFS(AD61=1,"Low",AD61=2,"Good",AD61=3,"Excellent",AD61=4,"Outstanding")</f>
        <v>Excellent</v>
      </c>
      <c r="AF61">
        <v>3</v>
      </c>
      <c r="AG61" t="str" cm="1">
        <f t="array" ref="AG61">_xlfn.IFS(AF61=1,"Low",AF61=2,"Medium",AF61=3,"High",AF61=4,"Very High")</f>
        <v>High</v>
      </c>
      <c r="AH61">
        <v>1</v>
      </c>
      <c r="AI61">
        <v>7</v>
      </c>
      <c r="AJ61">
        <v>2</v>
      </c>
      <c r="AK61">
        <v>4</v>
      </c>
      <c r="AL61" t="str" cm="1">
        <f t="array" ref="AL61">_xlfn.IFS(AK61=1,"Low",AK61=2,"Medium",AK61=3,"High",AK61=4,"Very High")</f>
        <v>Very High</v>
      </c>
      <c r="AM61">
        <v>7</v>
      </c>
      <c r="AN61">
        <v>5</v>
      </c>
      <c r="AO61">
        <v>0</v>
      </c>
      <c r="AP61">
        <v>7</v>
      </c>
    </row>
    <row r="62" spans="1:42">
      <c r="A62">
        <v>32</v>
      </c>
      <c r="B62" t="str" cm="1">
        <f t="array" ref="B62">_xlfn.IFS(A62&lt;=25,"18-25",A62&lt;=35,"26-35",A62&lt;=45,"36-45",A62&lt;=55,"46-55",A62&gt;55,"56+")</f>
        <v>26-35</v>
      </c>
      <c r="C62" t="s">
        <v>39</v>
      </c>
      <c r="D62" t="s">
        <v>33</v>
      </c>
      <c r="E62" s="2">
        <v>427</v>
      </c>
      <c r="F62" t="s">
        <v>41</v>
      </c>
      <c r="G62">
        <v>1</v>
      </c>
      <c r="H62" t="str">
        <f t="shared" si="0"/>
        <v>1-10 km</v>
      </c>
      <c r="I62">
        <v>3</v>
      </c>
      <c r="J62" t="str" cm="1">
        <f t="array" ref="J62">_xlfn.IFS(I62=1,"Below College",I62=2,"College",I62=3,"Bachelor",I62=4,"Master",I62=5,"Doctor")</f>
        <v>Bachelor</v>
      </c>
      <c r="K62" t="s">
        <v>47</v>
      </c>
      <c r="L62">
        <v>78</v>
      </c>
      <c r="M62">
        <v>1</v>
      </c>
      <c r="N62" t="str" cm="1">
        <f t="array" ref="N62">_xlfn.IFS(M62=1,"Low",M62=2,"Medium",M62=3,"High",M62=4,"Very High")</f>
        <v>Low</v>
      </c>
      <c r="O62" t="s">
        <v>42</v>
      </c>
      <c r="P62" s="2">
        <v>33</v>
      </c>
      <c r="Q62">
        <v>3</v>
      </c>
      <c r="R62" t="str" cm="1">
        <f t="array" ref="R62">_xlfn.IFS(Q62=1,"Low",Q62=2,"Medium",Q62=3,"High",Q62=4,"Very High")</f>
        <v>High</v>
      </c>
      <c r="S62">
        <v>2</v>
      </c>
      <c r="T62" t="str" cm="1">
        <f t="array" ref="T62">_xlfn.IFS(S62=1,"Entry Level",S62=2,"Junior",S62=3,"Mid-Level",S62=4,"Senior",S62=5,"Executive")</f>
        <v>Junior</v>
      </c>
      <c r="U62" t="s">
        <v>49</v>
      </c>
      <c r="V62">
        <v>4</v>
      </c>
      <c r="W62" t="str" cm="1">
        <f t="array" ref="W62">_xlfn.IFS(V62=1,"Low",V62=2,"Medium",V62=3,"High",V62=4,"Very High")</f>
        <v>Very High</v>
      </c>
      <c r="X62" t="s">
        <v>44</v>
      </c>
      <c r="Y62" s="2">
        <v>6162</v>
      </c>
      <c r="Z62" s="2">
        <v>10877</v>
      </c>
      <c r="AA62">
        <v>1</v>
      </c>
      <c r="AB62" t="s">
        <v>32</v>
      </c>
      <c r="AC62">
        <v>22</v>
      </c>
      <c r="AD62">
        <v>4</v>
      </c>
      <c r="AE62" t="str" cm="1">
        <f t="array" ref="AE62">_xlfn.IFS(AD62=1,"Low",AD62=2,"Good",AD62=3,"Excellent",AD62=4,"Outstanding")</f>
        <v>Outstanding</v>
      </c>
      <c r="AF62">
        <v>2</v>
      </c>
      <c r="AG62" t="str" cm="1">
        <f t="array" ref="AG62">_xlfn.IFS(AF62=1,"Low",AF62=2,"Medium",AF62=3,"High",AF62=4,"Very High")</f>
        <v>Medium</v>
      </c>
      <c r="AH62">
        <v>1</v>
      </c>
      <c r="AI62">
        <v>9</v>
      </c>
      <c r="AJ62">
        <v>3</v>
      </c>
      <c r="AK62">
        <v>3</v>
      </c>
      <c r="AL62" t="str" cm="1">
        <f t="array" ref="AL62">_xlfn.IFS(AK62=1,"Low",AK62=2,"Medium",AK62=3,"High",AK62=4,"Very High")</f>
        <v>High</v>
      </c>
      <c r="AM62">
        <v>9</v>
      </c>
      <c r="AN62">
        <v>8</v>
      </c>
      <c r="AO62">
        <v>7</v>
      </c>
      <c r="AP62">
        <v>8</v>
      </c>
    </row>
    <row r="63" spans="1:42">
      <c r="A63">
        <v>38</v>
      </c>
      <c r="B63" t="str" cm="1">
        <f t="array" ref="B63">_xlfn.IFS(A63&lt;=25,"18-25",A63&lt;=35,"26-35",A63&lt;=45,"36-45",A63&lt;=55,"46-55",A63&gt;55,"56+")</f>
        <v>36-45</v>
      </c>
      <c r="C63" t="s">
        <v>39</v>
      </c>
      <c r="D63" t="s">
        <v>40</v>
      </c>
      <c r="E63" s="2">
        <v>653</v>
      </c>
      <c r="F63" t="s">
        <v>41</v>
      </c>
      <c r="G63">
        <v>29</v>
      </c>
      <c r="H63" t="str">
        <f t="shared" si="0"/>
        <v>21-30 km</v>
      </c>
      <c r="I63">
        <v>5</v>
      </c>
      <c r="J63" t="str" cm="1">
        <f t="array" ref="J63">_xlfn.IFS(I63=1,"Below College",I63=2,"College",I63=3,"Bachelor",I63=4,"Master",I63=5,"Doctor")</f>
        <v>Doctor</v>
      </c>
      <c r="K63" t="s">
        <v>35</v>
      </c>
      <c r="L63">
        <v>79</v>
      </c>
      <c r="M63">
        <v>4</v>
      </c>
      <c r="N63" t="str" cm="1">
        <f t="array" ref="N63">_xlfn.IFS(M63=1,"Low",M63=2,"Medium",M63=3,"High",M63=4,"Very High")</f>
        <v>Very High</v>
      </c>
      <c r="O63" t="s">
        <v>36</v>
      </c>
      <c r="P63" s="2">
        <v>50</v>
      </c>
      <c r="Q63">
        <v>3</v>
      </c>
      <c r="R63" t="str" cm="1">
        <f t="array" ref="R63">_xlfn.IFS(Q63=1,"Low",Q63=2,"Medium",Q63=3,"High",Q63=4,"Very High")</f>
        <v>High</v>
      </c>
      <c r="S63">
        <v>2</v>
      </c>
      <c r="T63" t="str" cm="1">
        <f t="array" ref="T63">_xlfn.IFS(S63=1,"Entry Level",S63=2,"Junior",S63=3,"Mid-Level",S63=4,"Senior",S63=5,"Executive")</f>
        <v>Junior</v>
      </c>
      <c r="U63" t="s">
        <v>46</v>
      </c>
      <c r="V63">
        <v>4</v>
      </c>
      <c r="W63" t="str" cm="1">
        <f t="array" ref="W63">_xlfn.IFS(V63=1,"Low",V63=2,"Medium",V63=3,"High",V63=4,"Very High")</f>
        <v>Very High</v>
      </c>
      <c r="X63" t="s">
        <v>38</v>
      </c>
      <c r="Y63" s="2">
        <v>2406</v>
      </c>
      <c r="Z63" s="2">
        <v>5456</v>
      </c>
      <c r="AA63">
        <v>1</v>
      </c>
      <c r="AB63" t="s">
        <v>39</v>
      </c>
      <c r="AC63">
        <v>11</v>
      </c>
      <c r="AD63">
        <v>3</v>
      </c>
      <c r="AE63" t="str" cm="1">
        <f t="array" ref="AE63">_xlfn.IFS(AD63=1,"Low",AD63=2,"Good",AD63=3,"Excellent",AD63=4,"Outstanding")</f>
        <v>Excellent</v>
      </c>
      <c r="AF63">
        <v>4</v>
      </c>
      <c r="AG63" t="str" cm="1">
        <f t="array" ref="AG63">_xlfn.IFS(AF63=1,"Low",AF63=2,"Medium",AF63=3,"High",AF63=4,"Very High")</f>
        <v>Very High</v>
      </c>
      <c r="AH63">
        <v>0</v>
      </c>
      <c r="AI63">
        <v>10</v>
      </c>
      <c r="AJ63">
        <v>2</v>
      </c>
      <c r="AK63">
        <v>3</v>
      </c>
      <c r="AL63" t="str" cm="1">
        <f t="array" ref="AL63">_xlfn.IFS(AK63=1,"Low",AK63=2,"Medium",AK63=3,"High",AK63=4,"Very High")</f>
        <v>High</v>
      </c>
      <c r="AM63">
        <v>10</v>
      </c>
      <c r="AN63">
        <v>3</v>
      </c>
      <c r="AO63">
        <v>9</v>
      </c>
      <c r="AP63">
        <v>9</v>
      </c>
    </row>
    <row r="64" spans="1:42">
      <c r="A64">
        <v>50</v>
      </c>
      <c r="B64" t="str" cm="1">
        <f t="array" ref="B64">_xlfn.IFS(A64&lt;=25,"18-25",A64&lt;=35,"26-35",A64&lt;=45,"36-45",A64&lt;=55,"46-55",A64&gt;55,"56+")</f>
        <v>46-55</v>
      </c>
      <c r="C64" t="s">
        <v>39</v>
      </c>
      <c r="D64" t="s">
        <v>33</v>
      </c>
      <c r="E64" s="2">
        <v>989</v>
      </c>
      <c r="F64" t="s">
        <v>41</v>
      </c>
      <c r="G64">
        <v>7</v>
      </c>
      <c r="H64" t="str">
        <f t="shared" si="0"/>
        <v>1-10 km</v>
      </c>
      <c r="I64">
        <v>2</v>
      </c>
      <c r="J64" t="str" cm="1">
        <f t="array" ref="J64">_xlfn.IFS(I64=1,"Below College",I64=2,"College",I64=3,"Bachelor",I64=4,"Master",I64=5,"Doctor")</f>
        <v>College</v>
      </c>
      <c r="K64" t="s">
        <v>47</v>
      </c>
      <c r="L64">
        <v>80</v>
      </c>
      <c r="M64">
        <v>2</v>
      </c>
      <c r="N64" t="str" cm="1">
        <f t="array" ref="N64">_xlfn.IFS(M64=1,"Low",M64=2,"Medium",M64=3,"High",M64=4,"Very High")</f>
        <v>Medium</v>
      </c>
      <c r="O64" t="s">
        <v>36</v>
      </c>
      <c r="P64" s="2">
        <v>43</v>
      </c>
      <c r="Q64">
        <v>2</v>
      </c>
      <c r="R64" t="str" cm="1">
        <f t="array" ref="R64">_xlfn.IFS(Q64=1,"Low",Q64=2,"Medium",Q64=3,"High",Q64=4,"Very High")</f>
        <v>Medium</v>
      </c>
      <c r="S64">
        <v>5</v>
      </c>
      <c r="T64" t="str" cm="1">
        <f t="array" ref="T64">_xlfn.IFS(S64=1,"Entry Level",S64=2,"Junior",S64=3,"Mid-Level",S64=4,"Senior",S64=5,"Executive")</f>
        <v>Executive</v>
      </c>
      <c r="U64" t="s">
        <v>54</v>
      </c>
      <c r="V64">
        <v>3</v>
      </c>
      <c r="W64" t="str" cm="1">
        <f t="array" ref="W64">_xlfn.IFS(V64=1,"Low",V64=2,"Medium",V64=3,"High",V64=4,"Very High")</f>
        <v>High</v>
      </c>
      <c r="X64" t="s">
        <v>48</v>
      </c>
      <c r="Y64" s="2">
        <v>18740</v>
      </c>
      <c r="Z64" s="2">
        <v>16701</v>
      </c>
      <c r="AA64">
        <v>5</v>
      </c>
      <c r="AB64" t="s">
        <v>32</v>
      </c>
      <c r="AC64">
        <v>12</v>
      </c>
      <c r="AD64">
        <v>3</v>
      </c>
      <c r="AE64" t="str" cm="1">
        <f t="array" ref="AE64">_xlfn.IFS(AD64=1,"Low",AD64=2,"Good",AD64=3,"Excellent",AD64=4,"Outstanding")</f>
        <v>Excellent</v>
      </c>
      <c r="AF64">
        <v>4</v>
      </c>
      <c r="AG64" t="str" cm="1">
        <f t="array" ref="AG64">_xlfn.IFS(AF64=1,"Low",AF64=2,"Medium",AF64=3,"High",AF64=4,"Very High")</f>
        <v>Very High</v>
      </c>
      <c r="AH64">
        <v>1</v>
      </c>
      <c r="AI64">
        <v>29</v>
      </c>
      <c r="AJ64">
        <v>2</v>
      </c>
      <c r="AK64">
        <v>2</v>
      </c>
      <c r="AL64" t="str" cm="1">
        <f t="array" ref="AL64">_xlfn.IFS(AK64=1,"Low",AK64=2,"Medium",AK64=3,"High",AK64=4,"Very High")</f>
        <v>Medium</v>
      </c>
      <c r="AM64">
        <v>27</v>
      </c>
      <c r="AN64">
        <v>3</v>
      </c>
      <c r="AO64">
        <v>13</v>
      </c>
      <c r="AP64">
        <v>8</v>
      </c>
    </row>
    <row r="65" spans="1:42">
      <c r="A65">
        <v>59</v>
      </c>
      <c r="B65" t="str" cm="1">
        <f t="array" ref="B65">_xlfn.IFS(A65&lt;=25,"18-25",A65&lt;=35,"26-35",A65&lt;=45,"36-45",A65&lt;=55,"46-55",A65&gt;55,"56+")</f>
        <v>56+</v>
      </c>
      <c r="C65" t="s">
        <v>39</v>
      </c>
      <c r="D65" t="s">
        <v>33</v>
      </c>
      <c r="E65" s="2">
        <v>1435</v>
      </c>
      <c r="F65" t="s">
        <v>34</v>
      </c>
      <c r="G65">
        <v>25</v>
      </c>
      <c r="H65" t="str">
        <f t="shared" si="0"/>
        <v>21-30 km</v>
      </c>
      <c r="I65">
        <v>3</v>
      </c>
      <c r="J65" t="str" cm="1">
        <f t="array" ref="J65">_xlfn.IFS(I65=1,"Below College",I65=2,"College",I65=3,"Bachelor",I65=4,"Master",I65=5,"Doctor")</f>
        <v>Bachelor</v>
      </c>
      <c r="K65" t="s">
        <v>35</v>
      </c>
      <c r="L65">
        <v>81</v>
      </c>
      <c r="M65">
        <v>1</v>
      </c>
      <c r="N65" t="str" cm="1">
        <f t="array" ref="N65">_xlfn.IFS(M65=1,"Low",M65=2,"Medium",M65=3,"High",M65=4,"Very High")</f>
        <v>Low</v>
      </c>
      <c r="O65" t="s">
        <v>36</v>
      </c>
      <c r="P65" s="2">
        <v>99</v>
      </c>
      <c r="Q65">
        <v>3</v>
      </c>
      <c r="R65" t="str" cm="1">
        <f t="array" ref="R65">_xlfn.IFS(Q65=1,"Low",Q65=2,"Medium",Q65=3,"High",Q65=4,"Very High")</f>
        <v>High</v>
      </c>
      <c r="S65">
        <v>3</v>
      </c>
      <c r="T65" t="str" cm="1">
        <f t="array" ref="T65">_xlfn.IFS(S65=1,"Entry Level",S65=2,"Junior",S65=3,"Mid-Level",S65=4,"Senior",S65=5,"Executive")</f>
        <v>Mid-Level</v>
      </c>
      <c r="U65" t="s">
        <v>37</v>
      </c>
      <c r="V65">
        <v>1</v>
      </c>
      <c r="W65" t="str" cm="1">
        <f t="array" ref="W65">_xlfn.IFS(V65=1,"Low",V65=2,"Medium",V65=3,"High",V65=4,"Very High")</f>
        <v>Low</v>
      </c>
      <c r="X65" t="s">
        <v>38</v>
      </c>
      <c r="Y65" s="2">
        <v>7637</v>
      </c>
      <c r="Z65" s="2">
        <v>2354</v>
      </c>
      <c r="AA65">
        <v>7</v>
      </c>
      <c r="AB65" t="s">
        <v>39</v>
      </c>
      <c r="AC65">
        <v>11</v>
      </c>
      <c r="AD65">
        <v>3</v>
      </c>
      <c r="AE65" t="str" cm="1">
        <f t="array" ref="AE65">_xlfn.IFS(AD65=1,"Low",AD65=2,"Good",AD65=3,"Excellent",AD65=4,"Outstanding")</f>
        <v>Excellent</v>
      </c>
      <c r="AF65">
        <v>4</v>
      </c>
      <c r="AG65" t="str" cm="1">
        <f t="array" ref="AG65">_xlfn.IFS(AF65=1,"Low",AF65=2,"Medium",AF65=3,"High",AF65=4,"Very High")</f>
        <v>Very High</v>
      </c>
      <c r="AH65">
        <v>0</v>
      </c>
      <c r="AI65">
        <v>28</v>
      </c>
      <c r="AJ65">
        <v>3</v>
      </c>
      <c r="AK65">
        <v>2</v>
      </c>
      <c r="AL65" t="str" cm="1">
        <f t="array" ref="AL65">_xlfn.IFS(AK65=1,"Low",AK65=2,"Medium",AK65=3,"High",AK65=4,"Very High")</f>
        <v>Medium</v>
      </c>
      <c r="AM65">
        <v>21</v>
      </c>
      <c r="AN65">
        <v>16</v>
      </c>
      <c r="AO65">
        <v>7</v>
      </c>
      <c r="AP65">
        <v>9</v>
      </c>
    </row>
    <row r="66" spans="1:42">
      <c r="A66">
        <v>36</v>
      </c>
      <c r="B66" t="str" cm="1">
        <f t="array" ref="B66">_xlfn.IFS(A66&lt;=25,"18-25",A66&lt;=35,"26-35",A66&lt;=45,"36-45",A66&lt;=55,"46-55",A66&gt;55,"56+")</f>
        <v>36-45</v>
      </c>
      <c r="C66" t="s">
        <v>39</v>
      </c>
      <c r="D66" t="s">
        <v>33</v>
      </c>
      <c r="E66" s="2">
        <v>1223</v>
      </c>
      <c r="F66" t="s">
        <v>41</v>
      </c>
      <c r="G66">
        <v>8</v>
      </c>
      <c r="H66" t="str">
        <f t="shared" si="0"/>
        <v>1-10 km</v>
      </c>
      <c r="I66">
        <v>3</v>
      </c>
      <c r="J66" t="str" cm="1">
        <f t="array" ref="J66">_xlfn.IFS(I66=1,"Below College",I66=2,"College",I66=3,"Bachelor",I66=4,"Master",I66=5,"Doctor")</f>
        <v>Bachelor</v>
      </c>
      <c r="K66" t="s">
        <v>56</v>
      </c>
      <c r="L66">
        <v>83</v>
      </c>
      <c r="M66">
        <v>3</v>
      </c>
      <c r="N66" t="str" cm="1">
        <f t="array" ref="N66">_xlfn.IFS(M66=1,"Low",M66=2,"Medium",M66=3,"High",M66=4,"Very High")</f>
        <v>High</v>
      </c>
      <c r="O66" t="s">
        <v>36</v>
      </c>
      <c r="P66" s="2">
        <v>59</v>
      </c>
      <c r="Q66">
        <v>3</v>
      </c>
      <c r="R66" t="str" cm="1">
        <f t="array" ref="R66">_xlfn.IFS(Q66=1,"Low",Q66=2,"Medium",Q66=3,"High",Q66=4,"Very High")</f>
        <v>High</v>
      </c>
      <c r="S66">
        <v>3</v>
      </c>
      <c r="T66" t="str" cm="1">
        <f t="array" ref="T66">_xlfn.IFS(S66=1,"Entry Level",S66=2,"Junior",S66=3,"Mid-Level",S66=4,"Senior",S66=5,"Executive")</f>
        <v>Mid-Level</v>
      </c>
      <c r="U66" t="s">
        <v>50</v>
      </c>
      <c r="V66">
        <v>3</v>
      </c>
      <c r="W66" t="str" cm="1">
        <f t="array" ref="W66">_xlfn.IFS(V66=1,"Low",V66=2,"Medium",V66=3,"High",V66=4,"Very High")</f>
        <v>High</v>
      </c>
      <c r="X66" t="s">
        <v>48</v>
      </c>
      <c r="Y66" s="2">
        <v>10096</v>
      </c>
      <c r="Z66" s="2">
        <v>8202</v>
      </c>
      <c r="AA66">
        <v>1</v>
      </c>
      <c r="AB66" t="s">
        <v>39</v>
      </c>
      <c r="AC66">
        <v>13</v>
      </c>
      <c r="AD66">
        <v>3</v>
      </c>
      <c r="AE66" t="str" cm="1">
        <f t="array" ref="AE66">_xlfn.IFS(AD66=1,"Low",AD66=2,"Good",AD66=3,"Excellent",AD66=4,"Outstanding")</f>
        <v>Excellent</v>
      </c>
      <c r="AF66">
        <v>2</v>
      </c>
      <c r="AG66" t="str" cm="1">
        <f t="array" ref="AG66">_xlfn.IFS(AF66=1,"Low",AF66=2,"Medium",AF66=3,"High",AF66=4,"Very High")</f>
        <v>Medium</v>
      </c>
      <c r="AH66">
        <v>3</v>
      </c>
      <c r="AI66">
        <v>17</v>
      </c>
      <c r="AJ66">
        <v>2</v>
      </c>
      <c r="AK66">
        <v>3</v>
      </c>
      <c r="AL66" t="str" cm="1">
        <f t="array" ref="AL66">_xlfn.IFS(AK66=1,"Low",AK66=2,"Medium",AK66=3,"High",AK66=4,"Very High")</f>
        <v>High</v>
      </c>
      <c r="AM66">
        <v>17</v>
      </c>
      <c r="AN66">
        <v>14</v>
      </c>
      <c r="AO66">
        <v>12</v>
      </c>
      <c r="AP66">
        <v>8</v>
      </c>
    </row>
    <row r="67" spans="1:42">
      <c r="A67">
        <v>55</v>
      </c>
      <c r="B67" t="str" cm="1">
        <f t="array" ref="B67">_xlfn.IFS(A67&lt;=25,"18-25",A67&lt;=35,"26-35",A67&lt;=45,"36-45",A67&lt;=55,"46-55",A67&gt;55,"56+")</f>
        <v>46-55</v>
      </c>
      <c r="C67" t="s">
        <v>39</v>
      </c>
      <c r="D67" t="s">
        <v>33</v>
      </c>
      <c r="E67" s="2">
        <v>836</v>
      </c>
      <c r="F67" t="s">
        <v>41</v>
      </c>
      <c r="G67">
        <v>8</v>
      </c>
      <c r="H67" t="str">
        <f t="shared" ref="H67:H130" si="1">IF(G67&lt;=10,"1-10 km",IF(G67&lt;=20,"11-20 km",IF(G67&lt;=30,"21-30 km","31+ km")))</f>
        <v>1-10 km</v>
      </c>
      <c r="I67">
        <v>3</v>
      </c>
      <c r="J67" t="str" cm="1">
        <f t="array" ref="J67">_xlfn.IFS(I67=1,"Below College",I67=2,"College",I67=3,"Bachelor",I67=4,"Master",I67=5,"Doctor")</f>
        <v>Bachelor</v>
      </c>
      <c r="K67" t="s">
        <v>47</v>
      </c>
      <c r="L67">
        <v>84</v>
      </c>
      <c r="M67">
        <v>4</v>
      </c>
      <c r="N67" t="str" cm="1">
        <f t="array" ref="N67">_xlfn.IFS(M67=1,"Low",M67=2,"Medium",M67=3,"High",M67=4,"Very High")</f>
        <v>Very High</v>
      </c>
      <c r="O67" t="s">
        <v>36</v>
      </c>
      <c r="P67" s="2">
        <v>33</v>
      </c>
      <c r="Q67">
        <v>3</v>
      </c>
      <c r="R67" t="str" cm="1">
        <f t="array" ref="R67">_xlfn.IFS(Q67=1,"Low",Q67=2,"Medium",Q67=3,"High",Q67=4,"Very High")</f>
        <v>High</v>
      </c>
      <c r="S67">
        <v>4</v>
      </c>
      <c r="T67" t="str" cm="1">
        <f t="array" ref="T67">_xlfn.IFS(S67=1,"Entry Level",S67=2,"Junior",S67=3,"Mid-Level",S67=4,"Senior",S67=5,"Executive")</f>
        <v>Senior</v>
      </c>
      <c r="U67" t="s">
        <v>52</v>
      </c>
      <c r="V67">
        <v>3</v>
      </c>
      <c r="W67" t="str" cm="1">
        <f t="array" ref="W67">_xlfn.IFS(V67=1,"Low",V67=2,"Medium",V67=3,"High",V67=4,"Very High")</f>
        <v>High</v>
      </c>
      <c r="X67" t="s">
        <v>48</v>
      </c>
      <c r="Y67" s="2">
        <v>14756</v>
      </c>
      <c r="Z67" s="2">
        <v>19730</v>
      </c>
      <c r="AA67">
        <v>2</v>
      </c>
      <c r="AB67" t="s">
        <v>32</v>
      </c>
      <c r="AC67">
        <v>14</v>
      </c>
      <c r="AD67">
        <v>3</v>
      </c>
      <c r="AE67" t="str" cm="1">
        <f t="array" ref="AE67">_xlfn.IFS(AD67=1,"Low",AD67=2,"Good",AD67=3,"Excellent",AD67=4,"Outstanding")</f>
        <v>Excellent</v>
      </c>
      <c r="AF67">
        <v>3</v>
      </c>
      <c r="AG67" t="str" cm="1">
        <f t="array" ref="AG67">_xlfn.IFS(AF67=1,"Low",AF67=2,"Medium",AF67=3,"High",AF67=4,"Very High")</f>
        <v>High</v>
      </c>
      <c r="AH67">
        <v>3</v>
      </c>
      <c r="AI67">
        <v>21</v>
      </c>
      <c r="AJ67">
        <v>2</v>
      </c>
      <c r="AK67">
        <v>3</v>
      </c>
      <c r="AL67" t="str" cm="1">
        <f t="array" ref="AL67">_xlfn.IFS(AK67=1,"Low",AK67=2,"Medium",AK67=3,"High",AK67=4,"Very High")</f>
        <v>High</v>
      </c>
      <c r="AM67">
        <v>5</v>
      </c>
      <c r="AN67">
        <v>0</v>
      </c>
      <c r="AO67">
        <v>0</v>
      </c>
      <c r="AP67">
        <v>2</v>
      </c>
    </row>
    <row r="68" spans="1:42">
      <c r="A68">
        <v>36</v>
      </c>
      <c r="B68" t="str" cm="1">
        <f t="array" ref="B68">_xlfn.IFS(A68&lt;=25,"18-25",A68&lt;=35,"26-35",A68&lt;=45,"36-45",A68&lt;=55,"46-55",A68&gt;55,"56+")</f>
        <v>36-45</v>
      </c>
      <c r="C68" t="s">
        <v>39</v>
      </c>
      <c r="D68" t="s">
        <v>40</v>
      </c>
      <c r="E68" s="2">
        <v>1195</v>
      </c>
      <c r="F68" t="s">
        <v>41</v>
      </c>
      <c r="G68">
        <v>11</v>
      </c>
      <c r="H68" t="str">
        <f t="shared" si="1"/>
        <v>11-20 km</v>
      </c>
      <c r="I68">
        <v>3</v>
      </c>
      <c r="J68" t="str" cm="1">
        <f t="array" ref="J68">_xlfn.IFS(I68=1,"Below College",I68=2,"College",I68=3,"Bachelor",I68=4,"Master",I68=5,"Doctor")</f>
        <v>Bachelor</v>
      </c>
      <c r="K68" t="s">
        <v>35</v>
      </c>
      <c r="L68">
        <v>85</v>
      </c>
      <c r="M68">
        <v>2</v>
      </c>
      <c r="N68" t="str" cm="1">
        <f t="array" ref="N68">_xlfn.IFS(M68=1,"Low",M68=2,"Medium",M68=3,"High",M68=4,"Very High")</f>
        <v>Medium</v>
      </c>
      <c r="O68" t="s">
        <v>42</v>
      </c>
      <c r="P68" s="2">
        <v>95</v>
      </c>
      <c r="Q68">
        <v>2</v>
      </c>
      <c r="R68" t="str" cm="1">
        <f t="array" ref="R68">_xlfn.IFS(Q68=1,"Low",Q68=2,"Medium",Q68=3,"High",Q68=4,"Very High")</f>
        <v>Medium</v>
      </c>
      <c r="S68">
        <v>2</v>
      </c>
      <c r="T68" t="str" cm="1">
        <f t="array" ref="T68">_xlfn.IFS(S68=1,"Entry Level",S68=2,"Junior",S68=3,"Mid-Level",S68=4,"Senior",S68=5,"Executive")</f>
        <v>Junior</v>
      </c>
      <c r="U68" t="s">
        <v>49</v>
      </c>
      <c r="V68">
        <v>2</v>
      </c>
      <c r="W68" t="str" cm="1">
        <f t="array" ref="W68">_xlfn.IFS(V68=1,"Low",V68=2,"Medium",V68=3,"High",V68=4,"Very High")</f>
        <v>Medium</v>
      </c>
      <c r="X68" t="s">
        <v>38</v>
      </c>
      <c r="Y68" s="2">
        <v>6499</v>
      </c>
      <c r="Z68" s="2">
        <v>22656</v>
      </c>
      <c r="AA68">
        <v>1</v>
      </c>
      <c r="AB68" t="s">
        <v>39</v>
      </c>
      <c r="AC68">
        <v>13</v>
      </c>
      <c r="AD68">
        <v>3</v>
      </c>
      <c r="AE68" t="str" cm="1">
        <f t="array" ref="AE68">_xlfn.IFS(AD68=1,"Low",AD68=2,"Good",AD68=3,"Excellent",AD68=4,"Outstanding")</f>
        <v>Excellent</v>
      </c>
      <c r="AF68">
        <v>3</v>
      </c>
      <c r="AG68" t="str" cm="1">
        <f t="array" ref="AG68">_xlfn.IFS(AF68=1,"Low",AF68=2,"Medium",AF68=3,"High",AF68=4,"Very High")</f>
        <v>High</v>
      </c>
      <c r="AH68">
        <v>0</v>
      </c>
      <c r="AI68">
        <v>6</v>
      </c>
      <c r="AJ68">
        <v>3</v>
      </c>
      <c r="AK68">
        <v>3</v>
      </c>
      <c r="AL68" t="str" cm="1">
        <f t="array" ref="AL68">_xlfn.IFS(AK68=1,"Low",AK68=2,"Medium",AK68=3,"High",AK68=4,"Very High")</f>
        <v>High</v>
      </c>
      <c r="AM68">
        <v>6</v>
      </c>
      <c r="AN68">
        <v>5</v>
      </c>
      <c r="AO68">
        <v>0</v>
      </c>
      <c r="AP68">
        <v>3</v>
      </c>
    </row>
    <row r="69" spans="1:42">
      <c r="A69">
        <v>45</v>
      </c>
      <c r="B69" t="str" cm="1">
        <f t="array" ref="B69">_xlfn.IFS(A69&lt;=25,"18-25",A69&lt;=35,"26-35",A69&lt;=45,"36-45",A69&lt;=55,"46-55",A69&gt;55,"56+")</f>
        <v>36-45</v>
      </c>
      <c r="C69" t="s">
        <v>39</v>
      </c>
      <c r="D69" t="s">
        <v>33</v>
      </c>
      <c r="E69" s="2">
        <v>1339</v>
      </c>
      <c r="F69" t="s">
        <v>41</v>
      </c>
      <c r="G69">
        <v>7</v>
      </c>
      <c r="H69" t="str">
        <f t="shared" si="1"/>
        <v>1-10 km</v>
      </c>
      <c r="I69">
        <v>3</v>
      </c>
      <c r="J69" t="str" cm="1">
        <f t="array" ref="J69">_xlfn.IFS(I69=1,"Below College",I69=2,"College",I69=3,"Bachelor",I69=4,"Master",I69=5,"Doctor")</f>
        <v>Bachelor</v>
      </c>
      <c r="K69" t="s">
        <v>35</v>
      </c>
      <c r="L69">
        <v>86</v>
      </c>
      <c r="M69">
        <v>2</v>
      </c>
      <c r="N69" t="str" cm="1">
        <f t="array" ref="N69">_xlfn.IFS(M69=1,"Low",M69=2,"Medium",M69=3,"High",M69=4,"Very High")</f>
        <v>Medium</v>
      </c>
      <c r="O69" t="s">
        <v>42</v>
      </c>
      <c r="P69" s="2">
        <v>59</v>
      </c>
      <c r="Q69">
        <v>3</v>
      </c>
      <c r="R69" t="str" cm="1">
        <f t="array" ref="R69">_xlfn.IFS(Q69=1,"Low",Q69=2,"Medium",Q69=3,"High",Q69=4,"Very High")</f>
        <v>High</v>
      </c>
      <c r="S69">
        <v>3</v>
      </c>
      <c r="T69" t="str" cm="1">
        <f t="array" ref="T69">_xlfn.IFS(S69=1,"Entry Level",S69=2,"Junior",S69=3,"Mid-Level",S69=4,"Senior",S69=5,"Executive")</f>
        <v>Mid-Level</v>
      </c>
      <c r="U69" t="s">
        <v>43</v>
      </c>
      <c r="V69">
        <v>1</v>
      </c>
      <c r="W69" t="str" cm="1">
        <f t="array" ref="W69">_xlfn.IFS(V69=1,"Low",V69=2,"Medium",V69=3,"High",V69=4,"Very High")</f>
        <v>Low</v>
      </c>
      <c r="X69" t="s">
        <v>48</v>
      </c>
      <c r="Y69" s="2">
        <v>9724</v>
      </c>
      <c r="Z69" s="2">
        <v>18787</v>
      </c>
      <c r="AA69">
        <v>2</v>
      </c>
      <c r="AB69" t="s">
        <v>39</v>
      </c>
      <c r="AC69">
        <v>17</v>
      </c>
      <c r="AD69">
        <v>3</v>
      </c>
      <c r="AE69" t="str" cm="1">
        <f t="array" ref="AE69">_xlfn.IFS(AD69=1,"Low",AD69=2,"Good",AD69=3,"Excellent",AD69=4,"Outstanding")</f>
        <v>Excellent</v>
      </c>
      <c r="AF69">
        <v>3</v>
      </c>
      <c r="AG69" t="str" cm="1">
        <f t="array" ref="AG69">_xlfn.IFS(AF69=1,"Low",AF69=2,"Medium",AF69=3,"High",AF69=4,"Very High")</f>
        <v>High</v>
      </c>
      <c r="AH69">
        <v>1</v>
      </c>
      <c r="AI69">
        <v>25</v>
      </c>
      <c r="AJ69">
        <v>2</v>
      </c>
      <c r="AK69">
        <v>3</v>
      </c>
      <c r="AL69" t="str" cm="1">
        <f t="array" ref="AL69">_xlfn.IFS(AK69=1,"Low",AK69=2,"Medium",AK69=3,"High",AK69=4,"Very High")</f>
        <v>High</v>
      </c>
      <c r="AM69">
        <v>1</v>
      </c>
      <c r="AN69">
        <v>0</v>
      </c>
      <c r="AO69">
        <v>0</v>
      </c>
      <c r="AP69">
        <v>0</v>
      </c>
    </row>
    <row r="70" spans="1:42">
      <c r="A70">
        <v>35</v>
      </c>
      <c r="B70" t="str" cm="1">
        <f t="array" ref="B70">_xlfn.IFS(A70&lt;=25,"18-25",A70&lt;=35,"26-35",A70&lt;=45,"36-45",A70&lt;=55,"46-55",A70&gt;55,"56+")</f>
        <v>26-35</v>
      </c>
      <c r="C70" t="s">
        <v>39</v>
      </c>
      <c r="D70" t="s">
        <v>40</v>
      </c>
      <c r="E70" s="2">
        <v>664</v>
      </c>
      <c r="F70" t="s">
        <v>41</v>
      </c>
      <c r="G70">
        <v>1</v>
      </c>
      <c r="H70" t="str">
        <f t="shared" si="1"/>
        <v>1-10 km</v>
      </c>
      <c r="I70">
        <v>3</v>
      </c>
      <c r="J70" t="str" cm="1">
        <f t="array" ref="J70">_xlfn.IFS(I70=1,"Below College",I70=2,"College",I70=3,"Bachelor",I70=4,"Master",I70=5,"Doctor")</f>
        <v>Bachelor</v>
      </c>
      <c r="K70" t="s">
        <v>47</v>
      </c>
      <c r="L70">
        <v>88</v>
      </c>
      <c r="M70">
        <v>2</v>
      </c>
      <c r="N70" t="str" cm="1">
        <f t="array" ref="N70">_xlfn.IFS(M70=1,"Low",M70=2,"Medium",M70=3,"High",M70=4,"Very High")</f>
        <v>Medium</v>
      </c>
      <c r="O70" t="s">
        <v>42</v>
      </c>
      <c r="P70" s="2">
        <v>79</v>
      </c>
      <c r="Q70">
        <v>3</v>
      </c>
      <c r="R70" t="str" cm="1">
        <f t="array" ref="R70">_xlfn.IFS(Q70=1,"Low",Q70=2,"Medium",Q70=3,"High",Q70=4,"Very High")</f>
        <v>High</v>
      </c>
      <c r="S70">
        <v>1</v>
      </c>
      <c r="T70" t="str" cm="1">
        <f t="array" ref="T70">_xlfn.IFS(S70=1,"Entry Level",S70=2,"Junior",S70=3,"Mid-Level",S70=4,"Senior",S70=5,"Executive")</f>
        <v>Entry Level</v>
      </c>
      <c r="U70" t="s">
        <v>43</v>
      </c>
      <c r="V70">
        <v>1</v>
      </c>
      <c r="W70" t="str" cm="1">
        <f t="array" ref="W70">_xlfn.IFS(V70=1,"Low",V70=2,"Medium",V70=3,"High",V70=4,"Very High")</f>
        <v>Low</v>
      </c>
      <c r="X70" t="s">
        <v>44</v>
      </c>
      <c r="Y70" s="2">
        <v>2194</v>
      </c>
      <c r="Z70" s="2">
        <v>5868</v>
      </c>
      <c r="AA70">
        <v>4</v>
      </c>
      <c r="AB70" t="s">
        <v>39</v>
      </c>
      <c r="AC70">
        <v>13</v>
      </c>
      <c r="AD70">
        <v>3</v>
      </c>
      <c r="AE70" t="str" cm="1">
        <f t="array" ref="AE70">_xlfn.IFS(AD70=1,"Low",AD70=2,"Good",AD70=3,"Excellent",AD70=4,"Outstanding")</f>
        <v>Excellent</v>
      </c>
      <c r="AF70">
        <v>4</v>
      </c>
      <c r="AG70" t="str" cm="1">
        <f t="array" ref="AG70">_xlfn.IFS(AF70=1,"Low",AF70=2,"Medium",AF70=3,"High",AF70=4,"Very High")</f>
        <v>Very High</v>
      </c>
      <c r="AH70">
        <v>1</v>
      </c>
      <c r="AI70">
        <v>5</v>
      </c>
      <c r="AJ70">
        <v>2</v>
      </c>
      <c r="AK70">
        <v>2</v>
      </c>
      <c r="AL70" t="str" cm="1">
        <f t="array" ref="AL70">_xlfn.IFS(AK70=1,"Low",AK70=2,"Medium",AK70=3,"High",AK70=4,"Very High")</f>
        <v>Medium</v>
      </c>
      <c r="AM70">
        <v>3</v>
      </c>
      <c r="AN70">
        <v>2</v>
      </c>
      <c r="AO70">
        <v>1</v>
      </c>
      <c r="AP70">
        <v>2</v>
      </c>
    </row>
    <row r="71" spans="1:42">
      <c r="A71">
        <v>36</v>
      </c>
      <c r="B71" t="str" cm="1">
        <f t="array" ref="B71">_xlfn.IFS(A71&lt;=25,"18-25",A71&lt;=35,"26-35",A71&lt;=45,"36-45",A71&lt;=55,"46-55",A71&gt;55,"56+")</f>
        <v>36-45</v>
      </c>
      <c r="C71" t="s">
        <v>32</v>
      </c>
      <c r="D71" t="s">
        <v>33</v>
      </c>
      <c r="E71" s="2">
        <v>318</v>
      </c>
      <c r="F71" t="s">
        <v>41</v>
      </c>
      <c r="G71">
        <v>9</v>
      </c>
      <c r="H71" t="str">
        <f t="shared" si="1"/>
        <v>1-10 km</v>
      </c>
      <c r="I71">
        <v>3</v>
      </c>
      <c r="J71" t="str" cm="1">
        <f t="array" ref="J71">_xlfn.IFS(I71=1,"Below College",I71=2,"College",I71=3,"Bachelor",I71=4,"Master",I71=5,"Doctor")</f>
        <v>Bachelor</v>
      </c>
      <c r="K71" t="s">
        <v>47</v>
      </c>
      <c r="L71">
        <v>90</v>
      </c>
      <c r="M71">
        <v>4</v>
      </c>
      <c r="N71" t="str" cm="1">
        <f t="array" ref="N71">_xlfn.IFS(M71=1,"Low",M71=2,"Medium",M71=3,"High",M71=4,"Very High")</f>
        <v>Very High</v>
      </c>
      <c r="O71" t="s">
        <v>42</v>
      </c>
      <c r="P71" s="2">
        <v>79</v>
      </c>
      <c r="Q71">
        <v>2</v>
      </c>
      <c r="R71" t="str" cm="1">
        <f t="array" ref="R71">_xlfn.IFS(Q71=1,"Low",Q71=2,"Medium",Q71=3,"High",Q71=4,"Very High")</f>
        <v>Medium</v>
      </c>
      <c r="S71">
        <v>1</v>
      </c>
      <c r="T71" t="str" cm="1">
        <f t="array" ref="T71">_xlfn.IFS(S71=1,"Entry Level",S71=2,"Junior",S71=3,"Mid-Level",S71=4,"Senior",S71=5,"Executive")</f>
        <v>Entry Level</v>
      </c>
      <c r="U71" t="s">
        <v>43</v>
      </c>
      <c r="V71">
        <v>3</v>
      </c>
      <c r="W71" t="str" cm="1">
        <f t="array" ref="W71">_xlfn.IFS(V71=1,"Low",V71=2,"Medium",V71=3,"High",V71=4,"Very High")</f>
        <v>High</v>
      </c>
      <c r="X71" t="s">
        <v>44</v>
      </c>
      <c r="Y71" s="2">
        <v>3388</v>
      </c>
      <c r="Z71" s="2">
        <v>21777</v>
      </c>
      <c r="AA71">
        <v>0</v>
      </c>
      <c r="AB71" t="s">
        <v>32</v>
      </c>
      <c r="AC71">
        <v>17</v>
      </c>
      <c r="AD71">
        <v>3</v>
      </c>
      <c r="AE71" t="str" cm="1">
        <f t="array" ref="AE71">_xlfn.IFS(AD71=1,"Low",AD71=2,"Good",AD71=3,"Excellent",AD71=4,"Outstanding")</f>
        <v>Excellent</v>
      </c>
      <c r="AF71">
        <v>1</v>
      </c>
      <c r="AG71" t="str" cm="1">
        <f t="array" ref="AG71">_xlfn.IFS(AF71=1,"Low",AF71=2,"Medium",AF71=3,"High",AF71=4,"Very High")</f>
        <v>Low</v>
      </c>
      <c r="AH71">
        <v>1</v>
      </c>
      <c r="AI71">
        <v>2</v>
      </c>
      <c r="AJ71">
        <v>0</v>
      </c>
      <c r="AK71">
        <v>2</v>
      </c>
      <c r="AL71" t="str" cm="1">
        <f t="array" ref="AL71">_xlfn.IFS(AK71=1,"Low",AK71=2,"Medium",AK71=3,"High",AK71=4,"Very High")</f>
        <v>Medium</v>
      </c>
      <c r="AM71">
        <v>1</v>
      </c>
      <c r="AN71">
        <v>0</v>
      </c>
      <c r="AO71">
        <v>0</v>
      </c>
      <c r="AP71">
        <v>0</v>
      </c>
    </row>
    <row r="72" spans="1:42">
      <c r="A72">
        <v>59</v>
      </c>
      <c r="B72" t="str" cm="1">
        <f t="array" ref="B72">_xlfn.IFS(A72&lt;=25,"18-25",A72&lt;=35,"26-35",A72&lt;=45,"36-45",A72&lt;=55,"46-55",A72&gt;55,"56+")</f>
        <v>56+</v>
      </c>
      <c r="C72" t="s">
        <v>39</v>
      </c>
      <c r="D72" t="s">
        <v>40</v>
      </c>
      <c r="E72" s="2">
        <v>1225</v>
      </c>
      <c r="F72" t="s">
        <v>34</v>
      </c>
      <c r="G72">
        <v>1</v>
      </c>
      <c r="H72" t="str">
        <f t="shared" si="1"/>
        <v>1-10 km</v>
      </c>
      <c r="I72">
        <v>1</v>
      </c>
      <c r="J72" t="str" cm="1">
        <f t="array" ref="J72">_xlfn.IFS(I72=1,"Below College",I72=2,"College",I72=3,"Bachelor",I72=4,"Master",I72=5,"Doctor")</f>
        <v>Below College</v>
      </c>
      <c r="K72" t="s">
        <v>35</v>
      </c>
      <c r="L72">
        <v>91</v>
      </c>
      <c r="M72">
        <v>1</v>
      </c>
      <c r="N72" t="str" cm="1">
        <f t="array" ref="N72">_xlfn.IFS(M72=1,"Low",M72=2,"Medium",M72=3,"High",M72=4,"Very High")</f>
        <v>Low</v>
      </c>
      <c r="O72" t="s">
        <v>36</v>
      </c>
      <c r="P72" s="2">
        <v>57</v>
      </c>
      <c r="Q72">
        <v>2</v>
      </c>
      <c r="R72" t="str" cm="1">
        <f t="array" ref="R72">_xlfn.IFS(Q72=1,"Low",Q72=2,"Medium",Q72=3,"High",Q72=4,"Very High")</f>
        <v>Medium</v>
      </c>
      <c r="S72">
        <v>2</v>
      </c>
      <c r="T72" t="str" cm="1">
        <f t="array" ref="T72">_xlfn.IFS(S72=1,"Entry Level",S72=2,"Junior",S72=3,"Mid-Level",S72=4,"Senior",S72=5,"Executive")</f>
        <v>Junior</v>
      </c>
      <c r="U72" t="s">
        <v>37</v>
      </c>
      <c r="V72">
        <v>3</v>
      </c>
      <c r="W72" t="str" cm="1">
        <f t="array" ref="W72">_xlfn.IFS(V72=1,"Low",V72=2,"Medium",V72=3,"High",V72=4,"Very High")</f>
        <v>High</v>
      </c>
      <c r="X72" t="s">
        <v>38</v>
      </c>
      <c r="Y72" s="2">
        <v>5473</v>
      </c>
      <c r="Z72" s="2">
        <v>24668</v>
      </c>
      <c r="AA72">
        <v>7</v>
      </c>
      <c r="AB72" t="s">
        <v>39</v>
      </c>
      <c r="AC72">
        <v>11</v>
      </c>
      <c r="AD72">
        <v>3</v>
      </c>
      <c r="AE72" t="str" cm="1">
        <f t="array" ref="AE72">_xlfn.IFS(AD72=1,"Low",AD72=2,"Good",AD72=3,"Excellent",AD72=4,"Outstanding")</f>
        <v>Excellent</v>
      </c>
      <c r="AF72">
        <v>4</v>
      </c>
      <c r="AG72" t="str" cm="1">
        <f t="array" ref="AG72">_xlfn.IFS(AF72=1,"Low",AF72=2,"Medium",AF72=3,"High",AF72=4,"Very High")</f>
        <v>Very High</v>
      </c>
      <c r="AH72">
        <v>0</v>
      </c>
      <c r="AI72">
        <v>20</v>
      </c>
      <c r="AJ72">
        <v>2</v>
      </c>
      <c r="AK72">
        <v>2</v>
      </c>
      <c r="AL72" t="str" cm="1">
        <f t="array" ref="AL72">_xlfn.IFS(AK72=1,"Low",AK72=2,"Medium",AK72=3,"High",AK72=4,"Very High")</f>
        <v>Medium</v>
      </c>
      <c r="AM72">
        <v>4</v>
      </c>
      <c r="AN72">
        <v>3</v>
      </c>
      <c r="AO72">
        <v>1</v>
      </c>
      <c r="AP72">
        <v>3</v>
      </c>
    </row>
    <row r="73" spans="1:42">
      <c r="A73">
        <v>29</v>
      </c>
      <c r="B73" t="str" cm="1">
        <f t="array" ref="B73">_xlfn.IFS(A73&lt;=25,"18-25",A73&lt;=35,"26-35",A73&lt;=45,"36-45",A73&lt;=55,"46-55",A73&gt;55,"56+")</f>
        <v>26-35</v>
      </c>
      <c r="C73" t="s">
        <v>39</v>
      </c>
      <c r="D73" t="s">
        <v>33</v>
      </c>
      <c r="E73" s="2">
        <v>1328</v>
      </c>
      <c r="F73" t="s">
        <v>41</v>
      </c>
      <c r="G73">
        <v>2</v>
      </c>
      <c r="H73" t="str">
        <f t="shared" si="1"/>
        <v>1-10 km</v>
      </c>
      <c r="I73">
        <v>3</v>
      </c>
      <c r="J73" t="str" cm="1">
        <f t="array" ref="J73">_xlfn.IFS(I73=1,"Below College",I73=2,"College",I73=3,"Bachelor",I73=4,"Master",I73=5,"Doctor")</f>
        <v>Bachelor</v>
      </c>
      <c r="K73" t="s">
        <v>35</v>
      </c>
      <c r="L73">
        <v>94</v>
      </c>
      <c r="M73">
        <v>3</v>
      </c>
      <c r="N73" t="str" cm="1">
        <f t="array" ref="N73">_xlfn.IFS(M73=1,"Low",M73=2,"Medium",M73=3,"High",M73=4,"Very High")</f>
        <v>High</v>
      </c>
      <c r="O73" t="s">
        <v>42</v>
      </c>
      <c r="P73" s="2">
        <v>76</v>
      </c>
      <c r="Q73">
        <v>3</v>
      </c>
      <c r="R73" t="str" cm="1">
        <f t="array" ref="R73">_xlfn.IFS(Q73=1,"Low",Q73=2,"Medium",Q73=3,"High",Q73=4,"Very High")</f>
        <v>High</v>
      </c>
      <c r="S73">
        <v>1</v>
      </c>
      <c r="T73" t="str" cm="1">
        <f t="array" ref="T73">_xlfn.IFS(S73=1,"Entry Level",S73=2,"Junior",S73=3,"Mid-Level",S73=4,"Senior",S73=5,"Executive")</f>
        <v>Entry Level</v>
      </c>
      <c r="U73" t="s">
        <v>43</v>
      </c>
      <c r="V73">
        <v>2</v>
      </c>
      <c r="W73" t="str" cm="1">
        <f t="array" ref="W73">_xlfn.IFS(V73=1,"Low",V73=2,"Medium",V73=3,"High",V73=4,"Very High")</f>
        <v>Medium</v>
      </c>
      <c r="X73" t="s">
        <v>44</v>
      </c>
      <c r="Y73" s="2">
        <v>2703</v>
      </c>
      <c r="Z73" s="2">
        <v>4956</v>
      </c>
      <c r="AA73">
        <v>0</v>
      </c>
      <c r="AB73" t="s">
        <v>39</v>
      </c>
      <c r="AC73">
        <v>23</v>
      </c>
      <c r="AD73">
        <v>4</v>
      </c>
      <c r="AE73" t="str" cm="1">
        <f t="array" ref="AE73">_xlfn.IFS(AD73=1,"Low",AD73=2,"Good",AD73=3,"Excellent",AD73=4,"Outstanding")</f>
        <v>Outstanding</v>
      </c>
      <c r="AF73">
        <v>4</v>
      </c>
      <c r="AG73" t="str" cm="1">
        <f t="array" ref="AG73">_xlfn.IFS(AF73=1,"Low",AF73=2,"Medium",AF73=3,"High",AF73=4,"Very High")</f>
        <v>Very High</v>
      </c>
      <c r="AH73">
        <v>1</v>
      </c>
      <c r="AI73">
        <v>6</v>
      </c>
      <c r="AJ73">
        <v>3</v>
      </c>
      <c r="AK73">
        <v>3</v>
      </c>
      <c r="AL73" t="str" cm="1">
        <f t="array" ref="AL73">_xlfn.IFS(AK73=1,"Low",AK73=2,"Medium",AK73=3,"High",AK73=4,"Very High")</f>
        <v>High</v>
      </c>
      <c r="AM73">
        <v>5</v>
      </c>
      <c r="AN73">
        <v>4</v>
      </c>
      <c r="AO73">
        <v>0</v>
      </c>
      <c r="AP73">
        <v>4</v>
      </c>
    </row>
    <row r="74" spans="1:42">
      <c r="A74">
        <v>31</v>
      </c>
      <c r="B74" t="str" cm="1">
        <f t="array" ref="B74">_xlfn.IFS(A74&lt;=25,"18-25",A74&lt;=35,"26-35",A74&lt;=45,"36-45",A74&lt;=55,"46-55",A74&gt;55,"56+")</f>
        <v>26-35</v>
      </c>
      <c r="C74" t="s">
        <v>39</v>
      </c>
      <c r="D74" t="s">
        <v>33</v>
      </c>
      <c r="E74" s="2">
        <v>1082</v>
      </c>
      <c r="F74" t="s">
        <v>41</v>
      </c>
      <c r="G74">
        <v>1</v>
      </c>
      <c r="H74" t="str">
        <f t="shared" si="1"/>
        <v>1-10 km</v>
      </c>
      <c r="I74">
        <v>4</v>
      </c>
      <c r="J74" t="str" cm="1">
        <f t="array" ref="J74">_xlfn.IFS(I74=1,"Below College",I74=2,"College",I74=3,"Bachelor",I74=4,"Master",I74=5,"Doctor")</f>
        <v>Master</v>
      </c>
      <c r="K74" t="s">
        <v>47</v>
      </c>
      <c r="L74">
        <v>95</v>
      </c>
      <c r="M74">
        <v>3</v>
      </c>
      <c r="N74" t="str" cm="1">
        <f t="array" ref="N74">_xlfn.IFS(M74=1,"Low",M74=2,"Medium",M74=3,"High",M74=4,"Very High")</f>
        <v>High</v>
      </c>
      <c r="O74" t="s">
        <v>42</v>
      </c>
      <c r="P74" s="2">
        <v>87</v>
      </c>
      <c r="Q74">
        <v>3</v>
      </c>
      <c r="R74" t="str" cm="1">
        <f t="array" ref="R74">_xlfn.IFS(Q74=1,"Low",Q74=2,"Medium",Q74=3,"High",Q74=4,"Very High")</f>
        <v>High</v>
      </c>
      <c r="S74">
        <v>1</v>
      </c>
      <c r="T74" t="str" cm="1">
        <f t="array" ref="T74">_xlfn.IFS(S74=1,"Entry Level",S74=2,"Junior",S74=3,"Mid-Level",S74=4,"Senior",S74=5,"Executive")</f>
        <v>Entry Level</v>
      </c>
      <c r="U74" t="s">
        <v>43</v>
      </c>
      <c r="V74">
        <v>2</v>
      </c>
      <c r="W74" t="str" cm="1">
        <f t="array" ref="W74">_xlfn.IFS(V74=1,"Low",V74=2,"Medium",V74=3,"High",V74=4,"Very High")</f>
        <v>Medium</v>
      </c>
      <c r="X74" t="s">
        <v>38</v>
      </c>
      <c r="Y74" s="2">
        <v>2501</v>
      </c>
      <c r="Z74" s="2">
        <v>18775</v>
      </c>
      <c r="AA74">
        <v>1</v>
      </c>
      <c r="AB74" t="s">
        <v>39</v>
      </c>
      <c r="AC74">
        <v>17</v>
      </c>
      <c r="AD74">
        <v>3</v>
      </c>
      <c r="AE74" t="str" cm="1">
        <f t="array" ref="AE74">_xlfn.IFS(AD74=1,"Low",AD74=2,"Good",AD74=3,"Excellent",AD74=4,"Outstanding")</f>
        <v>Excellent</v>
      </c>
      <c r="AF74">
        <v>2</v>
      </c>
      <c r="AG74" t="str" cm="1">
        <f t="array" ref="AG74">_xlfn.IFS(AF74=1,"Low",AF74=2,"Medium",AF74=3,"High",AF74=4,"Very High")</f>
        <v>Medium</v>
      </c>
      <c r="AH74">
        <v>0</v>
      </c>
      <c r="AI74">
        <v>1</v>
      </c>
      <c r="AJ74">
        <v>4</v>
      </c>
      <c r="AK74">
        <v>3</v>
      </c>
      <c r="AL74" t="str" cm="1">
        <f t="array" ref="AL74">_xlfn.IFS(AK74=1,"Low",AK74=2,"Medium",AK74=3,"High",AK74=4,"Very High")</f>
        <v>High</v>
      </c>
      <c r="AM74">
        <v>1</v>
      </c>
      <c r="AN74">
        <v>1</v>
      </c>
      <c r="AO74">
        <v>1</v>
      </c>
      <c r="AP74">
        <v>0</v>
      </c>
    </row>
    <row r="75" spans="1:42">
      <c r="A75">
        <v>32</v>
      </c>
      <c r="B75" t="str" cm="1">
        <f t="array" ref="B75">_xlfn.IFS(A75&lt;=25,"18-25",A75&lt;=35,"26-35",A75&lt;=45,"36-45",A75&lt;=55,"46-55",A75&gt;55,"56+")</f>
        <v>26-35</v>
      </c>
      <c r="C75" t="s">
        <v>39</v>
      </c>
      <c r="D75" t="s">
        <v>33</v>
      </c>
      <c r="E75" s="2">
        <v>548</v>
      </c>
      <c r="F75" t="s">
        <v>41</v>
      </c>
      <c r="G75">
        <v>1</v>
      </c>
      <c r="H75" t="str">
        <f t="shared" si="1"/>
        <v>1-10 km</v>
      </c>
      <c r="I75">
        <v>3</v>
      </c>
      <c r="J75" t="str" cm="1">
        <f t="array" ref="J75">_xlfn.IFS(I75=1,"Below College",I75=2,"College",I75=3,"Bachelor",I75=4,"Master",I75=5,"Doctor")</f>
        <v>Bachelor</v>
      </c>
      <c r="K75" t="s">
        <v>35</v>
      </c>
      <c r="L75">
        <v>96</v>
      </c>
      <c r="M75">
        <v>2</v>
      </c>
      <c r="N75" t="str" cm="1">
        <f t="array" ref="N75">_xlfn.IFS(M75=1,"Low",M75=2,"Medium",M75=3,"High",M75=4,"Very High")</f>
        <v>Medium</v>
      </c>
      <c r="O75" t="s">
        <v>42</v>
      </c>
      <c r="P75" s="2">
        <v>66</v>
      </c>
      <c r="Q75">
        <v>3</v>
      </c>
      <c r="R75" t="str" cm="1">
        <f t="array" ref="R75">_xlfn.IFS(Q75=1,"Low",Q75=2,"Medium",Q75=3,"High",Q75=4,"Very High")</f>
        <v>High</v>
      </c>
      <c r="S75">
        <v>2</v>
      </c>
      <c r="T75" t="str" cm="1">
        <f t="array" ref="T75">_xlfn.IFS(S75=1,"Entry Level",S75=2,"Junior",S75=3,"Mid-Level",S75=4,"Senior",S75=5,"Executive")</f>
        <v>Junior</v>
      </c>
      <c r="U75" t="s">
        <v>43</v>
      </c>
      <c r="V75">
        <v>2</v>
      </c>
      <c r="W75" t="str" cm="1">
        <f t="array" ref="W75">_xlfn.IFS(V75=1,"Low",V75=2,"Medium",V75=3,"High",V75=4,"Very High")</f>
        <v>Medium</v>
      </c>
      <c r="X75" t="s">
        <v>44</v>
      </c>
      <c r="Y75" s="2">
        <v>6220</v>
      </c>
      <c r="Z75" s="2">
        <v>7346</v>
      </c>
      <c r="AA75">
        <v>1</v>
      </c>
      <c r="AB75" t="s">
        <v>39</v>
      </c>
      <c r="AC75">
        <v>17</v>
      </c>
      <c r="AD75">
        <v>3</v>
      </c>
      <c r="AE75" t="str" cm="1">
        <f t="array" ref="AE75">_xlfn.IFS(AD75=1,"Low",AD75=2,"Good",AD75=3,"Excellent",AD75=4,"Outstanding")</f>
        <v>Excellent</v>
      </c>
      <c r="AF75">
        <v>2</v>
      </c>
      <c r="AG75" t="str" cm="1">
        <f t="array" ref="AG75">_xlfn.IFS(AF75=1,"Low",AF75=2,"Medium",AF75=3,"High",AF75=4,"Very High")</f>
        <v>Medium</v>
      </c>
      <c r="AH75">
        <v>2</v>
      </c>
      <c r="AI75">
        <v>10</v>
      </c>
      <c r="AJ75">
        <v>3</v>
      </c>
      <c r="AK75">
        <v>3</v>
      </c>
      <c r="AL75" t="str" cm="1">
        <f t="array" ref="AL75">_xlfn.IFS(AK75=1,"Low",AK75=2,"Medium",AK75=3,"High",AK75=4,"Very High")</f>
        <v>High</v>
      </c>
      <c r="AM75">
        <v>10</v>
      </c>
      <c r="AN75">
        <v>4</v>
      </c>
      <c r="AO75">
        <v>0</v>
      </c>
      <c r="AP75">
        <v>9</v>
      </c>
    </row>
    <row r="76" spans="1:42">
      <c r="A76">
        <v>36</v>
      </c>
      <c r="B76" t="str" cm="1">
        <f t="array" ref="B76">_xlfn.IFS(A76&lt;=25,"18-25",A76&lt;=35,"26-35",A76&lt;=45,"36-45",A76&lt;=55,"46-55",A76&gt;55,"56+")</f>
        <v>36-45</v>
      </c>
      <c r="C76" t="s">
        <v>39</v>
      </c>
      <c r="D76" t="s">
        <v>33</v>
      </c>
      <c r="E76" s="2">
        <v>132</v>
      </c>
      <c r="F76" t="s">
        <v>41</v>
      </c>
      <c r="G76">
        <v>6</v>
      </c>
      <c r="H76" t="str">
        <f t="shared" si="1"/>
        <v>1-10 km</v>
      </c>
      <c r="I76">
        <v>3</v>
      </c>
      <c r="J76" t="str" cm="1">
        <f t="array" ref="J76">_xlfn.IFS(I76=1,"Below College",I76=2,"College",I76=3,"Bachelor",I76=4,"Master",I76=5,"Doctor")</f>
        <v>Bachelor</v>
      </c>
      <c r="K76" t="s">
        <v>35</v>
      </c>
      <c r="L76">
        <v>97</v>
      </c>
      <c r="M76">
        <v>2</v>
      </c>
      <c r="N76" t="str" cm="1">
        <f t="array" ref="N76">_xlfn.IFS(M76=1,"Low",M76=2,"Medium",M76=3,"High",M76=4,"Very High")</f>
        <v>Medium</v>
      </c>
      <c r="O76" t="s">
        <v>36</v>
      </c>
      <c r="P76" s="2">
        <v>55</v>
      </c>
      <c r="Q76">
        <v>4</v>
      </c>
      <c r="R76" t="str" cm="1">
        <f t="array" ref="R76">_xlfn.IFS(Q76=1,"Low",Q76=2,"Medium",Q76=3,"High",Q76=4,"Very High")</f>
        <v>Very High</v>
      </c>
      <c r="S76">
        <v>1</v>
      </c>
      <c r="T76" t="str" cm="1">
        <f t="array" ref="T76">_xlfn.IFS(S76=1,"Entry Level",S76=2,"Junior",S76=3,"Mid-Level",S76=4,"Senior",S76=5,"Executive")</f>
        <v>Entry Level</v>
      </c>
      <c r="U76" t="s">
        <v>46</v>
      </c>
      <c r="V76">
        <v>4</v>
      </c>
      <c r="W76" t="str" cm="1">
        <f t="array" ref="W76">_xlfn.IFS(V76=1,"Low",V76=2,"Medium",V76=3,"High",V76=4,"Very High")</f>
        <v>Very High</v>
      </c>
      <c r="X76" t="s">
        <v>44</v>
      </c>
      <c r="Y76" s="2">
        <v>3038</v>
      </c>
      <c r="Z76" s="2">
        <v>22002</v>
      </c>
      <c r="AA76">
        <v>3</v>
      </c>
      <c r="AB76" t="s">
        <v>39</v>
      </c>
      <c r="AC76">
        <v>12</v>
      </c>
      <c r="AD76">
        <v>3</v>
      </c>
      <c r="AE76" t="str" cm="1">
        <f t="array" ref="AE76">_xlfn.IFS(AD76=1,"Low",AD76=2,"Good",AD76=3,"Excellent",AD76=4,"Outstanding")</f>
        <v>Excellent</v>
      </c>
      <c r="AF76">
        <v>2</v>
      </c>
      <c r="AG76" t="str" cm="1">
        <f t="array" ref="AG76">_xlfn.IFS(AF76=1,"Low",AF76=2,"Medium",AF76=3,"High",AF76=4,"Very High")</f>
        <v>Medium</v>
      </c>
      <c r="AH76">
        <v>0</v>
      </c>
      <c r="AI76">
        <v>5</v>
      </c>
      <c r="AJ76">
        <v>3</v>
      </c>
      <c r="AK76">
        <v>3</v>
      </c>
      <c r="AL76" t="str" cm="1">
        <f t="array" ref="AL76">_xlfn.IFS(AK76=1,"Low",AK76=2,"Medium",AK76=3,"High",AK76=4,"Very High")</f>
        <v>High</v>
      </c>
      <c r="AM76">
        <v>1</v>
      </c>
      <c r="AN76">
        <v>0</v>
      </c>
      <c r="AO76">
        <v>0</v>
      </c>
      <c r="AP76">
        <v>0</v>
      </c>
    </row>
    <row r="77" spans="1:42">
      <c r="A77">
        <v>31</v>
      </c>
      <c r="B77" t="str" cm="1">
        <f t="array" ref="B77">_xlfn.IFS(A77&lt;=25,"18-25",A77&lt;=35,"26-35",A77&lt;=45,"36-45",A77&lt;=55,"46-55",A77&gt;55,"56+")</f>
        <v>26-35</v>
      </c>
      <c r="C77" t="s">
        <v>39</v>
      </c>
      <c r="D77" t="s">
        <v>33</v>
      </c>
      <c r="E77" s="2">
        <v>746</v>
      </c>
      <c r="F77" t="s">
        <v>41</v>
      </c>
      <c r="G77">
        <v>8</v>
      </c>
      <c r="H77" t="str">
        <f t="shared" si="1"/>
        <v>1-10 km</v>
      </c>
      <c r="I77">
        <v>4</v>
      </c>
      <c r="J77" t="str" cm="1">
        <f t="array" ref="J77">_xlfn.IFS(I77=1,"Below College",I77=2,"College",I77=3,"Bachelor",I77=4,"Master",I77=5,"Doctor")</f>
        <v>Master</v>
      </c>
      <c r="K77" t="s">
        <v>35</v>
      </c>
      <c r="L77">
        <v>98</v>
      </c>
      <c r="M77">
        <v>3</v>
      </c>
      <c r="N77" t="str" cm="1">
        <f t="array" ref="N77">_xlfn.IFS(M77=1,"Low",M77=2,"Medium",M77=3,"High",M77=4,"Very High")</f>
        <v>High</v>
      </c>
      <c r="O77" t="s">
        <v>36</v>
      </c>
      <c r="P77" s="2">
        <v>61</v>
      </c>
      <c r="Q77">
        <v>3</v>
      </c>
      <c r="R77" t="str" cm="1">
        <f t="array" ref="R77">_xlfn.IFS(Q77=1,"Low",Q77=2,"Medium",Q77=3,"High",Q77=4,"Very High")</f>
        <v>High</v>
      </c>
      <c r="S77">
        <v>2</v>
      </c>
      <c r="T77" t="str" cm="1">
        <f t="array" ref="T77">_xlfn.IFS(S77=1,"Entry Level",S77=2,"Junior",S77=3,"Mid-Level",S77=4,"Senior",S77=5,"Executive")</f>
        <v>Junior</v>
      </c>
      <c r="U77" t="s">
        <v>49</v>
      </c>
      <c r="V77">
        <v>4</v>
      </c>
      <c r="W77" t="str" cm="1">
        <f t="array" ref="W77">_xlfn.IFS(V77=1,"Low",V77=2,"Medium",V77=3,"High",V77=4,"Very High")</f>
        <v>Very High</v>
      </c>
      <c r="X77" t="s">
        <v>38</v>
      </c>
      <c r="Y77" s="2">
        <v>4424</v>
      </c>
      <c r="Z77" s="2">
        <v>20682</v>
      </c>
      <c r="AA77">
        <v>1</v>
      </c>
      <c r="AB77" t="s">
        <v>39</v>
      </c>
      <c r="AC77">
        <v>23</v>
      </c>
      <c r="AD77">
        <v>4</v>
      </c>
      <c r="AE77" t="str" cm="1">
        <f t="array" ref="AE77">_xlfn.IFS(AD77=1,"Low",AD77=2,"Good",AD77=3,"Excellent",AD77=4,"Outstanding")</f>
        <v>Outstanding</v>
      </c>
      <c r="AF77">
        <v>4</v>
      </c>
      <c r="AG77" t="str" cm="1">
        <f t="array" ref="AG77">_xlfn.IFS(AF77=1,"Low",AF77=2,"Medium",AF77=3,"High",AF77=4,"Very High")</f>
        <v>Very High</v>
      </c>
      <c r="AH77">
        <v>0</v>
      </c>
      <c r="AI77">
        <v>11</v>
      </c>
      <c r="AJ77">
        <v>2</v>
      </c>
      <c r="AK77">
        <v>3</v>
      </c>
      <c r="AL77" t="str" cm="1">
        <f t="array" ref="AL77">_xlfn.IFS(AK77=1,"Low",AK77=2,"Medium",AK77=3,"High",AK77=4,"Very High")</f>
        <v>High</v>
      </c>
      <c r="AM77">
        <v>11</v>
      </c>
      <c r="AN77">
        <v>7</v>
      </c>
      <c r="AO77">
        <v>1</v>
      </c>
      <c r="AP77">
        <v>8</v>
      </c>
    </row>
    <row r="78" spans="1:42">
      <c r="A78">
        <v>35</v>
      </c>
      <c r="B78" t="str" cm="1">
        <f t="array" ref="B78">_xlfn.IFS(A78&lt;=25,"18-25",A78&lt;=35,"26-35",A78&lt;=45,"36-45",A78&lt;=55,"46-55",A78&gt;55,"56+")</f>
        <v>26-35</v>
      </c>
      <c r="C78" t="s">
        <v>39</v>
      </c>
      <c r="D78" t="s">
        <v>33</v>
      </c>
      <c r="E78" s="2">
        <v>776</v>
      </c>
      <c r="F78" t="s">
        <v>34</v>
      </c>
      <c r="G78">
        <v>1</v>
      </c>
      <c r="H78" t="str">
        <f t="shared" si="1"/>
        <v>1-10 km</v>
      </c>
      <c r="I78">
        <v>4</v>
      </c>
      <c r="J78" t="str" cm="1">
        <f t="array" ref="J78">_xlfn.IFS(I78=1,"Below College",I78=2,"College",I78=3,"Bachelor",I78=4,"Master",I78=5,"Doctor")</f>
        <v>Master</v>
      </c>
      <c r="K78" t="s">
        <v>55</v>
      </c>
      <c r="L78">
        <v>100</v>
      </c>
      <c r="M78">
        <v>3</v>
      </c>
      <c r="N78" t="str" cm="1">
        <f t="array" ref="N78">_xlfn.IFS(M78=1,"Low",M78=2,"Medium",M78=3,"High",M78=4,"Very High")</f>
        <v>High</v>
      </c>
      <c r="O78" t="s">
        <v>42</v>
      </c>
      <c r="P78" s="2">
        <v>32</v>
      </c>
      <c r="Q78">
        <v>2</v>
      </c>
      <c r="R78" t="str" cm="1">
        <f t="array" ref="R78">_xlfn.IFS(Q78=1,"Low",Q78=2,"Medium",Q78=3,"High",Q78=4,"Very High")</f>
        <v>Medium</v>
      </c>
      <c r="S78">
        <v>2</v>
      </c>
      <c r="T78" t="str" cm="1">
        <f t="array" ref="T78">_xlfn.IFS(S78=1,"Entry Level",S78=2,"Junior",S78=3,"Mid-Level",S78=4,"Senior",S78=5,"Executive")</f>
        <v>Junior</v>
      </c>
      <c r="U78" t="s">
        <v>37</v>
      </c>
      <c r="V78">
        <v>1</v>
      </c>
      <c r="W78" t="str" cm="1">
        <f t="array" ref="W78">_xlfn.IFS(V78=1,"Low",V78=2,"Medium",V78=3,"High",V78=4,"Very High")</f>
        <v>Low</v>
      </c>
      <c r="X78" t="s">
        <v>38</v>
      </c>
      <c r="Y78" s="2">
        <v>4312</v>
      </c>
      <c r="Z78" s="2">
        <v>23016</v>
      </c>
      <c r="AA78">
        <v>0</v>
      </c>
      <c r="AB78" t="s">
        <v>39</v>
      </c>
      <c r="AC78">
        <v>14</v>
      </c>
      <c r="AD78">
        <v>3</v>
      </c>
      <c r="AE78" t="str" cm="1">
        <f t="array" ref="AE78">_xlfn.IFS(AD78=1,"Low",AD78=2,"Good",AD78=3,"Excellent",AD78=4,"Outstanding")</f>
        <v>Excellent</v>
      </c>
      <c r="AF78">
        <v>2</v>
      </c>
      <c r="AG78" t="str" cm="1">
        <f t="array" ref="AG78">_xlfn.IFS(AF78=1,"Low",AF78=2,"Medium",AF78=3,"High",AF78=4,"Very High")</f>
        <v>Medium</v>
      </c>
      <c r="AH78">
        <v>0</v>
      </c>
      <c r="AI78">
        <v>16</v>
      </c>
      <c r="AJ78">
        <v>2</v>
      </c>
      <c r="AK78">
        <v>3</v>
      </c>
      <c r="AL78" t="str" cm="1">
        <f t="array" ref="AL78">_xlfn.IFS(AK78=1,"Low",AK78=2,"Medium",AK78=3,"High",AK78=4,"Very High")</f>
        <v>High</v>
      </c>
      <c r="AM78">
        <v>15</v>
      </c>
      <c r="AN78">
        <v>13</v>
      </c>
      <c r="AO78">
        <v>2</v>
      </c>
      <c r="AP78">
        <v>8</v>
      </c>
    </row>
    <row r="79" spans="1:42">
      <c r="A79">
        <v>45</v>
      </c>
      <c r="B79" t="str" cm="1">
        <f t="array" ref="B79">_xlfn.IFS(A79&lt;=25,"18-25",A79&lt;=35,"26-35",A79&lt;=45,"36-45",A79&lt;=55,"46-55",A79&gt;55,"56+")</f>
        <v>36-45</v>
      </c>
      <c r="C79" t="s">
        <v>39</v>
      </c>
      <c r="D79" t="s">
        <v>33</v>
      </c>
      <c r="E79" s="2">
        <v>193</v>
      </c>
      <c r="F79" t="s">
        <v>41</v>
      </c>
      <c r="G79">
        <v>6</v>
      </c>
      <c r="H79" t="str">
        <f t="shared" si="1"/>
        <v>1-10 km</v>
      </c>
      <c r="I79">
        <v>4</v>
      </c>
      <c r="J79" t="str" cm="1">
        <f t="array" ref="J79">_xlfn.IFS(I79=1,"Below College",I79=2,"College",I79=3,"Bachelor",I79=4,"Master",I79=5,"Doctor")</f>
        <v>Master</v>
      </c>
      <c r="K79" t="s">
        <v>45</v>
      </c>
      <c r="L79">
        <v>101</v>
      </c>
      <c r="M79">
        <v>4</v>
      </c>
      <c r="N79" t="str" cm="1">
        <f t="array" ref="N79">_xlfn.IFS(M79=1,"Low",M79=2,"Medium",M79=3,"High",M79=4,"Very High")</f>
        <v>Very High</v>
      </c>
      <c r="O79" t="s">
        <v>42</v>
      </c>
      <c r="P79" s="2">
        <v>52</v>
      </c>
      <c r="Q79">
        <v>3</v>
      </c>
      <c r="R79" t="str" cm="1">
        <f t="array" ref="R79">_xlfn.IFS(Q79=1,"Low",Q79=2,"Medium",Q79=3,"High",Q79=4,"Very High")</f>
        <v>High</v>
      </c>
      <c r="S79">
        <v>3</v>
      </c>
      <c r="T79" t="str" cm="1">
        <f t="array" ref="T79">_xlfn.IFS(S79=1,"Entry Level",S79=2,"Junior",S79=3,"Mid-Level",S79=4,"Senior",S79=5,"Executive")</f>
        <v>Mid-Level</v>
      </c>
      <c r="U79" t="s">
        <v>54</v>
      </c>
      <c r="V79">
        <v>1</v>
      </c>
      <c r="W79" t="str" cm="1">
        <f t="array" ref="W79">_xlfn.IFS(V79=1,"Low",V79=2,"Medium",V79=3,"High",V79=4,"Very High")</f>
        <v>Low</v>
      </c>
      <c r="X79" t="s">
        <v>44</v>
      </c>
      <c r="Y79" s="2">
        <v>13245</v>
      </c>
      <c r="Z79" s="2">
        <v>15067</v>
      </c>
      <c r="AA79">
        <v>4</v>
      </c>
      <c r="AB79" t="s">
        <v>32</v>
      </c>
      <c r="AC79">
        <v>14</v>
      </c>
      <c r="AD79">
        <v>3</v>
      </c>
      <c r="AE79" t="str" cm="1">
        <f t="array" ref="AE79">_xlfn.IFS(AD79=1,"Low",AD79=2,"Good",AD79=3,"Excellent",AD79=4,"Outstanding")</f>
        <v>Excellent</v>
      </c>
      <c r="AF79">
        <v>2</v>
      </c>
      <c r="AG79" t="str" cm="1">
        <f t="array" ref="AG79">_xlfn.IFS(AF79=1,"Low",AF79=2,"Medium",AF79=3,"High",AF79=4,"Very High")</f>
        <v>Medium</v>
      </c>
      <c r="AH79">
        <v>0</v>
      </c>
      <c r="AI79">
        <v>17</v>
      </c>
      <c r="AJ79">
        <v>3</v>
      </c>
      <c r="AK79">
        <v>4</v>
      </c>
      <c r="AL79" t="str" cm="1">
        <f t="array" ref="AL79">_xlfn.IFS(AK79=1,"Low",AK79=2,"Medium",AK79=3,"High",AK79=4,"Very High")</f>
        <v>Very High</v>
      </c>
      <c r="AM79">
        <v>0</v>
      </c>
      <c r="AN79">
        <v>0</v>
      </c>
      <c r="AO79">
        <v>0</v>
      </c>
      <c r="AP79">
        <v>0</v>
      </c>
    </row>
    <row r="80" spans="1:42">
      <c r="A80">
        <v>37</v>
      </c>
      <c r="B80" t="str" cm="1">
        <f t="array" ref="B80">_xlfn.IFS(A80&lt;=25,"18-25",A80&lt;=35,"26-35",A80&lt;=45,"36-45",A80&lt;=55,"46-55",A80&gt;55,"56+")</f>
        <v>36-45</v>
      </c>
      <c r="C80" t="s">
        <v>39</v>
      </c>
      <c r="D80" t="s">
        <v>33</v>
      </c>
      <c r="E80" s="2">
        <v>397</v>
      </c>
      <c r="F80" t="s">
        <v>41</v>
      </c>
      <c r="G80">
        <v>7</v>
      </c>
      <c r="H80" t="str">
        <f t="shared" si="1"/>
        <v>1-10 km</v>
      </c>
      <c r="I80">
        <v>4</v>
      </c>
      <c r="J80" t="str" cm="1">
        <f t="array" ref="J80">_xlfn.IFS(I80=1,"Below College",I80=2,"College",I80=3,"Bachelor",I80=4,"Master",I80=5,"Doctor")</f>
        <v>Master</v>
      </c>
      <c r="K80" t="s">
        <v>47</v>
      </c>
      <c r="L80">
        <v>102</v>
      </c>
      <c r="M80">
        <v>1</v>
      </c>
      <c r="N80" t="str" cm="1">
        <f t="array" ref="N80">_xlfn.IFS(M80=1,"Low",M80=2,"Medium",M80=3,"High",M80=4,"Very High")</f>
        <v>Low</v>
      </c>
      <c r="O80" t="s">
        <v>42</v>
      </c>
      <c r="P80" s="2">
        <v>30</v>
      </c>
      <c r="Q80">
        <v>3</v>
      </c>
      <c r="R80" t="str" cm="1">
        <f t="array" ref="R80">_xlfn.IFS(Q80=1,"Low",Q80=2,"Medium",Q80=3,"High",Q80=4,"Very High")</f>
        <v>High</v>
      </c>
      <c r="S80">
        <v>3</v>
      </c>
      <c r="T80" t="str" cm="1">
        <f t="array" ref="T80">_xlfn.IFS(S80=1,"Entry Level",S80=2,"Junior",S80=3,"Mid-Level",S80=4,"Senior",S80=5,"Executive")</f>
        <v>Mid-Level</v>
      </c>
      <c r="U80" t="s">
        <v>54</v>
      </c>
      <c r="V80">
        <v>3</v>
      </c>
      <c r="W80" t="str" cm="1">
        <f t="array" ref="W80">_xlfn.IFS(V80=1,"Low",V80=2,"Medium",V80=3,"High",V80=4,"Very High")</f>
        <v>High</v>
      </c>
      <c r="X80" t="s">
        <v>38</v>
      </c>
      <c r="Y80" s="2">
        <v>13664</v>
      </c>
      <c r="Z80" s="2">
        <v>25258</v>
      </c>
      <c r="AA80">
        <v>4</v>
      </c>
      <c r="AB80" t="s">
        <v>39</v>
      </c>
      <c r="AC80">
        <v>13</v>
      </c>
      <c r="AD80">
        <v>3</v>
      </c>
      <c r="AE80" t="str" cm="1">
        <f t="array" ref="AE80">_xlfn.IFS(AD80=1,"Low",AD80=2,"Good",AD80=3,"Excellent",AD80=4,"Outstanding")</f>
        <v>Excellent</v>
      </c>
      <c r="AF80">
        <v>1</v>
      </c>
      <c r="AG80" t="str" cm="1">
        <f t="array" ref="AG80">_xlfn.IFS(AF80=1,"Low",AF80=2,"Medium",AF80=3,"High",AF80=4,"Very High")</f>
        <v>Low</v>
      </c>
      <c r="AH80">
        <v>0</v>
      </c>
      <c r="AI80">
        <v>16</v>
      </c>
      <c r="AJ80">
        <v>3</v>
      </c>
      <c r="AK80">
        <v>4</v>
      </c>
      <c r="AL80" t="str" cm="1">
        <f t="array" ref="AL80">_xlfn.IFS(AK80=1,"Low",AK80=2,"Medium",AK80=3,"High",AK80=4,"Very High")</f>
        <v>Very High</v>
      </c>
      <c r="AM80">
        <v>5</v>
      </c>
      <c r="AN80">
        <v>2</v>
      </c>
      <c r="AO80">
        <v>0</v>
      </c>
      <c r="AP80">
        <v>2</v>
      </c>
    </row>
    <row r="81" spans="1:42">
      <c r="A81">
        <v>46</v>
      </c>
      <c r="B81" t="str" cm="1">
        <f t="array" ref="B81">_xlfn.IFS(A81&lt;=25,"18-25",A81&lt;=35,"26-35",A81&lt;=45,"36-45",A81&lt;=55,"46-55",A81&gt;55,"56+")</f>
        <v>46-55</v>
      </c>
      <c r="C81" t="s">
        <v>39</v>
      </c>
      <c r="D81" t="s">
        <v>33</v>
      </c>
      <c r="E81" s="2">
        <v>945</v>
      </c>
      <c r="F81" t="s">
        <v>57</v>
      </c>
      <c r="G81">
        <v>5</v>
      </c>
      <c r="H81" t="str">
        <f t="shared" si="1"/>
        <v>1-10 km</v>
      </c>
      <c r="I81">
        <v>2</v>
      </c>
      <c r="J81" t="str" cm="1">
        <f t="array" ref="J81">_xlfn.IFS(I81=1,"Below College",I81=2,"College",I81=3,"Bachelor",I81=4,"Master",I81=5,"Doctor")</f>
        <v>College</v>
      </c>
      <c r="K81" t="s">
        <v>47</v>
      </c>
      <c r="L81">
        <v>103</v>
      </c>
      <c r="M81">
        <v>2</v>
      </c>
      <c r="N81" t="str" cm="1">
        <f t="array" ref="N81">_xlfn.IFS(M81=1,"Low",M81=2,"Medium",M81=3,"High",M81=4,"Very High")</f>
        <v>Medium</v>
      </c>
      <c r="O81" t="s">
        <v>42</v>
      </c>
      <c r="P81" s="2">
        <v>80</v>
      </c>
      <c r="Q81">
        <v>3</v>
      </c>
      <c r="R81" t="str" cm="1">
        <f t="array" ref="R81">_xlfn.IFS(Q81=1,"Low",Q81=2,"Medium",Q81=3,"High",Q81=4,"Very High")</f>
        <v>High</v>
      </c>
      <c r="S81">
        <v>2</v>
      </c>
      <c r="T81" t="str" cm="1">
        <f t="array" ref="T81">_xlfn.IFS(S81=1,"Entry Level",S81=2,"Junior",S81=3,"Mid-Level",S81=4,"Senior",S81=5,"Executive")</f>
        <v>Junior</v>
      </c>
      <c r="U81" t="s">
        <v>57</v>
      </c>
      <c r="V81">
        <v>2</v>
      </c>
      <c r="W81" t="str" cm="1">
        <f t="array" ref="W81">_xlfn.IFS(V81=1,"Low",V81=2,"Medium",V81=3,"High",V81=4,"Very High")</f>
        <v>Medium</v>
      </c>
      <c r="X81" t="s">
        <v>48</v>
      </c>
      <c r="Y81" s="2">
        <v>5021</v>
      </c>
      <c r="Z81" s="2">
        <v>10425</v>
      </c>
      <c r="AA81">
        <v>8</v>
      </c>
      <c r="AB81" t="s">
        <v>32</v>
      </c>
      <c r="AC81">
        <v>22</v>
      </c>
      <c r="AD81">
        <v>4</v>
      </c>
      <c r="AE81" t="str" cm="1">
        <f t="array" ref="AE81">_xlfn.IFS(AD81=1,"Low",AD81=2,"Good",AD81=3,"Excellent",AD81=4,"Outstanding")</f>
        <v>Outstanding</v>
      </c>
      <c r="AF81">
        <v>4</v>
      </c>
      <c r="AG81" t="str" cm="1">
        <f t="array" ref="AG81">_xlfn.IFS(AF81=1,"Low",AF81=2,"Medium",AF81=3,"High",AF81=4,"Very High")</f>
        <v>Very High</v>
      </c>
      <c r="AH81">
        <v>1</v>
      </c>
      <c r="AI81">
        <v>16</v>
      </c>
      <c r="AJ81">
        <v>2</v>
      </c>
      <c r="AK81">
        <v>3</v>
      </c>
      <c r="AL81" t="str" cm="1">
        <f t="array" ref="AL81">_xlfn.IFS(AK81=1,"Low",AK81=2,"Medium",AK81=3,"High",AK81=4,"Very High")</f>
        <v>High</v>
      </c>
      <c r="AM81">
        <v>4</v>
      </c>
      <c r="AN81">
        <v>2</v>
      </c>
      <c r="AO81">
        <v>0</v>
      </c>
      <c r="AP81">
        <v>2</v>
      </c>
    </row>
    <row r="82" spans="1:42">
      <c r="A82">
        <v>30</v>
      </c>
      <c r="B82" t="str" cm="1">
        <f t="array" ref="B82">_xlfn.IFS(A82&lt;=25,"18-25",A82&lt;=35,"26-35",A82&lt;=45,"36-45",A82&lt;=55,"46-55",A82&gt;55,"56+")</f>
        <v>26-35</v>
      </c>
      <c r="C82" t="s">
        <v>39</v>
      </c>
      <c r="D82" t="s">
        <v>33</v>
      </c>
      <c r="E82" s="2">
        <v>852</v>
      </c>
      <c r="F82" t="s">
        <v>41</v>
      </c>
      <c r="G82">
        <v>1</v>
      </c>
      <c r="H82" t="str">
        <f t="shared" si="1"/>
        <v>1-10 km</v>
      </c>
      <c r="I82">
        <v>1</v>
      </c>
      <c r="J82" t="str" cm="1">
        <f t="array" ref="J82">_xlfn.IFS(I82=1,"Below College",I82=2,"College",I82=3,"Bachelor",I82=4,"Master",I82=5,"Doctor")</f>
        <v>Below College</v>
      </c>
      <c r="K82" t="s">
        <v>35</v>
      </c>
      <c r="L82">
        <v>104</v>
      </c>
      <c r="M82">
        <v>4</v>
      </c>
      <c r="N82" t="str" cm="1">
        <f t="array" ref="N82">_xlfn.IFS(M82=1,"Low",M82=2,"Medium",M82=3,"High",M82=4,"Very High")</f>
        <v>Very High</v>
      </c>
      <c r="O82" t="s">
        <v>42</v>
      </c>
      <c r="P82" s="2">
        <v>55</v>
      </c>
      <c r="Q82">
        <v>2</v>
      </c>
      <c r="R82" t="str" cm="1">
        <f t="array" ref="R82">_xlfn.IFS(Q82=1,"Low",Q82=2,"Medium",Q82=3,"High",Q82=4,"Very High")</f>
        <v>Medium</v>
      </c>
      <c r="S82">
        <v>2</v>
      </c>
      <c r="T82" t="str" cm="1">
        <f t="array" ref="T82">_xlfn.IFS(S82=1,"Entry Level",S82=2,"Junior",S82=3,"Mid-Level",S82=4,"Senior",S82=5,"Executive")</f>
        <v>Junior</v>
      </c>
      <c r="U82" t="s">
        <v>46</v>
      </c>
      <c r="V82">
        <v>4</v>
      </c>
      <c r="W82" t="str" cm="1">
        <f t="array" ref="W82">_xlfn.IFS(V82=1,"Low",V82=2,"Medium",V82=3,"High",V82=4,"Very High")</f>
        <v>Very High</v>
      </c>
      <c r="X82" t="s">
        <v>44</v>
      </c>
      <c r="Y82" s="2">
        <v>5126</v>
      </c>
      <c r="Z82" s="2">
        <v>15998</v>
      </c>
      <c r="AA82">
        <v>1</v>
      </c>
      <c r="AB82" t="s">
        <v>32</v>
      </c>
      <c r="AC82">
        <v>12</v>
      </c>
      <c r="AD82">
        <v>3</v>
      </c>
      <c r="AE82" t="str" cm="1">
        <f t="array" ref="AE82">_xlfn.IFS(AD82=1,"Low",AD82=2,"Good",AD82=3,"Excellent",AD82=4,"Outstanding")</f>
        <v>Excellent</v>
      </c>
      <c r="AF82">
        <v>3</v>
      </c>
      <c r="AG82" t="str" cm="1">
        <f t="array" ref="AG82">_xlfn.IFS(AF82=1,"Low",AF82=2,"Medium",AF82=3,"High",AF82=4,"Very High")</f>
        <v>High</v>
      </c>
      <c r="AH82">
        <v>2</v>
      </c>
      <c r="AI82">
        <v>10</v>
      </c>
      <c r="AJ82">
        <v>1</v>
      </c>
      <c r="AK82">
        <v>2</v>
      </c>
      <c r="AL82" t="str" cm="1">
        <f t="array" ref="AL82">_xlfn.IFS(AK82=1,"Low",AK82=2,"Medium",AK82=3,"High",AK82=4,"Very High")</f>
        <v>Medium</v>
      </c>
      <c r="AM82">
        <v>10</v>
      </c>
      <c r="AN82">
        <v>8</v>
      </c>
      <c r="AO82">
        <v>3</v>
      </c>
      <c r="AP82">
        <v>0</v>
      </c>
    </row>
    <row r="83" spans="1:42">
      <c r="A83">
        <v>35</v>
      </c>
      <c r="B83" t="str" cm="1">
        <f t="array" ref="B83">_xlfn.IFS(A83&lt;=25,"18-25",A83&lt;=35,"26-35",A83&lt;=45,"36-45",A83&lt;=55,"46-55",A83&gt;55,"56+")</f>
        <v>26-35</v>
      </c>
      <c r="C83" t="s">
        <v>39</v>
      </c>
      <c r="D83" t="s">
        <v>33</v>
      </c>
      <c r="E83" s="2">
        <v>1214</v>
      </c>
      <c r="F83" t="s">
        <v>41</v>
      </c>
      <c r="G83">
        <v>1</v>
      </c>
      <c r="H83" t="str">
        <f t="shared" si="1"/>
        <v>1-10 km</v>
      </c>
      <c r="I83">
        <v>3</v>
      </c>
      <c r="J83" t="str" cm="1">
        <f t="array" ref="J83">_xlfn.IFS(I83=1,"Below College",I83=2,"College",I83=3,"Bachelor",I83=4,"Master",I83=5,"Doctor")</f>
        <v>Bachelor</v>
      </c>
      <c r="K83" t="s">
        <v>47</v>
      </c>
      <c r="L83">
        <v>105</v>
      </c>
      <c r="M83">
        <v>2</v>
      </c>
      <c r="N83" t="str" cm="1">
        <f t="array" ref="N83">_xlfn.IFS(M83=1,"Low",M83=2,"Medium",M83=3,"High",M83=4,"Very High")</f>
        <v>Medium</v>
      </c>
      <c r="O83" t="s">
        <v>42</v>
      </c>
      <c r="P83" s="2">
        <v>30</v>
      </c>
      <c r="Q83">
        <v>2</v>
      </c>
      <c r="R83" t="str" cm="1">
        <f t="array" ref="R83">_xlfn.IFS(Q83=1,"Low",Q83=2,"Medium",Q83=3,"High",Q83=4,"Very High")</f>
        <v>Medium</v>
      </c>
      <c r="S83">
        <v>1</v>
      </c>
      <c r="T83" t="str" cm="1">
        <f t="array" ref="T83">_xlfn.IFS(S83=1,"Entry Level",S83=2,"Junior",S83=3,"Mid-Level",S83=4,"Senior",S83=5,"Executive")</f>
        <v>Entry Level</v>
      </c>
      <c r="U83" t="s">
        <v>43</v>
      </c>
      <c r="V83">
        <v>3</v>
      </c>
      <c r="W83" t="str" cm="1">
        <f t="array" ref="W83">_xlfn.IFS(V83=1,"Low",V83=2,"Medium",V83=3,"High",V83=4,"Very High")</f>
        <v>High</v>
      </c>
      <c r="X83" t="s">
        <v>38</v>
      </c>
      <c r="Y83" s="2">
        <v>2859</v>
      </c>
      <c r="Z83" s="2">
        <v>26278</v>
      </c>
      <c r="AA83">
        <v>1</v>
      </c>
      <c r="AB83" t="s">
        <v>39</v>
      </c>
      <c r="AC83">
        <v>18</v>
      </c>
      <c r="AD83">
        <v>3</v>
      </c>
      <c r="AE83" t="str" cm="1">
        <f t="array" ref="AE83">_xlfn.IFS(AD83=1,"Low",AD83=2,"Good",AD83=3,"Excellent",AD83=4,"Outstanding")</f>
        <v>Excellent</v>
      </c>
      <c r="AF83">
        <v>1</v>
      </c>
      <c r="AG83" t="str" cm="1">
        <f t="array" ref="AG83">_xlfn.IFS(AF83=1,"Low",AF83=2,"Medium",AF83=3,"High",AF83=4,"Very High")</f>
        <v>Low</v>
      </c>
      <c r="AH83">
        <v>0</v>
      </c>
      <c r="AI83">
        <v>6</v>
      </c>
      <c r="AJ83">
        <v>3</v>
      </c>
      <c r="AK83">
        <v>3</v>
      </c>
      <c r="AL83" t="str" cm="1">
        <f t="array" ref="AL83">_xlfn.IFS(AK83=1,"Low",AK83=2,"Medium",AK83=3,"High",AK83=4,"Very High")</f>
        <v>High</v>
      </c>
      <c r="AM83">
        <v>6</v>
      </c>
      <c r="AN83">
        <v>4</v>
      </c>
      <c r="AO83">
        <v>0</v>
      </c>
      <c r="AP83">
        <v>4</v>
      </c>
    </row>
    <row r="84" spans="1:42">
      <c r="A84">
        <v>55</v>
      </c>
      <c r="B84" t="str" cm="1">
        <f t="array" ref="B84">_xlfn.IFS(A84&lt;=25,"18-25",A84&lt;=35,"26-35",A84&lt;=45,"36-45",A84&lt;=55,"46-55",A84&gt;55,"56+")</f>
        <v>46-55</v>
      </c>
      <c r="C84" t="s">
        <v>39</v>
      </c>
      <c r="D84" t="s">
        <v>33</v>
      </c>
      <c r="E84" s="2">
        <v>111</v>
      </c>
      <c r="F84" t="s">
        <v>34</v>
      </c>
      <c r="G84">
        <v>1</v>
      </c>
      <c r="H84" t="str">
        <f t="shared" si="1"/>
        <v>1-10 km</v>
      </c>
      <c r="I84">
        <v>2</v>
      </c>
      <c r="J84" t="str" cm="1">
        <f t="array" ref="J84">_xlfn.IFS(I84=1,"Below College",I84=2,"College",I84=3,"Bachelor",I84=4,"Master",I84=5,"Doctor")</f>
        <v>College</v>
      </c>
      <c r="K84" t="s">
        <v>35</v>
      </c>
      <c r="L84">
        <v>106</v>
      </c>
      <c r="M84">
        <v>1</v>
      </c>
      <c r="N84" t="str" cm="1">
        <f t="array" ref="N84">_xlfn.IFS(M84=1,"Low",M84=2,"Medium",M84=3,"High",M84=4,"Very High")</f>
        <v>Low</v>
      </c>
      <c r="O84" t="s">
        <v>42</v>
      </c>
      <c r="P84" s="2">
        <v>70</v>
      </c>
      <c r="Q84">
        <v>3</v>
      </c>
      <c r="R84" t="str" cm="1">
        <f t="array" ref="R84">_xlfn.IFS(Q84=1,"Low",Q84=2,"Medium",Q84=3,"High",Q84=4,"Very High")</f>
        <v>High</v>
      </c>
      <c r="S84">
        <v>3</v>
      </c>
      <c r="T84" t="str" cm="1">
        <f t="array" ref="T84">_xlfn.IFS(S84=1,"Entry Level",S84=2,"Junior",S84=3,"Mid-Level",S84=4,"Senior",S84=5,"Executive")</f>
        <v>Mid-Level</v>
      </c>
      <c r="U84" t="s">
        <v>37</v>
      </c>
      <c r="V84">
        <v>4</v>
      </c>
      <c r="W84" t="str" cm="1">
        <f t="array" ref="W84">_xlfn.IFS(V84=1,"Low",V84=2,"Medium",V84=3,"High",V84=4,"Very High")</f>
        <v>Very High</v>
      </c>
      <c r="X84" t="s">
        <v>44</v>
      </c>
      <c r="Y84" s="2">
        <v>10239</v>
      </c>
      <c r="Z84" s="2">
        <v>18092</v>
      </c>
      <c r="AA84">
        <v>3</v>
      </c>
      <c r="AB84" t="s">
        <v>39</v>
      </c>
      <c r="AC84">
        <v>14</v>
      </c>
      <c r="AD84">
        <v>3</v>
      </c>
      <c r="AE84" t="str" cm="1">
        <f t="array" ref="AE84">_xlfn.IFS(AD84=1,"Low",AD84=2,"Good",AD84=3,"Excellent",AD84=4,"Outstanding")</f>
        <v>Excellent</v>
      </c>
      <c r="AF84">
        <v>4</v>
      </c>
      <c r="AG84" t="str" cm="1">
        <f t="array" ref="AG84">_xlfn.IFS(AF84=1,"Low",AF84=2,"Medium",AF84=3,"High",AF84=4,"Very High")</f>
        <v>Very High</v>
      </c>
      <c r="AH84">
        <v>1</v>
      </c>
      <c r="AI84">
        <v>24</v>
      </c>
      <c r="AJ84">
        <v>4</v>
      </c>
      <c r="AK84">
        <v>3</v>
      </c>
      <c r="AL84" t="str" cm="1">
        <f t="array" ref="AL84">_xlfn.IFS(AK84=1,"Low",AK84=2,"Medium",AK84=3,"High",AK84=4,"Very High")</f>
        <v>High</v>
      </c>
      <c r="AM84">
        <v>1</v>
      </c>
      <c r="AN84">
        <v>0</v>
      </c>
      <c r="AO84">
        <v>1</v>
      </c>
      <c r="AP84">
        <v>0</v>
      </c>
    </row>
    <row r="85" spans="1:42">
      <c r="A85">
        <v>38</v>
      </c>
      <c r="B85" t="str" cm="1">
        <f t="array" ref="B85">_xlfn.IFS(A85&lt;=25,"18-25",A85&lt;=35,"26-35",A85&lt;=45,"36-45",A85&lt;=55,"46-55",A85&gt;55,"56+")</f>
        <v>36-45</v>
      </c>
      <c r="C85" t="s">
        <v>39</v>
      </c>
      <c r="D85" t="s">
        <v>51</v>
      </c>
      <c r="E85" s="2">
        <v>573</v>
      </c>
      <c r="F85" t="s">
        <v>41</v>
      </c>
      <c r="G85">
        <v>6</v>
      </c>
      <c r="H85" t="str">
        <f t="shared" si="1"/>
        <v>1-10 km</v>
      </c>
      <c r="I85">
        <v>3</v>
      </c>
      <c r="J85" t="str" cm="1">
        <f t="array" ref="J85">_xlfn.IFS(I85=1,"Below College",I85=2,"College",I85=3,"Bachelor",I85=4,"Master",I85=5,"Doctor")</f>
        <v>Bachelor</v>
      </c>
      <c r="K85" t="s">
        <v>47</v>
      </c>
      <c r="L85">
        <v>107</v>
      </c>
      <c r="M85">
        <v>2</v>
      </c>
      <c r="N85" t="str" cm="1">
        <f t="array" ref="N85">_xlfn.IFS(M85=1,"Low",M85=2,"Medium",M85=3,"High",M85=4,"Very High")</f>
        <v>Medium</v>
      </c>
      <c r="O85" t="s">
        <v>36</v>
      </c>
      <c r="P85" s="2">
        <v>79</v>
      </c>
      <c r="Q85">
        <v>1</v>
      </c>
      <c r="R85" t="str" cm="1">
        <f t="array" ref="R85">_xlfn.IFS(Q85=1,"Low",Q85=2,"Medium",Q85=3,"High",Q85=4,"Very High")</f>
        <v>Low</v>
      </c>
      <c r="S85">
        <v>2</v>
      </c>
      <c r="T85" t="str" cm="1">
        <f t="array" ref="T85">_xlfn.IFS(S85=1,"Entry Level",S85=2,"Junior",S85=3,"Mid-Level",S85=4,"Senior",S85=5,"Executive")</f>
        <v>Junior</v>
      </c>
      <c r="U85" t="s">
        <v>43</v>
      </c>
      <c r="V85">
        <v>4</v>
      </c>
      <c r="W85" t="str" cm="1">
        <f t="array" ref="W85">_xlfn.IFS(V85=1,"Low",V85=2,"Medium",V85=3,"High",V85=4,"Very High")</f>
        <v>Very High</v>
      </c>
      <c r="X85" t="s">
        <v>48</v>
      </c>
      <c r="Y85" s="2">
        <v>5329</v>
      </c>
      <c r="Z85" s="2">
        <v>15717</v>
      </c>
      <c r="AA85">
        <v>7</v>
      </c>
      <c r="AB85" t="s">
        <v>32</v>
      </c>
      <c r="AC85">
        <v>12</v>
      </c>
      <c r="AD85">
        <v>3</v>
      </c>
      <c r="AE85" t="str" cm="1">
        <f t="array" ref="AE85">_xlfn.IFS(AD85=1,"Low",AD85=2,"Good",AD85=3,"Excellent",AD85=4,"Outstanding")</f>
        <v>Excellent</v>
      </c>
      <c r="AF85">
        <v>4</v>
      </c>
      <c r="AG85" t="str" cm="1">
        <f t="array" ref="AG85">_xlfn.IFS(AF85=1,"Low",AF85=2,"Medium",AF85=3,"High",AF85=4,"Very High")</f>
        <v>Very High</v>
      </c>
      <c r="AH85">
        <v>3</v>
      </c>
      <c r="AI85">
        <v>17</v>
      </c>
      <c r="AJ85">
        <v>3</v>
      </c>
      <c r="AK85">
        <v>3</v>
      </c>
      <c r="AL85" t="str" cm="1">
        <f t="array" ref="AL85">_xlfn.IFS(AK85=1,"Low",AK85=2,"Medium",AK85=3,"High",AK85=4,"Very High")</f>
        <v>High</v>
      </c>
      <c r="AM85">
        <v>13</v>
      </c>
      <c r="AN85">
        <v>11</v>
      </c>
      <c r="AO85">
        <v>1</v>
      </c>
      <c r="AP85">
        <v>9</v>
      </c>
    </row>
    <row r="86" spans="1:42">
      <c r="A86">
        <v>34</v>
      </c>
      <c r="B86" t="str" cm="1">
        <f t="array" ref="B86">_xlfn.IFS(A86&lt;=25,"18-25",A86&lt;=35,"26-35",A86&lt;=45,"36-45",A86&lt;=55,"46-55",A86&gt;55,"56+")</f>
        <v>26-35</v>
      </c>
      <c r="C86" t="s">
        <v>39</v>
      </c>
      <c r="D86" t="s">
        <v>33</v>
      </c>
      <c r="E86" s="2">
        <v>1153</v>
      </c>
      <c r="F86" t="s">
        <v>41</v>
      </c>
      <c r="G86">
        <v>1</v>
      </c>
      <c r="H86" t="str">
        <f t="shared" si="1"/>
        <v>1-10 km</v>
      </c>
      <c r="I86">
        <v>2</v>
      </c>
      <c r="J86" t="str" cm="1">
        <f t="array" ref="J86">_xlfn.IFS(I86=1,"Below College",I86=2,"College",I86=3,"Bachelor",I86=4,"Master",I86=5,"Doctor")</f>
        <v>College</v>
      </c>
      <c r="K86" t="s">
        <v>47</v>
      </c>
      <c r="L86">
        <v>110</v>
      </c>
      <c r="M86">
        <v>1</v>
      </c>
      <c r="N86" t="str" cm="1">
        <f t="array" ref="N86">_xlfn.IFS(M86=1,"Low",M86=2,"Medium",M86=3,"High",M86=4,"Very High")</f>
        <v>Low</v>
      </c>
      <c r="O86" t="s">
        <v>42</v>
      </c>
      <c r="P86" s="2">
        <v>94</v>
      </c>
      <c r="Q86">
        <v>3</v>
      </c>
      <c r="R86" t="str" cm="1">
        <f t="array" ref="R86">_xlfn.IFS(Q86=1,"Low",Q86=2,"Medium",Q86=3,"High",Q86=4,"Very High")</f>
        <v>High</v>
      </c>
      <c r="S86">
        <v>2</v>
      </c>
      <c r="T86" t="str" cm="1">
        <f t="array" ref="T86">_xlfn.IFS(S86=1,"Entry Level",S86=2,"Junior",S86=3,"Mid-Level",S86=4,"Senior",S86=5,"Executive")</f>
        <v>Junior</v>
      </c>
      <c r="U86" t="s">
        <v>49</v>
      </c>
      <c r="V86">
        <v>2</v>
      </c>
      <c r="W86" t="str" cm="1">
        <f t="array" ref="W86">_xlfn.IFS(V86=1,"Low",V86=2,"Medium",V86=3,"High",V86=4,"Very High")</f>
        <v>Medium</v>
      </c>
      <c r="X86" t="s">
        <v>44</v>
      </c>
      <c r="Y86" s="2">
        <v>4325</v>
      </c>
      <c r="Z86" s="2">
        <v>17736</v>
      </c>
      <c r="AA86">
        <v>1</v>
      </c>
      <c r="AB86" t="s">
        <v>39</v>
      </c>
      <c r="AC86">
        <v>15</v>
      </c>
      <c r="AD86">
        <v>3</v>
      </c>
      <c r="AE86" t="str" cm="1">
        <f t="array" ref="AE86">_xlfn.IFS(AD86=1,"Low",AD86=2,"Good",AD86=3,"Excellent",AD86=4,"Outstanding")</f>
        <v>Excellent</v>
      </c>
      <c r="AF86">
        <v>3</v>
      </c>
      <c r="AG86" t="str" cm="1">
        <f t="array" ref="AG86">_xlfn.IFS(AF86=1,"Low",AF86=2,"Medium",AF86=3,"High",AF86=4,"Very High")</f>
        <v>High</v>
      </c>
      <c r="AH86">
        <v>0</v>
      </c>
      <c r="AI86">
        <v>5</v>
      </c>
      <c r="AJ86">
        <v>2</v>
      </c>
      <c r="AK86">
        <v>3</v>
      </c>
      <c r="AL86" t="str" cm="1">
        <f t="array" ref="AL86">_xlfn.IFS(AK86=1,"Low",AK86=2,"Medium",AK86=3,"High",AK86=4,"Very High")</f>
        <v>High</v>
      </c>
      <c r="AM86">
        <v>5</v>
      </c>
      <c r="AN86">
        <v>2</v>
      </c>
      <c r="AO86">
        <v>1</v>
      </c>
      <c r="AP86">
        <v>3</v>
      </c>
    </row>
    <row r="87" spans="1:42">
      <c r="A87">
        <v>56</v>
      </c>
      <c r="B87" t="str" cm="1">
        <f t="array" ref="B87">_xlfn.IFS(A87&lt;=25,"18-25",A87&lt;=35,"26-35",A87&lt;=45,"36-45",A87&lt;=55,"46-55",A87&gt;55,"56+")</f>
        <v>56+</v>
      </c>
      <c r="C87" t="s">
        <v>39</v>
      </c>
      <c r="D87" t="s">
        <v>33</v>
      </c>
      <c r="E87" s="2">
        <v>1400</v>
      </c>
      <c r="F87" t="s">
        <v>41</v>
      </c>
      <c r="G87">
        <v>7</v>
      </c>
      <c r="H87" t="str">
        <f t="shared" si="1"/>
        <v>1-10 km</v>
      </c>
      <c r="I87">
        <v>3</v>
      </c>
      <c r="J87" t="str" cm="1">
        <f t="array" ref="J87">_xlfn.IFS(I87=1,"Below College",I87=2,"College",I87=3,"Bachelor",I87=4,"Master",I87=5,"Doctor")</f>
        <v>Bachelor</v>
      </c>
      <c r="K87" t="s">
        <v>35</v>
      </c>
      <c r="L87">
        <v>112</v>
      </c>
      <c r="M87">
        <v>4</v>
      </c>
      <c r="N87" t="str" cm="1">
        <f t="array" ref="N87">_xlfn.IFS(M87=1,"Low",M87=2,"Medium",M87=3,"High",M87=4,"Very High")</f>
        <v>Very High</v>
      </c>
      <c r="O87" t="s">
        <v>42</v>
      </c>
      <c r="P87" s="2">
        <v>49</v>
      </c>
      <c r="Q87">
        <v>1</v>
      </c>
      <c r="R87" t="str" cm="1">
        <f t="array" ref="R87">_xlfn.IFS(Q87=1,"Low",Q87=2,"Medium",Q87=3,"High",Q87=4,"Very High")</f>
        <v>Low</v>
      </c>
      <c r="S87">
        <v>3</v>
      </c>
      <c r="T87" t="str" cm="1">
        <f t="array" ref="T87">_xlfn.IFS(S87=1,"Entry Level",S87=2,"Junior",S87=3,"Mid-Level",S87=4,"Senior",S87=5,"Executive")</f>
        <v>Mid-Level</v>
      </c>
      <c r="U87" t="s">
        <v>49</v>
      </c>
      <c r="V87">
        <v>4</v>
      </c>
      <c r="W87" t="str" cm="1">
        <f t="array" ref="W87">_xlfn.IFS(V87=1,"Low",V87=2,"Medium",V87=3,"High",V87=4,"Very High")</f>
        <v>Very High</v>
      </c>
      <c r="X87" t="s">
        <v>38</v>
      </c>
      <c r="Y87" s="2">
        <v>7260</v>
      </c>
      <c r="Z87" s="2">
        <v>21698</v>
      </c>
      <c r="AA87">
        <v>4</v>
      </c>
      <c r="AB87" t="s">
        <v>39</v>
      </c>
      <c r="AC87">
        <v>11</v>
      </c>
      <c r="AD87">
        <v>3</v>
      </c>
      <c r="AE87" t="str" cm="1">
        <f t="array" ref="AE87">_xlfn.IFS(AD87=1,"Low",AD87=2,"Good",AD87=3,"Excellent",AD87=4,"Outstanding")</f>
        <v>Excellent</v>
      </c>
      <c r="AF87">
        <v>1</v>
      </c>
      <c r="AG87" t="str" cm="1">
        <f t="array" ref="AG87">_xlfn.IFS(AF87=1,"Low",AF87=2,"Medium",AF87=3,"High",AF87=4,"Very High")</f>
        <v>Low</v>
      </c>
      <c r="AH87">
        <v>0</v>
      </c>
      <c r="AI87">
        <v>37</v>
      </c>
      <c r="AJ87">
        <v>3</v>
      </c>
      <c r="AK87">
        <v>2</v>
      </c>
      <c r="AL87" t="str" cm="1">
        <f t="array" ref="AL87">_xlfn.IFS(AK87=1,"Low",AK87=2,"Medium",AK87=3,"High",AK87=4,"Very High")</f>
        <v>Medium</v>
      </c>
      <c r="AM87">
        <v>6</v>
      </c>
      <c r="AN87">
        <v>4</v>
      </c>
      <c r="AO87">
        <v>0</v>
      </c>
      <c r="AP87">
        <v>2</v>
      </c>
    </row>
    <row r="88" spans="1:42">
      <c r="A88">
        <v>23</v>
      </c>
      <c r="B88" t="str" cm="1">
        <f t="array" ref="B88">_xlfn.IFS(A88&lt;=25,"18-25",A88&lt;=35,"26-35",A88&lt;=45,"36-45",A88&lt;=55,"46-55",A88&gt;55,"56+")</f>
        <v>18-25</v>
      </c>
      <c r="C88" t="s">
        <v>39</v>
      </c>
      <c r="D88" t="s">
        <v>33</v>
      </c>
      <c r="E88" s="2">
        <v>541</v>
      </c>
      <c r="F88" t="s">
        <v>34</v>
      </c>
      <c r="G88">
        <v>2</v>
      </c>
      <c r="H88" t="str">
        <f t="shared" si="1"/>
        <v>1-10 km</v>
      </c>
      <c r="I88">
        <v>1</v>
      </c>
      <c r="J88" t="str" cm="1">
        <f t="array" ref="J88">_xlfn.IFS(I88=1,"Below College",I88=2,"College",I88=3,"Bachelor",I88=4,"Master",I88=5,"Doctor")</f>
        <v>Below College</v>
      </c>
      <c r="K88" t="s">
        <v>56</v>
      </c>
      <c r="L88">
        <v>113</v>
      </c>
      <c r="M88">
        <v>3</v>
      </c>
      <c r="N88" t="str" cm="1">
        <f t="array" ref="N88">_xlfn.IFS(M88=1,"Low",M88=2,"Medium",M88=3,"High",M88=4,"Very High")</f>
        <v>High</v>
      </c>
      <c r="O88" t="s">
        <v>42</v>
      </c>
      <c r="P88" s="2">
        <v>62</v>
      </c>
      <c r="Q88">
        <v>3</v>
      </c>
      <c r="R88" t="str" cm="1">
        <f t="array" ref="R88">_xlfn.IFS(Q88=1,"Low",Q88=2,"Medium",Q88=3,"High",Q88=4,"Very High")</f>
        <v>High</v>
      </c>
      <c r="S88">
        <v>1</v>
      </c>
      <c r="T88" t="str" cm="1">
        <f t="array" ref="T88">_xlfn.IFS(S88=1,"Entry Level",S88=2,"Junior",S88=3,"Mid-Level",S88=4,"Senior",S88=5,"Executive")</f>
        <v>Entry Level</v>
      </c>
      <c r="U88" t="s">
        <v>53</v>
      </c>
      <c r="V88">
        <v>1</v>
      </c>
      <c r="W88" t="str" cm="1">
        <f t="array" ref="W88">_xlfn.IFS(V88=1,"Low",V88=2,"Medium",V88=3,"High",V88=4,"Very High")</f>
        <v>Low</v>
      </c>
      <c r="X88" t="s">
        <v>48</v>
      </c>
      <c r="Y88" s="2">
        <v>2322</v>
      </c>
      <c r="Z88" s="2">
        <v>9518</v>
      </c>
      <c r="AA88">
        <v>3</v>
      </c>
      <c r="AB88" t="s">
        <v>39</v>
      </c>
      <c r="AC88">
        <v>13</v>
      </c>
      <c r="AD88">
        <v>3</v>
      </c>
      <c r="AE88" t="str" cm="1">
        <f t="array" ref="AE88">_xlfn.IFS(AD88=1,"Low",AD88=2,"Good",AD88=3,"Excellent",AD88=4,"Outstanding")</f>
        <v>Excellent</v>
      </c>
      <c r="AF88">
        <v>3</v>
      </c>
      <c r="AG88" t="str" cm="1">
        <f t="array" ref="AG88">_xlfn.IFS(AF88=1,"Low",AF88=2,"Medium",AF88=3,"High",AF88=4,"Very High")</f>
        <v>High</v>
      </c>
      <c r="AH88">
        <v>1</v>
      </c>
      <c r="AI88">
        <v>3</v>
      </c>
      <c r="AJ88">
        <v>3</v>
      </c>
      <c r="AK88">
        <v>3</v>
      </c>
      <c r="AL88" t="str" cm="1">
        <f t="array" ref="AL88">_xlfn.IFS(AK88=1,"Low",AK88=2,"Medium",AK88=3,"High",AK88=4,"Very High")</f>
        <v>High</v>
      </c>
      <c r="AM88">
        <v>0</v>
      </c>
      <c r="AN88">
        <v>0</v>
      </c>
      <c r="AO88">
        <v>0</v>
      </c>
      <c r="AP88">
        <v>0</v>
      </c>
    </row>
    <row r="89" spans="1:42">
      <c r="A89">
        <v>51</v>
      </c>
      <c r="B89" t="str" cm="1">
        <f t="array" ref="B89">_xlfn.IFS(A89&lt;=25,"18-25",A89&lt;=35,"26-35",A89&lt;=45,"36-45",A89&lt;=55,"46-55",A89&gt;55,"56+")</f>
        <v>46-55</v>
      </c>
      <c r="C89" t="s">
        <v>39</v>
      </c>
      <c r="D89" t="s">
        <v>33</v>
      </c>
      <c r="E89" s="2">
        <v>432</v>
      </c>
      <c r="F89" t="s">
        <v>41</v>
      </c>
      <c r="G89">
        <v>9</v>
      </c>
      <c r="H89" t="str">
        <f t="shared" si="1"/>
        <v>1-10 km</v>
      </c>
      <c r="I89">
        <v>4</v>
      </c>
      <c r="J89" t="str" cm="1">
        <f t="array" ref="J89">_xlfn.IFS(I89=1,"Below College",I89=2,"College",I89=3,"Bachelor",I89=4,"Master",I89=5,"Doctor")</f>
        <v>Master</v>
      </c>
      <c r="K89" t="s">
        <v>35</v>
      </c>
      <c r="L89">
        <v>116</v>
      </c>
      <c r="M89">
        <v>4</v>
      </c>
      <c r="N89" t="str" cm="1">
        <f t="array" ref="N89">_xlfn.IFS(M89=1,"Low",M89=2,"Medium",M89=3,"High",M89=4,"Very High")</f>
        <v>Very High</v>
      </c>
      <c r="O89" t="s">
        <v>42</v>
      </c>
      <c r="P89" s="2">
        <v>96</v>
      </c>
      <c r="Q89">
        <v>3</v>
      </c>
      <c r="R89" t="str" cm="1">
        <f t="array" ref="R89">_xlfn.IFS(Q89=1,"Low",Q89=2,"Medium",Q89=3,"High",Q89=4,"Very High")</f>
        <v>High</v>
      </c>
      <c r="S89">
        <v>1</v>
      </c>
      <c r="T89" t="str" cm="1">
        <f t="array" ref="T89">_xlfn.IFS(S89=1,"Entry Level",S89=2,"Junior",S89=3,"Mid-Level",S89=4,"Senior",S89=5,"Executive")</f>
        <v>Entry Level</v>
      </c>
      <c r="U89" t="s">
        <v>46</v>
      </c>
      <c r="V89">
        <v>4</v>
      </c>
      <c r="W89" t="str" cm="1">
        <f t="array" ref="W89">_xlfn.IFS(V89=1,"Low",V89=2,"Medium",V89=3,"High",V89=4,"Very High")</f>
        <v>Very High</v>
      </c>
      <c r="X89" t="s">
        <v>44</v>
      </c>
      <c r="Y89" s="2">
        <v>2075</v>
      </c>
      <c r="Z89" s="2">
        <v>18725</v>
      </c>
      <c r="AA89">
        <v>3</v>
      </c>
      <c r="AB89" t="s">
        <v>39</v>
      </c>
      <c r="AC89">
        <v>23</v>
      </c>
      <c r="AD89">
        <v>4</v>
      </c>
      <c r="AE89" t="str" cm="1">
        <f t="array" ref="AE89">_xlfn.IFS(AD89=1,"Low",AD89=2,"Good",AD89=3,"Excellent",AD89=4,"Outstanding")</f>
        <v>Outstanding</v>
      </c>
      <c r="AF89">
        <v>2</v>
      </c>
      <c r="AG89" t="str" cm="1">
        <f t="array" ref="AG89">_xlfn.IFS(AF89=1,"Low",AF89=2,"Medium",AF89=3,"High",AF89=4,"Very High")</f>
        <v>Medium</v>
      </c>
      <c r="AH89">
        <v>2</v>
      </c>
      <c r="AI89">
        <v>10</v>
      </c>
      <c r="AJ89">
        <v>4</v>
      </c>
      <c r="AK89">
        <v>3</v>
      </c>
      <c r="AL89" t="str" cm="1">
        <f t="array" ref="AL89">_xlfn.IFS(AK89=1,"Low",AK89=2,"Medium",AK89=3,"High",AK89=4,"Very High")</f>
        <v>High</v>
      </c>
      <c r="AM89">
        <v>4</v>
      </c>
      <c r="AN89">
        <v>2</v>
      </c>
      <c r="AO89">
        <v>0</v>
      </c>
      <c r="AP89">
        <v>3</v>
      </c>
    </row>
    <row r="90" spans="1:42">
      <c r="A90">
        <v>30</v>
      </c>
      <c r="B90" t="str" cm="1">
        <f t="array" ref="B90">_xlfn.IFS(A90&lt;=25,"18-25",A90&lt;=35,"26-35",A90&lt;=45,"36-45",A90&lt;=55,"46-55",A90&gt;55,"56+")</f>
        <v>26-35</v>
      </c>
      <c r="C90" t="s">
        <v>39</v>
      </c>
      <c r="D90" t="s">
        <v>33</v>
      </c>
      <c r="E90" s="2">
        <v>288</v>
      </c>
      <c r="F90" t="s">
        <v>41</v>
      </c>
      <c r="G90">
        <v>2</v>
      </c>
      <c r="H90" t="str">
        <f t="shared" si="1"/>
        <v>1-10 km</v>
      </c>
      <c r="I90">
        <v>3</v>
      </c>
      <c r="J90" t="str" cm="1">
        <f t="array" ref="J90">_xlfn.IFS(I90=1,"Below College",I90=2,"College",I90=3,"Bachelor",I90=4,"Master",I90=5,"Doctor")</f>
        <v>Bachelor</v>
      </c>
      <c r="K90" t="s">
        <v>35</v>
      </c>
      <c r="L90">
        <v>117</v>
      </c>
      <c r="M90">
        <v>3</v>
      </c>
      <c r="N90" t="str" cm="1">
        <f t="array" ref="N90">_xlfn.IFS(M90=1,"Low",M90=2,"Medium",M90=3,"High",M90=4,"Very High")</f>
        <v>High</v>
      </c>
      <c r="O90" t="s">
        <v>42</v>
      </c>
      <c r="P90" s="2">
        <v>99</v>
      </c>
      <c r="Q90">
        <v>2</v>
      </c>
      <c r="R90" t="str" cm="1">
        <f t="array" ref="R90">_xlfn.IFS(Q90=1,"Low",Q90=2,"Medium",Q90=3,"High",Q90=4,"Very High")</f>
        <v>Medium</v>
      </c>
      <c r="S90">
        <v>2</v>
      </c>
      <c r="T90" t="str" cm="1">
        <f t="array" ref="T90">_xlfn.IFS(S90=1,"Entry Level",S90=2,"Junior",S90=3,"Mid-Level",S90=4,"Senior",S90=5,"Executive")</f>
        <v>Junior</v>
      </c>
      <c r="U90" t="s">
        <v>50</v>
      </c>
      <c r="V90">
        <v>4</v>
      </c>
      <c r="W90" t="str" cm="1">
        <f t="array" ref="W90">_xlfn.IFS(V90=1,"Low",V90=2,"Medium",V90=3,"High",V90=4,"Very High")</f>
        <v>Very High</v>
      </c>
      <c r="X90" t="s">
        <v>44</v>
      </c>
      <c r="Y90" s="2">
        <v>4152</v>
      </c>
      <c r="Z90" s="2">
        <v>15830</v>
      </c>
      <c r="AA90">
        <v>1</v>
      </c>
      <c r="AB90" t="s">
        <v>39</v>
      </c>
      <c r="AC90">
        <v>19</v>
      </c>
      <c r="AD90">
        <v>3</v>
      </c>
      <c r="AE90" t="str" cm="1">
        <f t="array" ref="AE90">_xlfn.IFS(AD90=1,"Low",AD90=2,"Good",AD90=3,"Excellent",AD90=4,"Outstanding")</f>
        <v>Excellent</v>
      </c>
      <c r="AF90">
        <v>1</v>
      </c>
      <c r="AG90" t="str" cm="1">
        <f t="array" ref="AG90">_xlfn.IFS(AF90=1,"Low",AF90=2,"Medium",AF90=3,"High",AF90=4,"Very High")</f>
        <v>Low</v>
      </c>
      <c r="AH90">
        <v>3</v>
      </c>
      <c r="AI90">
        <v>11</v>
      </c>
      <c r="AJ90">
        <v>3</v>
      </c>
      <c r="AK90">
        <v>3</v>
      </c>
      <c r="AL90" t="str" cm="1">
        <f t="array" ref="AL90">_xlfn.IFS(AK90=1,"Low",AK90=2,"Medium",AK90=3,"High",AK90=4,"Very High")</f>
        <v>High</v>
      </c>
      <c r="AM90">
        <v>11</v>
      </c>
      <c r="AN90">
        <v>10</v>
      </c>
      <c r="AO90">
        <v>10</v>
      </c>
      <c r="AP90">
        <v>8</v>
      </c>
    </row>
    <row r="91" spans="1:42">
      <c r="A91">
        <v>46</v>
      </c>
      <c r="B91" t="str" cm="1">
        <f t="array" ref="B91">_xlfn.IFS(A91&lt;=25,"18-25",A91&lt;=35,"26-35",A91&lt;=45,"36-45",A91&lt;=55,"46-55",A91&gt;55,"56+")</f>
        <v>46-55</v>
      </c>
      <c r="C91" t="s">
        <v>32</v>
      </c>
      <c r="D91" t="s">
        <v>33</v>
      </c>
      <c r="E91" s="2">
        <v>669</v>
      </c>
      <c r="F91" t="s">
        <v>34</v>
      </c>
      <c r="G91">
        <v>9</v>
      </c>
      <c r="H91" t="str">
        <f t="shared" si="1"/>
        <v>1-10 km</v>
      </c>
      <c r="I91">
        <v>2</v>
      </c>
      <c r="J91" t="str" cm="1">
        <f t="array" ref="J91">_xlfn.IFS(I91=1,"Below College",I91=2,"College",I91=3,"Bachelor",I91=4,"Master",I91=5,"Doctor")</f>
        <v>College</v>
      </c>
      <c r="K91" t="s">
        <v>47</v>
      </c>
      <c r="L91">
        <v>118</v>
      </c>
      <c r="M91">
        <v>3</v>
      </c>
      <c r="N91" t="str" cm="1">
        <f t="array" ref="N91">_xlfn.IFS(M91=1,"Low",M91=2,"Medium",M91=3,"High",M91=4,"Very High")</f>
        <v>High</v>
      </c>
      <c r="O91" t="s">
        <v>42</v>
      </c>
      <c r="P91" s="2">
        <v>64</v>
      </c>
      <c r="Q91">
        <v>2</v>
      </c>
      <c r="R91" t="str" cm="1">
        <f t="array" ref="R91">_xlfn.IFS(Q91=1,"Low",Q91=2,"Medium",Q91=3,"High",Q91=4,"Very High")</f>
        <v>Medium</v>
      </c>
      <c r="S91">
        <v>3</v>
      </c>
      <c r="T91" t="str" cm="1">
        <f t="array" ref="T91">_xlfn.IFS(S91=1,"Entry Level",S91=2,"Junior",S91=3,"Mid-Level",S91=4,"Senior",S91=5,"Executive")</f>
        <v>Mid-Level</v>
      </c>
      <c r="U91" t="s">
        <v>37</v>
      </c>
      <c r="V91">
        <v>4</v>
      </c>
      <c r="W91" t="str" cm="1">
        <f t="array" ref="W91">_xlfn.IFS(V91=1,"Low",V91=2,"Medium",V91=3,"High",V91=4,"Very High")</f>
        <v>Very High</v>
      </c>
      <c r="X91" t="s">
        <v>38</v>
      </c>
      <c r="Y91" s="2">
        <v>9619</v>
      </c>
      <c r="Z91" s="2">
        <v>13596</v>
      </c>
      <c r="AA91">
        <v>1</v>
      </c>
      <c r="AB91" t="s">
        <v>39</v>
      </c>
      <c r="AC91">
        <v>16</v>
      </c>
      <c r="AD91">
        <v>3</v>
      </c>
      <c r="AE91" t="str" cm="1">
        <f t="array" ref="AE91">_xlfn.IFS(AD91=1,"Low",AD91=2,"Good",AD91=3,"Excellent",AD91=4,"Outstanding")</f>
        <v>Excellent</v>
      </c>
      <c r="AF91">
        <v>4</v>
      </c>
      <c r="AG91" t="str" cm="1">
        <f t="array" ref="AG91">_xlfn.IFS(AF91=1,"Low",AF91=2,"Medium",AF91=3,"High",AF91=4,"Very High")</f>
        <v>Very High</v>
      </c>
      <c r="AH91">
        <v>0</v>
      </c>
      <c r="AI91">
        <v>9</v>
      </c>
      <c r="AJ91">
        <v>3</v>
      </c>
      <c r="AK91">
        <v>3</v>
      </c>
      <c r="AL91" t="str" cm="1">
        <f t="array" ref="AL91">_xlfn.IFS(AK91=1,"Low",AK91=2,"Medium",AK91=3,"High",AK91=4,"Very High")</f>
        <v>High</v>
      </c>
      <c r="AM91">
        <v>9</v>
      </c>
      <c r="AN91">
        <v>8</v>
      </c>
      <c r="AO91">
        <v>4</v>
      </c>
      <c r="AP91">
        <v>7</v>
      </c>
    </row>
    <row r="92" spans="1:42">
      <c r="A92">
        <v>40</v>
      </c>
      <c r="B92" t="str" cm="1">
        <f t="array" ref="B92">_xlfn.IFS(A92&lt;=25,"18-25",A92&lt;=35,"26-35",A92&lt;=45,"36-45",A92&lt;=55,"46-55",A92&gt;55,"56+")</f>
        <v>36-45</v>
      </c>
      <c r="C92" t="s">
        <v>39</v>
      </c>
      <c r="D92" t="s">
        <v>40</v>
      </c>
      <c r="E92" s="2">
        <v>530</v>
      </c>
      <c r="F92" t="s">
        <v>41</v>
      </c>
      <c r="G92">
        <v>1</v>
      </c>
      <c r="H92" t="str">
        <f t="shared" si="1"/>
        <v>1-10 km</v>
      </c>
      <c r="I92">
        <v>4</v>
      </c>
      <c r="J92" t="str" cm="1">
        <f t="array" ref="J92">_xlfn.IFS(I92=1,"Below College",I92=2,"College",I92=3,"Bachelor",I92=4,"Master",I92=5,"Doctor")</f>
        <v>Master</v>
      </c>
      <c r="K92" t="s">
        <v>35</v>
      </c>
      <c r="L92">
        <v>119</v>
      </c>
      <c r="M92">
        <v>3</v>
      </c>
      <c r="N92" t="str" cm="1">
        <f t="array" ref="N92">_xlfn.IFS(M92=1,"Low",M92=2,"Medium",M92=3,"High",M92=4,"Very High")</f>
        <v>High</v>
      </c>
      <c r="O92" t="s">
        <v>42</v>
      </c>
      <c r="P92" s="2">
        <v>78</v>
      </c>
      <c r="Q92">
        <v>2</v>
      </c>
      <c r="R92" t="str" cm="1">
        <f t="array" ref="R92">_xlfn.IFS(Q92=1,"Low",Q92=2,"Medium",Q92=3,"High",Q92=4,"Very High")</f>
        <v>Medium</v>
      </c>
      <c r="S92">
        <v>4</v>
      </c>
      <c r="T92" t="str" cm="1">
        <f t="array" ref="T92">_xlfn.IFS(S92=1,"Entry Level",S92=2,"Junior",S92=3,"Mid-Level",S92=4,"Senior",S92=5,"Executive")</f>
        <v>Senior</v>
      </c>
      <c r="U92" t="s">
        <v>50</v>
      </c>
      <c r="V92">
        <v>2</v>
      </c>
      <c r="W92" t="str" cm="1">
        <f t="array" ref="W92">_xlfn.IFS(V92=1,"Low",V92=2,"Medium",V92=3,"High",V92=4,"Very High")</f>
        <v>Medium</v>
      </c>
      <c r="X92" t="s">
        <v>44</v>
      </c>
      <c r="Y92" s="2">
        <v>13503</v>
      </c>
      <c r="Z92" s="2">
        <v>14115</v>
      </c>
      <c r="AA92">
        <v>1</v>
      </c>
      <c r="AB92" t="s">
        <v>39</v>
      </c>
      <c r="AC92">
        <v>22</v>
      </c>
      <c r="AD92">
        <v>4</v>
      </c>
      <c r="AE92" t="str" cm="1">
        <f t="array" ref="AE92">_xlfn.IFS(AD92=1,"Low",AD92=2,"Good",AD92=3,"Excellent",AD92=4,"Outstanding")</f>
        <v>Outstanding</v>
      </c>
      <c r="AF92">
        <v>4</v>
      </c>
      <c r="AG92" t="str" cm="1">
        <f t="array" ref="AG92">_xlfn.IFS(AF92=1,"Low",AF92=2,"Medium",AF92=3,"High",AF92=4,"Very High")</f>
        <v>Very High</v>
      </c>
      <c r="AH92">
        <v>1</v>
      </c>
      <c r="AI92">
        <v>22</v>
      </c>
      <c r="AJ92">
        <v>3</v>
      </c>
      <c r="AK92">
        <v>2</v>
      </c>
      <c r="AL92" t="str" cm="1">
        <f t="array" ref="AL92">_xlfn.IFS(AK92=1,"Low",AK92=2,"Medium",AK92=3,"High",AK92=4,"Very High")</f>
        <v>Medium</v>
      </c>
      <c r="AM92">
        <v>22</v>
      </c>
      <c r="AN92">
        <v>3</v>
      </c>
      <c r="AO92">
        <v>11</v>
      </c>
      <c r="AP92">
        <v>11</v>
      </c>
    </row>
    <row r="93" spans="1:42">
      <c r="A93">
        <v>51</v>
      </c>
      <c r="B93" t="str" cm="1">
        <f t="array" ref="B93">_xlfn.IFS(A93&lt;=25,"18-25",A93&lt;=35,"26-35",A93&lt;=45,"36-45",A93&lt;=55,"46-55",A93&gt;55,"56+")</f>
        <v>46-55</v>
      </c>
      <c r="C93" t="s">
        <v>39</v>
      </c>
      <c r="D93" t="s">
        <v>33</v>
      </c>
      <c r="E93" s="2">
        <v>632</v>
      </c>
      <c r="F93" t="s">
        <v>34</v>
      </c>
      <c r="G93">
        <v>21</v>
      </c>
      <c r="H93" t="str">
        <f t="shared" si="1"/>
        <v>21-30 km</v>
      </c>
      <c r="I93">
        <v>4</v>
      </c>
      <c r="J93" t="str" cm="1">
        <f t="array" ref="J93">_xlfn.IFS(I93=1,"Below College",I93=2,"College",I93=3,"Bachelor",I93=4,"Master",I93=5,"Doctor")</f>
        <v>Master</v>
      </c>
      <c r="K93" t="s">
        <v>55</v>
      </c>
      <c r="L93">
        <v>120</v>
      </c>
      <c r="M93">
        <v>3</v>
      </c>
      <c r="N93" t="str" cm="1">
        <f t="array" ref="N93">_xlfn.IFS(M93=1,"Low",M93=2,"Medium",M93=3,"High",M93=4,"Very High")</f>
        <v>High</v>
      </c>
      <c r="O93" t="s">
        <v>42</v>
      </c>
      <c r="P93" s="2">
        <v>71</v>
      </c>
      <c r="Q93">
        <v>3</v>
      </c>
      <c r="R93" t="str" cm="1">
        <f t="array" ref="R93">_xlfn.IFS(Q93=1,"Low",Q93=2,"Medium",Q93=3,"High",Q93=4,"Very High")</f>
        <v>High</v>
      </c>
      <c r="S93">
        <v>2</v>
      </c>
      <c r="T93" t="str" cm="1">
        <f t="array" ref="T93">_xlfn.IFS(S93=1,"Entry Level",S93=2,"Junior",S93=3,"Mid-Level",S93=4,"Senior",S93=5,"Executive")</f>
        <v>Junior</v>
      </c>
      <c r="U93" t="s">
        <v>37</v>
      </c>
      <c r="V93">
        <v>4</v>
      </c>
      <c r="W93" t="str" cm="1">
        <f t="array" ref="W93">_xlfn.IFS(V93=1,"Low",V93=2,"Medium",V93=3,"High",V93=4,"Very High")</f>
        <v>Very High</v>
      </c>
      <c r="X93" t="s">
        <v>38</v>
      </c>
      <c r="Y93" s="2">
        <v>5441</v>
      </c>
      <c r="Z93" s="2">
        <v>8423</v>
      </c>
      <c r="AA93">
        <v>0</v>
      </c>
      <c r="AB93" t="s">
        <v>32</v>
      </c>
      <c r="AC93">
        <v>22</v>
      </c>
      <c r="AD93">
        <v>4</v>
      </c>
      <c r="AE93" t="str" cm="1">
        <f t="array" ref="AE93">_xlfn.IFS(AD93=1,"Low",AD93=2,"Good",AD93=3,"Excellent",AD93=4,"Outstanding")</f>
        <v>Outstanding</v>
      </c>
      <c r="AF93">
        <v>4</v>
      </c>
      <c r="AG93" t="str" cm="1">
        <f t="array" ref="AG93">_xlfn.IFS(AF93=1,"Low",AF93=2,"Medium",AF93=3,"High",AF93=4,"Very High")</f>
        <v>Very High</v>
      </c>
      <c r="AH93">
        <v>0</v>
      </c>
      <c r="AI93">
        <v>11</v>
      </c>
      <c r="AJ93">
        <v>2</v>
      </c>
      <c r="AK93">
        <v>1</v>
      </c>
      <c r="AL93" t="str" cm="1">
        <f t="array" ref="AL93">_xlfn.IFS(AK93=1,"Low",AK93=2,"Medium",AK93=3,"High",AK93=4,"Very High")</f>
        <v>Low</v>
      </c>
      <c r="AM93">
        <v>10</v>
      </c>
      <c r="AN93">
        <v>7</v>
      </c>
      <c r="AO93">
        <v>1</v>
      </c>
      <c r="AP93">
        <v>0</v>
      </c>
    </row>
    <row r="94" spans="1:42">
      <c r="A94">
        <v>30</v>
      </c>
      <c r="B94" t="str" cm="1">
        <f t="array" ref="B94">_xlfn.IFS(A94&lt;=25,"18-25",A94&lt;=35,"26-35",A94&lt;=45,"36-45",A94&lt;=55,"46-55",A94&gt;55,"56+")</f>
        <v>26-35</v>
      </c>
      <c r="C94" t="s">
        <v>39</v>
      </c>
      <c r="D94" t="s">
        <v>33</v>
      </c>
      <c r="E94" s="2">
        <v>1334</v>
      </c>
      <c r="F94" t="s">
        <v>34</v>
      </c>
      <c r="G94">
        <v>4</v>
      </c>
      <c r="H94" t="str">
        <f t="shared" si="1"/>
        <v>1-10 km</v>
      </c>
      <c r="I94">
        <v>2</v>
      </c>
      <c r="J94" t="str" cm="1">
        <f t="array" ref="J94">_xlfn.IFS(I94=1,"Below College",I94=2,"College",I94=3,"Bachelor",I94=4,"Master",I94=5,"Doctor")</f>
        <v>College</v>
      </c>
      <c r="K94" t="s">
        <v>47</v>
      </c>
      <c r="L94">
        <v>121</v>
      </c>
      <c r="M94">
        <v>3</v>
      </c>
      <c r="N94" t="str" cm="1">
        <f t="array" ref="N94">_xlfn.IFS(M94=1,"Low",M94=2,"Medium",M94=3,"High",M94=4,"Very High")</f>
        <v>High</v>
      </c>
      <c r="O94" t="s">
        <v>36</v>
      </c>
      <c r="P94" s="2">
        <v>63</v>
      </c>
      <c r="Q94">
        <v>2</v>
      </c>
      <c r="R94" t="str" cm="1">
        <f t="array" ref="R94">_xlfn.IFS(Q94=1,"Low",Q94=2,"Medium",Q94=3,"High",Q94=4,"Very High")</f>
        <v>Medium</v>
      </c>
      <c r="S94">
        <v>2</v>
      </c>
      <c r="T94" t="str" cm="1">
        <f t="array" ref="T94">_xlfn.IFS(S94=1,"Entry Level",S94=2,"Junior",S94=3,"Mid-Level",S94=4,"Senior",S94=5,"Executive")</f>
        <v>Junior</v>
      </c>
      <c r="U94" t="s">
        <v>37</v>
      </c>
      <c r="V94">
        <v>2</v>
      </c>
      <c r="W94" t="str" cm="1">
        <f t="array" ref="W94">_xlfn.IFS(V94=1,"Low",V94=2,"Medium",V94=3,"High",V94=4,"Very High")</f>
        <v>Medium</v>
      </c>
      <c r="X94" t="s">
        <v>48</v>
      </c>
      <c r="Y94" s="2">
        <v>5209</v>
      </c>
      <c r="Z94" s="2">
        <v>19760</v>
      </c>
      <c r="AA94">
        <v>1</v>
      </c>
      <c r="AB94" t="s">
        <v>32</v>
      </c>
      <c r="AC94">
        <v>12</v>
      </c>
      <c r="AD94">
        <v>3</v>
      </c>
      <c r="AE94" t="str" cm="1">
        <f t="array" ref="AE94">_xlfn.IFS(AD94=1,"Low",AD94=2,"Good",AD94=3,"Excellent",AD94=4,"Outstanding")</f>
        <v>Excellent</v>
      </c>
      <c r="AF94">
        <v>2</v>
      </c>
      <c r="AG94" t="str" cm="1">
        <f t="array" ref="AG94">_xlfn.IFS(AF94=1,"Low",AF94=2,"Medium",AF94=3,"High",AF94=4,"Very High")</f>
        <v>Medium</v>
      </c>
      <c r="AH94">
        <v>3</v>
      </c>
      <c r="AI94">
        <v>11</v>
      </c>
      <c r="AJ94">
        <v>4</v>
      </c>
      <c r="AK94">
        <v>2</v>
      </c>
      <c r="AL94" t="str" cm="1">
        <f t="array" ref="AL94">_xlfn.IFS(AK94=1,"Low",AK94=2,"Medium",AK94=3,"High",AK94=4,"Very High")</f>
        <v>Medium</v>
      </c>
      <c r="AM94">
        <v>11</v>
      </c>
      <c r="AN94">
        <v>8</v>
      </c>
      <c r="AO94">
        <v>2</v>
      </c>
      <c r="AP94">
        <v>7</v>
      </c>
    </row>
    <row r="95" spans="1:42">
      <c r="A95">
        <v>46</v>
      </c>
      <c r="B95" t="str" cm="1">
        <f t="array" ref="B95">_xlfn.IFS(A95&lt;=25,"18-25",A95&lt;=35,"26-35",A95&lt;=45,"36-45",A95&lt;=55,"46-55",A95&gt;55,"56+")</f>
        <v>46-55</v>
      </c>
      <c r="C95" t="s">
        <v>39</v>
      </c>
      <c r="D95" t="s">
        <v>40</v>
      </c>
      <c r="E95" s="2">
        <v>638</v>
      </c>
      <c r="F95" t="s">
        <v>41</v>
      </c>
      <c r="G95">
        <v>1</v>
      </c>
      <c r="H95" t="str">
        <f t="shared" si="1"/>
        <v>1-10 km</v>
      </c>
      <c r="I95">
        <v>3</v>
      </c>
      <c r="J95" t="str" cm="1">
        <f t="array" ref="J95">_xlfn.IFS(I95=1,"Below College",I95=2,"College",I95=3,"Bachelor",I95=4,"Master",I95=5,"Doctor")</f>
        <v>Bachelor</v>
      </c>
      <c r="K95" t="s">
        <v>47</v>
      </c>
      <c r="L95">
        <v>124</v>
      </c>
      <c r="M95">
        <v>3</v>
      </c>
      <c r="N95" t="str" cm="1">
        <f t="array" ref="N95">_xlfn.IFS(M95=1,"Low",M95=2,"Medium",M95=3,"High",M95=4,"Very High")</f>
        <v>High</v>
      </c>
      <c r="O95" t="s">
        <v>42</v>
      </c>
      <c r="P95" s="2">
        <v>40</v>
      </c>
      <c r="Q95">
        <v>2</v>
      </c>
      <c r="R95" t="str" cm="1">
        <f t="array" ref="R95">_xlfn.IFS(Q95=1,"Low",Q95=2,"Medium",Q95=3,"High",Q95=4,"Very High")</f>
        <v>Medium</v>
      </c>
      <c r="S95">
        <v>3</v>
      </c>
      <c r="T95" t="str" cm="1">
        <f t="array" ref="T95">_xlfn.IFS(S95=1,"Entry Level",S95=2,"Junior",S95=3,"Mid-Level",S95=4,"Senior",S95=5,"Executive")</f>
        <v>Mid-Level</v>
      </c>
      <c r="U95" t="s">
        <v>50</v>
      </c>
      <c r="V95">
        <v>1</v>
      </c>
      <c r="W95" t="str" cm="1">
        <f t="array" ref="W95">_xlfn.IFS(V95=1,"Low",V95=2,"Medium",V95=3,"High",V95=4,"Very High")</f>
        <v>Low</v>
      </c>
      <c r="X95" t="s">
        <v>44</v>
      </c>
      <c r="Y95" s="2">
        <v>10673</v>
      </c>
      <c r="Z95" s="2">
        <v>3142</v>
      </c>
      <c r="AA95">
        <v>2</v>
      </c>
      <c r="AB95" t="s">
        <v>32</v>
      </c>
      <c r="AC95">
        <v>13</v>
      </c>
      <c r="AD95">
        <v>3</v>
      </c>
      <c r="AE95" t="str" cm="1">
        <f t="array" ref="AE95">_xlfn.IFS(AD95=1,"Low",AD95=2,"Good",AD95=3,"Excellent",AD95=4,"Outstanding")</f>
        <v>Excellent</v>
      </c>
      <c r="AF95">
        <v>3</v>
      </c>
      <c r="AG95" t="str" cm="1">
        <f t="array" ref="AG95">_xlfn.IFS(AF95=1,"Low",AF95=2,"Medium",AF95=3,"High",AF95=4,"Very High")</f>
        <v>High</v>
      </c>
      <c r="AH95">
        <v>1</v>
      </c>
      <c r="AI95">
        <v>21</v>
      </c>
      <c r="AJ95">
        <v>5</v>
      </c>
      <c r="AK95">
        <v>2</v>
      </c>
      <c r="AL95" t="str" cm="1">
        <f t="array" ref="AL95">_xlfn.IFS(AK95=1,"Low",AK95=2,"Medium",AK95=3,"High",AK95=4,"Very High")</f>
        <v>Medium</v>
      </c>
      <c r="AM95">
        <v>10</v>
      </c>
      <c r="AN95">
        <v>9</v>
      </c>
      <c r="AO95">
        <v>9</v>
      </c>
      <c r="AP95">
        <v>5</v>
      </c>
    </row>
    <row r="96" spans="1:42">
      <c r="A96">
        <v>32</v>
      </c>
      <c r="B96" t="str" cm="1">
        <f t="array" ref="B96">_xlfn.IFS(A96&lt;=25,"18-25",A96&lt;=35,"26-35",A96&lt;=45,"36-45",A96&lt;=55,"46-55",A96&gt;55,"56+")</f>
        <v>26-35</v>
      </c>
      <c r="C96" t="s">
        <v>39</v>
      </c>
      <c r="D96" t="s">
        <v>33</v>
      </c>
      <c r="E96" s="2">
        <v>1093</v>
      </c>
      <c r="F96" t="s">
        <v>34</v>
      </c>
      <c r="G96">
        <v>6</v>
      </c>
      <c r="H96" t="str">
        <f t="shared" si="1"/>
        <v>1-10 km</v>
      </c>
      <c r="I96">
        <v>4</v>
      </c>
      <c r="J96" t="str" cm="1">
        <f t="array" ref="J96">_xlfn.IFS(I96=1,"Below College",I96=2,"College",I96=3,"Bachelor",I96=4,"Master",I96=5,"Doctor")</f>
        <v>Master</v>
      </c>
      <c r="K96" t="s">
        <v>47</v>
      </c>
      <c r="L96">
        <v>125</v>
      </c>
      <c r="M96">
        <v>2</v>
      </c>
      <c r="N96" t="str" cm="1">
        <f t="array" ref="N96">_xlfn.IFS(M96=1,"Low",M96=2,"Medium",M96=3,"High",M96=4,"Very High")</f>
        <v>Medium</v>
      </c>
      <c r="O96" t="s">
        <v>42</v>
      </c>
      <c r="P96" s="2">
        <v>87</v>
      </c>
      <c r="Q96">
        <v>3</v>
      </c>
      <c r="R96" t="str" cm="1">
        <f t="array" ref="R96">_xlfn.IFS(Q96=1,"Low",Q96=2,"Medium",Q96=3,"High",Q96=4,"Very High")</f>
        <v>High</v>
      </c>
      <c r="S96">
        <v>2</v>
      </c>
      <c r="T96" t="str" cm="1">
        <f t="array" ref="T96">_xlfn.IFS(S96=1,"Entry Level",S96=2,"Junior",S96=3,"Mid-Level",S96=4,"Senior",S96=5,"Executive")</f>
        <v>Junior</v>
      </c>
      <c r="U96" t="s">
        <v>37</v>
      </c>
      <c r="V96">
        <v>3</v>
      </c>
      <c r="W96" t="str" cm="1">
        <f t="array" ref="W96">_xlfn.IFS(V96=1,"Low",V96=2,"Medium",V96=3,"High",V96=4,"Very High")</f>
        <v>High</v>
      </c>
      <c r="X96" t="s">
        <v>38</v>
      </c>
      <c r="Y96" s="2">
        <v>5010</v>
      </c>
      <c r="Z96" s="2">
        <v>24301</v>
      </c>
      <c r="AA96">
        <v>1</v>
      </c>
      <c r="AB96" t="s">
        <v>39</v>
      </c>
      <c r="AC96">
        <v>16</v>
      </c>
      <c r="AD96">
        <v>3</v>
      </c>
      <c r="AE96" t="str" cm="1">
        <f t="array" ref="AE96">_xlfn.IFS(AD96=1,"Low",AD96=2,"Good",AD96=3,"Excellent",AD96=4,"Outstanding")</f>
        <v>Excellent</v>
      </c>
      <c r="AF96">
        <v>1</v>
      </c>
      <c r="AG96" t="str" cm="1">
        <f t="array" ref="AG96">_xlfn.IFS(AF96=1,"Low",AF96=2,"Medium",AF96=3,"High",AF96=4,"Very High")</f>
        <v>Low</v>
      </c>
      <c r="AH96">
        <v>0</v>
      </c>
      <c r="AI96">
        <v>12</v>
      </c>
      <c r="AJ96">
        <v>0</v>
      </c>
      <c r="AK96">
        <v>3</v>
      </c>
      <c r="AL96" t="str" cm="1">
        <f t="array" ref="AL96">_xlfn.IFS(AK96=1,"Low",AK96=2,"Medium",AK96=3,"High",AK96=4,"Very High")</f>
        <v>High</v>
      </c>
      <c r="AM96">
        <v>11</v>
      </c>
      <c r="AN96">
        <v>8</v>
      </c>
      <c r="AO96">
        <v>5</v>
      </c>
      <c r="AP96">
        <v>7</v>
      </c>
    </row>
    <row r="97" spans="1:42">
      <c r="A97">
        <v>54</v>
      </c>
      <c r="B97" t="str" cm="1">
        <f t="array" ref="B97">_xlfn.IFS(A97&lt;=25,"18-25",A97&lt;=35,"26-35",A97&lt;=45,"36-45",A97&lt;=55,"46-55",A97&gt;55,"56+")</f>
        <v>46-55</v>
      </c>
      <c r="C97" t="s">
        <v>39</v>
      </c>
      <c r="D97" t="s">
        <v>33</v>
      </c>
      <c r="E97" s="2">
        <v>1217</v>
      </c>
      <c r="F97" t="s">
        <v>41</v>
      </c>
      <c r="G97">
        <v>2</v>
      </c>
      <c r="H97" t="str">
        <f t="shared" si="1"/>
        <v>1-10 km</v>
      </c>
      <c r="I97">
        <v>4</v>
      </c>
      <c r="J97" t="str" cm="1">
        <f t="array" ref="J97">_xlfn.IFS(I97=1,"Below College",I97=2,"College",I97=3,"Bachelor",I97=4,"Master",I97=5,"Doctor")</f>
        <v>Master</v>
      </c>
      <c r="K97" t="s">
        <v>56</v>
      </c>
      <c r="L97">
        <v>126</v>
      </c>
      <c r="M97">
        <v>1</v>
      </c>
      <c r="N97" t="str" cm="1">
        <f t="array" ref="N97">_xlfn.IFS(M97=1,"Low",M97=2,"Medium",M97=3,"High",M97=4,"Very High")</f>
        <v>Low</v>
      </c>
      <c r="O97" t="s">
        <v>36</v>
      </c>
      <c r="P97" s="2">
        <v>60</v>
      </c>
      <c r="Q97">
        <v>3</v>
      </c>
      <c r="R97" t="str" cm="1">
        <f t="array" ref="R97">_xlfn.IFS(Q97=1,"Low",Q97=2,"Medium",Q97=3,"High",Q97=4,"Very High")</f>
        <v>High</v>
      </c>
      <c r="S97">
        <v>3</v>
      </c>
      <c r="T97" t="str" cm="1">
        <f t="array" ref="T97">_xlfn.IFS(S97=1,"Entry Level",S97=2,"Junior",S97=3,"Mid-Level",S97=4,"Senior",S97=5,"Executive")</f>
        <v>Mid-Level</v>
      </c>
      <c r="U97" t="s">
        <v>54</v>
      </c>
      <c r="V97">
        <v>3</v>
      </c>
      <c r="W97" t="str" cm="1">
        <f t="array" ref="W97">_xlfn.IFS(V97=1,"Low",V97=2,"Medium",V97=3,"High",V97=4,"Very High")</f>
        <v>High</v>
      </c>
      <c r="X97" t="s">
        <v>44</v>
      </c>
      <c r="Y97" s="2">
        <v>13549</v>
      </c>
      <c r="Z97" s="2">
        <v>24001</v>
      </c>
      <c r="AA97">
        <v>9</v>
      </c>
      <c r="AB97" t="s">
        <v>39</v>
      </c>
      <c r="AC97">
        <v>12</v>
      </c>
      <c r="AD97">
        <v>3</v>
      </c>
      <c r="AE97" t="str" cm="1">
        <f t="array" ref="AE97">_xlfn.IFS(AD97=1,"Low",AD97=2,"Good",AD97=3,"Excellent",AD97=4,"Outstanding")</f>
        <v>Excellent</v>
      </c>
      <c r="AF97">
        <v>1</v>
      </c>
      <c r="AG97" t="str" cm="1">
        <f t="array" ref="AG97">_xlfn.IFS(AF97=1,"Low",AF97=2,"Medium",AF97=3,"High",AF97=4,"Very High")</f>
        <v>Low</v>
      </c>
      <c r="AH97">
        <v>1</v>
      </c>
      <c r="AI97">
        <v>16</v>
      </c>
      <c r="AJ97">
        <v>5</v>
      </c>
      <c r="AK97">
        <v>1</v>
      </c>
      <c r="AL97" t="str" cm="1">
        <f t="array" ref="AL97">_xlfn.IFS(AK97=1,"Low",AK97=2,"Medium",AK97=3,"High",AK97=4,"Very High")</f>
        <v>Low</v>
      </c>
      <c r="AM97">
        <v>4</v>
      </c>
      <c r="AN97">
        <v>3</v>
      </c>
      <c r="AO97">
        <v>0</v>
      </c>
      <c r="AP97">
        <v>3</v>
      </c>
    </row>
    <row r="98" spans="1:42">
      <c r="A98">
        <v>24</v>
      </c>
      <c r="B98" t="str" cm="1">
        <f t="array" ref="B98">_xlfn.IFS(A98&lt;=25,"18-25",A98&lt;=35,"26-35",A98&lt;=45,"36-45",A98&lt;=55,"46-55",A98&gt;55,"56+")</f>
        <v>18-25</v>
      </c>
      <c r="C98" t="s">
        <v>39</v>
      </c>
      <c r="D98" t="s">
        <v>33</v>
      </c>
      <c r="E98" s="2">
        <v>1353</v>
      </c>
      <c r="F98" t="s">
        <v>34</v>
      </c>
      <c r="G98">
        <v>3</v>
      </c>
      <c r="H98" t="str">
        <f t="shared" si="1"/>
        <v>1-10 km</v>
      </c>
      <c r="I98">
        <v>2</v>
      </c>
      <c r="J98" t="str" cm="1">
        <f t="array" ref="J98">_xlfn.IFS(I98=1,"Below College",I98=2,"College",I98=3,"Bachelor",I98=4,"Master",I98=5,"Doctor")</f>
        <v>College</v>
      </c>
      <c r="K98" t="s">
        <v>45</v>
      </c>
      <c r="L98">
        <v>128</v>
      </c>
      <c r="M98">
        <v>1</v>
      </c>
      <c r="N98" t="str" cm="1">
        <f t="array" ref="N98">_xlfn.IFS(M98=1,"Low",M98=2,"Medium",M98=3,"High",M98=4,"Very High")</f>
        <v>Low</v>
      </c>
      <c r="O98" t="s">
        <v>36</v>
      </c>
      <c r="P98" s="2">
        <v>33</v>
      </c>
      <c r="Q98">
        <v>3</v>
      </c>
      <c r="R98" t="str" cm="1">
        <f t="array" ref="R98">_xlfn.IFS(Q98=1,"Low",Q98=2,"Medium",Q98=3,"High",Q98=4,"Very High")</f>
        <v>High</v>
      </c>
      <c r="S98">
        <v>2</v>
      </c>
      <c r="T98" t="str" cm="1">
        <f t="array" ref="T98">_xlfn.IFS(S98=1,"Entry Level",S98=2,"Junior",S98=3,"Mid-Level",S98=4,"Senior",S98=5,"Executive")</f>
        <v>Junior</v>
      </c>
      <c r="U98" t="s">
        <v>37</v>
      </c>
      <c r="V98">
        <v>3</v>
      </c>
      <c r="W98" t="str" cm="1">
        <f t="array" ref="W98">_xlfn.IFS(V98=1,"Low",V98=2,"Medium",V98=3,"High",V98=4,"Very High")</f>
        <v>High</v>
      </c>
      <c r="X98" t="s">
        <v>44</v>
      </c>
      <c r="Y98" s="2">
        <v>4999</v>
      </c>
      <c r="Z98" s="2">
        <v>17519</v>
      </c>
      <c r="AA98">
        <v>0</v>
      </c>
      <c r="AB98" t="s">
        <v>39</v>
      </c>
      <c r="AC98">
        <v>21</v>
      </c>
      <c r="AD98">
        <v>4</v>
      </c>
      <c r="AE98" t="str" cm="1">
        <f t="array" ref="AE98">_xlfn.IFS(AD98=1,"Low",AD98=2,"Good",AD98=3,"Excellent",AD98=4,"Outstanding")</f>
        <v>Outstanding</v>
      </c>
      <c r="AF98">
        <v>1</v>
      </c>
      <c r="AG98" t="str" cm="1">
        <f t="array" ref="AG98">_xlfn.IFS(AF98=1,"Low",AF98=2,"Medium",AF98=3,"High",AF98=4,"Very High")</f>
        <v>Low</v>
      </c>
      <c r="AH98">
        <v>1</v>
      </c>
      <c r="AI98">
        <v>4</v>
      </c>
      <c r="AJ98">
        <v>2</v>
      </c>
      <c r="AK98">
        <v>2</v>
      </c>
      <c r="AL98" t="str" cm="1">
        <f t="array" ref="AL98">_xlfn.IFS(AK98=1,"Low",AK98=2,"Medium",AK98=3,"High",AK98=4,"Very High")</f>
        <v>Medium</v>
      </c>
      <c r="AM98">
        <v>3</v>
      </c>
      <c r="AN98">
        <v>2</v>
      </c>
      <c r="AO98">
        <v>0</v>
      </c>
      <c r="AP98">
        <v>2</v>
      </c>
    </row>
    <row r="99" spans="1:42">
      <c r="A99">
        <v>28</v>
      </c>
      <c r="B99" t="str" cm="1">
        <f t="array" ref="B99">_xlfn.IFS(A99&lt;=25,"18-25",A99&lt;=35,"26-35",A99&lt;=45,"36-45",A99&lt;=55,"46-55",A99&gt;55,"56+")</f>
        <v>26-35</v>
      </c>
      <c r="C99" t="s">
        <v>39</v>
      </c>
      <c r="D99" t="s">
        <v>51</v>
      </c>
      <c r="E99" s="2">
        <v>120</v>
      </c>
      <c r="F99" t="s">
        <v>34</v>
      </c>
      <c r="G99">
        <v>4</v>
      </c>
      <c r="H99" t="str">
        <f t="shared" si="1"/>
        <v>1-10 km</v>
      </c>
      <c r="I99">
        <v>3</v>
      </c>
      <c r="J99" t="str" cm="1">
        <f t="array" ref="J99">_xlfn.IFS(I99=1,"Below College",I99=2,"College",I99=3,"Bachelor",I99=4,"Master",I99=5,"Doctor")</f>
        <v>Bachelor</v>
      </c>
      <c r="K99" t="s">
        <v>47</v>
      </c>
      <c r="L99">
        <v>129</v>
      </c>
      <c r="M99">
        <v>2</v>
      </c>
      <c r="N99" t="str" cm="1">
        <f t="array" ref="N99">_xlfn.IFS(M99=1,"Low",M99=2,"Medium",M99=3,"High",M99=4,"Very High")</f>
        <v>Medium</v>
      </c>
      <c r="O99" t="s">
        <v>42</v>
      </c>
      <c r="P99" s="2">
        <v>43</v>
      </c>
      <c r="Q99">
        <v>3</v>
      </c>
      <c r="R99" t="str" cm="1">
        <f t="array" ref="R99">_xlfn.IFS(Q99=1,"Low",Q99=2,"Medium",Q99=3,"High",Q99=4,"Very High")</f>
        <v>High</v>
      </c>
      <c r="S99">
        <v>2</v>
      </c>
      <c r="T99" t="str" cm="1">
        <f t="array" ref="T99">_xlfn.IFS(S99=1,"Entry Level",S99=2,"Junior",S99=3,"Mid-Level",S99=4,"Senior",S99=5,"Executive")</f>
        <v>Junior</v>
      </c>
      <c r="U99" t="s">
        <v>37</v>
      </c>
      <c r="V99">
        <v>3</v>
      </c>
      <c r="W99" t="str" cm="1">
        <f t="array" ref="W99">_xlfn.IFS(V99=1,"Low",V99=2,"Medium",V99=3,"High",V99=4,"Very High")</f>
        <v>High</v>
      </c>
      <c r="X99" t="s">
        <v>44</v>
      </c>
      <c r="Y99" s="2">
        <v>4221</v>
      </c>
      <c r="Z99" s="2">
        <v>8863</v>
      </c>
      <c r="AA99">
        <v>1</v>
      </c>
      <c r="AB99" t="s">
        <v>39</v>
      </c>
      <c r="AC99">
        <v>15</v>
      </c>
      <c r="AD99">
        <v>3</v>
      </c>
      <c r="AE99" t="str" cm="1">
        <f t="array" ref="AE99">_xlfn.IFS(AD99=1,"Low",AD99=2,"Good",AD99=3,"Excellent",AD99=4,"Outstanding")</f>
        <v>Excellent</v>
      </c>
      <c r="AF99">
        <v>2</v>
      </c>
      <c r="AG99" t="str" cm="1">
        <f t="array" ref="AG99">_xlfn.IFS(AF99=1,"Low",AF99=2,"Medium",AF99=3,"High",AF99=4,"Very High")</f>
        <v>Medium</v>
      </c>
      <c r="AH99">
        <v>0</v>
      </c>
      <c r="AI99">
        <v>5</v>
      </c>
      <c r="AJ99">
        <v>3</v>
      </c>
      <c r="AK99">
        <v>4</v>
      </c>
      <c r="AL99" t="str" cm="1">
        <f t="array" ref="AL99">_xlfn.IFS(AK99=1,"Low",AK99=2,"Medium",AK99=3,"High",AK99=4,"Very High")</f>
        <v>Very High</v>
      </c>
      <c r="AM99">
        <v>5</v>
      </c>
      <c r="AN99">
        <v>4</v>
      </c>
      <c r="AO99">
        <v>0</v>
      </c>
      <c r="AP99">
        <v>4</v>
      </c>
    </row>
    <row r="100" spans="1:42">
      <c r="A100">
        <v>58</v>
      </c>
      <c r="B100" t="str" cm="1">
        <f t="array" ref="B100">_xlfn.IFS(A100&lt;=25,"18-25",A100&lt;=35,"26-35",A100&lt;=45,"36-45",A100&lt;=55,"46-55",A100&gt;55,"56+")</f>
        <v>56+</v>
      </c>
      <c r="C100" t="s">
        <v>39</v>
      </c>
      <c r="D100" t="s">
        <v>33</v>
      </c>
      <c r="E100" s="2">
        <v>682</v>
      </c>
      <c r="F100" t="s">
        <v>34</v>
      </c>
      <c r="G100">
        <v>10</v>
      </c>
      <c r="H100" t="str">
        <f t="shared" si="1"/>
        <v>1-10 km</v>
      </c>
      <c r="I100">
        <v>4</v>
      </c>
      <c r="J100" t="str" cm="1">
        <f t="array" ref="J100">_xlfn.IFS(I100=1,"Below College",I100=2,"College",I100=3,"Bachelor",I100=4,"Master",I100=5,"Doctor")</f>
        <v>Master</v>
      </c>
      <c r="K100" t="s">
        <v>47</v>
      </c>
      <c r="L100">
        <v>131</v>
      </c>
      <c r="M100">
        <v>4</v>
      </c>
      <c r="N100" t="str" cm="1">
        <f t="array" ref="N100">_xlfn.IFS(M100=1,"Low",M100=2,"Medium",M100=3,"High",M100=4,"Very High")</f>
        <v>Very High</v>
      </c>
      <c r="O100" t="s">
        <v>42</v>
      </c>
      <c r="P100" s="2">
        <v>37</v>
      </c>
      <c r="Q100">
        <v>3</v>
      </c>
      <c r="R100" t="str" cm="1">
        <f t="array" ref="R100">_xlfn.IFS(Q100=1,"Low",Q100=2,"Medium",Q100=3,"High",Q100=4,"Very High")</f>
        <v>High</v>
      </c>
      <c r="S100">
        <v>4</v>
      </c>
      <c r="T100" t="str" cm="1">
        <f t="array" ref="T100">_xlfn.IFS(S100=1,"Entry Level",S100=2,"Junior",S100=3,"Mid-Level",S100=4,"Senior",S100=5,"Executive")</f>
        <v>Senior</v>
      </c>
      <c r="U100" t="s">
        <v>37</v>
      </c>
      <c r="V100">
        <v>3</v>
      </c>
      <c r="W100" t="str" cm="1">
        <f t="array" ref="W100">_xlfn.IFS(V100=1,"Low",V100=2,"Medium",V100=3,"High",V100=4,"Very High")</f>
        <v>High</v>
      </c>
      <c r="X100" t="s">
        <v>38</v>
      </c>
      <c r="Y100" s="2">
        <v>13872</v>
      </c>
      <c r="Z100" s="2">
        <v>24409</v>
      </c>
      <c r="AA100">
        <v>0</v>
      </c>
      <c r="AB100" t="s">
        <v>39</v>
      </c>
      <c r="AC100">
        <v>13</v>
      </c>
      <c r="AD100">
        <v>3</v>
      </c>
      <c r="AE100" t="str" cm="1">
        <f t="array" ref="AE100">_xlfn.IFS(AD100=1,"Low",AD100=2,"Good",AD100=3,"Excellent",AD100=4,"Outstanding")</f>
        <v>Excellent</v>
      </c>
      <c r="AF100">
        <v>3</v>
      </c>
      <c r="AG100" t="str" cm="1">
        <f t="array" ref="AG100">_xlfn.IFS(AF100=1,"Low",AF100=2,"Medium",AF100=3,"High",AF100=4,"Very High")</f>
        <v>High</v>
      </c>
      <c r="AH100">
        <v>0</v>
      </c>
      <c r="AI100">
        <v>38</v>
      </c>
      <c r="AJ100">
        <v>1</v>
      </c>
      <c r="AK100">
        <v>2</v>
      </c>
      <c r="AL100" t="str" cm="1">
        <f t="array" ref="AL100">_xlfn.IFS(AK100=1,"Low",AK100=2,"Medium",AK100=3,"High",AK100=4,"Very High")</f>
        <v>Medium</v>
      </c>
      <c r="AM100">
        <v>37</v>
      </c>
      <c r="AN100">
        <v>10</v>
      </c>
      <c r="AO100">
        <v>1</v>
      </c>
      <c r="AP100">
        <v>8</v>
      </c>
    </row>
    <row r="101" spans="1:42">
      <c r="A101">
        <v>44</v>
      </c>
      <c r="B101" t="str" cm="1">
        <f t="array" ref="B101">_xlfn.IFS(A101&lt;=25,"18-25",A101&lt;=35,"26-35",A101&lt;=45,"36-45",A101&lt;=55,"46-55",A101&gt;55,"56+")</f>
        <v>36-45</v>
      </c>
      <c r="C101" t="s">
        <v>39</v>
      </c>
      <c r="D101" t="s">
        <v>51</v>
      </c>
      <c r="E101" s="2">
        <v>489</v>
      </c>
      <c r="F101" t="s">
        <v>41</v>
      </c>
      <c r="G101">
        <v>23</v>
      </c>
      <c r="H101" t="str">
        <f t="shared" si="1"/>
        <v>21-30 km</v>
      </c>
      <c r="I101">
        <v>3</v>
      </c>
      <c r="J101" t="str" cm="1">
        <f t="array" ref="J101">_xlfn.IFS(I101=1,"Below College",I101=2,"College",I101=3,"Bachelor",I101=4,"Master",I101=5,"Doctor")</f>
        <v>Bachelor</v>
      </c>
      <c r="K101" t="s">
        <v>47</v>
      </c>
      <c r="L101">
        <v>132</v>
      </c>
      <c r="M101">
        <v>2</v>
      </c>
      <c r="N101" t="str" cm="1">
        <f t="array" ref="N101">_xlfn.IFS(M101=1,"Low",M101=2,"Medium",M101=3,"High",M101=4,"Very High")</f>
        <v>Medium</v>
      </c>
      <c r="O101" t="s">
        <v>42</v>
      </c>
      <c r="P101" s="2">
        <v>67</v>
      </c>
      <c r="Q101">
        <v>3</v>
      </c>
      <c r="R101" t="str" cm="1">
        <f t="array" ref="R101">_xlfn.IFS(Q101=1,"Low",Q101=2,"Medium",Q101=3,"High",Q101=4,"Very High")</f>
        <v>High</v>
      </c>
      <c r="S101">
        <v>2</v>
      </c>
      <c r="T101" t="str" cm="1">
        <f t="array" ref="T101">_xlfn.IFS(S101=1,"Entry Level",S101=2,"Junior",S101=3,"Mid-Level",S101=4,"Senior",S101=5,"Executive")</f>
        <v>Junior</v>
      </c>
      <c r="U101" t="s">
        <v>46</v>
      </c>
      <c r="V101">
        <v>2</v>
      </c>
      <c r="W101" t="str" cm="1">
        <f t="array" ref="W101">_xlfn.IFS(V101=1,"Low",V101=2,"Medium",V101=3,"High",V101=4,"Very High")</f>
        <v>Medium</v>
      </c>
      <c r="X101" t="s">
        <v>44</v>
      </c>
      <c r="Y101" s="2">
        <v>2042</v>
      </c>
      <c r="Z101" s="2">
        <v>25043</v>
      </c>
      <c r="AA101">
        <v>4</v>
      </c>
      <c r="AB101" t="s">
        <v>39</v>
      </c>
      <c r="AC101">
        <v>12</v>
      </c>
      <c r="AD101">
        <v>3</v>
      </c>
      <c r="AE101" t="str" cm="1">
        <f t="array" ref="AE101">_xlfn.IFS(AD101=1,"Low",AD101=2,"Good",AD101=3,"Excellent",AD101=4,"Outstanding")</f>
        <v>Excellent</v>
      </c>
      <c r="AF101">
        <v>3</v>
      </c>
      <c r="AG101" t="str" cm="1">
        <f t="array" ref="AG101">_xlfn.IFS(AF101=1,"Low",AF101=2,"Medium",AF101=3,"High",AF101=4,"Very High")</f>
        <v>High</v>
      </c>
      <c r="AH101">
        <v>1</v>
      </c>
      <c r="AI101">
        <v>17</v>
      </c>
      <c r="AJ101">
        <v>3</v>
      </c>
      <c r="AK101">
        <v>4</v>
      </c>
      <c r="AL101" t="str" cm="1">
        <f t="array" ref="AL101">_xlfn.IFS(AK101=1,"Low",AK101=2,"Medium",AK101=3,"High",AK101=4,"Very High")</f>
        <v>Very High</v>
      </c>
      <c r="AM101">
        <v>3</v>
      </c>
      <c r="AN101">
        <v>2</v>
      </c>
      <c r="AO101">
        <v>1</v>
      </c>
      <c r="AP101">
        <v>2</v>
      </c>
    </row>
    <row r="102" spans="1:42">
      <c r="A102">
        <v>37</v>
      </c>
      <c r="B102" t="str" cm="1">
        <f t="array" ref="B102">_xlfn.IFS(A102&lt;=25,"18-25",A102&lt;=35,"26-35",A102&lt;=45,"36-45",A102&lt;=55,"46-55",A102&gt;55,"56+")</f>
        <v>36-45</v>
      </c>
      <c r="C102" t="s">
        <v>32</v>
      </c>
      <c r="D102" t="s">
        <v>33</v>
      </c>
      <c r="E102" s="2">
        <v>807</v>
      </c>
      <c r="F102" t="s">
        <v>57</v>
      </c>
      <c r="G102">
        <v>6</v>
      </c>
      <c r="H102" t="str">
        <f t="shared" si="1"/>
        <v>1-10 km</v>
      </c>
      <c r="I102">
        <v>4</v>
      </c>
      <c r="J102" t="str" cm="1">
        <f t="array" ref="J102">_xlfn.IFS(I102=1,"Below College",I102=2,"College",I102=3,"Bachelor",I102=4,"Master",I102=5,"Doctor")</f>
        <v>Master</v>
      </c>
      <c r="K102" t="s">
        <v>57</v>
      </c>
      <c r="L102">
        <v>133</v>
      </c>
      <c r="M102">
        <v>3</v>
      </c>
      <c r="N102" t="str" cm="1">
        <f t="array" ref="N102">_xlfn.IFS(M102=1,"Low",M102=2,"Medium",M102=3,"High",M102=4,"Very High")</f>
        <v>High</v>
      </c>
      <c r="O102" t="s">
        <v>42</v>
      </c>
      <c r="P102" s="2">
        <v>63</v>
      </c>
      <c r="Q102">
        <v>3</v>
      </c>
      <c r="R102" t="str" cm="1">
        <f t="array" ref="R102">_xlfn.IFS(Q102=1,"Low",Q102=2,"Medium",Q102=3,"High",Q102=4,"Very High")</f>
        <v>High</v>
      </c>
      <c r="S102">
        <v>1</v>
      </c>
      <c r="T102" t="str" cm="1">
        <f t="array" ref="T102">_xlfn.IFS(S102=1,"Entry Level",S102=2,"Junior",S102=3,"Mid-Level",S102=4,"Senior",S102=5,"Executive")</f>
        <v>Entry Level</v>
      </c>
      <c r="U102" t="s">
        <v>57</v>
      </c>
      <c r="V102">
        <v>1</v>
      </c>
      <c r="W102" t="str" cm="1">
        <f t="array" ref="W102">_xlfn.IFS(V102=1,"Low",V102=2,"Medium",V102=3,"High",V102=4,"Very High")</f>
        <v>Low</v>
      </c>
      <c r="X102" t="s">
        <v>48</v>
      </c>
      <c r="Y102" s="2">
        <v>2073</v>
      </c>
      <c r="Z102" s="2">
        <v>23648</v>
      </c>
      <c r="AA102">
        <v>4</v>
      </c>
      <c r="AB102" t="s">
        <v>32</v>
      </c>
      <c r="AC102">
        <v>22</v>
      </c>
      <c r="AD102">
        <v>4</v>
      </c>
      <c r="AE102" t="str" cm="1">
        <f t="array" ref="AE102">_xlfn.IFS(AD102=1,"Low",AD102=2,"Good",AD102=3,"Excellent",AD102=4,"Outstanding")</f>
        <v>Outstanding</v>
      </c>
      <c r="AF102">
        <v>4</v>
      </c>
      <c r="AG102" t="str" cm="1">
        <f t="array" ref="AG102">_xlfn.IFS(AF102=1,"Low",AF102=2,"Medium",AF102=3,"High",AF102=4,"Very High")</f>
        <v>Very High</v>
      </c>
      <c r="AH102">
        <v>0</v>
      </c>
      <c r="AI102">
        <v>7</v>
      </c>
      <c r="AJ102">
        <v>3</v>
      </c>
      <c r="AK102">
        <v>3</v>
      </c>
      <c r="AL102" t="str" cm="1">
        <f t="array" ref="AL102">_xlfn.IFS(AK102=1,"Low",AK102=2,"Medium",AK102=3,"High",AK102=4,"Very High")</f>
        <v>High</v>
      </c>
      <c r="AM102">
        <v>3</v>
      </c>
      <c r="AN102">
        <v>2</v>
      </c>
      <c r="AO102">
        <v>0</v>
      </c>
      <c r="AP102">
        <v>2</v>
      </c>
    </row>
    <row r="103" spans="1:42">
      <c r="A103">
        <v>32</v>
      </c>
      <c r="B103" t="str" cm="1">
        <f t="array" ref="B103">_xlfn.IFS(A103&lt;=25,"18-25",A103&lt;=35,"26-35",A103&lt;=45,"36-45",A103&lt;=55,"46-55",A103&gt;55,"56+")</f>
        <v>26-35</v>
      </c>
      <c r="C103" t="s">
        <v>39</v>
      </c>
      <c r="D103" t="s">
        <v>33</v>
      </c>
      <c r="E103" s="2">
        <v>827</v>
      </c>
      <c r="F103" t="s">
        <v>41</v>
      </c>
      <c r="G103">
        <v>1</v>
      </c>
      <c r="H103" t="str">
        <f t="shared" si="1"/>
        <v>1-10 km</v>
      </c>
      <c r="I103">
        <v>1</v>
      </c>
      <c r="J103" t="str" cm="1">
        <f t="array" ref="J103">_xlfn.IFS(I103=1,"Below College",I103=2,"College",I103=3,"Bachelor",I103=4,"Master",I103=5,"Doctor")</f>
        <v>Below College</v>
      </c>
      <c r="K103" t="s">
        <v>35</v>
      </c>
      <c r="L103">
        <v>134</v>
      </c>
      <c r="M103">
        <v>4</v>
      </c>
      <c r="N103" t="str" cm="1">
        <f t="array" ref="N103">_xlfn.IFS(M103=1,"Low",M103=2,"Medium",M103=3,"High",M103=4,"Very High")</f>
        <v>Very High</v>
      </c>
      <c r="O103" t="s">
        <v>42</v>
      </c>
      <c r="P103" s="2">
        <v>71</v>
      </c>
      <c r="Q103">
        <v>3</v>
      </c>
      <c r="R103" t="str" cm="1">
        <f t="array" ref="R103">_xlfn.IFS(Q103=1,"Low",Q103=2,"Medium",Q103=3,"High",Q103=4,"Very High")</f>
        <v>High</v>
      </c>
      <c r="S103">
        <v>1</v>
      </c>
      <c r="T103" t="str" cm="1">
        <f t="array" ref="T103">_xlfn.IFS(S103=1,"Entry Level",S103=2,"Junior",S103=3,"Mid-Level",S103=4,"Senior",S103=5,"Executive")</f>
        <v>Entry Level</v>
      </c>
      <c r="U103" t="s">
        <v>43</v>
      </c>
      <c r="V103">
        <v>1</v>
      </c>
      <c r="W103" t="str" cm="1">
        <f t="array" ref="W103">_xlfn.IFS(V103=1,"Low",V103=2,"Medium",V103=3,"High",V103=4,"Very High")</f>
        <v>Low</v>
      </c>
      <c r="X103" t="s">
        <v>38</v>
      </c>
      <c r="Y103" s="2">
        <v>2956</v>
      </c>
      <c r="Z103" s="2">
        <v>15178</v>
      </c>
      <c r="AA103">
        <v>1</v>
      </c>
      <c r="AB103" t="s">
        <v>39</v>
      </c>
      <c r="AC103">
        <v>13</v>
      </c>
      <c r="AD103">
        <v>3</v>
      </c>
      <c r="AE103" t="str" cm="1">
        <f t="array" ref="AE103">_xlfn.IFS(AD103=1,"Low",AD103=2,"Good",AD103=3,"Excellent",AD103=4,"Outstanding")</f>
        <v>Excellent</v>
      </c>
      <c r="AF103">
        <v>4</v>
      </c>
      <c r="AG103" t="str" cm="1">
        <f t="array" ref="AG103">_xlfn.IFS(AF103=1,"Low",AF103=2,"Medium",AF103=3,"High",AF103=4,"Very High")</f>
        <v>Very High</v>
      </c>
      <c r="AH103">
        <v>0</v>
      </c>
      <c r="AI103">
        <v>1</v>
      </c>
      <c r="AJ103">
        <v>2</v>
      </c>
      <c r="AK103">
        <v>3</v>
      </c>
      <c r="AL103" t="str" cm="1">
        <f t="array" ref="AL103">_xlfn.IFS(AK103=1,"Low",AK103=2,"Medium",AK103=3,"High",AK103=4,"Very High")</f>
        <v>High</v>
      </c>
      <c r="AM103">
        <v>1</v>
      </c>
      <c r="AN103">
        <v>0</v>
      </c>
      <c r="AO103">
        <v>0</v>
      </c>
      <c r="AP103">
        <v>0</v>
      </c>
    </row>
    <row r="104" spans="1:42">
      <c r="A104">
        <v>20</v>
      </c>
      <c r="B104" t="str" cm="1">
        <f t="array" ref="B104">_xlfn.IFS(A104&lt;=25,"18-25",A104&lt;=35,"26-35",A104&lt;=45,"36-45",A104&lt;=55,"46-55",A104&gt;55,"56+")</f>
        <v>18-25</v>
      </c>
      <c r="C104" t="s">
        <v>32</v>
      </c>
      <c r="D104" t="s">
        <v>40</v>
      </c>
      <c r="E104" s="2">
        <v>871</v>
      </c>
      <c r="F104" t="s">
        <v>41</v>
      </c>
      <c r="G104">
        <v>6</v>
      </c>
      <c r="H104" t="str">
        <f t="shared" si="1"/>
        <v>1-10 km</v>
      </c>
      <c r="I104">
        <v>3</v>
      </c>
      <c r="J104" t="str" cm="1">
        <f t="array" ref="J104">_xlfn.IFS(I104=1,"Below College",I104=2,"College",I104=3,"Bachelor",I104=4,"Master",I104=5,"Doctor")</f>
        <v>Bachelor</v>
      </c>
      <c r="K104" t="s">
        <v>35</v>
      </c>
      <c r="L104">
        <v>137</v>
      </c>
      <c r="M104">
        <v>4</v>
      </c>
      <c r="N104" t="str" cm="1">
        <f t="array" ref="N104">_xlfn.IFS(M104=1,"Low",M104=2,"Medium",M104=3,"High",M104=4,"Very High")</f>
        <v>Very High</v>
      </c>
      <c r="O104" t="s">
        <v>36</v>
      </c>
      <c r="P104" s="2">
        <v>66</v>
      </c>
      <c r="Q104">
        <v>2</v>
      </c>
      <c r="R104" t="str" cm="1">
        <f t="array" ref="R104">_xlfn.IFS(Q104=1,"Low",Q104=2,"Medium",Q104=3,"High",Q104=4,"Very High")</f>
        <v>Medium</v>
      </c>
      <c r="S104">
        <v>1</v>
      </c>
      <c r="T104" t="str" cm="1">
        <f t="array" ref="T104">_xlfn.IFS(S104=1,"Entry Level",S104=2,"Junior",S104=3,"Mid-Level",S104=4,"Senior",S104=5,"Executive")</f>
        <v>Entry Level</v>
      </c>
      <c r="U104" t="s">
        <v>46</v>
      </c>
      <c r="V104">
        <v>4</v>
      </c>
      <c r="W104" t="str" cm="1">
        <f t="array" ref="W104">_xlfn.IFS(V104=1,"Low",V104=2,"Medium",V104=3,"High",V104=4,"Very High")</f>
        <v>Very High</v>
      </c>
      <c r="X104" t="s">
        <v>38</v>
      </c>
      <c r="Y104" s="2">
        <v>2926</v>
      </c>
      <c r="Z104" s="2">
        <v>19783</v>
      </c>
      <c r="AA104">
        <v>1</v>
      </c>
      <c r="AB104" t="s">
        <v>32</v>
      </c>
      <c r="AC104">
        <v>18</v>
      </c>
      <c r="AD104">
        <v>3</v>
      </c>
      <c r="AE104" t="str" cm="1">
        <f t="array" ref="AE104">_xlfn.IFS(AD104=1,"Low",AD104=2,"Good",AD104=3,"Excellent",AD104=4,"Outstanding")</f>
        <v>Excellent</v>
      </c>
      <c r="AF104">
        <v>2</v>
      </c>
      <c r="AG104" t="str" cm="1">
        <f t="array" ref="AG104">_xlfn.IFS(AF104=1,"Low",AF104=2,"Medium",AF104=3,"High",AF104=4,"Very High")</f>
        <v>Medium</v>
      </c>
      <c r="AH104">
        <v>0</v>
      </c>
      <c r="AI104">
        <v>1</v>
      </c>
      <c r="AJ104">
        <v>5</v>
      </c>
      <c r="AK104">
        <v>3</v>
      </c>
      <c r="AL104" t="str" cm="1">
        <f t="array" ref="AL104">_xlfn.IFS(AK104=1,"Low",AK104=2,"Medium",AK104=3,"High",AK104=4,"Very High")</f>
        <v>High</v>
      </c>
      <c r="AM104">
        <v>1</v>
      </c>
      <c r="AN104">
        <v>0</v>
      </c>
      <c r="AO104">
        <v>1</v>
      </c>
      <c r="AP104">
        <v>0</v>
      </c>
    </row>
    <row r="105" spans="1:42">
      <c r="A105">
        <v>34</v>
      </c>
      <c r="B105" t="str" cm="1">
        <f t="array" ref="B105">_xlfn.IFS(A105&lt;=25,"18-25",A105&lt;=35,"26-35",A105&lt;=45,"36-45",A105&lt;=55,"46-55",A105&gt;55,"56+")</f>
        <v>26-35</v>
      </c>
      <c r="C105" t="s">
        <v>39</v>
      </c>
      <c r="D105" t="s">
        <v>33</v>
      </c>
      <c r="E105" s="2">
        <v>665</v>
      </c>
      <c r="F105" t="s">
        <v>41</v>
      </c>
      <c r="G105">
        <v>6</v>
      </c>
      <c r="H105" t="str">
        <f t="shared" si="1"/>
        <v>1-10 km</v>
      </c>
      <c r="I105">
        <v>4</v>
      </c>
      <c r="J105" t="str" cm="1">
        <f t="array" ref="J105">_xlfn.IFS(I105=1,"Below College",I105=2,"College",I105=3,"Bachelor",I105=4,"Master",I105=5,"Doctor")</f>
        <v>Master</v>
      </c>
      <c r="K105" t="s">
        <v>45</v>
      </c>
      <c r="L105">
        <v>138</v>
      </c>
      <c r="M105">
        <v>1</v>
      </c>
      <c r="N105" t="str" cm="1">
        <f t="array" ref="N105">_xlfn.IFS(M105=1,"Low",M105=2,"Medium",M105=3,"High",M105=4,"Very High")</f>
        <v>Low</v>
      </c>
      <c r="O105" t="s">
        <v>36</v>
      </c>
      <c r="P105" s="2">
        <v>41</v>
      </c>
      <c r="Q105">
        <v>3</v>
      </c>
      <c r="R105" t="str" cm="1">
        <f t="array" ref="R105">_xlfn.IFS(Q105=1,"Low",Q105=2,"Medium",Q105=3,"High",Q105=4,"Very High")</f>
        <v>High</v>
      </c>
      <c r="S105">
        <v>2</v>
      </c>
      <c r="T105" t="str" cm="1">
        <f t="array" ref="T105">_xlfn.IFS(S105=1,"Entry Level",S105=2,"Junior",S105=3,"Mid-Level",S105=4,"Senior",S105=5,"Executive")</f>
        <v>Junior</v>
      </c>
      <c r="U105" t="s">
        <v>43</v>
      </c>
      <c r="V105">
        <v>3</v>
      </c>
      <c r="W105" t="str" cm="1">
        <f t="array" ref="W105">_xlfn.IFS(V105=1,"Low",V105=2,"Medium",V105=3,"High",V105=4,"Very High")</f>
        <v>High</v>
      </c>
      <c r="X105" t="s">
        <v>38</v>
      </c>
      <c r="Y105" s="2">
        <v>4809</v>
      </c>
      <c r="Z105" s="2">
        <v>12482</v>
      </c>
      <c r="AA105">
        <v>1</v>
      </c>
      <c r="AB105" t="s">
        <v>39</v>
      </c>
      <c r="AC105">
        <v>14</v>
      </c>
      <c r="AD105">
        <v>3</v>
      </c>
      <c r="AE105" t="str" cm="1">
        <f t="array" ref="AE105">_xlfn.IFS(AD105=1,"Low",AD105=2,"Good",AD105=3,"Excellent",AD105=4,"Outstanding")</f>
        <v>Excellent</v>
      </c>
      <c r="AF105">
        <v>3</v>
      </c>
      <c r="AG105" t="str" cm="1">
        <f t="array" ref="AG105">_xlfn.IFS(AF105=1,"Low",AF105=2,"Medium",AF105=3,"High",AF105=4,"Very High")</f>
        <v>High</v>
      </c>
      <c r="AH105">
        <v>0</v>
      </c>
      <c r="AI105">
        <v>16</v>
      </c>
      <c r="AJ105">
        <v>3</v>
      </c>
      <c r="AK105">
        <v>3</v>
      </c>
      <c r="AL105" t="str" cm="1">
        <f t="array" ref="AL105">_xlfn.IFS(AK105=1,"Low",AK105=2,"Medium",AK105=3,"High",AK105=4,"Very High")</f>
        <v>High</v>
      </c>
      <c r="AM105">
        <v>16</v>
      </c>
      <c r="AN105">
        <v>13</v>
      </c>
      <c r="AO105">
        <v>2</v>
      </c>
      <c r="AP105">
        <v>10</v>
      </c>
    </row>
    <row r="106" spans="1:42">
      <c r="A106">
        <v>37</v>
      </c>
      <c r="B106" t="str" cm="1">
        <f t="array" ref="B106">_xlfn.IFS(A106&lt;=25,"18-25",A106&lt;=35,"26-35",A106&lt;=45,"36-45",A106&lt;=55,"46-55",A106&gt;55,"56+")</f>
        <v>36-45</v>
      </c>
      <c r="C106" t="s">
        <v>39</v>
      </c>
      <c r="D106" t="s">
        <v>51</v>
      </c>
      <c r="E106" s="2">
        <v>1040</v>
      </c>
      <c r="F106" t="s">
        <v>41</v>
      </c>
      <c r="G106">
        <v>2</v>
      </c>
      <c r="H106" t="str">
        <f t="shared" si="1"/>
        <v>1-10 km</v>
      </c>
      <c r="I106">
        <v>2</v>
      </c>
      <c r="J106" t="str" cm="1">
        <f t="array" ref="J106">_xlfn.IFS(I106=1,"Below College",I106=2,"College",I106=3,"Bachelor",I106=4,"Master",I106=5,"Doctor")</f>
        <v>College</v>
      </c>
      <c r="K106" t="s">
        <v>35</v>
      </c>
      <c r="L106">
        <v>139</v>
      </c>
      <c r="M106">
        <v>3</v>
      </c>
      <c r="N106" t="str" cm="1">
        <f t="array" ref="N106">_xlfn.IFS(M106=1,"Low",M106=2,"Medium",M106=3,"High",M106=4,"Very High")</f>
        <v>High</v>
      </c>
      <c r="O106" t="s">
        <v>42</v>
      </c>
      <c r="P106" s="2">
        <v>100</v>
      </c>
      <c r="Q106">
        <v>2</v>
      </c>
      <c r="R106" t="str" cm="1">
        <f t="array" ref="R106">_xlfn.IFS(Q106=1,"Low",Q106=2,"Medium",Q106=3,"High",Q106=4,"Very High")</f>
        <v>Medium</v>
      </c>
      <c r="S106">
        <v>2</v>
      </c>
      <c r="T106" t="str" cm="1">
        <f t="array" ref="T106">_xlfn.IFS(S106=1,"Entry Level",S106=2,"Junior",S106=3,"Mid-Level",S106=4,"Senior",S106=5,"Executive")</f>
        <v>Junior</v>
      </c>
      <c r="U106" t="s">
        <v>50</v>
      </c>
      <c r="V106">
        <v>4</v>
      </c>
      <c r="W106" t="str" cm="1">
        <f t="array" ref="W106">_xlfn.IFS(V106=1,"Low",V106=2,"Medium",V106=3,"High",V106=4,"Very High")</f>
        <v>Very High</v>
      </c>
      <c r="X106" t="s">
        <v>48</v>
      </c>
      <c r="Y106" s="2">
        <v>5163</v>
      </c>
      <c r="Z106" s="2">
        <v>15850</v>
      </c>
      <c r="AA106">
        <v>5</v>
      </c>
      <c r="AB106" t="s">
        <v>39</v>
      </c>
      <c r="AC106">
        <v>14</v>
      </c>
      <c r="AD106">
        <v>3</v>
      </c>
      <c r="AE106" t="str" cm="1">
        <f t="array" ref="AE106">_xlfn.IFS(AD106=1,"Low",AD106=2,"Good",AD106=3,"Excellent",AD106=4,"Outstanding")</f>
        <v>Excellent</v>
      </c>
      <c r="AF106">
        <v>4</v>
      </c>
      <c r="AG106" t="str" cm="1">
        <f t="array" ref="AG106">_xlfn.IFS(AF106=1,"Low",AF106=2,"Medium",AF106=3,"High",AF106=4,"Very High")</f>
        <v>Very High</v>
      </c>
      <c r="AH106">
        <v>1</v>
      </c>
      <c r="AI106">
        <v>17</v>
      </c>
      <c r="AJ106">
        <v>2</v>
      </c>
      <c r="AK106">
        <v>4</v>
      </c>
      <c r="AL106" t="str" cm="1">
        <f t="array" ref="AL106">_xlfn.IFS(AK106=1,"Low",AK106=2,"Medium",AK106=3,"High",AK106=4,"Very High")</f>
        <v>Very High</v>
      </c>
      <c r="AM106">
        <v>1</v>
      </c>
      <c r="AN106">
        <v>0</v>
      </c>
      <c r="AO106">
        <v>0</v>
      </c>
      <c r="AP106">
        <v>0</v>
      </c>
    </row>
    <row r="107" spans="1:42">
      <c r="A107">
        <v>59</v>
      </c>
      <c r="B107" t="str" cm="1">
        <f t="array" ref="B107">_xlfn.IFS(A107&lt;=25,"18-25",A107&lt;=35,"26-35",A107&lt;=45,"36-45",A107&lt;=55,"46-55",A107&gt;55,"56+")</f>
        <v>56+</v>
      </c>
      <c r="C107" t="s">
        <v>39</v>
      </c>
      <c r="D107" t="s">
        <v>51</v>
      </c>
      <c r="E107" s="2">
        <v>1420</v>
      </c>
      <c r="F107" t="s">
        <v>57</v>
      </c>
      <c r="G107">
        <v>2</v>
      </c>
      <c r="H107" t="str">
        <f t="shared" si="1"/>
        <v>1-10 km</v>
      </c>
      <c r="I107">
        <v>4</v>
      </c>
      <c r="J107" t="str" cm="1">
        <f t="array" ref="J107">_xlfn.IFS(I107=1,"Below College",I107=2,"College",I107=3,"Bachelor",I107=4,"Master",I107=5,"Doctor")</f>
        <v>Master</v>
      </c>
      <c r="K107" t="s">
        <v>57</v>
      </c>
      <c r="L107">
        <v>140</v>
      </c>
      <c r="M107">
        <v>3</v>
      </c>
      <c r="N107" t="str" cm="1">
        <f t="array" ref="N107">_xlfn.IFS(M107=1,"Low",M107=2,"Medium",M107=3,"High",M107=4,"Very High")</f>
        <v>High</v>
      </c>
      <c r="O107" t="s">
        <v>36</v>
      </c>
      <c r="P107" s="2">
        <v>32</v>
      </c>
      <c r="Q107">
        <v>2</v>
      </c>
      <c r="R107" t="str" cm="1">
        <f t="array" ref="R107">_xlfn.IFS(Q107=1,"Low",Q107=2,"Medium",Q107=3,"High",Q107=4,"Very High")</f>
        <v>Medium</v>
      </c>
      <c r="S107">
        <v>5</v>
      </c>
      <c r="T107" t="str" cm="1">
        <f t="array" ref="T107">_xlfn.IFS(S107=1,"Entry Level",S107=2,"Junior",S107=3,"Mid-Level",S107=4,"Senior",S107=5,"Executive")</f>
        <v>Executive</v>
      </c>
      <c r="U107" t="s">
        <v>52</v>
      </c>
      <c r="V107">
        <v>4</v>
      </c>
      <c r="W107" t="str" cm="1">
        <f t="array" ref="W107">_xlfn.IFS(V107=1,"Low",V107=2,"Medium",V107=3,"High",V107=4,"Very High")</f>
        <v>Very High</v>
      </c>
      <c r="X107" t="s">
        <v>44</v>
      </c>
      <c r="Y107" s="2">
        <v>18844</v>
      </c>
      <c r="Z107" s="2">
        <v>21922</v>
      </c>
      <c r="AA107">
        <v>9</v>
      </c>
      <c r="AB107" t="s">
        <v>39</v>
      </c>
      <c r="AC107">
        <v>21</v>
      </c>
      <c r="AD107">
        <v>4</v>
      </c>
      <c r="AE107" t="str" cm="1">
        <f t="array" ref="AE107">_xlfn.IFS(AD107=1,"Low",AD107=2,"Good",AD107=3,"Excellent",AD107=4,"Outstanding")</f>
        <v>Outstanding</v>
      </c>
      <c r="AF107">
        <v>4</v>
      </c>
      <c r="AG107" t="str" cm="1">
        <f t="array" ref="AG107">_xlfn.IFS(AF107=1,"Low",AF107=2,"Medium",AF107=3,"High",AF107=4,"Very High")</f>
        <v>Very High</v>
      </c>
      <c r="AH107">
        <v>1</v>
      </c>
      <c r="AI107">
        <v>30</v>
      </c>
      <c r="AJ107">
        <v>3</v>
      </c>
      <c r="AK107">
        <v>3</v>
      </c>
      <c r="AL107" t="str" cm="1">
        <f t="array" ref="AL107">_xlfn.IFS(AK107=1,"Low",AK107=2,"Medium",AK107=3,"High",AK107=4,"Very High")</f>
        <v>High</v>
      </c>
      <c r="AM107">
        <v>3</v>
      </c>
      <c r="AN107">
        <v>2</v>
      </c>
      <c r="AO107">
        <v>2</v>
      </c>
      <c r="AP107">
        <v>2</v>
      </c>
    </row>
    <row r="108" spans="1:42">
      <c r="A108">
        <v>50</v>
      </c>
      <c r="B108" t="str" cm="1">
        <f t="array" ref="B108">_xlfn.IFS(A108&lt;=25,"18-25",A108&lt;=35,"26-35",A108&lt;=45,"36-45",A108&lt;=55,"46-55",A108&gt;55,"56+")</f>
        <v>46-55</v>
      </c>
      <c r="C108" t="s">
        <v>39</v>
      </c>
      <c r="D108" t="s">
        <v>40</v>
      </c>
      <c r="E108" s="2">
        <v>1115</v>
      </c>
      <c r="F108" t="s">
        <v>41</v>
      </c>
      <c r="G108">
        <v>1</v>
      </c>
      <c r="H108" t="str">
        <f t="shared" si="1"/>
        <v>1-10 km</v>
      </c>
      <c r="I108">
        <v>3</v>
      </c>
      <c r="J108" t="str" cm="1">
        <f t="array" ref="J108">_xlfn.IFS(I108=1,"Below College",I108=2,"College",I108=3,"Bachelor",I108=4,"Master",I108=5,"Doctor")</f>
        <v>Bachelor</v>
      </c>
      <c r="K108" t="s">
        <v>35</v>
      </c>
      <c r="L108">
        <v>141</v>
      </c>
      <c r="M108">
        <v>1</v>
      </c>
      <c r="N108" t="str" cm="1">
        <f t="array" ref="N108">_xlfn.IFS(M108=1,"Low",M108=2,"Medium",M108=3,"High",M108=4,"Very High")</f>
        <v>Low</v>
      </c>
      <c r="O108" t="s">
        <v>36</v>
      </c>
      <c r="P108" s="2">
        <v>73</v>
      </c>
      <c r="Q108">
        <v>3</v>
      </c>
      <c r="R108" t="str" cm="1">
        <f t="array" ref="R108">_xlfn.IFS(Q108=1,"Low",Q108=2,"Medium",Q108=3,"High",Q108=4,"Very High")</f>
        <v>High</v>
      </c>
      <c r="S108">
        <v>5</v>
      </c>
      <c r="T108" t="str" cm="1">
        <f t="array" ref="T108">_xlfn.IFS(S108=1,"Entry Level",S108=2,"Junior",S108=3,"Mid-Level",S108=4,"Senior",S108=5,"Executive")</f>
        <v>Executive</v>
      </c>
      <c r="U108" t="s">
        <v>54</v>
      </c>
      <c r="V108">
        <v>2</v>
      </c>
      <c r="W108" t="str" cm="1">
        <f t="array" ref="W108">_xlfn.IFS(V108=1,"Low",V108=2,"Medium",V108=3,"High",V108=4,"Very High")</f>
        <v>Medium</v>
      </c>
      <c r="X108" t="s">
        <v>44</v>
      </c>
      <c r="Y108" s="2">
        <v>18172</v>
      </c>
      <c r="Z108" s="2">
        <v>9755</v>
      </c>
      <c r="AA108">
        <v>3</v>
      </c>
      <c r="AB108" t="s">
        <v>32</v>
      </c>
      <c r="AC108">
        <v>19</v>
      </c>
      <c r="AD108">
        <v>3</v>
      </c>
      <c r="AE108" t="str" cm="1">
        <f t="array" ref="AE108">_xlfn.IFS(AD108=1,"Low",AD108=2,"Good",AD108=3,"Excellent",AD108=4,"Outstanding")</f>
        <v>Excellent</v>
      </c>
      <c r="AF108">
        <v>1</v>
      </c>
      <c r="AG108" t="str" cm="1">
        <f t="array" ref="AG108">_xlfn.IFS(AF108=1,"Low",AF108=2,"Medium",AF108=3,"High",AF108=4,"Very High")</f>
        <v>Low</v>
      </c>
      <c r="AH108">
        <v>0</v>
      </c>
      <c r="AI108">
        <v>28</v>
      </c>
      <c r="AJ108">
        <v>1</v>
      </c>
      <c r="AK108">
        <v>2</v>
      </c>
      <c r="AL108" t="str" cm="1">
        <f t="array" ref="AL108">_xlfn.IFS(AK108=1,"Low",AK108=2,"Medium",AK108=3,"High",AK108=4,"Very High")</f>
        <v>Medium</v>
      </c>
      <c r="AM108">
        <v>8</v>
      </c>
      <c r="AN108">
        <v>3</v>
      </c>
      <c r="AO108">
        <v>0</v>
      </c>
      <c r="AP108">
        <v>7</v>
      </c>
    </row>
    <row r="109" spans="1:42">
      <c r="A109">
        <v>25</v>
      </c>
      <c r="B109" t="str" cm="1">
        <f t="array" ref="B109">_xlfn.IFS(A109&lt;=25,"18-25",A109&lt;=35,"26-35",A109&lt;=45,"36-45",A109&lt;=55,"46-55",A109&gt;55,"56+")</f>
        <v>18-25</v>
      </c>
      <c r="C109" t="s">
        <v>32</v>
      </c>
      <c r="D109" t="s">
        <v>33</v>
      </c>
      <c r="E109" s="2">
        <v>240</v>
      </c>
      <c r="F109" t="s">
        <v>34</v>
      </c>
      <c r="G109">
        <v>5</v>
      </c>
      <c r="H109" t="str">
        <f t="shared" si="1"/>
        <v>1-10 km</v>
      </c>
      <c r="I109">
        <v>3</v>
      </c>
      <c r="J109" t="str" cm="1">
        <f t="array" ref="J109">_xlfn.IFS(I109=1,"Below College",I109=2,"College",I109=3,"Bachelor",I109=4,"Master",I109=5,"Doctor")</f>
        <v>Bachelor</v>
      </c>
      <c r="K109" t="s">
        <v>55</v>
      </c>
      <c r="L109">
        <v>142</v>
      </c>
      <c r="M109">
        <v>3</v>
      </c>
      <c r="N109" t="str" cm="1">
        <f t="array" ref="N109">_xlfn.IFS(M109=1,"Low",M109=2,"Medium",M109=3,"High",M109=4,"Very High")</f>
        <v>High</v>
      </c>
      <c r="O109" t="s">
        <v>42</v>
      </c>
      <c r="P109" s="2">
        <v>46</v>
      </c>
      <c r="Q109">
        <v>2</v>
      </c>
      <c r="R109" t="str" cm="1">
        <f t="array" ref="R109">_xlfn.IFS(Q109=1,"Low",Q109=2,"Medium",Q109=3,"High",Q109=4,"Very High")</f>
        <v>Medium</v>
      </c>
      <c r="S109">
        <v>2</v>
      </c>
      <c r="T109" t="str" cm="1">
        <f t="array" ref="T109">_xlfn.IFS(S109=1,"Entry Level",S109=2,"Junior",S109=3,"Mid-Level",S109=4,"Senior",S109=5,"Executive")</f>
        <v>Junior</v>
      </c>
      <c r="U109" t="s">
        <v>37</v>
      </c>
      <c r="V109">
        <v>3</v>
      </c>
      <c r="W109" t="str" cm="1">
        <f t="array" ref="W109">_xlfn.IFS(V109=1,"Low",V109=2,"Medium",V109=3,"High",V109=4,"Very High")</f>
        <v>High</v>
      </c>
      <c r="X109" t="s">
        <v>38</v>
      </c>
      <c r="Y109" s="2">
        <v>5744</v>
      </c>
      <c r="Z109" s="2">
        <v>26959</v>
      </c>
      <c r="AA109">
        <v>1</v>
      </c>
      <c r="AB109" t="s">
        <v>32</v>
      </c>
      <c r="AC109">
        <v>11</v>
      </c>
      <c r="AD109">
        <v>3</v>
      </c>
      <c r="AE109" t="str" cm="1">
        <f t="array" ref="AE109">_xlfn.IFS(AD109=1,"Low",AD109=2,"Good",AD109=3,"Excellent",AD109=4,"Outstanding")</f>
        <v>Excellent</v>
      </c>
      <c r="AF109">
        <v>4</v>
      </c>
      <c r="AG109" t="str" cm="1">
        <f t="array" ref="AG109">_xlfn.IFS(AF109=1,"Low",AF109=2,"Medium",AF109=3,"High",AF109=4,"Very High")</f>
        <v>Very High</v>
      </c>
      <c r="AH109">
        <v>0</v>
      </c>
      <c r="AI109">
        <v>6</v>
      </c>
      <c r="AJ109">
        <v>1</v>
      </c>
      <c r="AK109">
        <v>3</v>
      </c>
      <c r="AL109" t="str" cm="1">
        <f t="array" ref="AL109">_xlfn.IFS(AK109=1,"Low",AK109=2,"Medium",AK109=3,"High",AK109=4,"Very High")</f>
        <v>High</v>
      </c>
      <c r="AM109">
        <v>6</v>
      </c>
      <c r="AN109">
        <v>4</v>
      </c>
      <c r="AO109">
        <v>0</v>
      </c>
      <c r="AP109">
        <v>3</v>
      </c>
    </row>
    <row r="110" spans="1:42">
      <c r="A110">
        <v>25</v>
      </c>
      <c r="B110" t="str" cm="1">
        <f t="array" ref="B110">_xlfn.IFS(A110&lt;=25,"18-25",A110&lt;=35,"26-35",A110&lt;=45,"36-45",A110&lt;=55,"46-55",A110&gt;55,"56+")</f>
        <v>18-25</v>
      </c>
      <c r="C110" t="s">
        <v>39</v>
      </c>
      <c r="D110" t="s">
        <v>33</v>
      </c>
      <c r="E110" s="2">
        <v>1280</v>
      </c>
      <c r="F110" t="s">
        <v>41</v>
      </c>
      <c r="G110">
        <v>7</v>
      </c>
      <c r="H110" t="str">
        <f t="shared" si="1"/>
        <v>1-10 km</v>
      </c>
      <c r="I110">
        <v>1</v>
      </c>
      <c r="J110" t="str" cm="1">
        <f t="array" ref="J110">_xlfn.IFS(I110=1,"Below College",I110=2,"College",I110=3,"Bachelor",I110=4,"Master",I110=5,"Doctor")</f>
        <v>Below College</v>
      </c>
      <c r="K110" t="s">
        <v>47</v>
      </c>
      <c r="L110">
        <v>143</v>
      </c>
      <c r="M110">
        <v>4</v>
      </c>
      <c r="N110" t="str" cm="1">
        <f t="array" ref="N110">_xlfn.IFS(M110=1,"Low",M110=2,"Medium",M110=3,"High",M110=4,"Very High")</f>
        <v>Very High</v>
      </c>
      <c r="O110" t="s">
        <v>42</v>
      </c>
      <c r="P110" s="2">
        <v>64</v>
      </c>
      <c r="Q110">
        <v>2</v>
      </c>
      <c r="R110" t="str" cm="1">
        <f t="array" ref="R110">_xlfn.IFS(Q110=1,"Low",Q110=2,"Medium",Q110=3,"High",Q110=4,"Very High")</f>
        <v>Medium</v>
      </c>
      <c r="S110">
        <v>1</v>
      </c>
      <c r="T110" t="str" cm="1">
        <f t="array" ref="T110">_xlfn.IFS(S110=1,"Entry Level",S110=2,"Junior",S110=3,"Mid-Level",S110=4,"Senior",S110=5,"Executive")</f>
        <v>Entry Level</v>
      </c>
      <c r="U110" t="s">
        <v>43</v>
      </c>
      <c r="V110">
        <v>4</v>
      </c>
      <c r="W110" t="str" cm="1">
        <f t="array" ref="W110">_xlfn.IFS(V110=1,"Low",V110=2,"Medium",V110=3,"High",V110=4,"Very High")</f>
        <v>Very High</v>
      </c>
      <c r="X110" t="s">
        <v>44</v>
      </c>
      <c r="Y110" s="2">
        <v>2889</v>
      </c>
      <c r="Z110" s="2">
        <v>26897</v>
      </c>
      <c r="AA110">
        <v>1</v>
      </c>
      <c r="AB110" t="s">
        <v>39</v>
      </c>
      <c r="AC110">
        <v>11</v>
      </c>
      <c r="AD110">
        <v>3</v>
      </c>
      <c r="AE110" t="str" cm="1">
        <f t="array" ref="AE110">_xlfn.IFS(AD110=1,"Low",AD110=2,"Good",AD110=3,"Excellent",AD110=4,"Outstanding")</f>
        <v>Excellent</v>
      </c>
      <c r="AF110">
        <v>3</v>
      </c>
      <c r="AG110" t="str" cm="1">
        <f t="array" ref="AG110">_xlfn.IFS(AF110=1,"Low",AF110=2,"Medium",AF110=3,"High",AF110=4,"Very High")</f>
        <v>High</v>
      </c>
      <c r="AH110">
        <v>2</v>
      </c>
      <c r="AI110">
        <v>2</v>
      </c>
      <c r="AJ110">
        <v>2</v>
      </c>
      <c r="AK110">
        <v>3</v>
      </c>
      <c r="AL110" t="str" cm="1">
        <f t="array" ref="AL110">_xlfn.IFS(AK110=1,"Low",AK110=2,"Medium",AK110=3,"High",AK110=4,"Very High")</f>
        <v>High</v>
      </c>
      <c r="AM110">
        <v>2</v>
      </c>
      <c r="AN110">
        <v>2</v>
      </c>
      <c r="AO110">
        <v>2</v>
      </c>
      <c r="AP110">
        <v>1</v>
      </c>
    </row>
    <row r="111" spans="1:42">
      <c r="A111">
        <v>22</v>
      </c>
      <c r="B111" t="str" cm="1">
        <f t="array" ref="B111">_xlfn.IFS(A111&lt;=25,"18-25",A111&lt;=35,"26-35",A111&lt;=45,"36-45",A111&lt;=55,"46-55",A111&gt;55,"56+")</f>
        <v>18-25</v>
      </c>
      <c r="C111" t="s">
        <v>39</v>
      </c>
      <c r="D111" t="s">
        <v>33</v>
      </c>
      <c r="E111" s="2">
        <v>534</v>
      </c>
      <c r="F111" t="s">
        <v>41</v>
      </c>
      <c r="G111">
        <v>15</v>
      </c>
      <c r="H111" t="str">
        <f t="shared" si="1"/>
        <v>11-20 km</v>
      </c>
      <c r="I111">
        <v>3</v>
      </c>
      <c r="J111" t="str" cm="1">
        <f t="array" ref="J111">_xlfn.IFS(I111=1,"Below College",I111=2,"College",I111=3,"Bachelor",I111=4,"Master",I111=5,"Doctor")</f>
        <v>Bachelor</v>
      </c>
      <c r="K111" t="s">
        <v>47</v>
      </c>
      <c r="L111">
        <v>144</v>
      </c>
      <c r="M111">
        <v>2</v>
      </c>
      <c r="N111" t="str" cm="1">
        <f t="array" ref="N111">_xlfn.IFS(M111=1,"Low",M111=2,"Medium",M111=3,"High",M111=4,"Very High")</f>
        <v>Medium</v>
      </c>
      <c r="O111" t="s">
        <v>36</v>
      </c>
      <c r="P111" s="2">
        <v>59</v>
      </c>
      <c r="Q111">
        <v>3</v>
      </c>
      <c r="R111" t="str" cm="1">
        <f t="array" ref="R111">_xlfn.IFS(Q111=1,"Low",Q111=2,"Medium",Q111=3,"High",Q111=4,"Very High")</f>
        <v>High</v>
      </c>
      <c r="S111">
        <v>1</v>
      </c>
      <c r="T111" t="str" cm="1">
        <f t="array" ref="T111">_xlfn.IFS(S111=1,"Entry Level",S111=2,"Junior",S111=3,"Mid-Level",S111=4,"Senior",S111=5,"Executive")</f>
        <v>Entry Level</v>
      </c>
      <c r="U111" t="s">
        <v>46</v>
      </c>
      <c r="V111">
        <v>4</v>
      </c>
      <c r="W111" t="str" cm="1">
        <f t="array" ref="W111">_xlfn.IFS(V111=1,"Low",V111=2,"Medium",V111=3,"High",V111=4,"Very High")</f>
        <v>Very High</v>
      </c>
      <c r="X111" t="s">
        <v>38</v>
      </c>
      <c r="Y111" s="2">
        <v>2871</v>
      </c>
      <c r="Z111" s="2">
        <v>23785</v>
      </c>
      <c r="AA111">
        <v>1</v>
      </c>
      <c r="AB111" t="s">
        <v>39</v>
      </c>
      <c r="AC111">
        <v>15</v>
      </c>
      <c r="AD111">
        <v>3</v>
      </c>
      <c r="AE111" t="str" cm="1">
        <f t="array" ref="AE111">_xlfn.IFS(AD111=1,"Low",AD111=2,"Good",AD111=3,"Excellent",AD111=4,"Outstanding")</f>
        <v>Excellent</v>
      </c>
      <c r="AF111">
        <v>3</v>
      </c>
      <c r="AG111" t="str" cm="1">
        <f t="array" ref="AG111">_xlfn.IFS(AF111=1,"Low",AF111=2,"Medium",AF111=3,"High",AF111=4,"Very High")</f>
        <v>High</v>
      </c>
      <c r="AH111">
        <v>0</v>
      </c>
      <c r="AI111">
        <v>1</v>
      </c>
      <c r="AJ111">
        <v>5</v>
      </c>
      <c r="AK111">
        <v>3</v>
      </c>
      <c r="AL111" t="str" cm="1">
        <f t="array" ref="AL111">_xlfn.IFS(AK111=1,"Low",AK111=2,"Medium",AK111=3,"High",AK111=4,"Very High")</f>
        <v>High</v>
      </c>
      <c r="AM111">
        <v>0</v>
      </c>
      <c r="AN111">
        <v>0</v>
      </c>
      <c r="AO111">
        <v>0</v>
      </c>
      <c r="AP111">
        <v>0</v>
      </c>
    </row>
    <row r="112" spans="1:42">
      <c r="A112">
        <v>51</v>
      </c>
      <c r="B112" t="str" cm="1">
        <f t="array" ref="B112">_xlfn.IFS(A112&lt;=25,"18-25",A112&lt;=35,"26-35",A112&lt;=45,"36-45",A112&lt;=55,"46-55",A112&gt;55,"56+")</f>
        <v>46-55</v>
      </c>
      <c r="C112" t="s">
        <v>39</v>
      </c>
      <c r="D112" t="s">
        <v>40</v>
      </c>
      <c r="E112" s="2">
        <v>1456</v>
      </c>
      <c r="F112" t="s">
        <v>41</v>
      </c>
      <c r="G112">
        <v>1</v>
      </c>
      <c r="H112" t="str">
        <f t="shared" si="1"/>
        <v>1-10 km</v>
      </c>
      <c r="I112">
        <v>4</v>
      </c>
      <c r="J112" t="str" cm="1">
        <f t="array" ref="J112">_xlfn.IFS(I112=1,"Below College",I112=2,"College",I112=3,"Bachelor",I112=4,"Master",I112=5,"Doctor")</f>
        <v>Master</v>
      </c>
      <c r="K112" t="s">
        <v>47</v>
      </c>
      <c r="L112">
        <v>145</v>
      </c>
      <c r="M112">
        <v>1</v>
      </c>
      <c r="N112" t="str" cm="1">
        <f t="array" ref="N112">_xlfn.IFS(M112=1,"Low",M112=2,"Medium",M112=3,"High",M112=4,"Very High")</f>
        <v>Low</v>
      </c>
      <c r="O112" t="s">
        <v>36</v>
      </c>
      <c r="P112" s="2">
        <v>30</v>
      </c>
      <c r="Q112">
        <v>2</v>
      </c>
      <c r="R112" t="str" cm="1">
        <f t="array" ref="R112">_xlfn.IFS(Q112=1,"Low",Q112=2,"Medium",Q112=3,"High",Q112=4,"Very High")</f>
        <v>Medium</v>
      </c>
      <c r="S112">
        <v>3</v>
      </c>
      <c r="T112" t="str" cm="1">
        <f t="array" ref="T112">_xlfn.IFS(S112=1,"Entry Level",S112=2,"Junior",S112=3,"Mid-Level",S112=4,"Senior",S112=5,"Executive")</f>
        <v>Mid-Level</v>
      </c>
      <c r="U112" t="s">
        <v>50</v>
      </c>
      <c r="V112">
        <v>1</v>
      </c>
      <c r="W112" t="str" cm="1">
        <f t="array" ref="W112">_xlfn.IFS(V112=1,"Low",V112=2,"Medium",V112=3,"High",V112=4,"Very High")</f>
        <v>Low</v>
      </c>
      <c r="X112" t="s">
        <v>38</v>
      </c>
      <c r="Y112" s="2">
        <v>7484</v>
      </c>
      <c r="Z112" s="2">
        <v>25796</v>
      </c>
      <c r="AA112">
        <v>3</v>
      </c>
      <c r="AB112" t="s">
        <v>39</v>
      </c>
      <c r="AC112">
        <v>20</v>
      </c>
      <c r="AD112">
        <v>4</v>
      </c>
      <c r="AE112" t="str" cm="1">
        <f t="array" ref="AE112">_xlfn.IFS(AD112=1,"Low",AD112=2,"Good",AD112=3,"Excellent",AD112=4,"Outstanding")</f>
        <v>Outstanding</v>
      </c>
      <c r="AF112">
        <v>3</v>
      </c>
      <c r="AG112" t="str" cm="1">
        <f t="array" ref="AG112">_xlfn.IFS(AF112=1,"Low",AF112=2,"Medium",AF112=3,"High",AF112=4,"Very High")</f>
        <v>High</v>
      </c>
      <c r="AH112">
        <v>0</v>
      </c>
      <c r="AI112">
        <v>23</v>
      </c>
      <c r="AJ112">
        <v>1</v>
      </c>
      <c r="AK112">
        <v>2</v>
      </c>
      <c r="AL112" t="str" cm="1">
        <f t="array" ref="AL112">_xlfn.IFS(AK112=1,"Low",AK112=2,"Medium",AK112=3,"High",AK112=4,"Very High")</f>
        <v>Medium</v>
      </c>
      <c r="AM112">
        <v>13</v>
      </c>
      <c r="AN112">
        <v>12</v>
      </c>
      <c r="AO112">
        <v>12</v>
      </c>
      <c r="AP112">
        <v>8</v>
      </c>
    </row>
    <row r="113" spans="1:42">
      <c r="A113">
        <v>34</v>
      </c>
      <c r="B113" t="str" cm="1">
        <f t="array" ref="B113">_xlfn.IFS(A113&lt;=25,"18-25",A113&lt;=35,"26-35",A113&lt;=45,"36-45",A113&lt;=55,"46-55",A113&gt;55,"56+")</f>
        <v>26-35</v>
      </c>
      <c r="C113" t="s">
        <v>32</v>
      </c>
      <c r="D113" t="s">
        <v>40</v>
      </c>
      <c r="E113" s="2">
        <v>658</v>
      </c>
      <c r="F113" t="s">
        <v>41</v>
      </c>
      <c r="G113">
        <v>7</v>
      </c>
      <c r="H113" t="str">
        <f t="shared" si="1"/>
        <v>1-10 km</v>
      </c>
      <c r="I113">
        <v>3</v>
      </c>
      <c r="J113" t="str" cm="1">
        <f t="array" ref="J113">_xlfn.IFS(I113=1,"Below College",I113=2,"College",I113=3,"Bachelor",I113=4,"Master",I113=5,"Doctor")</f>
        <v>Bachelor</v>
      </c>
      <c r="K113" t="s">
        <v>35</v>
      </c>
      <c r="L113">
        <v>147</v>
      </c>
      <c r="M113">
        <v>1</v>
      </c>
      <c r="N113" t="str" cm="1">
        <f t="array" ref="N113">_xlfn.IFS(M113=1,"Low",M113=2,"Medium",M113=3,"High",M113=4,"Very High")</f>
        <v>Low</v>
      </c>
      <c r="O113" t="s">
        <v>42</v>
      </c>
      <c r="P113" s="2">
        <v>66</v>
      </c>
      <c r="Q113">
        <v>1</v>
      </c>
      <c r="R113" t="str" cm="1">
        <f t="array" ref="R113">_xlfn.IFS(Q113=1,"Low",Q113=2,"Medium",Q113=3,"High",Q113=4,"Very High")</f>
        <v>Low</v>
      </c>
      <c r="S113">
        <v>2</v>
      </c>
      <c r="T113" t="str" cm="1">
        <f t="array" ref="T113">_xlfn.IFS(S113=1,"Entry Level",S113=2,"Junior",S113=3,"Mid-Level",S113=4,"Senior",S113=5,"Executive")</f>
        <v>Junior</v>
      </c>
      <c r="U113" t="s">
        <v>46</v>
      </c>
      <c r="V113">
        <v>3</v>
      </c>
      <c r="W113" t="str" cm="1">
        <f t="array" ref="W113">_xlfn.IFS(V113=1,"Low",V113=2,"Medium",V113=3,"High",V113=4,"Very High")</f>
        <v>High</v>
      </c>
      <c r="X113" t="s">
        <v>38</v>
      </c>
      <c r="Y113" s="2">
        <v>6074</v>
      </c>
      <c r="Z113" s="2">
        <v>22887</v>
      </c>
      <c r="AA113">
        <v>1</v>
      </c>
      <c r="AB113" t="s">
        <v>32</v>
      </c>
      <c r="AC113">
        <v>24</v>
      </c>
      <c r="AD113">
        <v>4</v>
      </c>
      <c r="AE113" t="str" cm="1">
        <f t="array" ref="AE113">_xlfn.IFS(AD113=1,"Low",AD113=2,"Good",AD113=3,"Excellent",AD113=4,"Outstanding")</f>
        <v>Outstanding</v>
      </c>
      <c r="AF113">
        <v>4</v>
      </c>
      <c r="AG113" t="str" cm="1">
        <f t="array" ref="AG113">_xlfn.IFS(AF113=1,"Low",AF113=2,"Medium",AF113=3,"High",AF113=4,"Very High")</f>
        <v>Very High</v>
      </c>
      <c r="AH113">
        <v>0</v>
      </c>
      <c r="AI113">
        <v>9</v>
      </c>
      <c r="AJ113">
        <v>3</v>
      </c>
      <c r="AK113">
        <v>3</v>
      </c>
      <c r="AL113" t="str" cm="1">
        <f t="array" ref="AL113">_xlfn.IFS(AK113=1,"Low",AK113=2,"Medium",AK113=3,"High",AK113=4,"Very High")</f>
        <v>High</v>
      </c>
      <c r="AM113">
        <v>9</v>
      </c>
      <c r="AN113">
        <v>7</v>
      </c>
      <c r="AO113">
        <v>0</v>
      </c>
      <c r="AP113">
        <v>6</v>
      </c>
    </row>
    <row r="114" spans="1:42">
      <c r="A114">
        <v>54</v>
      </c>
      <c r="B114" t="str" cm="1">
        <f t="array" ref="B114">_xlfn.IFS(A114&lt;=25,"18-25",A114&lt;=35,"26-35",A114&lt;=45,"36-45",A114&lt;=55,"46-55",A114&gt;55,"56+")</f>
        <v>46-55</v>
      </c>
      <c r="C114" t="s">
        <v>39</v>
      </c>
      <c r="D114" t="s">
        <v>51</v>
      </c>
      <c r="E114" s="2">
        <v>142</v>
      </c>
      <c r="F114" t="s">
        <v>57</v>
      </c>
      <c r="G114">
        <v>26</v>
      </c>
      <c r="H114" t="str">
        <f t="shared" si="1"/>
        <v>21-30 km</v>
      </c>
      <c r="I114">
        <v>3</v>
      </c>
      <c r="J114" t="str" cm="1">
        <f t="array" ref="J114">_xlfn.IFS(I114=1,"Below College",I114=2,"College",I114=3,"Bachelor",I114=4,"Master",I114=5,"Doctor")</f>
        <v>Bachelor</v>
      </c>
      <c r="K114" t="s">
        <v>57</v>
      </c>
      <c r="L114">
        <v>148</v>
      </c>
      <c r="M114">
        <v>4</v>
      </c>
      <c r="N114" t="str" cm="1">
        <f t="array" ref="N114">_xlfn.IFS(M114=1,"Low",M114=2,"Medium",M114=3,"High",M114=4,"Very High")</f>
        <v>Very High</v>
      </c>
      <c r="O114" t="s">
        <v>36</v>
      </c>
      <c r="P114" s="2">
        <v>30</v>
      </c>
      <c r="Q114">
        <v>4</v>
      </c>
      <c r="R114" t="str" cm="1">
        <f t="array" ref="R114">_xlfn.IFS(Q114=1,"Low",Q114=2,"Medium",Q114=3,"High",Q114=4,"Very High")</f>
        <v>Very High</v>
      </c>
      <c r="S114">
        <v>4</v>
      </c>
      <c r="T114" t="str" cm="1">
        <f t="array" ref="T114">_xlfn.IFS(S114=1,"Entry Level",S114=2,"Junior",S114=3,"Mid-Level",S114=4,"Senior",S114=5,"Executive")</f>
        <v>Senior</v>
      </c>
      <c r="U114" t="s">
        <v>52</v>
      </c>
      <c r="V114">
        <v>4</v>
      </c>
      <c r="W114" t="str" cm="1">
        <f t="array" ref="W114">_xlfn.IFS(V114=1,"Low",V114=2,"Medium",V114=3,"High",V114=4,"Very High")</f>
        <v>Very High</v>
      </c>
      <c r="X114" t="s">
        <v>38</v>
      </c>
      <c r="Y114" s="2">
        <v>17328</v>
      </c>
      <c r="Z114" s="2">
        <v>13871</v>
      </c>
      <c r="AA114">
        <v>2</v>
      </c>
      <c r="AB114" t="s">
        <v>32</v>
      </c>
      <c r="AC114">
        <v>12</v>
      </c>
      <c r="AD114">
        <v>3</v>
      </c>
      <c r="AE114" t="str" cm="1">
        <f t="array" ref="AE114">_xlfn.IFS(AD114=1,"Low",AD114=2,"Good",AD114=3,"Excellent",AD114=4,"Outstanding")</f>
        <v>Excellent</v>
      </c>
      <c r="AF114">
        <v>3</v>
      </c>
      <c r="AG114" t="str" cm="1">
        <f t="array" ref="AG114">_xlfn.IFS(AF114=1,"Low",AF114=2,"Medium",AF114=3,"High",AF114=4,"Very High")</f>
        <v>High</v>
      </c>
      <c r="AH114">
        <v>0</v>
      </c>
      <c r="AI114">
        <v>23</v>
      </c>
      <c r="AJ114">
        <v>3</v>
      </c>
      <c r="AK114">
        <v>3</v>
      </c>
      <c r="AL114" t="str" cm="1">
        <f t="array" ref="AL114">_xlfn.IFS(AK114=1,"Low",AK114=2,"Medium",AK114=3,"High",AK114=4,"Very High")</f>
        <v>High</v>
      </c>
      <c r="AM114">
        <v>5</v>
      </c>
      <c r="AN114">
        <v>3</v>
      </c>
      <c r="AO114">
        <v>4</v>
      </c>
      <c r="AP114">
        <v>4</v>
      </c>
    </row>
    <row r="115" spans="1:42">
      <c r="A115">
        <v>24</v>
      </c>
      <c r="B115" t="str" cm="1">
        <f t="array" ref="B115">_xlfn.IFS(A115&lt;=25,"18-25",A115&lt;=35,"26-35",A115&lt;=45,"36-45",A115&lt;=55,"46-55",A115&gt;55,"56+")</f>
        <v>18-25</v>
      </c>
      <c r="C115" t="s">
        <v>39</v>
      </c>
      <c r="D115" t="s">
        <v>33</v>
      </c>
      <c r="E115" s="2">
        <v>1127</v>
      </c>
      <c r="F115" t="s">
        <v>41</v>
      </c>
      <c r="G115">
        <v>18</v>
      </c>
      <c r="H115" t="str">
        <f t="shared" si="1"/>
        <v>11-20 km</v>
      </c>
      <c r="I115">
        <v>1</v>
      </c>
      <c r="J115" t="str" cm="1">
        <f t="array" ref="J115">_xlfn.IFS(I115=1,"Below College",I115=2,"College",I115=3,"Bachelor",I115=4,"Master",I115=5,"Doctor")</f>
        <v>Below College</v>
      </c>
      <c r="K115" t="s">
        <v>35</v>
      </c>
      <c r="L115">
        <v>150</v>
      </c>
      <c r="M115">
        <v>2</v>
      </c>
      <c r="N115" t="str" cm="1">
        <f t="array" ref="N115">_xlfn.IFS(M115=1,"Low",M115=2,"Medium",M115=3,"High",M115=4,"Very High")</f>
        <v>Medium</v>
      </c>
      <c r="O115" t="s">
        <v>42</v>
      </c>
      <c r="P115" s="2">
        <v>52</v>
      </c>
      <c r="Q115">
        <v>3</v>
      </c>
      <c r="R115" t="str" cm="1">
        <f t="array" ref="R115">_xlfn.IFS(Q115=1,"Low",Q115=2,"Medium",Q115=3,"High",Q115=4,"Very High")</f>
        <v>High</v>
      </c>
      <c r="S115">
        <v>1</v>
      </c>
      <c r="T115" t="str" cm="1">
        <f t="array" ref="T115">_xlfn.IFS(S115=1,"Entry Level",S115=2,"Junior",S115=3,"Mid-Level",S115=4,"Senior",S115=5,"Executive")</f>
        <v>Entry Level</v>
      </c>
      <c r="U115" t="s">
        <v>46</v>
      </c>
      <c r="V115">
        <v>3</v>
      </c>
      <c r="W115" t="str" cm="1">
        <f t="array" ref="W115">_xlfn.IFS(V115=1,"Low",V115=2,"Medium",V115=3,"High",V115=4,"Very High")</f>
        <v>High</v>
      </c>
      <c r="X115" t="s">
        <v>44</v>
      </c>
      <c r="Y115" s="2">
        <v>2774</v>
      </c>
      <c r="Z115" s="2">
        <v>13257</v>
      </c>
      <c r="AA115">
        <v>0</v>
      </c>
      <c r="AB115" t="s">
        <v>39</v>
      </c>
      <c r="AC115">
        <v>12</v>
      </c>
      <c r="AD115">
        <v>3</v>
      </c>
      <c r="AE115" t="str" cm="1">
        <f t="array" ref="AE115">_xlfn.IFS(AD115=1,"Low",AD115=2,"Good",AD115=3,"Excellent",AD115=4,"Outstanding")</f>
        <v>Excellent</v>
      </c>
      <c r="AF115">
        <v>3</v>
      </c>
      <c r="AG115" t="str" cm="1">
        <f t="array" ref="AG115">_xlfn.IFS(AF115=1,"Low",AF115=2,"Medium",AF115=3,"High",AF115=4,"Very High")</f>
        <v>High</v>
      </c>
      <c r="AH115">
        <v>1</v>
      </c>
      <c r="AI115">
        <v>6</v>
      </c>
      <c r="AJ115">
        <v>2</v>
      </c>
      <c r="AK115">
        <v>3</v>
      </c>
      <c r="AL115" t="str" cm="1">
        <f t="array" ref="AL115">_xlfn.IFS(AK115=1,"Low",AK115=2,"Medium",AK115=3,"High",AK115=4,"Very High")</f>
        <v>High</v>
      </c>
      <c r="AM115">
        <v>5</v>
      </c>
      <c r="AN115">
        <v>3</v>
      </c>
      <c r="AO115">
        <v>1</v>
      </c>
      <c r="AP115">
        <v>2</v>
      </c>
    </row>
    <row r="116" spans="1:42">
      <c r="A116">
        <v>34</v>
      </c>
      <c r="B116" t="str" cm="1">
        <f t="array" ref="B116">_xlfn.IFS(A116&lt;=25,"18-25",A116&lt;=35,"26-35",A116&lt;=45,"36-45",A116&lt;=55,"46-55",A116&gt;55,"56+")</f>
        <v>26-35</v>
      </c>
      <c r="C116" t="s">
        <v>39</v>
      </c>
      <c r="D116" t="s">
        <v>33</v>
      </c>
      <c r="E116" s="2">
        <v>1031</v>
      </c>
      <c r="F116" t="s">
        <v>41</v>
      </c>
      <c r="G116">
        <v>6</v>
      </c>
      <c r="H116" t="str">
        <f t="shared" si="1"/>
        <v>1-10 km</v>
      </c>
      <c r="I116">
        <v>4</v>
      </c>
      <c r="J116" t="str" cm="1">
        <f t="array" ref="J116">_xlfn.IFS(I116=1,"Below College",I116=2,"College",I116=3,"Bachelor",I116=4,"Master",I116=5,"Doctor")</f>
        <v>Master</v>
      </c>
      <c r="K116" t="s">
        <v>35</v>
      </c>
      <c r="L116">
        <v>151</v>
      </c>
      <c r="M116">
        <v>3</v>
      </c>
      <c r="N116" t="str" cm="1">
        <f t="array" ref="N116">_xlfn.IFS(M116=1,"Low",M116=2,"Medium",M116=3,"High",M116=4,"Very High")</f>
        <v>High</v>
      </c>
      <c r="O116" t="s">
        <v>36</v>
      </c>
      <c r="P116" s="2">
        <v>45</v>
      </c>
      <c r="Q116">
        <v>2</v>
      </c>
      <c r="R116" t="str" cm="1">
        <f t="array" ref="R116">_xlfn.IFS(Q116=1,"Low",Q116=2,"Medium",Q116=3,"High",Q116=4,"Very High")</f>
        <v>Medium</v>
      </c>
      <c r="S116">
        <v>2</v>
      </c>
      <c r="T116" t="str" cm="1">
        <f t="array" ref="T116">_xlfn.IFS(S116=1,"Entry Level",S116=2,"Junior",S116=3,"Mid-Level",S116=4,"Senior",S116=5,"Executive")</f>
        <v>Junior</v>
      </c>
      <c r="U116" t="s">
        <v>43</v>
      </c>
      <c r="V116">
        <v>2</v>
      </c>
      <c r="W116" t="str" cm="1">
        <f t="array" ref="W116">_xlfn.IFS(V116=1,"Low",V116=2,"Medium",V116=3,"High",V116=4,"Very High")</f>
        <v>Medium</v>
      </c>
      <c r="X116" t="s">
        <v>48</v>
      </c>
      <c r="Y116" s="2">
        <v>4505</v>
      </c>
      <c r="Z116" s="2">
        <v>15000</v>
      </c>
      <c r="AA116">
        <v>6</v>
      </c>
      <c r="AB116" t="s">
        <v>39</v>
      </c>
      <c r="AC116">
        <v>15</v>
      </c>
      <c r="AD116">
        <v>3</v>
      </c>
      <c r="AE116" t="str" cm="1">
        <f t="array" ref="AE116">_xlfn.IFS(AD116=1,"Low",AD116=2,"Good",AD116=3,"Excellent",AD116=4,"Outstanding")</f>
        <v>Excellent</v>
      </c>
      <c r="AF116">
        <v>3</v>
      </c>
      <c r="AG116" t="str" cm="1">
        <f t="array" ref="AG116">_xlfn.IFS(AF116=1,"Low",AF116=2,"Medium",AF116=3,"High",AF116=4,"Very High")</f>
        <v>High</v>
      </c>
      <c r="AH116">
        <v>1</v>
      </c>
      <c r="AI116">
        <v>12</v>
      </c>
      <c r="AJ116">
        <v>3</v>
      </c>
      <c r="AK116">
        <v>3</v>
      </c>
      <c r="AL116" t="str" cm="1">
        <f t="array" ref="AL116">_xlfn.IFS(AK116=1,"Low",AK116=2,"Medium",AK116=3,"High",AK116=4,"Very High")</f>
        <v>High</v>
      </c>
      <c r="AM116">
        <v>1</v>
      </c>
      <c r="AN116">
        <v>0</v>
      </c>
      <c r="AO116">
        <v>0</v>
      </c>
      <c r="AP116">
        <v>0</v>
      </c>
    </row>
    <row r="117" spans="1:42">
      <c r="A117">
        <v>37</v>
      </c>
      <c r="B117" t="str" cm="1">
        <f t="array" ref="B117">_xlfn.IFS(A117&lt;=25,"18-25",A117&lt;=35,"26-35",A117&lt;=45,"36-45",A117&lt;=55,"46-55",A117&gt;55,"56+")</f>
        <v>36-45</v>
      </c>
      <c r="C117" t="s">
        <v>39</v>
      </c>
      <c r="D117" t="s">
        <v>33</v>
      </c>
      <c r="E117" s="2">
        <v>1189</v>
      </c>
      <c r="F117" t="s">
        <v>34</v>
      </c>
      <c r="G117">
        <v>3</v>
      </c>
      <c r="H117" t="str">
        <f t="shared" si="1"/>
        <v>1-10 km</v>
      </c>
      <c r="I117">
        <v>3</v>
      </c>
      <c r="J117" t="str" cm="1">
        <f t="array" ref="J117">_xlfn.IFS(I117=1,"Below College",I117=2,"College",I117=3,"Bachelor",I117=4,"Master",I117=5,"Doctor")</f>
        <v>Bachelor</v>
      </c>
      <c r="K117" t="s">
        <v>35</v>
      </c>
      <c r="L117">
        <v>152</v>
      </c>
      <c r="M117">
        <v>3</v>
      </c>
      <c r="N117" t="str" cm="1">
        <f t="array" ref="N117">_xlfn.IFS(M117=1,"Low",M117=2,"Medium",M117=3,"High",M117=4,"Very High")</f>
        <v>High</v>
      </c>
      <c r="O117" t="s">
        <v>42</v>
      </c>
      <c r="P117" s="2">
        <v>87</v>
      </c>
      <c r="Q117">
        <v>3</v>
      </c>
      <c r="R117" t="str" cm="1">
        <f t="array" ref="R117">_xlfn.IFS(Q117=1,"Low",Q117=2,"Medium",Q117=3,"High",Q117=4,"Very High")</f>
        <v>High</v>
      </c>
      <c r="S117">
        <v>3</v>
      </c>
      <c r="T117" t="str" cm="1">
        <f t="array" ref="T117">_xlfn.IFS(S117=1,"Entry Level",S117=2,"Junior",S117=3,"Mid-Level",S117=4,"Senior",S117=5,"Executive")</f>
        <v>Mid-Level</v>
      </c>
      <c r="U117" t="s">
        <v>37</v>
      </c>
      <c r="V117">
        <v>4</v>
      </c>
      <c r="W117" t="str" cm="1">
        <f t="array" ref="W117">_xlfn.IFS(V117=1,"Low",V117=2,"Medium",V117=3,"High",V117=4,"Very High")</f>
        <v>Very High</v>
      </c>
      <c r="X117" t="s">
        <v>38</v>
      </c>
      <c r="Y117" s="2">
        <v>7428</v>
      </c>
      <c r="Z117" s="2">
        <v>14506</v>
      </c>
      <c r="AA117">
        <v>2</v>
      </c>
      <c r="AB117" t="s">
        <v>39</v>
      </c>
      <c r="AC117">
        <v>12</v>
      </c>
      <c r="AD117">
        <v>3</v>
      </c>
      <c r="AE117" t="str" cm="1">
        <f t="array" ref="AE117">_xlfn.IFS(AD117=1,"Low",AD117=2,"Good",AD117=3,"Excellent",AD117=4,"Outstanding")</f>
        <v>Excellent</v>
      </c>
      <c r="AF117">
        <v>1</v>
      </c>
      <c r="AG117" t="str" cm="1">
        <f t="array" ref="AG117">_xlfn.IFS(AF117=1,"Low",AF117=2,"Medium",AF117=3,"High",AF117=4,"Very High")</f>
        <v>Low</v>
      </c>
      <c r="AH117">
        <v>0</v>
      </c>
      <c r="AI117">
        <v>12</v>
      </c>
      <c r="AJ117">
        <v>3</v>
      </c>
      <c r="AK117">
        <v>3</v>
      </c>
      <c r="AL117" t="str" cm="1">
        <f t="array" ref="AL117">_xlfn.IFS(AK117=1,"Low",AK117=2,"Medium",AK117=3,"High",AK117=4,"Very High")</f>
        <v>High</v>
      </c>
      <c r="AM117">
        <v>5</v>
      </c>
      <c r="AN117">
        <v>3</v>
      </c>
      <c r="AO117">
        <v>1</v>
      </c>
      <c r="AP117">
        <v>3</v>
      </c>
    </row>
    <row r="118" spans="1:42">
      <c r="A118">
        <v>34</v>
      </c>
      <c r="B118" t="str" cm="1">
        <f t="array" ref="B118">_xlfn.IFS(A118&lt;=25,"18-25",A118&lt;=35,"26-35",A118&lt;=45,"36-45",A118&lt;=55,"46-55",A118&gt;55,"56+")</f>
        <v>26-35</v>
      </c>
      <c r="C118" t="s">
        <v>39</v>
      </c>
      <c r="D118" t="s">
        <v>33</v>
      </c>
      <c r="E118" s="2">
        <v>1354</v>
      </c>
      <c r="F118" t="s">
        <v>41</v>
      </c>
      <c r="G118">
        <v>5</v>
      </c>
      <c r="H118" t="str">
        <f t="shared" si="1"/>
        <v>1-10 km</v>
      </c>
      <c r="I118">
        <v>3</v>
      </c>
      <c r="J118" t="str" cm="1">
        <f t="array" ref="J118">_xlfn.IFS(I118=1,"Below College",I118=2,"College",I118=3,"Bachelor",I118=4,"Master",I118=5,"Doctor")</f>
        <v>Bachelor</v>
      </c>
      <c r="K118" t="s">
        <v>47</v>
      </c>
      <c r="L118">
        <v>153</v>
      </c>
      <c r="M118">
        <v>3</v>
      </c>
      <c r="N118" t="str" cm="1">
        <f t="array" ref="N118">_xlfn.IFS(M118=1,"Low",M118=2,"Medium",M118=3,"High",M118=4,"Very High")</f>
        <v>High</v>
      </c>
      <c r="O118" t="s">
        <v>36</v>
      </c>
      <c r="P118" s="2">
        <v>45</v>
      </c>
      <c r="Q118">
        <v>2</v>
      </c>
      <c r="R118" t="str" cm="1">
        <f t="array" ref="R118">_xlfn.IFS(Q118=1,"Low",Q118=2,"Medium",Q118=3,"High",Q118=4,"Very High")</f>
        <v>Medium</v>
      </c>
      <c r="S118">
        <v>3</v>
      </c>
      <c r="T118" t="str" cm="1">
        <f t="array" ref="T118">_xlfn.IFS(S118=1,"Entry Level",S118=2,"Junior",S118=3,"Mid-Level",S118=4,"Senior",S118=5,"Executive")</f>
        <v>Mid-Level</v>
      </c>
      <c r="U118" t="s">
        <v>52</v>
      </c>
      <c r="V118">
        <v>1</v>
      </c>
      <c r="W118" t="str" cm="1">
        <f t="array" ref="W118">_xlfn.IFS(V118=1,"Low",V118=2,"Medium",V118=3,"High",V118=4,"Very High")</f>
        <v>Low</v>
      </c>
      <c r="X118" t="s">
        <v>38</v>
      </c>
      <c r="Y118" s="2">
        <v>11631</v>
      </c>
      <c r="Z118" s="2">
        <v>5615</v>
      </c>
      <c r="AA118">
        <v>2</v>
      </c>
      <c r="AB118" t="s">
        <v>39</v>
      </c>
      <c r="AC118">
        <v>12</v>
      </c>
      <c r="AD118">
        <v>3</v>
      </c>
      <c r="AE118" t="str" cm="1">
        <f t="array" ref="AE118">_xlfn.IFS(AD118=1,"Low",AD118=2,"Good",AD118=3,"Excellent",AD118=4,"Outstanding")</f>
        <v>Excellent</v>
      </c>
      <c r="AF118">
        <v>4</v>
      </c>
      <c r="AG118" t="str" cm="1">
        <f t="array" ref="AG118">_xlfn.IFS(AF118=1,"Low",AF118=2,"Medium",AF118=3,"High",AF118=4,"Very High")</f>
        <v>Very High</v>
      </c>
      <c r="AH118">
        <v>0</v>
      </c>
      <c r="AI118">
        <v>14</v>
      </c>
      <c r="AJ118">
        <v>6</v>
      </c>
      <c r="AK118">
        <v>3</v>
      </c>
      <c r="AL118" t="str" cm="1">
        <f t="array" ref="AL118">_xlfn.IFS(AK118=1,"Low",AK118=2,"Medium",AK118=3,"High",AK118=4,"Very High")</f>
        <v>High</v>
      </c>
      <c r="AM118">
        <v>11</v>
      </c>
      <c r="AN118">
        <v>10</v>
      </c>
      <c r="AO118">
        <v>5</v>
      </c>
      <c r="AP118">
        <v>8</v>
      </c>
    </row>
    <row r="119" spans="1:42">
      <c r="A119">
        <v>36</v>
      </c>
      <c r="B119" t="str" cm="1">
        <f t="array" ref="B119">_xlfn.IFS(A119&lt;=25,"18-25",A119&lt;=35,"26-35",A119&lt;=45,"36-45",A119&lt;=55,"46-55",A119&gt;55,"56+")</f>
        <v>36-45</v>
      </c>
      <c r="C119" t="s">
        <v>39</v>
      </c>
      <c r="D119" t="s">
        <v>40</v>
      </c>
      <c r="E119" s="2">
        <v>1467</v>
      </c>
      <c r="F119" t="s">
        <v>34</v>
      </c>
      <c r="G119">
        <v>11</v>
      </c>
      <c r="H119" t="str">
        <f t="shared" si="1"/>
        <v>11-20 km</v>
      </c>
      <c r="I119">
        <v>2</v>
      </c>
      <c r="J119" t="str" cm="1">
        <f t="array" ref="J119">_xlfn.IFS(I119=1,"Below College",I119=2,"College",I119=3,"Bachelor",I119=4,"Master",I119=5,"Doctor")</f>
        <v>College</v>
      </c>
      <c r="K119" t="s">
        <v>56</v>
      </c>
      <c r="L119">
        <v>154</v>
      </c>
      <c r="M119">
        <v>2</v>
      </c>
      <c r="N119" t="str" cm="1">
        <f t="array" ref="N119">_xlfn.IFS(M119=1,"Low",M119=2,"Medium",M119=3,"High",M119=4,"Very High")</f>
        <v>Medium</v>
      </c>
      <c r="O119" t="s">
        <v>36</v>
      </c>
      <c r="P119" s="2">
        <v>92</v>
      </c>
      <c r="Q119">
        <v>3</v>
      </c>
      <c r="R119" t="str" cm="1">
        <f t="array" ref="R119">_xlfn.IFS(Q119=1,"Low",Q119=2,"Medium",Q119=3,"High",Q119=4,"Very High")</f>
        <v>High</v>
      </c>
      <c r="S119">
        <v>3</v>
      </c>
      <c r="T119" t="str" cm="1">
        <f t="array" ref="T119">_xlfn.IFS(S119=1,"Entry Level",S119=2,"Junior",S119=3,"Mid-Level",S119=4,"Senior",S119=5,"Executive")</f>
        <v>Mid-Level</v>
      </c>
      <c r="U119" t="s">
        <v>37</v>
      </c>
      <c r="V119">
        <v>4</v>
      </c>
      <c r="W119" t="str" cm="1">
        <f t="array" ref="W119">_xlfn.IFS(V119=1,"Low",V119=2,"Medium",V119=3,"High",V119=4,"Very High")</f>
        <v>Very High</v>
      </c>
      <c r="X119" t="s">
        <v>44</v>
      </c>
      <c r="Y119" s="2">
        <v>9738</v>
      </c>
      <c r="Z119" s="2">
        <v>22952</v>
      </c>
      <c r="AA119">
        <v>0</v>
      </c>
      <c r="AB119" t="s">
        <v>39</v>
      </c>
      <c r="AC119">
        <v>14</v>
      </c>
      <c r="AD119">
        <v>3</v>
      </c>
      <c r="AE119" t="str" cm="1">
        <f t="array" ref="AE119">_xlfn.IFS(AD119=1,"Low",AD119=2,"Good",AD119=3,"Excellent",AD119=4,"Outstanding")</f>
        <v>Excellent</v>
      </c>
      <c r="AF119">
        <v>3</v>
      </c>
      <c r="AG119" t="str" cm="1">
        <f t="array" ref="AG119">_xlfn.IFS(AF119=1,"Low",AF119=2,"Medium",AF119=3,"High",AF119=4,"Very High")</f>
        <v>High</v>
      </c>
      <c r="AH119">
        <v>1</v>
      </c>
      <c r="AI119">
        <v>10</v>
      </c>
      <c r="AJ119">
        <v>6</v>
      </c>
      <c r="AK119">
        <v>3</v>
      </c>
      <c r="AL119" t="str" cm="1">
        <f t="array" ref="AL119">_xlfn.IFS(AK119=1,"Low",AK119=2,"Medium",AK119=3,"High",AK119=4,"Very High")</f>
        <v>High</v>
      </c>
      <c r="AM119">
        <v>9</v>
      </c>
      <c r="AN119">
        <v>7</v>
      </c>
      <c r="AO119">
        <v>2</v>
      </c>
      <c r="AP119">
        <v>8</v>
      </c>
    </row>
    <row r="120" spans="1:42">
      <c r="A120">
        <v>36</v>
      </c>
      <c r="B120" t="str" cm="1">
        <f t="array" ref="B120">_xlfn.IFS(A120&lt;=25,"18-25",A120&lt;=35,"26-35",A120&lt;=45,"36-45",A120&lt;=55,"46-55",A120&gt;55,"56+")</f>
        <v>36-45</v>
      </c>
      <c r="C120" t="s">
        <v>39</v>
      </c>
      <c r="D120" t="s">
        <v>33</v>
      </c>
      <c r="E120" s="2">
        <v>922</v>
      </c>
      <c r="F120" t="s">
        <v>41</v>
      </c>
      <c r="G120">
        <v>3</v>
      </c>
      <c r="H120" t="str">
        <f t="shared" si="1"/>
        <v>1-10 km</v>
      </c>
      <c r="I120">
        <v>2</v>
      </c>
      <c r="J120" t="str" cm="1">
        <f t="array" ref="J120">_xlfn.IFS(I120=1,"Below College",I120=2,"College",I120=3,"Bachelor",I120=4,"Master",I120=5,"Doctor")</f>
        <v>College</v>
      </c>
      <c r="K120" t="s">
        <v>35</v>
      </c>
      <c r="L120">
        <v>155</v>
      </c>
      <c r="M120">
        <v>1</v>
      </c>
      <c r="N120" t="str" cm="1">
        <f t="array" ref="N120">_xlfn.IFS(M120=1,"Low",M120=2,"Medium",M120=3,"High",M120=4,"Very High")</f>
        <v>Low</v>
      </c>
      <c r="O120" t="s">
        <v>36</v>
      </c>
      <c r="P120" s="2">
        <v>39</v>
      </c>
      <c r="Q120">
        <v>3</v>
      </c>
      <c r="R120" t="str" cm="1">
        <f t="array" ref="R120">_xlfn.IFS(Q120=1,"Low",Q120=2,"Medium",Q120=3,"High",Q120=4,"Very High")</f>
        <v>High</v>
      </c>
      <c r="S120">
        <v>1</v>
      </c>
      <c r="T120" t="str" cm="1">
        <f t="array" ref="T120">_xlfn.IFS(S120=1,"Entry Level",S120=2,"Junior",S120=3,"Mid-Level",S120=4,"Senior",S120=5,"Executive")</f>
        <v>Entry Level</v>
      </c>
      <c r="U120" t="s">
        <v>46</v>
      </c>
      <c r="V120">
        <v>4</v>
      </c>
      <c r="W120" t="str" cm="1">
        <f t="array" ref="W120">_xlfn.IFS(V120=1,"Low",V120=2,"Medium",V120=3,"High",V120=4,"Very High")</f>
        <v>Very High</v>
      </c>
      <c r="X120" t="s">
        <v>48</v>
      </c>
      <c r="Y120" s="2">
        <v>2835</v>
      </c>
      <c r="Z120" s="2">
        <v>2561</v>
      </c>
      <c r="AA120">
        <v>5</v>
      </c>
      <c r="AB120" t="s">
        <v>39</v>
      </c>
      <c r="AC120">
        <v>22</v>
      </c>
      <c r="AD120">
        <v>4</v>
      </c>
      <c r="AE120" t="str" cm="1">
        <f t="array" ref="AE120">_xlfn.IFS(AD120=1,"Low",AD120=2,"Good",AD120=3,"Excellent",AD120=4,"Outstanding")</f>
        <v>Outstanding</v>
      </c>
      <c r="AF120">
        <v>1</v>
      </c>
      <c r="AG120" t="str" cm="1">
        <f t="array" ref="AG120">_xlfn.IFS(AF120=1,"Low",AF120=2,"Medium",AF120=3,"High",AF120=4,"Very High")</f>
        <v>Low</v>
      </c>
      <c r="AH120">
        <v>1</v>
      </c>
      <c r="AI120">
        <v>7</v>
      </c>
      <c r="AJ120">
        <v>2</v>
      </c>
      <c r="AK120">
        <v>3</v>
      </c>
      <c r="AL120" t="str" cm="1">
        <f t="array" ref="AL120">_xlfn.IFS(AK120=1,"Low",AK120=2,"Medium",AK120=3,"High",AK120=4,"Very High")</f>
        <v>High</v>
      </c>
      <c r="AM120">
        <v>1</v>
      </c>
      <c r="AN120">
        <v>0</v>
      </c>
      <c r="AO120">
        <v>0</v>
      </c>
      <c r="AP120">
        <v>0</v>
      </c>
    </row>
    <row r="121" spans="1:42">
      <c r="A121">
        <v>43</v>
      </c>
      <c r="B121" t="str" cm="1">
        <f t="array" ref="B121">_xlfn.IFS(A121&lt;=25,"18-25",A121&lt;=35,"26-35",A121&lt;=45,"36-45",A121&lt;=55,"46-55",A121&gt;55,"56+")</f>
        <v>36-45</v>
      </c>
      <c r="C121" t="s">
        <v>39</v>
      </c>
      <c r="D121" t="s">
        <v>40</v>
      </c>
      <c r="E121" s="2">
        <v>394</v>
      </c>
      <c r="F121" t="s">
        <v>34</v>
      </c>
      <c r="G121">
        <v>26</v>
      </c>
      <c r="H121" t="str">
        <f t="shared" si="1"/>
        <v>21-30 km</v>
      </c>
      <c r="I121">
        <v>2</v>
      </c>
      <c r="J121" t="str" cm="1">
        <f t="array" ref="J121">_xlfn.IFS(I121=1,"Below College",I121=2,"College",I121=3,"Bachelor",I121=4,"Master",I121=5,"Doctor")</f>
        <v>College</v>
      </c>
      <c r="K121" t="s">
        <v>35</v>
      </c>
      <c r="L121">
        <v>158</v>
      </c>
      <c r="M121">
        <v>3</v>
      </c>
      <c r="N121" t="str" cm="1">
        <f t="array" ref="N121">_xlfn.IFS(M121=1,"Low",M121=2,"Medium",M121=3,"High",M121=4,"Very High")</f>
        <v>High</v>
      </c>
      <c r="O121" t="s">
        <v>42</v>
      </c>
      <c r="P121" s="2">
        <v>92</v>
      </c>
      <c r="Q121">
        <v>3</v>
      </c>
      <c r="R121" t="str" cm="1">
        <f t="array" ref="R121">_xlfn.IFS(Q121=1,"Low",Q121=2,"Medium",Q121=3,"High",Q121=4,"Very High")</f>
        <v>High</v>
      </c>
      <c r="S121">
        <v>4</v>
      </c>
      <c r="T121" t="str" cm="1">
        <f t="array" ref="T121">_xlfn.IFS(S121=1,"Entry Level",S121=2,"Junior",S121=3,"Mid-Level",S121=4,"Senior",S121=5,"Executive")</f>
        <v>Senior</v>
      </c>
      <c r="U121" t="s">
        <v>52</v>
      </c>
      <c r="V121">
        <v>4</v>
      </c>
      <c r="W121" t="str" cm="1">
        <f t="array" ref="W121">_xlfn.IFS(V121=1,"Low",V121=2,"Medium",V121=3,"High",V121=4,"Very High")</f>
        <v>Very High</v>
      </c>
      <c r="X121" t="s">
        <v>44</v>
      </c>
      <c r="Y121" s="2">
        <v>16959</v>
      </c>
      <c r="Z121" s="2">
        <v>19494</v>
      </c>
      <c r="AA121">
        <v>1</v>
      </c>
      <c r="AB121" t="s">
        <v>32</v>
      </c>
      <c r="AC121">
        <v>12</v>
      </c>
      <c r="AD121">
        <v>3</v>
      </c>
      <c r="AE121" t="str" cm="1">
        <f t="array" ref="AE121">_xlfn.IFS(AD121=1,"Low",AD121=2,"Good",AD121=3,"Excellent",AD121=4,"Outstanding")</f>
        <v>Excellent</v>
      </c>
      <c r="AF121">
        <v>4</v>
      </c>
      <c r="AG121" t="str" cm="1">
        <f t="array" ref="AG121">_xlfn.IFS(AF121=1,"Low",AF121=2,"Medium",AF121=3,"High",AF121=4,"Very High")</f>
        <v>Very High</v>
      </c>
      <c r="AH121">
        <v>2</v>
      </c>
      <c r="AI121">
        <v>25</v>
      </c>
      <c r="AJ121">
        <v>3</v>
      </c>
      <c r="AK121">
        <v>4</v>
      </c>
      <c r="AL121" t="str" cm="1">
        <f t="array" ref="AL121">_xlfn.IFS(AK121=1,"Low",AK121=2,"Medium",AK121=3,"High",AK121=4,"Very High")</f>
        <v>Very High</v>
      </c>
      <c r="AM121">
        <v>25</v>
      </c>
      <c r="AN121">
        <v>12</v>
      </c>
      <c r="AO121">
        <v>4</v>
      </c>
      <c r="AP121">
        <v>12</v>
      </c>
    </row>
    <row r="122" spans="1:42">
      <c r="A122">
        <v>30</v>
      </c>
      <c r="B122" t="str" cm="1">
        <f t="array" ref="B122">_xlfn.IFS(A122&lt;=25,"18-25",A122&lt;=35,"26-35",A122&lt;=45,"36-45",A122&lt;=55,"46-55",A122&gt;55,"56+")</f>
        <v>26-35</v>
      </c>
      <c r="C122" t="s">
        <v>39</v>
      </c>
      <c r="D122" t="s">
        <v>40</v>
      </c>
      <c r="E122" s="2">
        <v>1312</v>
      </c>
      <c r="F122" t="s">
        <v>41</v>
      </c>
      <c r="G122">
        <v>23</v>
      </c>
      <c r="H122" t="str">
        <f t="shared" si="1"/>
        <v>21-30 km</v>
      </c>
      <c r="I122">
        <v>3</v>
      </c>
      <c r="J122" t="str" cm="1">
        <f t="array" ref="J122">_xlfn.IFS(I122=1,"Below College",I122=2,"College",I122=3,"Bachelor",I122=4,"Master",I122=5,"Doctor")</f>
        <v>Bachelor</v>
      </c>
      <c r="K122" t="s">
        <v>35</v>
      </c>
      <c r="L122">
        <v>159</v>
      </c>
      <c r="M122">
        <v>1</v>
      </c>
      <c r="N122" t="str" cm="1">
        <f t="array" ref="N122">_xlfn.IFS(M122=1,"Low",M122=2,"Medium",M122=3,"High",M122=4,"Very High")</f>
        <v>Low</v>
      </c>
      <c r="O122" t="s">
        <v>42</v>
      </c>
      <c r="P122" s="2">
        <v>96</v>
      </c>
      <c r="Q122">
        <v>1</v>
      </c>
      <c r="R122" t="str" cm="1">
        <f t="array" ref="R122">_xlfn.IFS(Q122=1,"Low",Q122=2,"Medium",Q122=3,"High",Q122=4,"Very High")</f>
        <v>Low</v>
      </c>
      <c r="S122">
        <v>1</v>
      </c>
      <c r="T122" t="str" cm="1">
        <f t="array" ref="T122">_xlfn.IFS(S122=1,"Entry Level",S122=2,"Junior",S122=3,"Mid-Level",S122=4,"Senior",S122=5,"Executive")</f>
        <v>Entry Level</v>
      </c>
      <c r="U122" t="s">
        <v>43</v>
      </c>
      <c r="V122">
        <v>3</v>
      </c>
      <c r="W122" t="str" cm="1">
        <f t="array" ref="W122">_xlfn.IFS(V122=1,"Low",V122=2,"Medium",V122=3,"High",V122=4,"Very High")</f>
        <v>High</v>
      </c>
      <c r="X122" t="s">
        <v>48</v>
      </c>
      <c r="Y122" s="2">
        <v>2613</v>
      </c>
      <c r="Z122" s="2">
        <v>22310</v>
      </c>
      <c r="AA122">
        <v>1</v>
      </c>
      <c r="AB122" t="s">
        <v>39</v>
      </c>
      <c r="AC122">
        <v>25</v>
      </c>
      <c r="AD122">
        <v>4</v>
      </c>
      <c r="AE122" t="str" cm="1">
        <f t="array" ref="AE122">_xlfn.IFS(AD122=1,"Low",AD122=2,"Good",AD122=3,"Excellent",AD122=4,"Outstanding")</f>
        <v>Outstanding</v>
      </c>
      <c r="AF122">
        <v>3</v>
      </c>
      <c r="AG122" t="str" cm="1">
        <f t="array" ref="AG122">_xlfn.IFS(AF122=1,"Low",AF122=2,"Medium",AF122=3,"High",AF122=4,"Very High")</f>
        <v>High</v>
      </c>
      <c r="AH122">
        <v>3</v>
      </c>
      <c r="AI122">
        <v>10</v>
      </c>
      <c r="AJ122">
        <v>2</v>
      </c>
      <c r="AK122">
        <v>2</v>
      </c>
      <c r="AL122" t="str" cm="1">
        <f t="array" ref="AL122">_xlfn.IFS(AK122=1,"Low",AK122=2,"Medium",AK122=3,"High",AK122=4,"Very High")</f>
        <v>Medium</v>
      </c>
      <c r="AM122">
        <v>10</v>
      </c>
      <c r="AN122">
        <v>7</v>
      </c>
      <c r="AO122">
        <v>0</v>
      </c>
      <c r="AP122">
        <v>9</v>
      </c>
    </row>
    <row r="123" spans="1:42">
      <c r="A123">
        <v>33</v>
      </c>
      <c r="B123" t="str" cm="1">
        <f t="array" ref="B123">_xlfn.IFS(A123&lt;=25,"18-25",A123&lt;=35,"26-35",A123&lt;=45,"36-45",A123&lt;=55,"46-55",A123&gt;55,"56+")</f>
        <v>26-35</v>
      </c>
      <c r="C123" t="s">
        <v>39</v>
      </c>
      <c r="D123" t="s">
        <v>51</v>
      </c>
      <c r="E123" s="2">
        <v>750</v>
      </c>
      <c r="F123" t="s">
        <v>34</v>
      </c>
      <c r="G123">
        <v>22</v>
      </c>
      <c r="H123" t="str">
        <f t="shared" si="1"/>
        <v>21-30 km</v>
      </c>
      <c r="I123">
        <v>2</v>
      </c>
      <c r="J123" t="str" cm="1">
        <f t="array" ref="J123">_xlfn.IFS(I123=1,"Below College",I123=2,"College",I123=3,"Bachelor",I123=4,"Master",I123=5,"Doctor")</f>
        <v>College</v>
      </c>
      <c r="K123" t="s">
        <v>55</v>
      </c>
      <c r="L123">
        <v>160</v>
      </c>
      <c r="M123">
        <v>3</v>
      </c>
      <c r="N123" t="str" cm="1">
        <f t="array" ref="N123">_xlfn.IFS(M123=1,"Low",M123=2,"Medium",M123=3,"High",M123=4,"Very High")</f>
        <v>High</v>
      </c>
      <c r="O123" t="s">
        <v>42</v>
      </c>
      <c r="P123" s="2">
        <v>95</v>
      </c>
      <c r="Q123">
        <v>3</v>
      </c>
      <c r="R123" t="str" cm="1">
        <f t="array" ref="R123">_xlfn.IFS(Q123=1,"Low",Q123=2,"Medium",Q123=3,"High",Q123=4,"Very High")</f>
        <v>High</v>
      </c>
      <c r="S123">
        <v>2</v>
      </c>
      <c r="T123" t="str" cm="1">
        <f t="array" ref="T123">_xlfn.IFS(S123=1,"Entry Level",S123=2,"Junior",S123=3,"Mid-Level",S123=4,"Senior",S123=5,"Executive")</f>
        <v>Junior</v>
      </c>
      <c r="U123" t="s">
        <v>37</v>
      </c>
      <c r="V123">
        <v>2</v>
      </c>
      <c r="W123" t="str" cm="1">
        <f t="array" ref="W123">_xlfn.IFS(V123=1,"Low",V123=2,"Medium",V123=3,"High",V123=4,"Very High")</f>
        <v>Medium</v>
      </c>
      <c r="X123" t="s">
        <v>44</v>
      </c>
      <c r="Y123" s="2">
        <v>6146</v>
      </c>
      <c r="Z123" s="2">
        <v>15480</v>
      </c>
      <c r="AA123">
        <v>0</v>
      </c>
      <c r="AB123" t="s">
        <v>39</v>
      </c>
      <c r="AC123">
        <v>13</v>
      </c>
      <c r="AD123">
        <v>3</v>
      </c>
      <c r="AE123" t="str" cm="1">
        <f t="array" ref="AE123">_xlfn.IFS(AD123=1,"Low",AD123=2,"Good",AD123=3,"Excellent",AD123=4,"Outstanding")</f>
        <v>Excellent</v>
      </c>
      <c r="AF123">
        <v>1</v>
      </c>
      <c r="AG123" t="str" cm="1">
        <f t="array" ref="AG123">_xlfn.IFS(AF123=1,"Low",AF123=2,"Medium",AF123=3,"High",AF123=4,"Very High")</f>
        <v>Low</v>
      </c>
      <c r="AH123">
        <v>1</v>
      </c>
      <c r="AI123">
        <v>8</v>
      </c>
      <c r="AJ123">
        <v>2</v>
      </c>
      <c r="AK123">
        <v>4</v>
      </c>
      <c r="AL123" t="str" cm="1">
        <f t="array" ref="AL123">_xlfn.IFS(AK123=1,"Low",AK123=2,"Medium",AK123=3,"High",AK123=4,"Very High")</f>
        <v>Very High</v>
      </c>
      <c r="AM123">
        <v>7</v>
      </c>
      <c r="AN123">
        <v>7</v>
      </c>
      <c r="AO123">
        <v>0</v>
      </c>
      <c r="AP123">
        <v>7</v>
      </c>
    </row>
    <row r="124" spans="1:42">
      <c r="A124">
        <v>56</v>
      </c>
      <c r="B124" t="str" cm="1">
        <f t="array" ref="B124">_xlfn.IFS(A124&lt;=25,"18-25",A124&lt;=35,"26-35",A124&lt;=45,"36-45",A124&lt;=55,"46-55",A124&gt;55,"56+")</f>
        <v>56+</v>
      </c>
      <c r="C124" t="s">
        <v>32</v>
      </c>
      <c r="D124" t="s">
        <v>33</v>
      </c>
      <c r="E124" s="2">
        <v>441</v>
      </c>
      <c r="F124" t="s">
        <v>41</v>
      </c>
      <c r="G124">
        <v>14</v>
      </c>
      <c r="H124" t="str">
        <f t="shared" si="1"/>
        <v>11-20 km</v>
      </c>
      <c r="I124">
        <v>4</v>
      </c>
      <c r="J124" t="str" cm="1">
        <f t="array" ref="J124">_xlfn.IFS(I124=1,"Below College",I124=2,"College",I124=3,"Bachelor",I124=4,"Master",I124=5,"Doctor")</f>
        <v>Master</v>
      </c>
      <c r="K124" t="s">
        <v>35</v>
      </c>
      <c r="L124">
        <v>161</v>
      </c>
      <c r="M124">
        <v>2</v>
      </c>
      <c r="N124" t="str" cm="1">
        <f t="array" ref="N124">_xlfn.IFS(M124=1,"Low",M124=2,"Medium",M124=3,"High",M124=4,"Very High")</f>
        <v>Medium</v>
      </c>
      <c r="O124" t="s">
        <v>36</v>
      </c>
      <c r="P124" s="2">
        <v>72</v>
      </c>
      <c r="Q124">
        <v>3</v>
      </c>
      <c r="R124" t="str" cm="1">
        <f t="array" ref="R124">_xlfn.IFS(Q124=1,"Low",Q124=2,"Medium",Q124=3,"High",Q124=4,"Very High")</f>
        <v>High</v>
      </c>
      <c r="S124">
        <v>1</v>
      </c>
      <c r="T124" t="str" cm="1">
        <f t="array" ref="T124">_xlfn.IFS(S124=1,"Entry Level",S124=2,"Junior",S124=3,"Mid-Level",S124=4,"Senior",S124=5,"Executive")</f>
        <v>Entry Level</v>
      </c>
      <c r="U124" t="s">
        <v>43</v>
      </c>
      <c r="V124">
        <v>2</v>
      </c>
      <c r="W124" t="str" cm="1">
        <f t="array" ref="W124">_xlfn.IFS(V124=1,"Low",V124=2,"Medium",V124=3,"High",V124=4,"Very High")</f>
        <v>Medium</v>
      </c>
      <c r="X124" t="s">
        <v>44</v>
      </c>
      <c r="Y124" s="2">
        <v>4963</v>
      </c>
      <c r="Z124" s="2">
        <v>4510</v>
      </c>
      <c r="AA124">
        <v>9</v>
      </c>
      <c r="AB124" t="s">
        <v>32</v>
      </c>
      <c r="AC124">
        <v>18</v>
      </c>
      <c r="AD124">
        <v>3</v>
      </c>
      <c r="AE124" t="str" cm="1">
        <f t="array" ref="AE124">_xlfn.IFS(AD124=1,"Low",AD124=2,"Good",AD124=3,"Excellent",AD124=4,"Outstanding")</f>
        <v>Excellent</v>
      </c>
      <c r="AF124">
        <v>1</v>
      </c>
      <c r="AG124" t="str" cm="1">
        <f t="array" ref="AG124">_xlfn.IFS(AF124=1,"Low",AF124=2,"Medium",AF124=3,"High",AF124=4,"Very High")</f>
        <v>Low</v>
      </c>
      <c r="AH124">
        <v>3</v>
      </c>
      <c r="AI124">
        <v>7</v>
      </c>
      <c r="AJ124">
        <v>2</v>
      </c>
      <c r="AK124">
        <v>3</v>
      </c>
      <c r="AL124" t="str" cm="1">
        <f t="array" ref="AL124">_xlfn.IFS(AK124=1,"Low",AK124=2,"Medium",AK124=3,"High",AK124=4,"Very High")</f>
        <v>High</v>
      </c>
      <c r="AM124">
        <v>5</v>
      </c>
      <c r="AN124">
        <v>4</v>
      </c>
      <c r="AO124">
        <v>4</v>
      </c>
      <c r="AP124">
        <v>3</v>
      </c>
    </row>
    <row r="125" spans="1:42">
      <c r="A125">
        <v>51</v>
      </c>
      <c r="B125" t="str" cm="1">
        <f t="array" ref="B125">_xlfn.IFS(A125&lt;=25,"18-25",A125&lt;=35,"26-35",A125&lt;=45,"36-45",A125&lt;=55,"46-55",A125&gt;55,"56+")</f>
        <v>46-55</v>
      </c>
      <c r="C125" t="s">
        <v>39</v>
      </c>
      <c r="D125" t="s">
        <v>33</v>
      </c>
      <c r="E125" s="2">
        <v>684</v>
      </c>
      <c r="F125" t="s">
        <v>41</v>
      </c>
      <c r="G125">
        <v>6</v>
      </c>
      <c r="H125" t="str">
        <f t="shared" si="1"/>
        <v>1-10 km</v>
      </c>
      <c r="I125">
        <v>3</v>
      </c>
      <c r="J125" t="str" cm="1">
        <f t="array" ref="J125">_xlfn.IFS(I125=1,"Below College",I125=2,"College",I125=3,"Bachelor",I125=4,"Master",I125=5,"Doctor")</f>
        <v>Bachelor</v>
      </c>
      <c r="K125" t="s">
        <v>35</v>
      </c>
      <c r="L125">
        <v>162</v>
      </c>
      <c r="M125">
        <v>1</v>
      </c>
      <c r="N125" t="str" cm="1">
        <f t="array" ref="N125">_xlfn.IFS(M125=1,"Low",M125=2,"Medium",M125=3,"High",M125=4,"Very High")</f>
        <v>Low</v>
      </c>
      <c r="O125" t="s">
        <v>42</v>
      </c>
      <c r="P125" s="2">
        <v>51</v>
      </c>
      <c r="Q125">
        <v>3</v>
      </c>
      <c r="R125" t="str" cm="1">
        <f t="array" ref="R125">_xlfn.IFS(Q125=1,"Low",Q125=2,"Medium",Q125=3,"High",Q125=4,"Very High")</f>
        <v>High</v>
      </c>
      <c r="S125">
        <v>5</v>
      </c>
      <c r="T125" t="str" cm="1">
        <f t="array" ref="T125">_xlfn.IFS(S125=1,"Entry Level",S125=2,"Junior",S125=3,"Mid-Level",S125=4,"Senior",S125=5,"Executive")</f>
        <v>Executive</v>
      </c>
      <c r="U125" t="s">
        <v>54</v>
      </c>
      <c r="V125">
        <v>3</v>
      </c>
      <c r="W125" t="str" cm="1">
        <f t="array" ref="W125">_xlfn.IFS(V125=1,"Low",V125=2,"Medium",V125=3,"High",V125=4,"Very High")</f>
        <v>High</v>
      </c>
      <c r="X125" t="s">
        <v>38</v>
      </c>
      <c r="Y125" s="2">
        <v>19537</v>
      </c>
      <c r="Z125" s="2">
        <v>6462</v>
      </c>
      <c r="AA125">
        <v>7</v>
      </c>
      <c r="AB125" t="s">
        <v>39</v>
      </c>
      <c r="AC125">
        <v>13</v>
      </c>
      <c r="AD125">
        <v>3</v>
      </c>
      <c r="AE125" t="str" cm="1">
        <f t="array" ref="AE125">_xlfn.IFS(AD125=1,"Low",AD125=2,"Good",AD125=3,"Excellent",AD125=4,"Outstanding")</f>
        <v>Excellent</v>
      </c>
      <c r="AF125">
        <v>3</v>
      </c>
      <c r="AG125" t="str" cm="1">
        <f t="array" ref="AG125">_xlfn.IFS(AF125=1,"Low",AF125=2,"Medium",AF125=3,"High",AF125=4,"Very High")</f>
        <v>High</v>
      </c>
      <c r="AH125">
        <v>0</v>
      </c>
      <c r="AI125">
        <v>23</v>
      </c>
      <c r="AJ125">
        <v>5</v>
      </c>
      <c r="AK125">
        <v>3</v>
      </c>
      <c r="AL125" t="str" cm="1">
        <f t="array" ref="AL125">_xlfn.IFS(AK125=1,"Low",AK125=2,"Medium",AK125=3,"High",AK125=4,"Very High")</f>
        <v>High</v>
      </c>
      <c r="AM125">
        <v>20</v>
      </c>
      <c r="AN125">
        <v>18</v>
      </c>
      <c r="AO125">
        <v>15</v>
      </c>
      <c r="AP125">
        <v>15</v>
      </c>
    </row>
    <row r="126" spans="1:42">
      <c r="A126">
        <v>31</v>
      </c>
      <c r="B126" t="str" cm="1">
        <f t="array" ref="B126">_xlfn.IFS(A126&lt;=25,"18-25",A126&lt;=35,"26-35",A126&lt;=45,"36-45",A126&lt;=55,"46-55",A126&gt;55,"56+")</f>
        <v>26-35</v>
      </c>
      <c r="C126" t="s">
        <v>32</v>
      </c>
      <c r="D126" t="s">
        <v>33</v>
      </c>
      <c r="E126" s="2">
        <v>249</v>
      </c>
      <c r="F126" t="s">
        <v>34</v>
      </c>
      <c r="G126">
        <v>6</v>
      </c>
      <c r="H126" t="str">
        <f t="shared" si="1"/>
        <v>1-10 km</v>
      </c>
      <c r="I126">
        <v>4</v>
      </c>
      <c r="J126" t="str" cm="1">
        <f t="array" ref="J126">_xlfn.IFS(I126=1,"Below College",I126=2,"College",I126=3,"Bachelor",I126=4,"Master",I126=5,"Doctor")</f>
        <v>Master</v>
      </c>
      <c r="K126" t="s">
        <v>35</v>
      </c>
      <c r="L126">
        <v>163</v>
      </c>
      <c r="M126">
        <v>2</v>
      </c>
      <c r="N126" t="str" cm="1">
        <f t="array" ref="N126">_xlfn.IFS(M126=1,"Low",M126=2,"Medium",M126=3,"High",M126=4,"Very High")</f>
        <v>Medium</v>
      </c>
      <c r="O126" t="s">
        <v>42</v>
      </c>
      <c r="P126" s="2">
        <v>76</v>
      </c>
      <c r="Q126">
        <v>1</v>
      </c>
      <c r="R126" t="str" cm="1">
        <f t="array" ref="R126">_xlfn.IFS(Q126=1,"Low",Q126=2,"Medium",Q126=3,"High",Q126=4,"Very High")</f>
        <v>Low</v>
      </c>
      <c r="S126">
        <v>2</v>
      </c>
      <c r="T126" t="str" cm="1">
        <f t="array" ref="T126">_xlfn.IFS(S126=1,"Entry Level",S126=2,"Junior",S126=3,"Mid-Level",S126=4,"Senior",S126=5,"Executive")</f>
        <v>Junior</v>
      </c>
      <c r="U126" t="s">
        <v>37</v>
      </c>
      <c r="V126">
        <v>3</v>
      </c>
      <c r="W126" t="str" cm="1">
        <f t="array" ref="W126">_xlfn.IFS(V126=1,"Low",V126=2,"Medium",V126=3,"High",V126=4,"Very High")</f>
        <v>High</v>
      </c>
      <c r="X126" t="s">
        <v>44</v>
      </c>
      <c r="Y126" s="2">
        <v>6172</v>
      </c>
      <c r="Z126" s="2">
        <v>20739</v>
      </c>
      <c r="AA126">
        <v>4</v>
      </c>
      <c r="AB126" t="s">
        <v>32</v>
      </c>
      <c r="AC126">
        <v>18</v>
      </c>
      <c r="AD126">
        <v>3</v>
      </c>
      <c r="AE126" t="str" cm="1">
        <f t="array" ref="AE126">_xlfn.IFS(AD126=1,"Low",AD126=2,"Good",AD126=3,"Excellent",AD126=4,"Outstanding")</f>
        <v>Excellent</v>
      </c>
      <c r="AF126">
        <v>2</v>
      </c>
      <c r="AG126" t="str" cm="1">
        <f t="array" ref="AG126">_xlfn.IFS(AF126=1,"Low",AF126=2,"Medium",AF126=3,"High",AF126=4,"Very High")</f>
        <v>Medium</v>
      </c>
      <c r="AH126">
        <v>0</v>
      </c>
      <c r="AI126">
        <v>12</v>
      </c>
      <c r="AJ126">
        <v>3</v>
      </c>
      <c r="AK126">
        <v>2</v>
      </c>
      <c r="AL126" t="str" cm="1">
        <f t="array" ref="AL126">_xlfn.IFS(AK126=1,"Low",AK126=2,"Medium",AK126=3,"High",AK126=4,"Very High")</f>
        <v>Medium</v>
      </c>
      <c r="AM126">
        <v>7</v>
      </c>
      <c r="AN126">
        <v>7</v>
      </c>
      <c r="AO126">
        <v>7</v>
      </c>
      <c r="AP126">
        <v>7</v>
      </c>
    </row>
    <row r="127" spans="1:42">
      <c r="A127">
        <v>26</v>
      </c>
      <c r="B127" t="str" cm="1">
        <f t="array" ref="B127">_xlfn.IFS(A127&lt;=25,"18-25",A127&lt;=35,"26-35",A127&lt;=45,"36-45",A127&lt;=55,"46-55",A127&gt;55,"56+")</f>
        <v>26-35</v>
      </c>
      <c r="C127" t="s">
        <v>39</v>
      </c>
      <c r="D127" t="s">
        <v>33</v>
      </c>
      <c r="E127" s="2">
        <v>841</v>
      </c>
      <c r="F127" t="s">
        <v>41</v>
      </c>
      <c r="G127">
        <v>6</v>
      </c>
      <c r="H127" t="str">
        <f t="shared" si="1"/>
        <v>1-10 km</v>
      </c>
      <c r="I127">
        <v>3</v>
      </c>
      <c r="J127" t="str" cm="1">
        <f t="array" ref="J127">_xlfn.IFS(I127=1,"Below College",I127=2,"College",I127=3,"Bachelor",I127=4,"Master",I127=5,"Doctor")</f>
        <v>Bachelor</v>
      </c>
      <c r="K127" t="s">
        <v>45</v>
      </c>
      <c r="L127">
        <v>164</v>
      </c>
      <c r="M127">
        <v>3</v>
      </c>
      <c r="N127" t="str" cm="1">
        <f t="array" ref="N127">_xlfn.IFS(M127=1,"Low",M127=2,"Medium",M127=3,"High",M127=4,"Very High")</f>
        <v>High</v>
      </c>
      <c r="O127" t="s">
        <v>36</v>
      </c>
      <c r="P127" s="2">
        <v>46</v>
      </c>
      <c r="Q127">
        <v>2</v>
      </c>
      <c r="R127" t="str" cm="1">
        <f t="array" ref="R127">_xlfn.IFS(Q127=1,"Low",Q127=2,"Medium",Q127=3,"High",Q127=4,"Very High")</f>
        <v>Medium</v>
      </c>
      <c r="S127">
        <v>1</v>
      </c>
      <c r="T127" t="str" cm="1">
        <f t="array" ref="T127">_xlfn.IFS(S127=1,"Entry Level",S127=2,"Junior",S127=3,"Mid-Level",S127=4,"Senior",S127=5,"Executive")</f>
        <v>Entry Level</v>
      </c>
      <c r="U127" t="s">
        <v>43</v>
      </c>
      <c r="V127">
        <v>2</v>
      </c>
      <c r="W127" t="str" cm="1">
        <f t="array" ref="W127">_xlfn.IFS(V127=1,"Low",V127=2,"Medium",V127=3,"High",V127=4,"Very High")</f>
        <v>Medium</v>
      </c>
      <c r="X127" t="s">
        <v>44</v>
      </c>
      <c r="Y127" s="2">
        <v>2368</v>
      </c>
      <c r="Z127" s="2">
        <v>23300</v>
      </c>
      <c r="AA127">
        <v>1</v>
      </c>
      <c r="AB127" t="s">
        <v>39</v>
      </c>
      <c r="AC127">
        <v>19</v>
      </c>
      <c r="AD127">
        <v>3</v>
      </c>
      <c r="AE127" t="str" cm="1">
        <f t="array" ref="AE127">_xlfn.IFS(AD127=1,"Low",AD127=2,"Good",AD127=3,"Excellent",AD127=4,"Outstanding")</f>
        <v>Excellent</v>
      </c>
      <c r="AF127">
        <v>3</v>
      </c>
      <c r="AG127" t="str" cm="1">
        <f t="array" ref="AG127">_xlfn.IFS(AF127=1,"Low",AF127=2,"Medium",AF127=3,"High",AF127=4,"Very High")</f>
        <v>High</v>
      </c>
      <c r="AH127">
        <v>0</v>
      </c>
      <c r="AI127">
        <v>5</v>
      </c>
      <c r="AJ127">
        <v>3</v>
      </c>
      <c r="AK127">
        <v>2</v>
      </c>
      <c r="AL127" t="str" cm="1">
        <f t="array" ref="AL127">_xlfn.IFS(AK127=1,"Low",AK127=2,"Medium",AK127=3,"High",AK127=4,"Very High")</f>
        <v>Medium</v>
      </c>
      <c r="AM127">
        <v>5</v>
      </c>
      <c r="AN127">
        <v>4</v>
      </c>
      <c r="AO127">
        <v>4</v>
      </c>
      <c r="AP127">
        <v>3</v>
      </c>
    </row>
    <row r="128" spans="1:42">
      <c r="A128">
        <v>58</v>
      </c>
      <c r="B128" t="str" cm="1">
        <f t="array" ref="B128">_xlfn.IFS(A128&lt;=25,"18-25",A128&lt;=35,"26-35",A128&lt;=45,"36-45",A128&lt;=55,"46-55",A128&gt;55,"56+")</f>
        <v>56+</v>
      </c>
      <c r="C128" t="s">
        <v>32</v>
      </c>
      <c r="D128" t="s">
        <v>33</v>
      </c>
      <c r="E128" s="2">
        <v>147</v>
      </c>
      <c r="F128" t="s">
        <v>41</v>
      </c>
      <c r="G128">
        <v>23</v>
      </c>
      <c r="H128" t="str">
        <f t="shared" si="1"/>
        <v>21-30 km</v>
      </c>
      <c r="I128">
        <v>4</v>
      </c>
      <c r="J128" t="str" cm="1">
        <f t="array" ref="J128">_xlfn.IFS(I128=1,"Below College",I128=2,"College",I128=3,"Bachelor",I128=4,"Master",I128=5,"Doctor")</f>
        <v>Master</v>
      </c>
      <c r="K128" t="s">
        <v>47</v>
      </c>
      <c r="L128">
        <v>165</v>
      </c>
      <c r="M128">
        <v>4</v>
      </c>
      <c r="N128" t="str" cm="1">
        <f t="array" ref="N128">_xlfn.IFS(M128=1,"Low",M128=2,"Medium",M128=3,"High",M128=4,"Very High")</f>
        <v>Very High</v>
      </c>
      <c r="O128" t="s">
        <v>36</v>
      </c>
      <c r="P128" s="2">
        <v>94</v>
      </c>
      <c r="Q128">
        <v>3</v>
      </c>
      <c r="R128" t="str" cm="1">
        <f t="array" ref="R128">_xlfn.IFS(Q128=1,"Low",Q128=2,"Medium",Q128=3,"High",Q128=4,"Very High")</f>
        <v>High</v>
      </c>
      <c r="S128">
        <v>3</v>
      </c>
      <c r="T128" t="str" cm="1">
        <f t="array" ref="T128">_xlfn.IFS(S128=1,"Entry Level",S128=2,"Junior",S128=3,"Mid-Level",S128=4,"Senior",S128=5,"Executive")</f>
        <v>Mid-Level</v>
      </c>
      <c r="U128" t="s">
        <v>50</v>
      </c>
      <c r="V128">
        <v>4</v>
      </c>
      <c r="W128" t="str" cm="1">
        <f t="array" ref="W128">_xlfn.IFS(V128=1,"Low",V128=2,"Medium",V128=3,"High",V128=4,"Very High")</f>
        <v>Very High</v>
      </c>
      <c r="X128" t="s">
        <v>44</v>
      </c>
      <c r="Y128" s="2">
        <v>10312</v>
      </c>
      <c r="Z128" s="2">
        <v>3465</v>
      </c>
      <c r="AA128">
        <v>1</v>
      </c>
      <c r="AB128" t="s">
        <v>39</v>
      </c>
      <c r="AC128">
        <v>12</v>
      </c>
      <c r="AD128">
        <v>3</v>
      </c>
      <c r="AE128" t="str" cm="1">
        <f t="array" ref="AE128">_xlfn.IFS(AD128=1,"Low",AD128=2,"Good",AD128=3,"Excellent",AD128=4,"Outstanding")</f>
        <v>Excellent</v>
      </c>
      <c r="AF128">
        <v>4</v>
      </c>
      <c r="AG128" t="str" cm="1">
        <f t="array" ref="AG128">_xlfn.IFS(AF128=1,"Low",AF128=2,"Medium",AF128=3,"High",AF128=4,"Very High")</f>
        <v>Very High</v>
      </c>
      <c r="AH128">
        <v>1</v>
      </c>
      <c r="AI128">
        <v>40</v>
      </c>
      <c r="AJ128">
        <v>3</v>
      </c>
      <c r="AK128">
        <v>2</v>
      </c>
      <c r="AL128" t="str" cm="1">
        <f t="array" ref="AL128">_xlfn.IFS(AK128=1,"Low",AK128=2,"Medium",AK128=3,"High",AK128=4,"Very High")</f>
        <v>Medium</v>
      </c>
      <c r="AM128">
        <v>40</v>
      </c>
      <c r="AN128">
        <v>10</v>
      </c>
      <c r="AO128">
        <v>15</v>
      </c>
      <c r="AP128">
        <v>6</v>
      </c>
    </row>
    <row r="129" spans="1:42">
      <c r="A129">
        <v>19</v>
      </c>
      <c r="B129" t="str" cm="1">
        <f t="array" ref="B129">_xlfn.IFS(A129&lt;=25,"18-25",A129&lt;=35,"26-35",A129&lt;=45,"36-45",A129&lt;=55,"46-55",A129&gt;55,"56+")</f>
        <v>18-25</v>
      </c>
      <c r="C129" t="s">
        <v>32</v>
      </c>
      <c r="D129" t="s">
        <v>33</v>
      </c>
      <c r="E129" s="2">
        <v>528</v>
      </c>
      <c r="F129" t="s">
        <v>34</v>
      </c>
      <c r="G129">
        <v>22</v>
      </c>
      <c r="H129" t="str">
        <f t="shared" si="1"/>
        <v>21-30 km</v>
      </c>
      <c r="I129">
        <v>1</v>
      </c>
      <c r="J129" t="str" cm="1">
        <f t="array" ref="J129">_xlfn.IFS(I129=1,"Below College",I129=2,"College",I129=3,"Bachelor",I129=4,"Master",I129=5,"Doctor")</f>
        <v>Below College</v>
      </c>
      <c r="K129" t="s">
        <v>55</v>
      </c>
      <c r="L129">
        <v>167</v>
      </c>
      <c r="M129">
        <v>4</v>
      </c>
      <c r="N129" t="str" cm="1">
        <f t="array" ref="N129">_xlfn.IFS(M129=1,"Low",M129=2,"Medium",M129=3,"High",M129=4,"Very High")</f>
        <v>Very High</v>
      </c>
      <c r="O129" t="s">
        <v>42</v>
      </c>
      <c r="P129" s="2">
        <v>50</v>
      </c>
      <c r="Q129">
        <v>3</v>
      </c>
      <c r="R129" t="str" cm="1">
        <f t="array" ref="R129">_xlfn.IFS(Q129=1,"Low",Q129=2,"Medium",Q129=3,"High",Q129=4,"Very High")</f>
        <v>High</v>
      </c>
      <c r="S129">
        <v>1</v>
      </c>
      <c r="T129" t="str" cm="1">
        <f t="array" ref="T129">_xlfn.IFS(S129=1,"Entry Level",S129=2,"Junior",S129=3,"Mid-Level",S129=4,"Senior",S129=5,"Executive")</f>
        <v>Entry Level</v>
      </c>
      <c r="U129" t="s">
        <v>53</v>
      </c>
      <c r="V129">
        <v>3</v>
      </c>
      <c r="W129" t="str" cm="1">
        <f t="array" ref="W129">_xlfn.IFS(V129=1,"Low",V129=2,"Medium",V129=3,"High",V129=4,"Very High")</f>
        <v>High</v>
      </c>
      <c r="X129" t="s">
        <v>38</v>
      </c>
      <c r="Y129" s="2">
        <v>1675</v>
      </c>
      <c r="Z129" s="2">
        <v>26820</v>
      </c>
      <c r="AA129">
        <v>1</v>
      </c>
      <c r="AB129" t="s">
        <v>32</v>
      </c>
      <c r="AC129">
        <v>19</v>
      </c>
      <c r="AD129">
        <v>3</v>
      </c>
      <c r="AE129" t="str" cm="1">
        <f t="array" ref="AE129">_xlfn.IFS(AD129=1,"Low",AD129=2,"Good",AD129=3,"Excellent",AD129=4,"Outstanding")</f>
        <v>Excellent</v>
      </c>
      <c r="AF129">
        <v>4</v>
      </c>
      <c r="AG129" t="str" cm="1">
        <f t="array" ref="AG129">_xlfn.IFS(AF129=1,"Low",AF129=2,"Medium",AF129=3,"High",AF129=4,"Very High")</f>
        <v>Very High</v>
      </c>
      <c r="AH129">
        <v>0</v>
      </c>
      <c r="AI129">
        <v>0</v>
      </c>
      <c r="AJ129">
        <v>2</v>
      </c>
      <c r="AK129">
        <v>2</v>
      </c>
      <c r="AL129" t="str" cm="1">
        <f t="array" ref="AL129">_xlfn.IFS(AK129=1,"Low",AK129=2,"Medium",AK129=3,"High",AK129=4,"Very High")</f>
        <v>Medium</v>
      </c>
      <c r="AM129">
        <v>0</v>
      </c>
      <c r="AN129">
        <v>0</v>
      </c>
      <c r="AO129">
        <v>0</v>
      </c>
      <c r="AP129">
        <v>0</v>
      </c>
    </row>
    <row r="130" spans="1:42">
      <c r="A130">
        <v>22</v>
      </c>
      <c r="B130" t="str" cm="1">
        <f t="array" ref="B130">_xlfn.IFS(A130&lt;=25,"18-25",A130&lt;=35,"26-35",A130&lt;=45,"36-45",A130&lt;=55,"46-55",A130&gt;55,"56+")</f>
        <v>18-25</v>
      </c>
      <c r="C130" t="s">
        <v>39</v>
      </c>
      <c r="D130" t="s">
        <v>33</v>
      </c>
      <c r="E130" s="2">
        <v>594</v>
      </c>
      <c r="F130" t="s">
        <v>41</v>
      </c>
      <c r="G130">
        <v>2</v>
      </c>
      <c r="H130" t="str">
        <f t="shared" si="1"/>
        <v>1-10 km</v>
      </c>
      <c r="I130">
        <v>1</v>
      </c>
      <c r="J130" t="str" cm="1">
        <f t="array" ref="J130">_xlfn.IFS(I130=1,"Below College",I130=2,"College",I130=3,"Bachelor",I130=4,"Master",I130=5,"Doctor")</f>
        <v>Below College</v>
      </c>
      <c r="K130" t="s">
        <v>56</v>
      </c>
      <c r="L130">
        <v>169</v>
      </c>
      <c r="M130">
        <v>3</v>
      </c>
      <c r="N130" t="str" cm="1">
        <f t="array" ref="N130">_xlfn.IFS(M130=1,"Low",M130=2,"Medium",M130=3,"High",M130=4,"Very High")</f>
        <v>High</v>
      </c>
      <c r="O130" t="s">
        <v>42</v>
      </c>
      <c r="P130" s="2">
        <v>100</v>
      </c>
      <c r="Q130">
        <v>3</v>
      </c>
      <c r="R130" t="str" cm="1">
        <f t="array" ref="R130">_xlfn.IFS(Q130=1,"Low",Q130=2,"Medium",Q130=3,"High",Q130=4,"Very High")</f>
        <v>High</v>
      </c>
      <c r="S130">
        <v>1</v>
      </c>
      <c r="T130" t="str" cm="1">
        <f t="array" ref="T130">_xlfn.IFS(S130=1,"Entry Level",S130=2,"Junior",S130=3,"Mid-Level",S130=4,"Senior",S130=5,"Executive")</f>
        <v>Entry Level</v>
      </c>
      <c r="U130" t="s">
        <v>46</v>
      </c>
      <c r="V130">
        <v>4</v>
      </c>
      <c r="W130" t="str" cm="1">
        <f t="array" ref="W130">_xlfn.IFS(V130=1,"Low",V130=2,"Medium",V130=3,"High",V130=4,"Very High")</f>
        <v>Very High</v>
      </c>
      <c r="X130" t="s">
        <v>44</v>
      </c>
      <c r="Y130" s="2">
        <v>2523</v>
      </c>
      <c r="Z130" s="2">
        <v>19299</v>
      </c>
      <c r="AA130">
        <v>0</v>
      </c>
      <c r="AB130" t="s">
        <v>39</v>
      </c>
      <c r="AC130">
        <v>14</v>
      </c>
      <c r="AD130">
        <v>3</v>
      </c>
      <c r="AE130" t="str" cm="1">
        <f t="array" ref="AE130">_xlfn.IFS(AD130=1,"Low",AD130=2,"Good",AD130=3,"Excellent",AD130=4,"Outstanding")</f>
        <v>Excellent</v>
      </c>
      <c r="AF130">
        <v>3</v>
      </c>
      <c r="AG130" t="str" cm="1">
        <f t="array" ref="AG130">_xlfn.IFS(AF130=1,"Low",AF130=2,"Medium",AF130=3,"High",AF130=4,"Very High")</f>
        <v>High</v>
      </c>
      <c r="AH130">
        <v>1</v>
      </c>
      <c r="AI130">
        <v>3</v>
      </c>
      <c r="AJ130">
        <v>2</v>
      </c>
      <c r="AK130">
        <v>3</v>
      </c>
      <c r="AL130" t="str" cm="1">
        <f t="array" ref="AL130">_xlfn.IFS(AK130=1,"Low",AK130=2,"Medium",AK130=3,"High",AK130=4,"Very High")</f>
        <v>High</v>
      </c>
      <c r="AM130">
        <v>2</v>
      </c>
      <c r="AN130">
        <v>1</v>
      </c>
      <c r="AO130">
        <v>2</v>
      </c>
      <c r="AP130">
        <v>1</v>
      </c>
    </row>
    <row r="131" spans="1:42">
      <c r="A131">
        <v>49</v>
      </c>
      <c r="B131" t="str" cm="1">
        <f t="array" ref="B131">_xlfn.IFS(A131&lt;=25,"18-25",A131&lt;=35,"26-35",A131&lt;=45,"36-45",A131&lt;=55,"46-55",A131&gt;55,"56+")</f>
        <v>46-55</v>
      </c>
      <c r="C131" t="s">
        <v>39</v>
      </c>
      <c r="D131" t="s">
        <v>33</v>
      </c>
      <c r="E131" s="2">
        <v>470</v>
      </c>
      <c r="F131" t="s">
        <v>41</v>
      </c>
      <c r="G131">
        <v>20</v>
      </c>
      <c r="H131" t="str">
        <f t="shared" ref="H131:H194" si="2">IF(G131&lt;=10,"1-10 km",IF(G131&lt;=20,"11-20 km",IF(G131&lt;=30,"21-30 km","31+ km")))</f>
        <v>11-20 km</v>
      </c>
      <c r="I131">
        <v>4</v>
      </c>
      <c r="J131" t="str" cm="1">
        <f t="array" ref="J131">_xlfn.IFS(I131=1,"Below College",I131=2,"College",I131=3,"Bachelor",I131=4,"Master",I131=5,"Doctor")</f>
        <v>Master</v>
      </c>
      <c r="K131" t="s">
        <v>47</v>
      </c>
      <c r="L131">
        <v>170</v>
      </c>
      <c r="M131">
        <v>3</v>
      </c>
      <c r="N131" t="str" cm="1">
        <f t="array" ref="N131">_xlfn.IFS(M131=1,"Low",M131=2,"Medium",M131=3,"High",M131=4,"Very High")</f>
        <v>High</v>
      </c>
      <c r="O131" t="s">
        <v>36</v>
      </c>
      <c r="P131" s="2">
        <v>96</v>
      </c>
      <c r="Q131">
        <v>3</v>
      </c>
      <c r="R131" t="str" cm="1">
        <f t="array" ref="R131">_xlfn.IFS(Q131=1,"Low",Q131=2,"Medium",Q131=3,"High",Q131=4,"Very High")</f>
        <v>High</v>
      </c>
      <c r="S131">
        <v>2</v>
      </c>
      <c r="T131" t="str" cm="1">
        <f t="array" ref="T131">_xlfn.IFS(S131=1,"Entry Level",S131=2,"Junior",S131=3,"Mid-Level",S131=4,"Senior",S131=5,"Executive")</f>
        <v>Junior</v>
      </c>
      <c r="U131" t="s">
        <v>49</v>
      </c>
      <c r="V131">
        <v>1</v>
      </c>
      <c r="W131" t="str" cm="1">
        <f t="array" ref="W131">_xlfn.IFS(V131=1,"Low",V131=2,"Medium",V131=3,"High",V131=4,"Very High")</f>
        <v>Low</v>
      </c>
      <c r="X131" t="s">
        <v>44</v>
      </c>
      <c r="Y131" s="2">
        <v>6567</v>
      </c>
      <c r="Z131" s="2">
        <v>5549</v>
      </c>
      <c r="AA131">
        <v>1</v>
      </c>
      <c r="AB131" t="s">
        <v>39</v>
      </c>
      <c r="AC131">
        <v>14</v>
      </c>
      <c r="AD131">
        <v>3</v>
      </c>
      <c r="AE131" t="str" cm="1">
        <f t="array" ref="AE131">_xlfn.IFS(AD131=1,"Low",AD131=2,"Good",AD131=3,"Excellent",AD131=4,"Outstanding")</f>
        <v>Excellent</v>
      </c>
      <c r="AF131">
        <v>3</v>
      </c>
      <c r="AG131" t="str" cm="1">
        <f t="array" ref="AG131">_xlfn.IFS(AF131=1,"Low",AF131=2,"Medium",AF131=3,"High",AF131=4,"Very High")</f>
        <v>High</v>
      </c>
      <c r="AH131">
        <v>0</v>
      </c>
      <c r="AI131">
        <v>16</v>
      </c>
      <c r="AJ131">
        <v>2</v>
      </c>
      <c r="AK131">
        <v>2</v>
      </c>
      <c r="AL131" t="str" cm="1">
        <f t="array" ref="AL131">_xlfn.IFS(AK131=1,"Low",AK131=2,"Medium",AK131=3,"High",AK131=4,"Very High")</f>
        <v>Medium</v>
      </c>
      <c r="AM131">
        <v>15</v>
      </c>
      <c r="AN131">
        <v>11</v>
      </c>
      <c r="AO131">
        <v>5</v>
      </c>
      <c r="AP131">
        <v>11</v>
      </c>
    </row>
    <row r="132" spans="1:42">
      <c r="A132">
        <v>43</v>
      </c>
      <c r="B132" t="str" cm="1">
        <f t="array" ref="B132">_xlfn.IFS(A132&lt;=25,"18-25",A132&lt;=35,"26-35",A132&lt;=45,"36-45",A132&lt;=55,"46-55",A132&gt;55,"56+")</f>
        <v>36-45</v>
      </c>
      <c r="C132" t="s">
        <v>39</v>
      </c>
      <c r="D132" t="s">
        <v>40</v>
      </c>
      <c r="E132" s="2">
        <v>957</v>
      </c>
      <c r="F132" t="s">
        <v>41</v>
      </c>
      <c r="G132">
        <v>28</v>
      </c>
      <c r="H132" t="str">
        <f t="shared" si="2"/>
        <v>21-30 km</v>
      </c>
      <c r="I132">
        <v>3</v>
      </c>
      <c r="J132" t="str" cm="1">
        <f t="array" ref="J132">_xlfn.IFS(I132=1,"Below College",I132=2,"College",I132=3,"Bachelor",I132=4,"Master",I132=5,"Doctor")</f>
        <v>Bachelor</v>
      </c>
      <c r="K132" t="s">
        <v>47</v>
      </c>
      <c r="L132">
        <v>171</v>
      </c>
      <c r="M132">
        <v>2</v>
      </c>
      <c r="N132" t="str" cm="1">
        <f t="array" ref="N132">_xlfn.IFS(M132=1,"Low",M132=2,"Medium",M132=3,"High",M132=4,"Very High")</f>
        <v>Medium</v>
      </c>
      <c r="O132" t="s">
        <v>36</v>
      </c>
      <c r="P132" s="2">
        <v>72</v>
      </c>
      <c r="Q132">
        <v>4</v>
      </c>
      <c r="R132" t="str" cm="1">
        <f t="array" ref="R132">_xlfn.IFS(Q132=1,"Low",Q132=2,"Medium",Q132=3,"High",Q132=4,"Very High")</f>
        <v>Very High</v>
      </c>
      <c r="S132">
        <v>1</v>
      </c>
      <c r="T132" t="str" cm="1">
        <f t="array" ref="T132">_xlfn.IFS(S132=1,"Entry Level",S132=2,"Junior",S132=3,"Mid-Level",S132=4,"Senior",S132=5,"Executive")</f>
        <v>Entry Level</v>
      </c>
      <c r="U132" t="s">
        <v>43</v>
      </c>
      <c r="V132">
        <v>3</v>
      </c>
      <c r="W132" t="str" cm="1">
        <f t="array" ref="W132">_xlfn.IFS(V132=1,"Low",V132=2,"Medium",V132=3,"High",V132=4,"Very High")</f>
        <v>High</v>
      </c>
      <c r="X132" t="s">
        <v>38</v>
      </c>
      <c r="Y132" s="2">
        <v>4739</v>
      </c>
      <c r="Z132" s="2">
        <v>16090</v>
      </c>
      <c r="AA132">
        <v>4</v>
      </c>
      <c r="AB132" t="s">
        <v>39</v>
      </c>
      <c r="AC132">
        <v>12</v>
      </c>
      <c r="AD132">
        <v>3</v>
      </c>
      <c r="AE132" t="str" cm="1">
        <f t="array" ref="AE132">_xlfn.IFS(AD132=1,"Low",AD132=2,"Good",AD132=3,"Excellent",AD132=4,"Outstanding")</f>
        <v>Excellent</v>
      </c>
      <c r="AF132">
        <v>4</v>
      </c>
      <c r="AG132" t="str" cm="1">
        <f t="array" ref="AG132">_xlfn.IFS(AF132=1,"Low",AF132=2,"Medium",AF132=3,"High",AF132=4,"Very High")</f>
        <v>Very High</v>
      </c>
      <c r="AH132">
        <v>0</v>
      </c>
      <c r="AI132">
        <v>18</v>
      </c>
      <c r="AJ132">
        <v>2</v>
      </c>
      <c r="AK132">
        <v>3</v>
      </c>
      <c r="AL132" t="str" cm="1">
        <f t="array" ref="AL132">_xlfn.IFS(AK132=1,"Low",AK132=2,"Medium",AK132=3,"High",AK132=4,"Very High")</f>
        <v>High</v>
      </c>
      <c r="AM132">
        <v>3</v>
      </c>
      <c r="AN132">
        <v>2</v>
      </c>
      <c r="AO132">
        <v>1</v>
      </c>
      <c r="AP132">
        <v>2</v>
      </c>
    </row>
    <row r="133" spans="1:42">
      <c r="A133">
        <v>50</v>
      </c>
      <c r="B133" t="str" cm="1">
        <f t="array" ref="B133">_xlfn.IFS(A133&lt;=25,"18-25",A133&lt;=35,"26-35",A133&lt;=45,"36-45",A133&lt;=55,"46-55",A133&gt;55,"56+")</f>
        <v>46-55</v>
      </c>
      <c r="C133" t="s">
        <v>39</v>
      </c>
      <c r="D133" t="s">
        <v>40</v>
      </c>
      <c r="E133" s="2">
        <v>809</v>
      </c>
      <c r="F133" t="s">
        <v>34</v>
      </c>
      <c r="G133">
        <v>12</v>
      </c>
      <c r="H133" t="str">
        <f t="shared" si="2"/>
        <v>11-20 km</v>
      </c>
      <c r="I133">
        <v>3</v>
      </c>
      <c r="J133" t="str" cm="1">
        <f t="array" ref="J133">_xlfn.IFS(I133=1,"Below College",I133=2,"College",I133=3,"Bachelor",I133=4,"Master",I133=5,"Doctor")</f>
        <v>Bachelor</v>
      </c>
      <c r="K133" t="s">
        <v>55</v>
      </c>
      <c r="L133">
        <v>174</v>
      </c>
      <c r="M133">
        <v>3</v>
      </c>
      <c r="N133" t="str" cm="1">
        <f t="array" ref="N133">_xlfn.IFS(M133=1,"Low",M133=2,"Medium",M133=3,"High",M133=4,"Very High")</f>
        <v>High</v>
      </c>
      <c r="O133" t="s">
        <v>36</v>
      </c>
      <c r="P133" s="2">
        <v>77</v>
      </c>
      <c r="Q133">
        <v>3</v>
      </c>
      <c r="R133" t="str" cm="1">
        <f t="array" ref="R133">_xlfn.IFS(Q133=1,"Low",Q133=2,"Medium",Q133=3,"High",Q133=4,"Very High")</f>
        <v>High</v>
      </c>
      <c r="S133">
        <v>3</v>
      </c>
      <c r="T133" t="str" cm="1">
        <f t="array" ref="T133">_xlfn.IFS(S133=1,"Entry Level",S133=2,"Junior",S133=3,"Mid-Level",S133=4,"Senior",S133=5,"Executive")</f>
        <v>Mid-Level</v>
      </c>
      <c r="U133" t="s">
        <v>37</v>
      </c>
      <c r="V133">
        <v>4</v>
      </c>
      <c r="W133" t="str" cm="1">
        <f t="array" ref="W133">_xlfn.IFS(V133=1,"Low",V133=2,"Medium",V133=3,"High",V133=4,"Very High")</f>
        <v>Very High</v>
      </c>
      <c r="X133" t="s">
        <v>38</v>
      </c>
      <c r="Y133" s="2">
        <v>9208</v>
      </c>
      <c r="Z133" s="2">
        <v>6645</v>
      </c>
      <c r="AA133">
        <v>4</v>
      </c>
      <c r="AB133" t="s">
        <v>39</v>
      </c>
      <c r="AC133">
        <v>11</v>
      </c>
      <c r="AD133">
        <v>3</v>
      </c>
      <c r="AE133" t="str" cm="1">
        <f t="array" ref="AE133">_xlfn.IFS(AD133=1,"Low",AD133=2,"Good",AD133=3,"Excellent",AD133=4,"Outstanding")</f>
        <v>Excellent</v>
      </c>
      <c r="AF133">
        <v>4</v>
      </c>
      <c r="AG133" t="str" cm="1">
        <f t="array" ref="AG133">_xlfn.IFS(AF133=1,"Low",AF133=2,"Medium",AF133=3,"High",AF133=4,"Very High")</f>
        <v>Very High</v>
      </c>
      <c r="AH133">
        <v>0</v>
      </c>
      <c r="AI133">
        <v>16</v>
      </c>
      <c r="AJ133">
        <v>3</v>
      </c>
      <c r="AK133">
        <v>3</v>
      </c>
      <c r="AL133" t="str" cm="1">
        <f t="array" ref="AL133">_xlfn.IFS(AK133=1,"Low",AK133=2,"Medium",AK133=3,"High",AK133=4,"Very High")</f>
        <v>High</v>
      </c>
      <c r="AM133">
        <v>2</v>
      </c>
      <c r="AN133">
        <v>2</v>
      </c>
      <c r="AO133">
        <v>2</v>
      </c>
      <c r="AP133">
        <v>1</v>
      </c>
    </row>
    <row r="134" spans="1:42">
      <c r="A134">
        <v>31</v>
      </c>
      <c r="B134" t="str" cm="1">
        <f t="array" ref="B134">_xlfn.IFS(A134&lt;=25,"18-25",A134&lt;=35,"26-35",A134&lt;=45,"36-45",A134&lt;=55,"46-55",A134&gt;55,"56+")</f>
        <v>26-35</v>
      </c>
      <c r="C134" t="s">
        <v>32</v>
      </c>
      <c r="D134" t="s">
        <v>33</v>
      </c>
      <c r="E134" s="2">
        <v>542</v>
      </c>
      <c r="F134" t="s">
        <v>34</v>
      </c>
      <c r="G134">
        <v>20</v>
      </c>
      <c r="H134" t="str">
        <f t="shared" si="2"/>
        <v>11-20 km</v>
      </c>
      <c r="I134">
        <v>3</v>
      </c>
      <c r="J134" t="str" cm="1">
        <f t="array" ref="J134">_xlfn.IFS(I134=1,"Below College",I134=2,"College",I134=3,"Bachelor",I134=4,"Master",I134=5,"Doctor")</f>
        <v>Bachelor</v>
      </c>
      <c r="K134" t="s">
        <v>35</v>
      </c>
      <c r="L134">
        <v>175</v>
      </c>
      <c r="M134">
        <v>2</v>
      </c>
      <c r="N134" t="str" cm="1">
        <f t="array" ref="N134">_xlfn.IFS(M134=1,"Low",M134=2,"Medium",M134=3,"High",M134=4,"Very High")</f>
        <v>Medium</v>
      </c>
      <c r="O134" t="s">
        <v>36</v>
      </c>
      <c r="P134" s="2">
        <v>71</v>
      </c>
      <c r="Q134">
        <v>1</v>
      </c>
      <c r="R134" t="str" cm="1">
        <f t="array" ref="R134">_xlfn.IFS(Q134=1,"Low",Q134=2,"Medium",Q134=3,"High",Q134=4,"Very High")</f>
        <v>Low</v>
      </c>
      <c r="S134">
        <v>2</v>
      </c>
      <c r="T134" t="str" cm="1">
        <f t="array" ref="T134">_xlfn.IFS(S134=1,"Entry Level",S134=2,"Junior",S134=3,"Mid-Level",S134=4,"Senior",S134=5,"Executive")</f>
        <v>Junior</v>
      </c>
      <c r="U134" t="s">
        <v>37</v>
      </c>
      <c r="V134">
        <v>3</v>
      </c>
      <c r="W134" t="str" cm="1">
        <f t="array" ref="W134">_xlfn.IFS(V134=1,"Low",V134=2,"Medium",V134=3,"High",V134=4,"Very High")</f>
        <v>High</v>
      </c>
      <c r="X134" t="s">
        <v>44</v>
      </c>
      <c r="Y134" s="2">
        <v>4559</v>
      </c>
      <c r="Z134" s="2">
        <v>24788</v>
      </c>
      <c r="AA134">
        <v>3</v>
      </c>
      <c r="AB134" t="s">
        <v>32</v>
      </c>
      <c r="AC134">
        <v>11</v>
      </c>
      <c r="AD134">
        <v>3</v>
      </c>
      <c r="AE134" t="str" cm="1">
        <f t="array" ref="AE134">_xlfn.IFS(AD134=1,"Low",AD134=2,"Good",AD134=3,"Excellent",AD134=4,"Outstanding")</f>
        <v>Excellent</v>
      </c>
      <c r="AF134">
        <v>3</v>
      </c>
      <c r="AG134" t="str" cm="1">
        <f t="array" ref="AG134">_xlfn.IFS(AF134=1,"Low",AF134=2,"Medium",AF134=3,"High",AF134=4,"Very High")</f>
        <v>High</v>
      </c>
      <c r="AH134">
        <v>1</v>
      </c>
      <c r="AI134">
        <v>4</v>
      </c>
      <c r="AJ134">
        <v>2</v>
      </c>
      <c r="AK134">
        <v>3</v>
      </c>
      <c r="AL134" t="str" cm="1">
        <f t="array" ref="AL134">_xlfn.IFS(AK134=1,"Low",AK134=2,"Medium",AK134=3,"High",AK134=4,"Very High")</f>
        <v>High</v>
      </c>
      <c r="AM134">
        <v>2</v>
      </c>
      <c r="AN134">
        <v>2</v>
      </c>
      <c r="AO134">
        <v>2</v>
      </c>
      <c r="AP134">
        <v>2</v>
      </c>
    </row>
    <row r="135" spans="1:42">
      <c r="A135">
        <v>41</v>
      </c>
      <c r="B135" t="str" cm="1">
        <f t="array" ref="B135">_xlfn.IFS(A135&lt;=25,"18-25",A135&lt;=35,"26-35",A135&lt;=45,"36-45",A135&lt;=55,"46-55",A135&gt;55,"56+")</f>
        <v>36-45</v>
      </c>
      <c r="C135" t="s">
        <v>39</v>
      </c>
      <c r="D135" t="s">
        <v>33</v>
      </c>
      <c r="E135" s="2">
        <v>802</v>
      </c>
      <c r="F135" t="s">
        <v>34</v>
      </c>
      <c r="G135">
        <v>9</v>
      </c>
      <c r="H135" t="str">
        <f t="shared" si="2"/>
        <v>1-10 km</v>
      </c>
      <c r="I135">
        <v>1</v>
      </c>
      <c r="J135" t="str" cm="1">
        <f t="array" ref="J135">_xlfn.IFS(I135=1,"Below College",I135=2,"College",I135=3,"Bachelor",I135=4,"Master",I135=5,"Doctor")</f>
        <v>Below College</v>
      </c>
      <c r="K135" t="s">
        <v>35</v>
      </c>
      <c r="L135">
        <v>176</v>
      </c>
      <c r="M135">
        <v>3</v>
      </c>
      <c r="N135" t="str" cm="1">
        <f t="array" ref="N135">_xlfn.IFS(M135=1,"Low",M135=2,"Medium",M135=3,"High",M135=4,"Very High")</f>
        <v>High</v>
      </c>
      <c r="O135" t="s">
        <v>42</v>
      </c>
      <c r="P135" s="2">
        <v>96</v>
      </c>
      <c r="Q135">
        <v>3</v>
      </c>
      <c r="R135" t="str" cm="1">
        <f t="array" ref="R135">_xlfn.IFS(Q135=1,"Low",Q135=2,"Medium",Q135=3,"High",Q135=4,"Very High")</f>
        <v>High</v>
      </c>
      <c r="S135">
        <v>3</v>
      </c>
      <c r="T135" t="str" cm="1">
        <f t="array" ref="T135">_xlfn.IFS(S135=1,"Entry Level",S135=2,"Junior",S135=3,"Mid-Level",S135=4,"Senior",S135=5,"Executive")</f>
        <v>Mid-Level</v>
      </c>
      <c r="U135" t="s">
        <v>37</v>
      </c>
      <c r="V135">
        <v>3</v>
      </c>
      <c r="W135" t="str" cm="1">
        <f t="array" ref="W135">_xlfn.IFS(V135=1,"Low",V135=2,"Medium",V135=3,"High",V135=4,"Very High")</f>
        <v>High</v>
      </c>
      <c r="X135" t="s">
        <v>48</v>
      </c>
      <c r="Y135" s="2">
        <v>8189</v>
      </c>
      <c r="Z135" s="2">
        <v>21196</v>
      </c>
      <c r="AA135">
        <v>3</v>
      </c>
      <c r="AB135" t="s">
        <v>32</v>
      </c>
      <c r="AC135">
        <v>13</v>
      </c>
      <c r="AD135">
        <v>3</v>
      </c>
      <c r="AE135" t="str" cm="1">
        <f t="array" ref="AE135">_xlfn.IFS(AD135=1,"Low",AD135=2,"Good",AD135=3,"Excellent",AD135=4,"Outstanding")</f>
        <v>Excellent</v>
      </c>
      <c r="AF135">
        <v>3</v>
      </c>
      <c r="AG135" t="str" cm="1">
        <f t="array" ref="AG135">_xlfn.IFS(AF135=1,"Low",AF135=2,"Medium",AF135=3,"High",AF135=4,"Very High")</f>
        <v>High</v>
      </c>
      <c r="AH135">
        <v>1</v>
      </c>
      <c r="AI135">
        <v>12</v>
      </c>
      <c r="AJ135">
        <v>2</v>
      </c>
      <c r="AK135">
        <v>3</v>
      </c>
      <c r="AL135" t="str" cm="1">
        <f t="array" ref="AL135">_xlfn.IFS(AK135=1,"Low",AK135=2,"Medium",AK135=3,"High",AK135=4,"Very High")</f>
        <v>High</v>
      </c>
      <c r="AM135">
        <v>9</v>
      </c>
      <c r="AN135">
        <v>7</v>
      </c>
      <c r="AO135">
        <v>0</v>
      </c>
      <c r="AP135">
        <v>7</v>
      </c>
    </row>
    <row r="136" spans="1:42">
      <c r="A136">
        <v>26</v>
      </c>
      <c r="B136" t="str" cm="1">
        <f t="array" ref="B136">_xlfn.IFS(A136&lt;=25,"18-25",A136&lt;=35,"26-35",A136&lt;=45,"36-45",A136&lt;=55,"46-55",A136&gt;55,"56+")</f>
        <v>26-35</v>
      </c>
      <c r="C136" t="s">
        <v>39</v>
      </c>
      <c r="D136" t="s">
        <v>33</v>
      </c>
      <c r="E136" s="2">
        <v>1355</v>
      </c>
      <c r="F136" t="s">
        <v>57</v>
      </c>
      <c r="G136">
        <v>25</v>
      </c>
      <c r="H136" t="str">
        <f t="shared" si="2"/>
        <v>21-30 km</v>
      </c>
      <c r="I136">
        <v>1</v>
      </c>
      <c r="J136" t="str" cm="1">
        <f t="array" ref="J136">_xlfn.IFS(I136=1,"Below College",I136=2,"College",I136=3,"Bachelor",I136=4,"Master",I136=5,"Doctor")</f>
        <v>Below College</v>
      </c>
      <c r="K136" t="s">
        <v>35</v>
      </c>
      <c r="L136">
        <v>177</v>
      </c>
      <c r="M136">
        <v>3</v>
      </c>
      <c r="N136" t="str" cm="1">
        <f t="array" ref="N136">_xlfn.IFS(M136=1,"Low",M136=2,"Medium",M136=3,"High",M136=4,"Very High")</f>
        <v>High</v>
      </c>
      <c r="O136" t="s">
        <v>36</v>
      </c>
      <c r="P136" s="2">
        <v>61</v>
      </c>
      <c r="Q136">
        <v>3</v>
      </c>
      <c r="R136" t="str" cm="1">
        <f t="array" ref="R136">_xlfn.IFS(Q136=1,"Low",Q136=2,"Medium",Q136=3,"High",Q136=4,"Very High")</f>
        <v>High</v>
      </c>
      <c r="S136">
        <v>1</v>
      </c>
      <c r="T136" t="str" cm="1">
        <f t="array" ref="T136">_xlfn.IFS(S136=1,"Entry Level",S136=2,"Junior",S136=3,"Mid-Level",S136=4,"Senior",S136=5,"Executive")</f>
        <v>Entry Level</v>
      </c>
      <c r="U136" t="s">
        <v>57</v>
      </c>
      <c r="V136">
        <v>3</v>
      </c>
      <c r="W136" t="str" cm="1">
        <f t="array" ref="W136">_xlfn.IFS(V136=1,"Low",V136=2,"Medium",V136=3,"High",V136=4,"Very High")</f>
        <v>High</v>
      </c>
      <c r="X136" t="s">
        <v>44</v>
      </c>
      <c r="Y136" s="2">
        <v>2942</v>
      </c>
      <c r="Z136" s="2">
        <v>8916</v>
      </c>
      <c r="AA136">
        <v>1</v>
      </c>
      <c r="AB136" t="s">
        <v>39</v>
      </c>
      <c r="AC136">
        <v>23</v>
      </c>
      <c r="AD136">
        <v>4</v>
      </c>
      <c r="AE136" t="str" cm="1">
        <f t="array" ref="AE136">_xlfn.IFS(AD136=1,"Low",AD136=2,"Good",AD136=3,"Excellent",AD136=4,"Outstanding")</f>
        <v>Outstanding</v>
      </c>
      <c r="AF136">
        <v>4</v>
      </c>
      <c r="AG136" t="str" cm="1">
        <f t="array" ref="AG136">_xlfn.IFS(AF136=1,"Low",AF136=2,"Medium",AF136=3,"High",AF136=4,"Very High")</f>
        <v>Very High</v>
      </c>
      <c r="AH136">
        <v>1</v>
      </c>
      <c r="AI136">
        <v>8</v>
      </c>
      <c r="AJ136">
        <v>3</v>
      </c>
      <c r="AK136">
        <v>3</v>
      </c>
      <c r="AL136" t="str" cm="1">
        <f t="array" ref="AL136">_xlfn.IFS(AK136=1,"Low",AK136=2,"Medium",AK136=3,"High",AK136=4,"Very High")</f>
        <v>High</v>
      </c>
      <c r="AM136">
        <v>8</v>
      </c>
      <c r="AN136">
        <v>7</v>
      </c>
      <c r="AO136">
        <v>5</v>
      </c>
      <c r="AP136">
        <v>7</v>
      </c>
    </row>
    <row r="137" spans="1:42">
      <c r="A137">
        <v>36</v>
      </c>
      <c r="B137" t="str" cm="1">
        <f t="array" ref="B137">_xlfn.IFS(A137&lt;=25,"18-25",A137&lt;=35,"26-35",A137&lt;=45,"36-45",A137&lt;=55,"46-55",A137&gt;55,"56+")</f>
        <v>36-45</v>
      </c>
      <c r="C137" t="s">
        <v>39</v>
      </c>
      <c r="D137" t="s">
        <v>33</v>
      </c>
      <c r="E137" s="2">
        <v>216</v>
      </c>
      <c r="F137" t="s">
        <v>41</v>
      </c>
      <c r="G137">
        <v>6</v>
      </c>
      <c r="H137" t="str">
        <f t="shared" si="2"/>
        <v>1-10 km</v>
      </c>
      <c r="I137">
        <v>2</v>
      </c>
      <c r="J137" t="str" cm="1">
        <f t="array" ref="J137">_xlfn.IFS(I137=1,"Below College",I137=2,"College",I137=3,"Bachelor",I137=4,"Master",I137=5,"Doctor")</f>
        <v>College</v>
      </c>
      <c r="K137" t="s">
        <v>47</v>
      </c>
      <c r="L137">
        <v>178</v>
      </c>
      <c r="M137">
        <v>2</v>
      </c>
      <c r="N137" t="str" cm="1">
        <f t="array" ref="N137">_xlfn.IFS(M137=1,"Low",M137=2,"Medium",M137=3,"High",M137=4,"Very High")</f>
        <v>Medium</v>
      </c>
      <c r="O137" t="s">
        <v>42</v>
      </c>
      <c r="P137" s="2">
        <v>84</v>
      </c>
      <c r="Q137">
        <v>3</v>
      </c>
      <c r="R137" t="str" cm="1">
        <f t="array" ref="R137">_xlfn.IFS(Q137=1,"Low",Q137=2,"Medium",Q137=3,"High",Q137=4,"Very High")</f>
        <v>High</v>
      </c>
      <c r="S137">
        <v>2</v>
      </c>
      <c r="T137" t="str" cm="1">
        <f t="array" ref="T137">_xlfn.IFS(S137=1,"Entry Level",S137=2,"Junior",S137=3,"Mid-Level",S137=4,"Senior",S137=5,"Executive")</f>
        <v>Junior</v>
      </c>
      <c r="U137" t="s">
        <v>49</v>
      </c>
      <c r="V137">
        <v>2</v>
      </c>
      <c r="W137" t="str" cm="1">
        <f t="array" ref="W137">_xlfn.IFS(V137=1,"Low",V137=2,"Medium",V137=3,"High",V137=4,"Very High")</f>
        <v>Medium</v>
      </c>
      <c r="X137" t="s">
        <v>48</v>
      </c>
      <c r="Y137" s="2">
        <v>4941</v>
      </c>
      <c r="Z137" s="2">
        <v>2819</v>
      </c>
      <c r="AA137">
        <v>6</v>
      </c>
      <c r="AB137" t="s">
        <v>39</v>
      </c>
      <c r="AC137">
        <v>20</v>
      </c>
      <c r="AD137">
        <v>4</v>
      </c>
      <c r="AE137" t="str" cm="1">
        <f t="array" ref="AE137">_xlfn.IFS(AD137=1,"Low",AD137=2,"Good",AD137=3,"Excellent",AD137=4,"Outstanding")</f>
        <v>Outstanding</v>
      </c>
      <c r="AF137">
        <v>4</v>
      </c>
      <c r="AG137" t="str" cm="1">
        <f t="array" ref="AG137">_xlfn.IFS(AF137=1,"Low",AF137=2,"Medium",AF137=3,"High",AF137=4,"Very High")</f>
        <v>Very High</v>
      </c>
      <c r="AH137">
        <v>2</v>
      </c>
      <c r="AI137">
        <v>7</v>
      </c>
      <c r="AJ137">
        <v>0</v>
      </c>
      <c r="AK137">
        <v>3</v>
      </c>
      <c r="AL137" t="str" cm="1">
        <f t="array" ref="AL137">_xlfn.IFS(AK137=1,"Low",AK137=2,"Medium",AK137=3,"High",AK137=4,"Very High")</f>
        <v>High</v>
      </c>
      <c r="AM137">
        <v>3</v>
      </c>
      <c r="AN137">
        <v>2</v>
      </c>
      <c r="AO137">
        <v>0</v>
      </c>
      <c r="AP137">
        <v>1</v>
      </c>
    </row>
    <row r="138" spans="1:42">
      <c r="A138">
        <v>51</v>
      </c>
      <c r="B138" t="str" cm="1">
        <f t="array" ref="B138">_xlfn.IFS(A138&lt;=25,"18-25",A138&lt;=35,"26-35",A138&lt;=45,"36-45",A138&lt;=55,"46-55",A138&gt;55,"56+")</f>
        <v>46-55</v>
      </c>
      <c r="C138" t="s">
        <v>32</v>
      </c>
      <c r="D138" t="s">
        <v>40</v>
      </c>
      <c r="E138" s="2">
        <v>1150</v>
      </c>
      <c r="F138" t="s">
        <v>41</v>
      </c>
      <c r="G138">
        <v>8</v>
      </c>
      <c r="H138" t="str">
        <f t="shared" si="2"/>
        <v>1-10 km</v>
      </c>
      <c r="I138">
        <v>4</v>
      </c>
      <c r="J138" t="str" cm="1">
        <f t="array" ref="J138">_xlfn.IFS(I138=1,"Below College",I138=2,"College",I138=3,"Bachelor",I138=4,"Master",I138=5,"Doctor")</f>
        <v>Master</v>
      </c>
      <c r="K138" t="s">
        <v>35</v>
      </c>
      <c r="L138">
        <v>179</v>
      </c>
      <c r="M138">
        <v>1</v>
      </c>
      <c r="N138" t="str" cm="1">
        <f t="array" ref="N138">_xlfn.IFS(M138=1,"Low",M138=2,"Medium",M138=3,"High",M138=4,"Very High")</f>
        <v>Low</v>
      </c>
      <c r="O138" t="s">
        <v>42</v>
      </c>
      <c r="P138" s="2">
        <v>53</v>
      </c>
      <c r="Q138">
        <v>1</v>
      </c>
      <c r="R138" t="str" cm="1">
        <f t="array" ref="R138">_xlfn.IFS(Q138=1,"Low",Q138=2,"Medium",Q138=3,"High",Q138=4,"Very High")</f>
        <v>Low</v>
      </c>
      <c r="S138">
        <v>3</v>
      </c>
      <c r="T138" t="str" cm="1">
        <f t="array" ref="T138">_xlfn.IFS(S138=1,"Entry Level",S138=2,"Junior",S138=3,"Mid-Level",S138=4,"Senior",S138=5,"Executive")</f>
        <v>Mid-Level</v>
      </c>
      <c r="U138" t="s">
        <v>49</v>
      </c>
      <c r="V138">
        <v>4</v>
      </c>
      <c r="W138" t="str" cm="1">
        <f t="array" ref="W138">_xlfn.IFS(V138=1,"Low",V138=2,"Medium",V138=3,"High",V138=4,"Very High")</f>
        <v>Very High</v>
      </c>
      <c r="X138" t="s">
        <v>38</v>
      </c>
      <c r="Y138" s="2">
        <v>10650</v>
      </c>
      <c r="Z138" s="2">
        <v>25150</v>
      </c>
      <c r="AA138">
        <v>2</v>
      </c>
      <c r="AB138" t="s">
        <v>39</v>
      </c>
      <c r="AC138">
        <v>15</v>
      </c>
      <c r="AD138">
        <v>3</v>
      </c>
      <c r="AE138" t="str" cm="1">
        <f t="array" ref="AE138">_xlfn.IFS(AD138=1,"Low",AD138=2,"Good",AD138=3,"Excellent",AD138=4,"Outstanding")</f>
        <v>Excellent</v>
      </c>
      <c r="AF138">
        <v>4</v>
      </c>
      <c r="AG138" t="str" cm="1">
        <f t="array" ref="AG138">_xlfn.IFS(AF138=1,"Low",AF138=2,"Medium",AF138=3,"High",AF138=4,"Very High")</f>
        <v>Very High</v>
      </c>
      <c r="AH138">
        <v>0</v>
      </c>
      <c r="AI138">
        <v>18</v>
      </c>
      <c r="AJ138">
        <v>2</v>
      </c>
      <c r="AK138">
        <v>3</v>
      </c>
      <c r="AL138" t="str" cm="1">
        <f t="array" ref="AL138">_xlfn.IFS(AK138=1,"Low",AK138=2,"Medium",AK138=3,"High",AK138=4,"Very High")</f>
        <v>High</v>
      </c>
      <c r="AM138">
        <v>4</v>
      </c>
      <c r="AN138">
        <v>2</v>
      </c>
      <c r="AO138">
        <v>0</v>
      </c>
      <c r="AP138">
        <v>3</v>
      </c>
    </row>
    <row r="139" spans="1:42">
      <c r="A139">
        <v>39</v>
      </c>
      <c r="B139" t="str" cm="1">
        <f t="array" ref="B139">_xlfn.IFS(A139&lt;=25,"18-25",A139&lt;=35,"26-35",A139&lt;=45,"36-45",A139&lt;=55,"46-55",A139&gt;55,"56+")</f>
        <v>36-45</v>
      </c>
      <c r="C139" t="s">
        <v>39</v>
      </c>
      <c r="D139" t="s">
        <v>33</v>
      </c>
      <c r="E139" s="2">
        <v>1329</v>
      </c>
      <c r="F139" t="s">
        <v>34</v>
      </c>
      <c r="G139">
        <v>4</v>
      </c>
      <c r="H139" t="str">
        <f t="shared" si="2"/>
        <v>1-10 km</v>
      </c>
      <c r="I139">
        <v>4</v>
      </c>
      <c r="J139" t="str" cm="1">
        <f t="array" ref="J139">_xlfn.IFS(I139=1,"Below College",I139=2,"College",I139=3,"Bachelor",I139=4,"Master",I139=5,"Doctor")</f>
        <v>Master</v>
      </c>
      <c r="K139" t="s">
        <v>35</v>
      </c>
      <c r="L139">
        <v>182</v>
      </c>
      <c r="M139">
        <v>4</v>
      </c>
      <c r="N139" t="str" cm="1">
        <f t="array" ref="N139">_xlfn.IFS(M139=1,"Low",M139=2,"Medium",M139=3,"High",M139=4,"Very High")</f>
        <v>Very High</v>
      </c>
      <c r="O139" t="s">
        <v>36</v>
      </c>
      <c r="P139" s="2">
        <v>47</v>
      </c>
      <c r="Q139">
        <v>2</v>
      </c>
      <c r="R139" t="str" cm="1">
        <f t="array" ref="R139">_xlfn.IFS(Q139=1,"Low",Q139=2,"Medium",Q139=3,"High",Q139=4,"Very High")</f>
        <v>Medium</v>
      </c>
      <c r="S139">
        <v>2</v>
      </c>
      <c r="T139" t="str" cm="1">
        <f t="array" ref="T139">_xlfn.IFS(S139=1,"Entry Level",S139=2,"Junior",S139=3,"Mid-Level",S139=4,"Senior",S139=5,"Executive")</f>
        <v>Junior</v>
      </c>
      <c r="U139" t="s">
        <v>37</v>
      </c>
      <c r="V139">
        <v>3</v>
      </c>
      <c r="W139" t="str" cm="1">
        <f t="array" ref="W139">_xlfn.IFS(V139=1,"Low",V139=2,"Medium",V139=3,"High",V139=4,"Very High")</f>
        <v>High</v>
      </c>
      <c r="X139" t="s">
        <v>44</v>
      </c>
      <c r="Y139" s="2">
        <v>5902</v>
      </c>
      <c r="Z139" s="2">
        <v>14590</v>
      </c>
      <c r="AA139">
        <v>4</v>
      </c>
      <c r="AB139" t="s">
        <v>39</v>
      </c>
      <c r="AC139">
        <v>14</v>
      </c>
      <c r="AD139">
        <v>3</v>
      </c>
      <c r="AE139" t="str" cm="1">
        <f t="array" ref="AE139">_xlfn.IFS(AD139=1,"Low",AD139=2,"Good",AD139=3,"Excellent",AD139=4,"Outstanding")</f>
        <v>Excellent</v>
      </c>
      <c r="AF139">
        <v>3</v>
      </c>
      <c r="AG139" t="str" cm="1">
        <f t="array" ref="AG139">_xlfn.IFS(AF139=1,"Low",AF139=2,"Medium",AF139=3,"High",AF139=4,"Very High")</f>
        <v>High</v>
      </c>
      <c r="AH139">
        <v>1</v>
      </c>
      <c r="AI139">
        <v>17</v>
      </c>
      <c r="AJ139">
        <v>1</v>
      </c>
      <c r="AK139">
        <v>4</v>
      </c>
      <c r="AL139" t="str" cm="1">
        <f t="array" ref="AL139">_xlfn.IFS(AK139=1,"Low",AK139=2,"Medium",AK139=3,"High",AK139=4,"Very High")</f>
        <v>Very High</v>
      </c>
      <c r="AM139">
        <v>15</v>
      </c>
      <c r="AN139">
        <v>11</v>
      </c>
      <c r="AO139">
        <v>5</v>
      </c>
      <c r="AP139">
        <v>9</v>
      </c>
    </row>
    <row r="140" spans="1:42">
      <c r="A140">
        <v>25</v>
      </c>
      <c r="B140" t="str" cm="1">
        <f t="array" ref="B140">_xlfn.IFS(A140&lt;=25,"18-25",A140&lt;=35,"26-35",A140&lt;=45,"36-45",A140&lt;=55,"46-55",A140&gt;55,"56+")</f>
        <v>18-25</v>
      </c>
      <c r="C140" t="s">
        <v>39</v>
      </c>
      <c r="D140" t="s">
        <v>33</v>
      </c>
      <c r="E140" s="2">
        <v>959</v>
      </c>
      <c r="F140" t="s">
        <v>34</v>
      </c>
      <c r="G140">
        <v>28</v>
      </c>
      <c r="H140" t="str">
        <f t="shared" si="2"/>
        <v>21-30 km</v>
      </c>
      <c r="I140">
        <v>3</v>
      </c>
      <c r="J140" t="str" cm="1">
        <f t="array" ref="J140">_xlfn.IFS(I140=1,"Below College",I140=2,"College",I140=3,"Bachelor",I140=4,"Master",I140=5,"Doctor")</f>
        <v>Bachelor</v>
      </c>
      <c r="K140" t="s">
        <v>35</v>
      </c>
      <c r="L140">
        <v>183</v>
      </c>
      <c r="M140">
        <v>1</v>
      </c>
      <c r="N140" t="str" cm="1">
        <f t="array" ref="N140">_xlfn.IFS(M140=1,"Low",M140=2,"Medium",M140=3,"High",M140=4,"Very High")</f>
        <v>Low</v>
      </c>
      <c r="O140" t="s">
        <v>42</v>
      </c>
      <c r="P140" s="2">
        <v>41</v>
      </c>
      <c r="Q140">
        <v>2</v>
      </c>
      <c r="R140" t="str" cm="1">
        <f t="array" ref="R140">_xlfn.IFS(Q140=1,"Low",Q140=2,"Medium",Q140=3,"High",Q140=4,"Very High")</f>
        <v>Medium</v>
      </c>
      <c r="S140">
        <v>2</v>
      </c>
      <c r="T140" t="str" cm="1">
        <f t="array" ref="T140">_xlfn.IFS(S140=1,"Entry Level",S140=2,"Junior",S140=3,"Mid-Level",S140=4,"Senior",S140=5,"Executive")</f>
        <v>Junior</v>
      </c>
      <c r="U140" t="s">
        <v>37</v>
      </c>
      <c r="V140">
        <v>3</v>
      </c>
      <c r="W140" t="str" cm="1">
        <f t="array" ref="W140">_xlfn.IFS(V140=1,"Low",V140=2,"Medium",V140=3,"High",V140=4,"Very High")</f>
        <v>High</v>
      </c>
      <c r="X140" t="s">
        <v>44</v>
      </c>
      <c r="Y140" s="2">
        <v>8639</v>
      </c>
      <c r="Z140" s="2">
        <v>24835</v>
      </c>
      <c r="AA140">
        <v>2</v>
      </c>
      <c r="AB140" t="s">
        <v>39</v>
      </c>
      <c r="AC140">
        <v>18</v>
      </c>
      <c r="AD140">
        <v>3</v>
      </c>
      <c r="AE140" t="str" cm="1">
        <f t="array" ref="AE140">_xlfn.IFS(AD140=1,"Low",AD140=2,"Good",AD140=3,"Excellent",AD140=4,"Outstanding")</f>
        <v>Excellent</v>
      </c>
      <c r="AF140">
        <v>4</v>
      </c>
      <c r="AG140" t="str" cm="1">
        <f t="array" ref="AG140">_xlfn.IFS(AF140=1,"Low",AF140=2,"Medium",AF140=3,"High",AF140=4,"Very High")</f>
        <v>Very High</v>
      </c>
      <c r="AH140">
        <v>0</v>
      </c>
      <c r="AI140">
        <v>6</v>
      </c>
      <c r="AJ140">
        <v>3</v>
      </c>
      <c r="AK140">
        <v>3</v>
      </c>
      <c r="AL140" t="str" cm="1">
        <f t="array" ref="AL140">_xlfn.IFS(AK140=1,"Low",AK140=2,"Medium",AK140=3,"High",AK140=4,"Very High")</f>
        <v>High</v>
      </c>
      <c r="AM140">
        <v>2</v>
      </c>
      <c r="AN140">
        <v>2</v>
      </c>
      <c r="AO140">
        <v>2</v>
      </c>
      <c r="AP140">
        <v>2</v>
      </c>
    </row>
    <row r="141" spans="1:42">
      <c r="A141">
        <v>30</v>
      </c>
      <c r="B141" t="str" cm="1">
        <f t="array" ref="B141">_xlfn.IFS(A141&lt;=25,"18-25",A141&lt;=35,"26-35",A141&lt;=45,"36-45",A141&lt;=55,"46-55",A141&gt;55,"56+")</f>
        <v>26-35</v>
      </c>
      <c r="C141" t="s">
        <v>39</v>
      </c>
      <c r="D141" t="s">
        <v>33</v>
      </c>
      <c r="E141" s="2">
        <v>1240</v>
      </c>
      <c r="F141" t="s">
        <v>57</v>
      </c>
      <c r="G141">
        <v>9</v>
      </c>
      <c r="H141" t="str">
        <f t="shared" si="2"/>
        <v>1-10 km</v>
      </c>
      <c r="I141">
        <v>3</v>
      </c>
      <c r="J141" t="str" cm="1">
        <f t="array" ref="J141">_xlfn.IFS(I141=1,"Below College",I141=2,"College",I141=3,"Bachelor",I141=4,"Master",I141=5,"Doctor")</f>
        <v>Bachelor</v>
      </c>
      <c r="K141" t="s">
        <v>57</v>
      </c>
      <c r="L141">
        <v>184</v>
      </c>
      <c r="M141">
        <v>3</v>
      </c>
      <c r="N141" t="str" cm="1">
        <f t="array" ref="N141">_xlfn.IFS(M141=1,"Low",M141=2,"Medium",M141=3,"High",M141=4,"Very High")</f>
        <v>High</v>
      </c>
      <c r="O141" t="s">
        <v>42</v>
      </c>
      <c r="P141" s="2">
        <v>48</v>
      </c>
      <c r="Q141">
        <v>3</v>
      </c>
      <c r="R141" t="str" cm="1">
        <f t="array" ref="R141">_xlfn.IFS(Q141=1,"Low",Q141=2,"Medium",Q141=3,"High",Q141=4,"Very High")</f>
        <v>High</v>
      </c>
      <c r="S141">
        <v>2</v>
      </c>
      <c r="T141" t="str" cm="1">
        <f t="array" ref="T141">_xlfn.IFS(S141=1,"Entry Level",S141=2,"Junior",S141=3,"Mid-Level",S141=4,"Senior",S141=5,"Executive")</f>
        <v>Junior</v>
      </c>
      <c r="U141" t="s">
        <v>57</v>
      </c>
      <c r="V141">
        <v>4</v>
      </c>
      <c r="W141" t="str" cm="1">
        <f t="array" ref="W141">_xlfn.IFS(V141=1,"Low",V141=2,"Medium",V141=3,"High",V141=4,"Very High")</f>
        <v>Very High</v>
      </c>
      <c r="X141" t="s">
        <v>44</v>
      </c>
      <c r="Y141" s="2">
        <v>6347</v>
      </c>
      <c r="Z141" s="2">
        <v>13982</v>
      </c>
      <c r="AA141">
        <v>0</v>
      </c>
      <c r="AB141" t="s">
        <v>32</v>
      </c>
      <c r="AC141">
        <v>19</v>
      </c>
      <c r="AD141">
        <v>3</v>
      </c>
      <c r="AE141" t="str" cm="1">
        <f t="array" ref="AE141">_xlfn.IFS(AD141=1,"Low",AD141=2,"Good",AD141=3,"Excellent",AD141=4,"Outstanding")</f>
        <v>Excellent</v>
      </c>
      <c r="AF141">
        <v>4</v>
      </c>
      <c r="AG141" t="str" cm="1">
        <f t="array" ref="AG141">_xlfn.IFS(AF141=1,"Low",AF141=2,"Medium",AF141=3,"High",AF141=4,"Very High")</f>
        <v>Very High</v>
      </c>
      <c r="AH141">
        <v>0</v>
      </c>
      <c r="AI141">
        <v>12</v>
      </c>
      <c r="AJ141">
        <v>2</v>
      </c>
      <c r="AK141">
        <v>1</v>
      </c>
      <c r="AL141" t="str" cm="1">
        <f t="array" ref="AL141">_xlfn.IFS(AK141=1,"Low",AK141=2,"Medium",AK141=3,"High",AK141=4,"Very High")</f>
        <v>Low</v>
      </c>
      <c r="AM141">
        <v>11</v>
      </c>
      <c r="AN141">
        <v>9</v>
      </c>
      <c r="AO141">
        <v>4</v>
      </c>
      <c r="AP141">
        <v>7</v>
      </c>
    </row>
    <row r="142" spans="1:42">
      <c r="A142">
        <v>32</v>
      </c>
      <c r="B142" t="str" cm="1">
        <f t="array" ref="B142">_xlfn.IFS(A142&lt;=25,"18-25",A142&lt;=35,"26-35",A142&lt;=45,"36-45",A142&lt;=55,"46-55",A142&gt;55,"56+")</f>
        <v>26-35</v>
      </c>
      <c r="C142" t="s">
        <v>32</v>
      </c>
      <c r="D142" t="s">
        <v>33</v>
      </c>
      <c r="E142" s="2">
        <v>1033</v>
      </c>
      <c r="F142" t="s">
        <v>41</v>
      </c>
      <c r="G142">
        <v>9</v>
      </c>
      <c r="H142" t="str">
        <f t="shared" si="2"/>
        <v>1-10 km</v>
      </c>
      <c r="I142">
        <v>3</v>
      </c>
      <c r="J142" t="str" cm="1">
        <f t="array" ref="J142">_xlfn.IFS(I142=1,"Below College",I142=2,"College",I142=3,"Bachelor",I142=4,"Master",I142=5,"Doctor")</f>
        <v>Bachelor</v>
      </c>
      <c r="K142" t="s">
        <v>47</v>
      </c>
      <c r="L142">
        <v>190</v>
      </c>
      <c r="M142">
        <v>1</v>
      </c>
      <c r="N142" t="str" cm="1">
        <f t="array" ref="N142">_xlfn.IFS(M142=1,"Low",M142=2,"Medium",M142=3,"High",M142=4,"Very High")</f>
        <v>Low</v>
      </c>
      <c r="O142" t="s">
        <v>36</v>
      </c>
      <c r="P142" s="2">
        <v>41</v>
      </c>
      <c r="Q142">
        <v>3</v>
      </c>
      <c r="R142" t="str" cm="1">
        <f t="array" ref="R142">_xlfn.IFS(Q142=1,"Low",Q142=2,"Medium",Q142=3,"High",Q142=4,"Very High")</f>
        <v>High</v>
      </c>
      <c r="S142">
        <v>1</v>
      </c>
      <c r="T142" t="str" cm="1">
        <f t="array" ref="T142">_xlfn.IFS(S142=1,"Entry Level",S142=2,"Junior",S142=3,"Mid-Level",S142=4,"Senior",S142=5,"Executive")</f>
        <v>Entry Level</v>
      </c>
      <c r="U142" t="s">
        <v>46</v>
      </c>
      <c r="V142">
        <v>1</v>
      </c>
      <c r="W142" t="str" cm="1">
        <f t="array" ref="W142">_xlfn.IFS(V142=1,"Low",V142=2,"Medium",V142=3,"High",V142=4,"Very High")</f>
        <v>Low</v>
      </c>
      <c r="X142" t="s">
        <v>38</v>
      </c>
      <c r="Y142" s="2">
        <v>4200</v>
      </c>
      <c r="Z142" s="2">
        <v>10224</v>
      </c>
      <c r="AA142">
        <v>7</v>
      </c>
      <c r="AB142" t="s">
        <v>39</v>
      </c>
      <c r="AC142">
        <v>22</v>
      </c>
      <c r="AD142">
        <v>4</v>
      </c>
      <c r="AE142" t="str" cm="1">
        <f t="array" ref="AE142">_xlfn.IFS(AD142=1,"Low",AD142=2,"Good",AD142=3,"Excellent",AD142=4,"Outstanding")</f>
        <v>Outstanding</v>
      </c>
      <c r="AF142">
        <v>1</v>
      </c>
      <c r="AG142" t="str" cm="1">
        <f t="array" ref="AG142">_xlfn.IFS(AF142=1,"Low",AF142=2,"Medium",AF142=3,"High",AF142=4,"Very High")</f>
        <v>Low</v>
      </c>
      <c r="AH142">
        <v>0</v>
      </c>
      <c r="AI142">
        <v>10</v>
      </c>
      <c r="AJ142">
        <v>2</v>
      </c>
      <c r="AK142">
        <v>4</v>
      </c>
      <c r="AL142" t="str" cm="1">
        <f t="array" ref="AL142">_xlfn.IFS(AK142=1,"Low",AK142=2,"Medium",AK142=3,"High",AK142=4,"Very High")</f>
        <v>Very High</v>
      </c>
      <c r="AM142">
        <v>5</v>
      </c>
      <c r="AN142">
        <v>4</v>
      </c>
      <c r="AO142">
        <v>0</v>
      </c>
      <c r="AP142">
        <v>4</v>
      </c>
    </row>
    <row r="143" spans="1:42">
      <c r="A143">
        <v>45</v>
      </c>
      <c r="B143" t="str" cm="1">
        <f t="array" ref="B143">_xlfn.IFS(A143&lt;=25,"18-25",A143&lt;=35,"26-35",A143&lt;=45,"36-45",A143&lt;=55,"46-55",A143&gt;55,"56+")</f>
        <v>36-45</v>
      </c>
      <c r="C143" t="s">
        <v>39</v>
      </c>
      <c r="D143" t="s">
        <v>33</v>
      </c>
      <c r="E143" s="2">
        <v>1316</v>
      </c>
      <c r="F143" t="s">
        <v>41</v>
      </c>
      <c r="G143">
        <v>29</v>
      </c>
      <c r="H143" t="str">
        <f t="shared" si="2"/>
        <v>21-30 km</v>
      </c>
      <c r="I143">
        <v>3</v>
      </c>
      <c r="J143" t="str" cm="1">
        <f t="array" ref="J143">_xlfn.IFS(I143=1,"Below College",I143=2,"College",I143=3,"Bachelor",I143=4,"Master",I143=5,"Doctor")</f>
        <v>Bachelor</v>
      </c>
      <c r="K143" t="s">
        <v>47</v>
      </c>
      <c r="L143">
        <v>192</v>
      </c>
      <c r="M143">
        <v>3</v>
      </c>
      <c r="N143" t="str" cm="1">
        <f t="array" ref="N143">_xlfn.IFS(M143=1,"Low",M143=2,"Medium",M143=3,"High",M143=4,"Very High")</f>
        <v>High</v>
      </c>
      <c r="O143" t="s">
        <v>42</v>
      </c>
      <c r="P143" s="2">
        <v>83</v>
      </c>
      <c r="Q143">
        <v>3</v>
      </c>
      <c r="R143" t="str" cm="1">
        <f t="array" ref="R143">_xlfn.IFS(Q143=1,"Low",Q143=2,"Medium",Q143=3,"High",Q143=4,"Very High")</f>
        <v>High</v>
      </c>
      <c r="S143">
        <v>1</v>
      </c>
      <c r="T143" t="str" cm="1">
        <f t="array" ref="T143">_xlfn.IFS(S143=1,"Entry Level",S143=2,"Junior",S143=3,"Mid-Level",S143=4,"Senior",S143=5,"Executive")</f>
        <v>Entry Level</v>
      </c>
      <c r="U143" t="s">
        <v>43</v>
      </c>
      <c r="V143">
        <v>4</v>
      </c>
      <c r="W143" t="str" cm="1">
        <f t="array" ref="W143">_xlfn.IFS(V143=1,"Low",V143=2,"Medium",V143=3,"High",V143=4,"Very High")</f>
        <v>Very High</v>
      </c>
      <c r="X143" t="s">
        <v>38</v>
      </c>
      <c r="Y143" s="2">
        <v>3452</v>
      </c>
      <c r="Z143" s="2">
        <v>9752</v>
      </c>
      <c r="AA143">
        <v>5</v>
      </c>
      <c r="AB143" t="s">
        <v>39</v>
      </c>
      <c r="AC143">
        <v>13</v>
      </c>
      <c r="AD143">
        <v>3</v>
      </c>
      <c r="AE143" t="str" cm="1">
        <f t="array" ref="AE143">_xlfn.IFS(AD143=1,"Low",AD143=2,"Good",AD143=3,"Excellent",AD143=4,"Outstanding")</f>
        <v>Excellent</v>
      </c>
      <c r="AF143">
        <v>2</v>
      </c>
      <c r="AG143" t="str" cm="1">
        <f t="array" ref="AG143">_xlfn.IFS(AF143=1,"Low",AF143=2,"Medium",AF143=3,"High",AF143=4,"Very High")</f>
        <v>Medium</v>
      </c>
      <c r="AH143">
        <v>0</v>
      </c>
      <c r="AI143">
        <v>9</v>
      </c>
      <c r="AJ143">
        <v>2</v>
      </c>
      <c r="AK143">
        <v>2</v>
      </c>
      <c r="AL143" t="str" cm="1">
        <f t="array" ref="AL143">_xlfn.IFS(AK143=1,"Low",AK143=2,"Medium",AK143=3,"High",AK143=4,"Very High")</f>
        <v>Medium</v>
      </c>
      <c r="AM143">
        <v>6</v>
      </c>
      <c r="AN143">
        <v>5</v>
      </c>
      <c r="AO143">
        <v>0</v>
      </c>
      <c r="AP143">
        <v>3</v>
      </c>
    </row>
    <row r="144" spans="1:42">
      <c r="A144">
        <v>38</v>
      </c>
      <c r="B144" t="str" cm="1">
        <f t="array" ref="B144">_xlfn.IFS(A144&lt;=25,"18-25",A144&lt;=35,"26-35",A144&lt;=45,"36-45",A144&lt;=55,"46-55",A144&gt;55,"56+")</f>
        <v>36-45</v>
      </c>
      <c r="C144" t="s">
        <v>39</v>
      </c>
      <c r="D144" t="s">
        <v>33</v>
      </c>
      <c r="E144" s="2">
        <v>364</v>
      </c>
      <c r="F144" t="s">
        <v>41</v>
      </c>
      <c r="G144">
        <v>3</v>
      </c>
      <c r="H144" t="str">
        <f t="shared" si="2"/>
        <v>1-10 km</v>
      </c>
      <c r="I144">
        <v>5</v>
      </c>
      <c r="J144" t="str" cm="1">
        <f t="array" ref="J144">_xlfn.IFS(I144=1,"Below College",I144=2,"College",I144=3,"Bachelor",I144=4,"Master",I144=5,"Doctor")</f>
        <v>Doctor</v>
      </c>
      <c r="K144" t="s">
        <v>56</v>
      </c>
      <c r="L144">
        <v>193</v>
      </c>
      <c r="M144">
        <v>4</v>
      </c>
      <c r="N144" t="str" cm="1">
        <f t="array" ref="N144">_xlfn.IFS(M144=1,"Low",M144=2,"Medium",M144=3,"High",M144=4,"Very High")</f>
        <v>Very High</v>
      </c>
      <c r="O144" t="s">
        <v>36</v>
      </c>
      <c r="P144" s="2">
        <v>32</v>
      </c>
      <c r="Q144">
        <v>3</v>
      </c>
      <c r="R144" t="str" cm="1">
        <f t="array" ref="R144">_xlfn.IFS(Q144=1,"Low",Q144=2,"Medium",Q144=3,"High",Q144=4,"Very High")</f>
        <v>High</v>
      </c>
      <c r="S144">
        <v>2</v>
      </c>
      <c r="T144" t="str" cm="1">
        <f t="array" ref="T144">_xlfn.IFS(S144=1,"Entry Level",S144=2,"Junior",S144=3,"Mid-Level",S144=4,"Senior",S144=5,"Executive")</f>
        <v>Junior</v>
      </c>
      <c r="U144" t="s">
        <v>43</v>
      </c>
      <c r="V144">
        <v>3</v>
      </c>
      <c r="W144" t="str" cm="1">
        <f t="array" ref="W144">_xlfn.IFS(V144=1,"Low",V144=2,"Medium",V144=3,"High",V144=4,"Very High")</f>
        <v>High</v>
      </c>
      <c r="X144" t="s">
        <v>38</v>
      </c>
      <c r="Y144" s="2">
        <v>4317</v>
      </c>
      <c r="Z144" s="2">
        <v>2302</v>
      </c>
      <c r="AA144">
        <v>3</v>
      </c>
      <c r="AB144" t="s">
        <v>32</v>
      </c>
      <c r="AC144">
        <v>20</v>
      </c>
      <c r="AD144">
        <v>4</v>
      </c>
      <c r="AE144" t="str" cm="1">
        <f t="array" ref="AE144">_xlfn.IFS(AD144=1,"Low",AD144=2,"Good",AD144=3,"Excellent",AD144=4,"Outstanding")</f>
        <v>Outstanding</v>
      </c>
      <c r="AF144">
        <v>2</v>
      </c>
      <c r="AG144" t="str" cm="1">
        <f t="array" ref="AG144">_xlfn.IFS(AF144=1,"Low",AF144=2,"Medium",AF144=3,"High",AF144=4,"Very High")</f>
        <v>Medium</v>
      </c>
      <c r="AH144">
        <v>0</v>
      </c>
      <c r="AI144">
        <v>19</v>
      </c>
      <c r="AJ144">
        <v>2</v>
      </c>
      <c r="AK144">
        <v>3</v>
      </c>
      <c r="AL144" t="str" cm="1">
        <f t="array" ref="AL144">_xlfn.IFS(AK144=1,"Low",AK144=2,"Medium",AK144=3,"High",AK144=4,"Very High")</f>
        <v>High</v>
      </c>
      <c r="AM144">
        <v>3</v>
      </c>
      <c r="AN144">
        <v>2</v>
      </c>
      <c r="AO144">
        <v>2</v>
      </c>
      <c r="AP144">
        <v>2</v>
      </c>
    </row>
    <row r="145" spans="1:42">
      <c r="A145">
        <v>30</v>
      </c>
      <c r="B145" t="str" cm="1">
        <f t="array" ref="B145">_xlfn.IFS(A145&lt;=25,"18-25",A145&lt;=35,"26-35",A145&lt;=45,"36-45",A145&lt;=55,"46-55",A145&gt;55,"56+")</f>
        <v>26-35</v>
      </c>
      <c r="C145" t="s">
        <v>39</v>
      </c>
      <c r="D145" t="s">
        <v>33</v>
      </c>
      <c r="E145" s="2">
        <v>438</v>
      </c>
      <c r="F145" t="s">
        <v>41</v>
      </c>
      <c r="G145">
        <v>18</v>
      </c>
      <c r="H145" t="str">
        <f t="shared" si="2"/>
        <v>11-20 km</v>
      </c>
      <c r="I145">
        <v>3</v>
      </c>
      <c r="J145" t="str" cm="1">
        <f t="array" ref="J145">_xlfn.IFS(I145=1,"Below College",I145=2,"College",I145=3,"Bachelor",I145=4,"Master",I145=5,"Doctor")</f>
        <v>Bachelor</v>
      </c>
      <c r="K145" t="s">
        <v>35</v>
      </c>
      <c r="L145">
        <v>194</v>
      </c>
      <c r="M145">
        <v>1</v>
      </c>
      <c r="N145" t="str" cm="1">
        <f t="array" ref="N145">_xlfn.IFS(M145=1,"Low",M145=2,"Medium",M145=3,"High",M145=4,"Very High")</f>
        <v>Low</v>
      </c>
      <c r="O145" t="s">
        <v>36</v>
      </c>
      <c r="P145" s="2">
        <v>75</v>
      </c>
      <c r="Q145">
        <v>3</v>
      </c>
      <c r="R145" t="str" cm="1">
        <f t="array" ref="R145">_xlfn.IFS(Q145=1,"Low",Q145=2,"Medium",Q145=3,"High",Q145=4,"Very High")</f>
        <v>High</v>
      </c>
      <c r="S145">
        <v>1</v>
      </c>
      <c r="T145" t="str" cm="1">
        <f t="array" ref="T145">_xlfn.IFS(S145=1,"Entry Level",S145=2,"Junior",S145=3,"Mid-Level",S145=4,"Senior",S145=5,"Executive")</f>
        <v>Entry Level</v>
      </c>
      <c r="U145" t="s">
        <v>43</v>
      </c>
      <c r="V145">
        <v>3</v>
      </c>
      <c r="W145" t="str" cm="1">
        <f t="array" ref="W145">_xlfn.IFS(V145=1,"Low",V145=2,"Medium",V145=3,"High",V145=4,"Very High")</f>
        <v>High</v>
      </c>
      <c r="X145" t="s">
        <v>38</v>
      </c>
      <c r="Y145" s="2">
        <v>2632</v>
      </c>
      <c r="Z145" s="2">
        <v>23910</v>
      </c>
      <c r="AA145">
        <v>1</v>
      </c>
      <c r="AB145" t="s">
        <v>39</v>
      </c>
      <c r="AC145">
        <v>14</v>
      </c>
      <c r="AD145">
        <v>3</v>
      </c>
      <c r="AE145" t="str" cm="1">
        <f t="array" ref="AE145">_xlfn.IFS(AD145=1,"Low",AD145=2,"Good",AD145=3,"Excellent",AD145=4,"Outstanding")</f>
        <v>Excellent</v>
      </c>
      <c r="AF145">
        <v>3</v>
      </c>
      <c r="AG145" t="str" cm="1">
        <f t="array" ref="AG145">_xlfn.IFS(AF145=1,"Low",AF145=2,"Medium",AF145=3,"High",AF145=4,"Very High")</f>
        <v>High</v>
      </c>
      <c r="AH145">
        <v>0</v>
      </c>
      <c r="AI145">
        <v>5</v>
      </c>
      <c r="AJ145">
        <v>4</v>
      </c>
      <c r="AK145">
        <v>2</v>
      </c>
      <c r="AL145" t="str" cm="1">
        <f t="array" ref="AL145">_xlfn.IFS(AK145=1,"Low",AK145=2,"Medium",AK145=3,"High",AK145=4,"Very High")</f>
        <v>Medium</v>
      </c>
      <c r="AM145">
        <v>5</v>
      </c>
      <c r="AN145">
        <v>4</v>
      </c>
      <c r="AO145">
        <v>0</v>
      </c>
      <c r="AP145">
        <v>4</v>
      </c>
    </row>
    <row r="146" spans="1:42">
      <c r="A146">
        <v>32</v>
      </c>
      <c r="B146" t="str" cm="1">
        <f t="array" ref="B146">_xlfn.IFS(A146&lt;=25,"18-25",A146&lt;=35,"26-35",A146&lt;=45,"36-45",A146&lt;=55,"46-55",A146&gt;55,"56+")</f>
        <v>26-35</v>
      </c>
      <c r="C146" t="s">
        <v>39</v>
      </c>
      <c r="D146" t="s">
        <v>40</v>
      </c>
      <c r="E146" s="2">
        <v>689</v>
      </c>
      <c r="F146" t="s">
        <v>34</v>
      </c>
      <c r="G146">
        <v>9</v>
      </c>
      <c r="H146" t="str">
        <f t="shared" si="2"/>
        <v>1-10 km</v>
      </c>
      <c r="I146">
        <v>2</v>
      </c>
      <c r="J146" t="str" cm="1">
        <f t="array" ref="J146">_xlfn.IFS(I146=1,"Below College",I146=2,"College",I146=3,"Bachelor",I146=4,"Master",I146=5,"Doctor")</f>
        <v>College</v>
      </c>
      <c r="K146" t="s">
        <v>47</v>
      </c>
      <c r="L146">
        <v>195</v>
      </c>
      <c r="M146">
        <v>4</v>
      </c>
      <c r="N146" t="str" cm="1">
        <f t="array" ref="N146">_xlfn.IFS(M146=1,"Low",M146=2,"Medium",M146=3,"High",M146=4,"Very High")</f>
        <v>Very High</v>
      </c>
      <c r="O146" t="s">
        <v>42</v>
      </c>
      <c r="P146" s="2">
        <v>35</v>
      </c>
      <c r="Q146">
        <v>1</v>
      </c>
      <c r="R146" t="str" cm="1">
        <f t="array" ref="R146">_xlfn.IFS(Q146=1,"Low",Q146=2,"Medium",Q146=3,"High",Q146=4,"Very High")</f>
        <v>Low</v>
      </c>
      <c r="S146">
        <v>2</v>
      </c>
      <c r="T146" t="str" cm="1">
        <f t="array" ref="T146">_xlfn.IFS(S146=1,"Entry Level",S146=2,"Junior",S146=3,"Mid-Level",S146=4,"Senior",S146=5,"Executive")</f>
        <v>Junior</v>
      </c>
      <c r="U146" t="s">
        <v>37</v>
      </c>
      <c r="V146">
        <v>4</v>
      </c>
      <c r="W146" t="str" cm="1">
        <f t="array" ref="W146">_xlfn.IFS(V146=1,"Low",V146=2,"Medium",V146=3,"High",V146=4,"Very High")</f>
        <v>Very High</v>
      </c>
      <c r="X146" t="s">
        <v>48</v>
      </c>
      <c r="Y146" s="2">
        <v>4668</v>
      </c>
      <c r="Z146" s="2">
        <v>22812</v>
      </c>
      <c r="AA146">
        <v>0</v>
      </c>
      <c r="AB146" t="s">
        <v>39</v>
      </c>
      <c r="AC146">
        <v>17</v>
      </c>
      <c r="AD146">
        <v>3</v>
      </c>
      <c r="AE146" t="str" cm="1">
        <f t="array" ref="AE146">_xlfn.IFS(AD146=1,"Low",AD146=2,"Good",AD146=3,"Excellent",AD146=4,"Outstanding")</f>
        <v>Excellent</v>
      </c>
      <c r="AF146">
        <v>4</v>
      </c>
      <c r="AG146" t="str" cm="1">
        <f t="array" ref="AG146">_xlfn.IFS(AF146=1,"Low",AF146=2,"Medium",AF146=3,"High",AF146=4,"Very High")</f>
        <v>Very High</v>
      </c>
      <c r="AH146">
        <v>3</v>
      </c>
      <c r="AI146">
        <v>9</v>
      </c>
      <c r="AJ146">
        <v>2</v>
      </c>
      <c r="AK146">
        <v>4</v>
      </c>
      <c r="AL146" t="str" cm="1">
        <f t="array" ref="AL146">_xlfn.IFS(AK146=1,"Low",AK146=2,"Medium",AK146=3,"High",AK146=4,"Very High")</f>
        <v>Very High</v>
      </c>
      <c r="AM146">
        <v>8</v>
      </c>
      <c r="AN146">
        <v>7</v>
      </c>
      <c r="AO146">
        <v>0</v>
      </c>
      <c r="AP146">
        <v>7</v>
      </c>
    </row>
    <row r="147" spans="1:42">
      <c r="A147">
        <v>30</v>
      </c>
      <c r="B147" t="str" cm="1">
        <f t="array" ref="B147">_xlfn.IFS(A147&lt;=25,"18-25",A147&lt;=35,"26-35",A147&lt;=45,"36-45",A147&lt;=55,"46-55",A147&gt;55,"56+")</f>
        <v>26-35</v>
      </c>
      <c r="C147" t="s">
        <v>39</v>
      </c>
      <c r="D147" t="s">
        <v>33</v>
      </c>
      <c r="E147" s="2">
        <v>201</v>
      </c>
      <c r="F147" t="s">
        <v>41</v>
      </c>
      <c r="G147">
        <v>5</v>
      </c>
      <c r="H147" t="str">
        <f t="shared" si="2"/>
        <v>1-10 km</v>
      </c>
      <c r="I147">
        <v>3</v>
      </c>
      <c r="J147" t="str" cm="1">
        <f t="array" ref="J147">_xlfn.IFS(I147=1,"Below College",I147=2,"College",I147=3,"Bachelor",I147=4,"Master",I147=5,"Doctor")</f>
        <v>Bachelor</v>
      </c>
      <c r="K147" t="s">
        <v>56</v>
      </c>
      <c r="L147">
        <v>197</v>
      </c>
      <c r="M147">
        <v>4</v>
      </c>
      <c r="N147" t="str" cm="1">
        <f t="array" ref="N147">_xlfn.IFS(M147=1,"Low",M147=2,"Medium",M147=3,"High",M147=4,"Very High")</f>
        <v>Very High</v>
      </c>
      <c r="O147" t="s">
        <v>36</v>
      </c>
      <c r="P147" s="2">
        <v>84</v>
      </c>
      <c r="Q147">
        <v>3</v>
      </c>
      <c r="R147" t="str" cm="1">
        <f t="array" ref="R147">_xlfn.IFS(Q147=1,"Low",Q147=2,"Medium",Q147=3,"High",Q147=4,"Very High")</f>
        <v>High</v>
      </c>
      <c r="S147">
        <v>1</v>
      </c>
      <c r="T147" t="str" cm="1">
        <f t="array" ref="T147">_xlfn.IFS(S147=1,"Entry Level",S147=2,"Junior",S147=3,"Mid-Level",S147=4,"Senior",S147=5,"Executive")</f>
        <v>Entry Level</v>
      </c>
      <c r="U147" t="s">
        <v>43</v>
      </c>
      <c r="V147">
        <v>1</v>
      </c>
      <c r="W147" t="str" cm="1">
        <f t="array" ref="W147">_xlfn.IFS(V147=1,"Low",V147=2,"Medium",V147=3,"High",V147=4,"Very High")</f>
        <v>Low</v>
      </c>
      <c r="X147" t="s">
        <v>48</v>
      </c>
      <c r="Y147" s="2">
        <v>3204</v>
      </c>
      <c r="Z147" s="2">
        <v>10415</v>
      </c>
      <c r="AA147">
        <v>5</v>
      </c>
      <c r="AB147" t="s">
        <v>39</v>
      </c>
      <c r="AC147">
        <v>14</v>
      </c>
      <c r="AD147">
        <v>3</v>
      </c>
      <c r="AE147" t="str" cm="1">
        <f t="array" ref="AE147">_xlfn.IFS(AD147=1,"Low",AD147=2,"Good",AD147=3,"Excellent",AD147=4,"Outstanding")</f>
        <v>Excellent</v>
      </c>
      <c r="AF147">
        <v>4</v>
      </c>
      <c r="AG147" t="str" cm="1">
        <f t="array" ref="AG147">_xlfn.IFS(AF147=1,"Low",AF147=2,"Medium",AF147=3,"High",AF147=4,"Very High")</f>
        <v>Very High</v>
      </c>
      <c r="AH147">
        <v>1</v>
      </c>
      <c r="AI147">
        <v>8</v>
      </c>
      <c r="AJ147">
        <v>3</v>
      </c>
      <c r="AK147">
        <v>3</v>
      </c>
      <c r="AL147" t="str" cm="1">
        <f t="array" ref="AL147">_xlfn.IFS(AK147=1,"Low",AK147=2,"Medium",AK147=3,"High",AK147=4,"Very High")</f>
        <v>High</v>
      </c>
      <c r="AM147">
        <v>3</v>
      </c>
      <c r="AN147">
        <v>2</v>
      </c>
      <c r="AO147">
        <v>2</v>
      </c>
      <c r="AP147">
        <v>2</v>
      </c>
    </row>
    <row r="148" spans="1:42">
      <c r="A148">
        <v>30</v>
      </c>
      <c r="B148" t="str" cm="1">
        <f t="array" ref="B148">_xlfn.IFS(A148&lt;=25,"18-25",A148&lt;=35,"26-35",A148&lt;=45,"36-45",A148&lt;=55,"46-55",A148&gt;55,"56+")</f>
        <v>26-35</v>
      </c>
      <c r="C148" t="s">
        <v>39</v>
      </c>
      <c r="D148" t="s">
        <v>33</v>
      </c>
      <c r="E148" s="2">
        <v>1427</v>
      </c>
      <c r="F148" t="s">
        <v>41</v>
      </c>
      <c r="G148">
        <v>2</v>
      </c>
      <c r="H148" t="str">
        <f t="shared" si="2"/>
        <v>1-10 km</v>
      </c>
      <c r="I148">
        <v>1</v>
      </c>
      <c r="J148" t="str" cm="1">
        <f t="array" ref="J148">_xlfn.IFS(I148=1,"Below College",I148=2,"College",I148=3,"Bachelor",I148=4,"Master",I148=5,"Doctor")</f>
        <v>Below College</v>
      </c>
      <c r="K148" t="s">
        <v>47</v>
      </c>
      <c r="L148">
        <v>198</v>
      </c>
      <c r="M148">
        <v>2</v>
      </c>
      <c r="N148" t="str" cm="1">
        <f t="array" ref="N148">_xlfn.IFS(M148=1,"Low",M148=2,"Medium",M148=3,"High",M148=4,"Very High")</f>
        <v>Medium</v>
      </c>
      <c r="O148" t="s">
        <v>42</v>
      </c>
      <c r="P148" s="2">
        <v>35</v>
      </c>
      <c r="Q148">
        <v>2</v>
      </c>
      <c r="R148" t="str" cm="1">
        <f t="array" ref="R148">_xlfn.IFS(Q148=1,"Low",Q148=2,"Medium",Q148=3,"High",Q148=4,"Very High")</f>
        <v>Medium</v>
      </c>
      <c r="S148">
        <v>1</v>
      </c>
      <c r="T148" t="str" cm="1">
        <f t="array" ref="T148">_xlfn.IFS(S148=1,"Entry Level",S148=2,"Junior",S148=3,"Mid-Level",S148=4,"Senior",S148=5,"Executive")</f>
        <v>Entry Level</v>
      </c>
      <c r="U148" t="s">
        <v>46</v>
      </c>
      <c r="V148">
        <v>4</v>
      </c>
      <c r="W148" t="str" cm="1">
        <f t="array" ref="W148">_xlfn.IFS(V148=1,"Low",V148=2,"Medium",V148=3,"High",V148=4,"Very High")</f>
        <v>Very High</v>
      </c>
      <c r="X148" t="s">
        <v>38</v>
      </c>
      <c r="Y148" s="2">
        <v>2720</v>
      </c>
      <c r="Z148" s="2">
        <v>11162</v>
      </c>
      <c r="AA148">
        <v>0</v>
      </c>
      <c r="AB148" t="s">
        <v>39</v>
      </c>
      <c r="AC148">
        <v>13</v>
      </c>
      <c r="AD148">
        <v>3</v>
      </c>
      <c r="AE148" t="str" cm="1">
        <f t="array" ref="AE148">_xlfn.IFS(AD148=1,"Low",AD148=2,"Good",AD148=3,"Excellent",AD148=4,"Outstanding")</f>
        <v>Excellent</v>
      </c>
      <c r="AF148">
        <v>4</v>
      </c>
      <c r="AG148" t="str" cm="1">
        <f t="array" ref="AG148">_xlfn.IFS(AF148=1,"Low",AF148=2,"Medium",AF148=3,"High",AF148=4,"Very High")</f>
        <v>Very High</v>
      </c>
      <c r="AH148">
        <v>0</v>
      </c>
      <c r="AI148">
        <v>6</v>
      </c>
      <c r="AJ148">
        <v>3</v>
      </c>
      <c r="AK148">
        <v>3</v>
      </c>
      <c r="AL148" t="str" cm="1">
        <f t="array" ref="AL148">_xlfn.IFS(AK148=1,"Low",AK148=2,"Medium",AK148=3,"High",AK148=4,"Very High")</f>
        <v>High</v>
      </c>
      <c r="AM148">
        <v>5</v>
      </c>
      <c r="AN148">
        <v>3</v>
      </c>
      <c r="AO148">
        <v>1</v>
      </c>
      <c r="AP148">
        <v>2</v>
      </c>
    </row>
    <row r="149" spans="1:42">
      <c r="A149">
        <v>41</v>
      </c>
      <c r="B149" t="str" cm="1">
        <f t="array" ref="B149">_xlfn.IFS(A149&lt;=25,"18-25",A149&lt;=35,"26-35",A149&lt;=45,"36-45",A149&lt;=55,"46-55",A149&gt;55,"56+")</f>
        <v>36-45</v>
      </c>
      <c r="C149" t="s">
        <v>39</v>
      </c>
      <c r="D149" t="s">
        <v>40</v>
      </c>
      <c r="E149" s="2">
        <v>857</v>
      </c>
      <c r="F149" t="s">
        <v>41</v>
      </c>
      <c r="G149">
        <v>10</v>
      </c>
      <c r="H149" t="str">
        <f t="shared" si="2"/>
        <v>1-10 km</v>
      </c>
      <c r="I149">
        <v>3</v>
      </c>
      <c r="J149" t="str" cm="1">
        <f t="array" ref="J149">_xlfn.IFS(I149=1,"Below College",I149=2,"College",I149=3,"Bachelor",I149=4,"Master",I149=5,"Doctor")</f>
        <v>Bachelor</v>
      </c>
      <c r="K149" t="s">
        <v>35</v>
      </c>
      <c r="L149">
        <v>199</v>
      </c>
      <c r="M149">
        <v>4</v>
      </c>
      <c r="N149" t="str" cm="1">
        <f t="array" ref="N149">_xlfn.IFS(M149=1,"Low",M149=2,"Medium",M149=3,"High",M149=4,"Very High")</f>
        <v>Very High</v>
      </c>
      <c r="O149" t="s">
        <v>42</v>
      </c>
      <c r="P149" s="2">
        <v>91</v>
      </c>
      <c r="Q149">
        <v>2</v>
      </c>
      <c r="R149" t="str" cm="1">
        <f t="array" ref="R149">_xlfn.IFS(Q149=1,"Low",Q149=2,"Medium",Q149=3,"High",Q149=4,"Very High")</f>
        <v>Medium</v>
      </c>
      <c r="S149">
        <v>4</v>
      </c>
      <c r="T149" t="str" cm="1">
        <f t="array" ref="T149">_xlfn.IFS(S149=1,"Entry Level",S149=2,"Junior",S149=3,"Mid-Level",S149=4,"Senior",S149=5,"Executive")</f>
        <v>Senior</v>
      </c>
      <c r="U149" t="s">
        <v>52</v>
      </c>
      <c r="V149">
        <v>1</v>
      </c>
      <c r="W149" t="str" cm="1">
        <f t="array" ref="W149">_xlfn.IFS(V149=1,"Low",V149=2,"Medium",V149=3,"High",V149=4,"Very High")</f>
        <v>Low</v>
      </c>
      <c r="X149" t="s">
        <v>48</v>
      </c>
      <c r="Y149" s="2">
        <v>17181</v>
      </c>
      <c r="Z149" s="2">
        <v>12888</v>
      </c>
      <c r="AA149">
        <v>4</v>
      </c>
      <c r="AB149" t="s">
        <v>39</v>
      </c>
      <c r="AC149">
        <v>13</v>
      </c>
      <c r="AD149">
        <v>3</v>
      </c>
      <c r="AE149" t="str" cm="1">
        <f t="array" ref="AE149">_xlfn.IFS(AD149=1,"Low",AD149=2,"Good",AD149=3,"Excellent",AD149=4,"Outstanding")</f>
        <v>Excellent</v>
      </c>
      <c r="AF149">
        <v>2</v>
      </c>
      <c r="AG149" t="str" cm="1">
        <f t="array" ref="AG149">_xlfn.IFS(AF149=1,"Low",AF149=2,"Medium",AF149=3,"High",AF149=4,"Very High")</f>
        <v>Medium</v>
      </c>
      <c r="AH149">
        <v>1</v>
      </c>
      <c r="AI149">
        <v>21</v>
      </c>
      <c r="AJ149">
        <v>2</v>
      </c>
      <c r="AK149">
        <v>2</v>
      </c>
      <c r="AL149" t="str" cm="1">
        <f t="array" ref="AL149">_xlfn.IFS(AK149=1,"Low",AK149=2,"Medium",AK149=3,"High",AK149=4,"Very High")</f>
        <v>Medium</v>
      </c>
      <c r="AM149">
        <v>7</v>
      </c>
      <c r="AN149">
        <v>6</v>
      </c>
      <c r="AO149">
        <v>7</v>
      </c>
      <c r="AP149">
        <v>7</v>
      </c>
    </row>
    <row r="150" spans="1:42">
      <c r="A150">
        <v>41</v>
      </c>
      <c r="B150" t="str" cm="1">
        <f t="array" ref="B150">_xlfn.IFS(A150&lt;=25,"18-25",A150&lt;=35,"26-35",A150&lt;=45,"36-45",A150&lt;=55,"46-55",A150&gt;55,"56+")</f>
        <v>36-45</v>
      </c>
      <c r="C150" t="s">
        <v>39</v>
      </c>
      <c r="D150" t="s">
        <v>33</v>
      </c>
      <c r="E150" s="2">
        <v>933</v>
      </c>
      <c r="F150" t="s">
        <v>41</v>
      </c>
      <c r="G150">
        <v>9</v>
      </c>
      <c r="H150" t="str">
        <f t="shared" si="2"/>
        <v>1-10 km</v>
      </c>
      <c r="I150">
        <v>4</v>
      </c>
      <c r="J150" t="str" cm="1">
        <f t="array" ref="J150">_xlfn.IFS(I150=1,"Below College",I150=2,"College",I150=3,"Bachelor",I150=4,"Master",I150=5,"Doctor")</f>
        <v>Master</v>
      </c>
      <c r="K150" t="s">
        <v>35</v>
      </c>
      <c r="L150">
        <v>200</v>
      </c>
      <c r="M150">
        <v>3</v>
      </c>
      <c r="N150" t="str" cm="1">
        <f t="array" ref="N150">_xlfn.IFS(M150=1,"Low",M150=2,"Medium",M150=3,"High",M150=4,"Very High")</f>
        <v>High</v>
      </c>
      <c r="O150" t="s">
        <v>42</v>
      </c>
      <c r="P150" s="2">
        <v>94</v>
      </c>
      <c r="Q150">
        <v>3</v>
      </c>
      <c r="R150" t="str" cm="1">
        <f t="array" ref="R150">_xlfn.IFS(Q150=1,"Low",Q150=2,"Medium",Q150=3,"High",Q150=4,"Very High")</f>
        <v>High</v>
      </c>
      <c r="S150">
        <v>1</v>
      </c>
      <c r="T150" t="str" cm="1">
        <f t="array" ref="T150">_xlfn.IFS(S150=1,"Entry Level",S150=2,"Junior",S150=3,"Mid-Level",S150=4,"Senior",S150=5,"Executive")</f>
        <v>Entry Level</v>
      </c>
      <c r="U150" t="s">
        <v>46</v>
      </c>
      <c r="V150">
        <v>1</v>
      </c>
      <c r="W150" t="str" cm="1">
        <f t="array" ref="W150">_xlfn.IFS(V150=1,"Low",V150=2,"Medium",V150=3,"High",V150=4,"Very High")</f>
        <v>Low</v>
      </c>
      <c r="X150" t="s">
        <v>44</v>
      </c>
      <c r="Y150" s="2">
        <v>2238</v>
      </c>
      <c r="Z150" s="2">
        <v>6961</v>
      </c>
      <c r="AA150">
        <v>2</v>
      </c>
      <c r="AB150" t="s">
        <v>39</v>
      </c>
      <c r="AC150">
        <v>21</v>
      </c>
      <c r="AD150">
        <v>4</v>
      </c>
      <c r="AE150" t="str" cm="1">
        <f t="array" ref="AE150">_xlfn.IFS(AD150=1,"Low",AD150=2,"Good",AD150=3,"Excellent",AD150=4,"Outstanding")</f>
        <v>Outstanding</v>
      </c>
      <c r="AF150">
        <v>4</v>
      </c>
      <c r="AG150" t="str" cm="1">
        <f t="array" ref="AG150">_xlfn.IFS(AF150=1,"Low",AF150=2,"Medium",AF150=3,"High",AF150=4,"Very High")</f>
        <v>Very High</v>
      </c>
      <c r="AH150">
        <v>1</v>
      </c>
      <c r="AI150">
        <v>7</v>
      </c>
      <c r="AJ150">
        <v>2</v>
      </c>
      <c r="AK150">
        <v>3</v>
      </c>
      <c r="AL150" t="str" cm="1">
        <f t="array" ref="AL150">_xlfn.IFS(AK150=1,"Low",AK150=2,"Medium",AK150=3,"High",AK150=4,"Very High")</f>
        <v>High</v>
      </c>
      <c r="AM150">
        <v>5</v>
      </c>
      <c r="AN150">
        <v>0</v>
      </c>
      <c r="AO150">
        <v>1</v>
      </c>
      <c r="AP150">
        <v>4</v>
      </c>
    </row>
    <row r="151" spans="1:42">
      <c r="A151">
        <v>19</v>
      </c>
      <c r="B151" t="str" cm="1">
        <f t="array" ref="B151">_xlfn.IFS(A151&lt;=25,"18-25",A151&lt;=35,"26-35",A151&lt;=45,"36-45",A151&lt;=55,"46-55",A151&gt;55,"56+")</f>
        <v>18-25</v>
      </c>
      <c r="C151" t="s">
        <v>39</v>
      </c>
      <c r="D151" t="s">
        <v>33</v>
      </c>
      <c r="E151" s="2">
        <v>1181</v>
      </c>
      <c r="F151" t="s">
        <v>41</v>
      </c>
      <c r="G151">
        <v>3</v>
      </c>
      <c r="H151" t="str">
        <f t="shared" si="2"/>
        <v>1-10 km</v>
      </c>
      <c r="I151">
        <v>1</v>
      </c>
      <c r="J151" t="str" cm="1">
        <f t="array" ref="J151">_xlfn.IFS(I151=1,"Below College",I151=2,"College",I151=3,"Bachelor",I151=4,"Master",I151=5,"Doctor")</f>
        <v>Below College</v>
      </c>
      <c r="K151" t="s">
        <v>47</v>
      </c>
      <c r="L151">
        <v>201</v>
      </c>
      <c r="M151">
        <v>2</v>
      </c>
      <c r="N151" t="str" cm="1">
        <f t="array" ref="N151">_xlfn.IFS(M151=1,"Low",M151=2,"Medium",M151=3,"High",M151=4,"Very High")</f>
        <v>Medium</v>
      </c>
      <c r="O151" t="s">
        <v>36</v>
      </c>
      <c r="P151" s="2">
        <v>79</v>
      </c>
      <c r="Q151">
        <v>3</v>
      </c>
      <c r="R151" t="str" cm="1">
        <f t="array" ref="R151">_xlfn.IFS(Q151=1,"Low",Q151=2,"Medium",Q151=3,"High",Q151=4,"Very High")</f>
        <v>High</v>
      </c>
      <c r="S151">
        <v>1</v>
      </c>
      <c r="T151" t="str" cm="1">
        <f t="array" ref="T151">_xlfn.IFS(S151=1,"Entry Level",S151=2,"Junior",S151=3,"Mid-Level",S151=4,"Senior",S151=5,"Executive")</f>
        <v>Entry Level</v>
      </c>
      <c r="U151" t="s">
        <v>46</v>
      </c>
      <c r="V151">
        <v>2</v>
      </c>
      <c r="W151" t="str" cm="1">
        <f t="array" ref="W151">_xlfn.IFS(V151=1,"Low",V151=2,"Medium",V151=3,"High",V151=4,"Very High")</f>
        <v>Medium</v>
      </c>
      <c r="X151" t="s">
        <v>38</v>
      </c>
      <c r="Y151" s="2">
        <v>1483</v>
      </c>
      <c r="Z151" s="2">
        <v>16102</v>
      </c>
      <c r="AA151">
        <v>1</v>
      </c>
      <c r="AB151" t="s">
        <v>39</v>
      </c>
      <c r="AC151">
        <v>14</v>
      </c>
      <c r="AD151">
        <v>3</v>
      </c>
      <c r="AE151" t="str" cm="1">
        <f t="array" ref="AE151">_xlfn.IFS(AD151=1,"Low",AD151=2,"Good",AD151=3,"Excellent",AD151=4,"Outstanding")</f>
        <v>Excellent</v>
      </c>
      <c r="AF151">
        <v>4</v>
      </c>
      <c r="AG151" t="str" cm="1">
        <f t="array" ref="AG151">_xlfn.IFS(AF151=1,"Low",AF151=2,"Medium",AF151=3,"High",AF151=4,"Very High")</f>
        <v>Very High</v>
      </c>
      <c r="AH151">
        <v>0</v>
      </c>
      <c r="AI151">
        <v>1</v>
      </c>
      <c r="AJ151">
        <v>3</v>
      </c>
      <c r="AK151">
        <v>3</v>
      </c>
      <c r="AL151" t="str" cm="1">
        <f t="array" ref="AL151">_xlfn.IFS(AK151=1,"Low",AK151=2,"Medium",AK151=3,"High",AK151=4,"Very High")</f>
        <v>High</v>
      </c>
      <c r="AM151">
        <v>1</v>
      </c>
      <c r="AN151">
        <v>0</v>
      </c>
      <c r="AO151">
        <v>0</v>
      </c>
      <c r="AP151">
        <v>0</v>
      </c>
    </row>
    <row r="152" spans="1:42">
      <c r="A152">
        <v>40</v>
      </c>
      <c r="B152" t="str" cm="1">
        <f t="array" ref="B152">_xlfn.IFS(A152&lt;=25,"18-25",A152&lt;=35,"26-35",A152&lt;=45,"36-45",A152&lt;=55,"46-55",A152&gt;55,"56+")</f>
        <v>36-45</v>
      </c>
      <c r="C152" t="s">
        <v>39</v>
      </c>
      <c r="D152" t="s">
        <v>40</v>
      </c>
      <c r="E152" s="2">
        <v>1395</v>
      </c>
      <c r="F152" t="s">
        <v>41</v>
      </c>
      <c r="G152">
        <v>26</v>
      </c>
      <c r="H152" t="str">
        <f t="shared" si="2"/>
        <v>21-30 km</v>
      </c>
      <c r="I152">
        <v>3</v>
      </c>
      <c r="J152" t="str" cm="1">
        <f t="array" ref="J152">_xlfn.IFS(I152=1,"Below College",I152=2,"College",I152=3,"Bachelor",I152=4,"Master",I152=5,"Doctor")</f>
        <v>Bachelor</v>
      </c>
      <c r="K152" t="s">
        <v>47</v>
      </c>
      <c r="L152">
        <v>202</v>
      </c>
      <c r="M152">
        <v>2</v>
      </c>
      <c r="N152" t="str" cm="1">
        <f t="array" ref="N152">_xlfn.IFS(M152=1,"Low",M152=2,"Medium",M152=3,"High",M152=4,"Very High")</f>
        <v>Medium</v>
      </c>
      <c r="O152" t="s">
        <v>36</v>
      </c>
      <c r="P152" s="2">
        <v>54</v>
      </c>
      <c r="Q152">
        <v>3</v>
      </c>
      <c r="R152" t="str" cm="1">
        <f t="array" ref="R152">_xlfn.IFS(Q152=1,"Low",Q152=2,"Medium",Q152=3,"High",Q152=4,"Very High")</f>
        <v>High</v>
      </c>
      <c r="S152">
        <v>2</v>
      </c>
      <c r="T152" t="str" cm="1">
        <f t="array" ref="T152">_xlfn.IFS(S152=1,"Entry Level",S152=2,"Junior",S152=3,"Mid-Level",S152=4,"Senior",S152=5,"Executive")</f>
        <v>Junior</v>
      </c>
      <c r="U152" t="s">
        <v>43</v>
      </c>
      <c r="V152">
        <v>2</v>
      </c>
      <c r="W152" t="str" cm="1">
        <f t="array" ref="W152">_xlfn.IFS(V152=1,"Low",V152=2,"Medium",V152=3,"High",V152=4,"Very High")</f>
        <v>Medium</v>
      </c>
      <c r="X152" t="s">
        <v>48</v>
      </c>
      <c r="Y152" s="2">
        <v>5605</v>
      </c>
      <c r="Z152" s="2">
        <v>8504</v>
      </c>
      <c r="AA152">
        <v>1</v>
      </c>
      <c r="AB152" t="s">
        <v>39</v>
      </c>
      <c r="AC152">
        <v>11</v>
      </c>
      <c r="AD152">
        <v>3</v>
      </c>
      <c r="AE152" t="str" cm="1">
        <f t="array" ref="AE152">_xlfn.IFS(AD152=1,"Low",AD152=2,"Good",AD152=3,"Excellent",AD152=4,"Outstanding")</f>
        <v>Excellent</v>
      </c>
      <c r="AF152">
        <v>1</v>
      </c>
      <c r="AG152" t="str" cm="1">
        <f t="array" ref="AG152">_xlfn.IFS(AF152=1,"Low",AF152=2,"Medium",AF152=3,"High",AF152=4,"Very High")</f>
        <v>Low</v>
      </c>
      <c r="AH152">
        <v>1</v>
      </c>
      <c r="AI152">
        <v>20</v>
      </c>
      <c r="AJ152">
        <v>2</v>
      </c>
      <c r="AK152">
        <v>3</v>
      </c>
      <c r="AL152" t="str" cm="1">
        <f t="array" ref="AL152">_xlfn.IFS(AK152=1,"Low",AK152=2,"Medium",AK152=3,"High",AK152=4,"Very High")</f>
        <v>High</v>
      </c>
      <c r="AM152">
        <v>20</v>
      </c>
      <c r="AN152">
        <v>7</v>
      </c>
      <c r="AO152">
        <v>2</v>
      </c>
      <c r="AP152">
        <v>13</v>
      </c>
    </row>
    <row r="153" spans="1:42">
      <c r="A153">
        <v>35</v>
      </c>
      <c r="B153" t="str" cm="1">
        <f t="array" ref="B153">_xlfn.IFS(A153&lt;=25,"18-25",A153&lt;=35,"26-35",A153&lt;=45,"36-45",A153&lt;=55,"46-55",A153&gt;55,"56+")</f>
        <v>26-35</v>
      </c>
      <c r="C153" t="s">
        <v>39</v>
      </c>
      <c r="D153" t="s">
        <v>33</v>
      </c>
      <c r="E153" s="2">
        <v>662</v>
      </c>
      <c r="F153" t="s">
        <v>34</v>
      </c>
      <c r="G153">
        <v>1</v>
      </c>
      <c r="H153" t="str">
        <f t="shared" si="2"/>
        <v>1-10 km</v>
      </c>
      <c r="I153">
        <v>5</v>
      </c>
      <c r="J153" t="str" cm="1">
        <f t="array" ref="J153">_xlfn.IFS(I153=1,"Below College",I153=2,"College",I153=3,"Bachelor",I153=4,"Master",I153=5,"Doctor")</f>
        <v>Doctor</v>
      </c>
      <c r="K153" t="s">
        <v>55</v>
      </c>
      <c r="L153">
        <v>204</v>
      </c>
      <c r="M153">
        <v>3</v>
      </c>
      <c r="N153" t="str" cm="1">
        <f t="array" ref="N153">_xlfn.IFS(M153=1,"Low",M153=2,"Medium",M153=3,"High",M153=4,"Very High")</f>
        <v>High</v>
      </c>
      <c r="O153" t="s">
        <v>42</v>
      </c>
      <c r="P153" s="2">
        <v>94</v>
      </c>
      <c r="Q153">
        <v>3</v>
      </c>
      <c r="R153" t="str" cm="1">
        <f t="array" ref="R153">_xlfn.IFS(Q153=1,"Low",Q153=2,"Medium",Q153=3,"High",Q153=4,"Very High")</f>
        <v>High</v>
      </c>
      <c r="S153">
        <v>3</v>
      </c>
      <c r="T153" t="str" cm="1">
        <f t="array" ref="T153">_xlfn.IFS(S153=1,"Entry Level",S153=2,"Junior",S153=3,"Mid-Level",S153=4,"Senior",S153=5,"Executive")</f>
        <v>Mid-Level</v>
      </c>
      <c r="U153" t="s">
        <v>37</v>
      </c>
      <c r="V153">
        <v>2</v>
      </c>
      <c r="W153" t="str" cm="1">
        <f t="array" ref="W153">_xlfn.IFS(V153=1,"Low",V153=2,"Medium",V153=3,"High",V153=4,"Very High")</f>
        <v>Medium</v>
      </c>
      <c r="X153" t="s">
        <v>44</v>
      </c>
      <c r="Y153" s="2">
        <v>7295</v>
      </c>
      <c r="Z153" s="2">
        <v>11439</v>
      </c>
      <c r="AA153">
        <v>1</v>
      </c>
      <c r="AB153" t="s">
        <v>39</v>
      </c>
      <c r="AC153">
        <v>13</v>
      </c>
      <c r="AD153">
        <v>3</v>
      </c>
      <c r="AE153" t="str" cm="1">
        <f t="array" ref="AE153">_xlfn.IFS(AD153=1,"Low",AD153=2,"Good",AD153=3,"Excellent",AD153=4,"Outstanding")</f>
        <v>Excellent</v>
      </c>
      <c r="AF153">
        <v>1</v>
      </c>
      <c r="AG153" t="str" cm="1">
        <f t="array" ref="AG153">_xlfn.IFS(AF153=1,"Low",AF153=2,"Medium",AF153=3,"High",AF153=4,"Very High")</f>
        <v>Low</v>
      </c>
      <c r="AH153">
        <v>2</v>
      </c>
      <c r="AI153">
        <v>10</v>
      </c>
      <c r="AJ153">
        <v>3</v>
      </c>
      <c r="AK153">
        <v>3</v>
      </c>
      <c r="AL153" t="str" cm="1">
        <f t="array" ref="AL153">_xlfn.IFS(AK153=1,"Low",AK153=2,"Medium",AK153=3,"High",AK153=4,"Very High")</f>
        <v>High</v>
      </c>
      <c r="AM153">
        <v>10</v>
      </c>
      <c r="AN153">
        <v>8</v>
      </c>
      <c r="AO153">
        <v>0</v>
      </c>
      <c r="AP153">
        <v>6</v>
      </c>
    </row>
    <row r="154" spans="1:42">
      <c r="A154">
        <v>53</v>
      </c>
      <c r="B154" t="str" cm="1">
        <f t="array" ref="B154">_xlfn.IFS(A154&lt;=25,"18-25",A154&lt;=35,"26-35",A154&lt;=45,"36-45",A154&lt;=55,"46-55",A154&gt;55,"56+")</f>
        <v>46-55</v>
      </c>
      <c r="C154" t="s">
        <v>39</v>
      </c>
      <c r="D154" t="s">
        <v>33</v>
      </c>
      <c r="E154" s="2">
        <v>1436</v>
      </c>
      <c r="F154" t="s">
        <v>34</v>
      </c>
      <c r="G154">
        <v>6</v>
      </c>
      <c r="H154" t="str">
        <f t="shared" si="2"/>
        <v>1-10 km</v>
      </c>
      <c r="I154">
        <v>2</v>
      </c>
      <c r="J154" t="str" cm="1">
        <f t="array" ref="J154">_xlfn.IFS(I154=1,"Below College",I154=2,"College",I154=3,"Bachelor",I154=4,"Master",I154=5,"Doctor")</f>
        <v>College</v>
      </c>
      <c r="K154" t="s">
        <v>55</v>
      </c>
      <c r="L154">
        <v>205</v>
      </c>
      <c r="M154">
        <v>2</v>
      </c>
      <c r="N154" t="str" cm="1">
        <f t="array" ref="N154">_xlfn.IFS(M154=1,"Low",M154=2,"Medium",M154=3,"High",M154=4,"Very High")</f>
        <v>Medium</v>
      </c>
      <c r="O154" t="s">
        <v>42</v>
      </c>
      <c r="P154" s="2">
        <v>34</v>
      </c>
      <c r="Q154">
        <v>3</v>
      </c>
      <c r="R154" t="str" cm="1">
        <f t="array" ref="R154">_xlfn.IFS(Q154=1,"Low",Q154=2,"Medium",Q154=3,"High",Q154=4,"Very High")</f>
        <v>High</v>
      </c>
      <c r="S154">
        <v>2</v>
      </c>
      <c r="T154" t="str" cm="1">
        <f t="array" ref="T154">_xlfn.IFS(S154=1,"Entry Level",S154=2,"Junior",S154=3,"Mid-Level",S154=4,"Senior",S154=5,"Executive")</f>
        <v>Junior</v>
      </c>
      <c r="U154" t="s">
        <v>53</v>
      </c>
      <c r="V154">
        <v>3</v>
      </c>
      <c r="W154" t="str" cm="1">
        <f t="array" ref="W154">_xlfn.IFS(V154=1,"Low",V154=2,"Medium",V154=3,"High",V154=4,"Very High")</f>
        <v>High</v>
      </c>
      <c r="X154" t="s">
        <v>44</v>
      </c>
      <c r="Y154" s="2">
        <v>2306</v>
      </c>
      <c r="Z154" s="2">
        <v>16047</v>
      </c>
      <c r="AA154">
        <v>2</v>
      </c>
      <c r="AB154" t="s">
        <v>32</v>
      </c>
      <c r="AC154">
        <v>20</v>
      </c>
      <c r="AD154">
        <v>4</v>
      </c>
      <c r="AE154" t="str" cm="1">
        <f t="array" ref="AE154">_xlfn.IFS(AD154=1,"Low",AD154=2,"Good",AD154=3,"Excellent",AD154=4,"Outstanding")</f>
        <v>Outstanding</v>
      </c>
      <c r="AF154">
        <v>4</v>
      </c>
      <c r="AG154" t="str" cm="1">
        <f t="array" ref="AG154">_xlfn.IFS(AF154=1,"Low",AF154=2,"Medium",AF154=3,"High",AF154=4,"Very High")</f>
        <v>Very High</v>
      </c>
      <c r="AH154">
        <v>1</v>
      </c>
      <c r="AI154">
        <v>13</v>
      </c>
      <c r="AJ154">
        <v>3</v>
      </c>
      <c r="AK154">
        <v>1</v>
      </c>
      <c r="AL154" t="str" cm="1">
        <f t="array" ref="AL154">_xlfn.IFS(AK154=1,"Low",AK154=2,"Medium",AK154=3,"High",AK154=4,"Very High")</f>
        <v>Low</v>
      </c>
      <c r="AM154">
        <v>7</v>
      </c>
      <c r="AN154">
        <v>7</v>
      </c>
      <c r="AO154">
        <v>4</v>
      </c>
      <c r="AP154">
        <v>5</v>
      </c>
    </row>
    <row r="155" spans="1:42">
      <c r="A155">
        <v>45</v>
      </c>
      <c r="B155" t="str" cm="1">
        <f t="array" ref="B155">_xlfn.IFS(A155&lt;=25,"18-25",A155&lt;=35,"26-35",A155&lt;=45,"36-45",A155&lt;=55,"46-55",A155&gt;55,"56+")</f>
        <v>36-45</v>
      </c>
      <c r="C155" t="s">
        <v>39</v>
      </c>
      <c r="D155" t="s">
        <v>33</v>
      </c>
      <c r="E155" s="2">
        <v>194</v>
      </c>
      <c r="F155" t="s">
        <v>41</v>
      </c>
      <c r="G155">
        <v>9</v>
      </c>
      <c r="H155" t="str">
        <f t="shared" si="2"/>
        <v>1-10 km</v>
      </c>
      <c r="I155">
        <v>3</v>
      </c>
      <c r="J155" t="str" cm="1">
        <f t="array" ref="J155">_xlfn.IFS(I155=1,"Below College",I155=2,"College",I155=3,"Bachelor",I155=4,"Master",I155=5,"Doctor")</f>
        <v>Bachelor</v>
      </c>
      <c r="K155" t="s">
        <v>35</v>
      </c>
      <c r="L155">
        <v>206</v>
      </c>
      <c r="M155">
        <v>2</v>
      </c>
      <c r="N155" t="str" cm="1">
        <f t="array" ref="N155">_xlfn.IFS(M155=1,"Low",M155=2,"Medium",M155=3,"High",M155=4,"Very High")</f>
        <v>Medium</v>
      </c>
      <c r="O155" t="s">
        <v>42</v>
      </c>
      <c r="P155" s="2">
        <v>60</v>
      </c>
      <c r="Q155">
        <v>3</v>
      </c>
      <c r="R155" t="str" cm="1">
        <f t="array" ref="R155">_xlfn.IFS(Q155=1,"Low",Q155=2,"Medium",Q155=3,"High",Q155=4,"Very High")</f>
        <v>High</v>
      </c>
      <c r="S155">
        <v>2</v>
      </c>
      <c r="T155" t="str" cm="1">
        <f t="array" ref="T155">_xlfn.IFS(S155=1,"Entry Level",S155=2,"Junior",S155=3,"Mid-Level",S155=4,"Senior",S155=5,"Executive")</f>
        <v>Junior</v>
      </c>
      <c r="U155" t="s">
        <v>46</v>
      </c>
      <c r="V155">
        <v>2</v>
      </c>
      <c r="W155" t="str" cm="1">
        <f t="array" ref="W155">_xlfn.IFS(V155=1,"Low",V155=2,"Medium",V155=3,"High",V155=4,"Very High")</f>
        <v>Medium</v>
      </c>
      <c r="X155" t="s">
        <v>48</v>
      </c>
      <c r="Y155" s="2">
        <v>2348</v>
      </c>
      <c r="Z155" s="2">
        <v>10901</v>
      </c>
      <c r="AA155">
        <v>8</v>
      </c>
      <c r="AB155" t="s">
        <v>39</v>
      </c>
      <c r="AC155">
        <v>18</v>
      </c>
      <c r="AD155">
        <v>3</v>
      </c>
      <c r="AE155" t="str" cm="1">
        <f t="array" ref="AE155">_xlfn.IFS(AD155=1,"Low",AD155=2,"Good",AD155=3,"Excellent",AD155=4,"Outstanding")</f>
        <v>Excellent</v>
      </c>
      <c r="AF155">
        <v>3</v>
      </c>
      <c r="AG155" t="str" cm="1">
        <f t="array" ref="AG155">_xlfn.IFS(AF155=1,"Low",AF155=2,"Medium",AF155=3,"High",AF155=4,"Very High")</f>
        <v>High</v>
      </c>
      <c r="AH155">
        <v>1</v>
      </c>
      <c r="AI155">
        <v>20</v>
      </c>
      <c r="AJ155">
        <v>2</v>
      </c>
      <c r="AK155">
        <v>1</v>
      </c>
      <c r="AL155" t="str" cm="1">
        <f t="array" ref="AL155">_xlfn.IFS(AK155=1,"Low",AK155=2,"Medium",AK155=3,"High",AK155=4,"Very High")</f>
        <v>Low</v>
      </c>
      <c r="AM155">
        <v>17</v>
      </c>
      <c r="AN155">
        <v>9</v>
      </c>
      <c r="AO155">
        <v>0</v>
      </c>
      <c r="AP155">
        <v>15</v>
      </c>
    </row>
    <row r="156" spans="1:42">
      <c r="A156">
        <v>32</v>
      </c>
      <c r="B156" t="str" cm="1">
        <f t="array" ref="B156">_xlfn.IFS(A156&lt;=25,"18-25",A156&lt;=35,"26-35",A156&lt;=45,"36-45",A156&lt;=55,"46-55",A156&gt;55,"56+")</f>
        <v>26-35</v>
      </c>
      <c r="C156" t="s">
        <v>39</v>
      </c>
      <c r="D156" t="s">
        <v>40</v>
      </c>
      <c r="E156" s="2">
        <v>967</v>
      </c>
      <c r="F156" t="s">
        <v>34</v>
      </c>
      <c r="G156">
        <v>8</v>
      </c>
      <c r="H156" t="str">
        <f t="shared" si="2"/>
        <v>1-10 km</v>
      </c>
      <c r="I156">
        <v>3</v>
      </c>
      <c r="J156" t="str" cm="1">
        <f t="array" ref="J156">_xlfn.IFS(I156=1,"Below College",I156=2,"College",I156=3,"Bachelor",I156=4,"Master",I156=5,"Doctor")</f>
        <v>Bachelor</v>
      </c>
      <c r="K156" t="s">
        <v>55</v>
      </c>
      <c r="L156">
        <v>207</v>
      </c>
      <c r="M156">
        <v>2</v>
      </c>
      <c r="N156" t="str" cm="1">
        <f t="array" ref="N156">_xlfn.IFS(M156=1,"Low",M156=2,"Medium",M156=3,"High",M156=4,"Very High")</f>
        <v>Medium</v>
      </c>
      <c r="O156" t="s">
        <v>36</v>
      </c>
      <c r="P156" s="2">
        <v>43</v>
      </c>
      <c r="Q156">
        <v>3</v>
      </c>
      <c r="R156" t="str" cm="1">
        <f t="array" ref="R156">_xlfn.IFS(Q156=1,"Low",Q156=2,"Medium",Q156=3,"High",Q156=4,"Very High")</f>
        <v>High</v>
      </c>
      <c r="S156">
        <v>3</v>
      </c>
      <c r="T156" t="str" cm="1">
        <f t="array" ref="T156">_xlfn.IFS(S156=1,"Entry Level",S156=2,"Junior",S156=3,"Mid-Level",S156=4,"Senior",S156=5,"Executive")</f>
        <v>Mid-Level</v>
      </c>
      <c r="U156" t="s">
        <v>37</v>
      </c>
      <c r="V156">
        <v>4</v>
      </c>
      <c r="W156" t="str" cm="1">
        <f t="array" ref="W156">_xlfn.IFS(V156=1,"Low",V156=2,"Medium",V156=3,"High",V156=4,"Very High")</f>
        <v>Very High</v>
      </c>
      <c r="X156" t="s">
        <v>38</v>
      </c>
      <c r="Y156" s="2">
        <v>8998</v>
      </c>
      <c r="Z156" s="2">
        <v>15589</v>
      </c>
      <c r="AA156">
        <v>1</v>
      </c>
      <c r="AB156" t="s">
        <v>39</v>
      </c>
      <c r="AC156">
        <v>14</v>
      </c>
      <c r="AD156">
        <v>3</v>
      </c>
      <c r="AE156" t="str" cm="1">
        <f t="array" ref="AE156">_xlfn.IFS(AD156=1,"Low",AD156=2,"Good",AD156=3,"Excellent",AD156=4,"Outstanding")</f>
        <v>Excellent</v>
      </c>
      <c r="AF156">
        <v>4</v>
      </c>
      <c r="AG156" t="str" cm="1">
        <f t="array" ref="AG156">_xlfn.IFS(AF156=1,"Low",AF156=2,"Medium",AF156=3,"High",AF156=4,"Very High")</f>
        <v>Very High</v>
      </c>
      <c r="AH156">
        <v>0</v>
      </c>
      <c r="AI156">
        <v>9</v>
      </c>
      <c r="AJ156">
        <v>2</v>
      </c>
      <c r="AK156">
        <v>3</v>
      </c>
      <c r="AL156" t="str" cm="1">
        <f t="array" ref="AL156">_xlfn.IFS(AK156=1,"Low",AK156=2,"Medium",AK156=3,"High",AK156=4,"Very High")</f>
        <v>High</v>
      </c>
      <c r="AM156">
        <v>9</v>
      </c>
      <c r="AN156">
        <v>8</v>
      </c>
      <c r="AO156">
        <v>3</v>
      </c>
      <c r="AP156">
        <v>7</v>
      </c>
    </row>
    <row r="157" spans="1:42">
      <c r="A157">
        <v>29</v>
      </c>
      <c r="B157" t="str" cm="1">
        <f t="array" ref="B157">_xlfn.IFS(A157&lt;=25,"18-25",A157&lt;=35,"26-35",A157&lt;=45,"36-45",A157&lt;=55,"46-55",A157&gt;55,"56+")</f>
        <v>26-35</v>
      </c>
      <c r="C157" t="s">
        <v>39</v>
      </c>
      <c r="D157" t="s">
        <v>51</v>
      </c>
      <c r="E157" s="2">
        <v>1496</v>
      </c>
      <c r="F157" t="s">
        <v>41</v>
      </c>
      <c r="G157">
        <v>1</v>
      </c>
      <c r="H157" t="str">
        <f t="shared" si="2"/>
        <v>1-10 km</v>
      </c>
      <c r="I157">
        <v>1</v>
      </c>
      <c r="J157" t="str" cm="1">
        <f t="array" ref="J157">_xlfn.IFS(I157=1,"Below College",I157=2,"College",I157=3,"Bachelor",I157=4,"Master",I157=5,"Doctor")</f>
        <v>Below College</v>
      </c>
      <c r="K157" t="s">
        <v>56</v>
      </c>
      <c r="L157">
        <v>208</v>
      </c>
      <c r="M157">
        <v>4</v>
      </c>
      <c r="N157" t="str" cm="1">
        <f t="array" ref="N157">_xlfn.IFS(M157=1,"Low",M157=2,"Medium",M157=3,"High",M157=4,"Very High")</f>
        <v>Very High</v>
      </c>
      <c r="O157" t="s">
        <v>42</v>
      </c>
      <c r="P157" s="2">
        <v>41</v>
      </c>
      <c r="Q157">
        <v>3</v>
      </c>
      <c r="R157" t="str" cm="1">
        <f t="array" ref="R157">_xlfn.IFS(Q157=1,"Low",Q157=2,"Medium",Q157=3,"High",Q157=4,"Very High")</f>
        <v>High</v>
      </c>
      <c r="S157">
        <v>2</v>
      </c>
      <c r="T157" t="str" cm="1">
        <f t="array" ref="T157">_xlfn.IFS(S157=1,"Entry Level",S157=2,"Junior",S157=3,"Mid-Level",S157=4,"Senior",S157=5,"Executive")</f>
        <v>Junior</v>
      </c>
      <c r="U157" t="s">
        <v>49</v>
      </c>
      <c r="V157">
        <v>3</v>
      </c>
      <c r="W157" t="str" cm="1">
        <f t="array" ref="W157">_xlfn.IFS(V157=1,"Low",V157=2,"Medium",V157=3,"High",V157=4,"Very High")</f>
        <v>High</v>
      </c>
      <c r="X157" t="s">
        <v>44</v>
      </c>
      <c r="Y157" s="2">
        <v>4319</v>
      </c>
      <c r="Z157" s="2">
        <v>26283</v>
      </c>
      <c r="AA157">
        <v>1</v>
      </c>
      <c r="AB157" t="s">
        <v>39</v>
      </c>
      <c r="AC157">
        <v>13</v>
      </c>
      <c r="AD157">
        <v>3</v>
      </c>
      <c r="AE157" t="str" cm="1">
        <f t="array" ref="AE157">_xlfn.IFS(AD157=1,"Low",AD157=2,"Good",AD157=3,"Excellent",AD157=4,"Outstanding")</f>
        <v>Excellent</v>
      </c>
      <c r="AF157">
        <v>1</v>
      </c>
      <c r="AG157" t="str" cm="1">
        <f t="array" ref="AG157">_xlfn.IFS(AF157=1,"Low",AF157=2,"Medium",AF157=3,"High",AF157=4,"Very High")</f>
        <v>Low</v>
      </c>
      <c r="AH157">
        <v>1</v>
      </c>
      <c r="AI157">
        <v>10</v>
      </c>
      <c r="AJ157">
        <v>1</v>
      </c>
      <c r="AK157">
        <v>3</v>
      </c>
      <c r="AL157" t="str" cm="1">
        <f t="array" ref="AL157">_xlfn.IFS(AK157=1,"Low",AK157=2,"Medium",AK157=3,"High",AK157=4,"Very High")</f>
        <v>High</v>
      </c>
      <c r="AM157">
        <v>10</v>
      </c>
      <c r="AN157">
        <v>7</v>
      </c>
      <c r="AO157">
        <v>0</v>
      </c>
      <c r="AP157">
        <v>9</v>
      </c>
    </row>
    <row r="158" spans="1:42">
      <c r="A158">
        <v>51</v>
      </c>
      <c r="B158" t="str" cm="1">
        <f t="array" ref="B158">_xlfn.IFS(A158&lt;=25,"18-25",A158&lt;=35,"26-35",A158&lt;=45,"36-45",A158&lt;=55,"46-55",A158&gt;55,"56+")</f>
        <v>46-55</v>
      </c>
      <c r="C158" t="s">
        <v>39</v>
      </c>
      <c r="D158" t="s">
        <v>33</v>
      </c>
      <c r="E158" s="2">
        <v>1169</v>
      </c>
      <c r="F158" t="s">
        <v>41</v>
      </c>
      <c r="G158">
        <v>7</v>
      </c>
      <c r="H158" t="str">
        <f t="shared" si="2"/>
        <v>1-10 km</v>
      </c>
      <c r="I158">
        <v>4</v>
      </c>
      <c r="J158" t="str" cm="1">
        <f t="array" ref="J158">_xlfn.IFS(I158=1,"Below College",I158=2,"College",I158=3,"Bachelor",I158=4,"Master",I158=5,"Doctor")</f>
        <v>Master</v>
      </c>
      <c r="K158" t="s">
        <v>47</v>
      </c>
      <c r="L158">
        <v>211</v>
      </c>
      <c r="M158">
        <v>2</v>
      </c>
      <c r="N158" t="str" cm="1">
        <f t="array" ref="N158">_xlfn.IFS(M158=1,"Low",M158=2,"Medium",M158=3,"High",M158=4,"Very High")</f>
        <v>Medium</v>
      </c>
      <c r="O158" t="s">
        <v>42</v>
      </c>
      <c r="P158" s="2">
        <v>34</v>
      </c>
      <c r="Q158">
        <v>2</v>
      </c>
      <c r="R158" t="str" cm="1">
        <f t="array" ref="R158">_xlfn.IFS(Q158=1,"Low",Q158=2,"Medium",Q158=3,"High",Q158=4,"Very High")</f>
        <v>Medium</v>
      </c>
      <c r="S158">
        <v>2</v>
      </c>
      <c r="T158" t="str" cm="1">
        <f t="array" ref="T158">_xlfn.IFS(S158=1,"Entry Level",S158=2,"Junior",S158=3,"Mid-Level",S158=4,"Senior",S158=5,"Executive")</f>
        <v>Junior</v>
      </c>
      <c r="U158" t="s">
        <v>49</v>
      </c>
      <c r="V158">
        <v>3</v>
      </c>
      <c r="W158" t="str" cm="1">
        <f t="array" ref="W158">_xlfn.IFS(V158=1,"Low",V158=2,"Medium",V158=3,"High",V158=4,"Very High")</f>
        <v>High</v>
      </c>
      <c r="X158" t="s">
        <v>44</v>
      </c>
      <c r="Y158" s="2">
        <v>6132</v>
      </c>
      <c r="Z158" s="2">
        <v>13983</v>
      </c>
      <c r="AA158">
        <v>2</v>
      </c>
      <c r="AB158" t="s">
        <v>39</v>
      </c>
      <c r="AC158">
        <v>17</v>
      </c>
      <c r="AD158">
        <v>3</v>
      </c>
      <c r="AE158" t="str" cm="1">
        <f t="array" ref="AE158">_xlfn.IFS(AD158=1,"Low",AD158=2,"Good",AD158=3,"Excellent",AD158=4,"Outstanding")</f>
        <v>Excellent</v>
      </c>
      <c r="AF158">
        <v>3</v>
      </c>
      <c r="AG158" t="str" cm="1">
        <f t="array" ref="AG158">_xlfn.IFS(AF158=1,"Low",AF158=2,"Medium",AF158=3,"High",AF158=4,"Very High")</f>
        <v>High</v>
      </c>
      <c r="AH158">
        <v>0</v>
      </c>
      <c r="AI158">
        <v>10</v>
      </c>
      <c r="AJ158">
        <v>2</v>
      </c>
      <c r="AK158">
        <v>3</v>
      </c>
      <c r="AL158" t="str" cm="1">
        <f t="array" ref="AL158">_xlfn.IFS(AK158=1,"Low",AK158=2,"Medium",AK158=3,"High",AK158=4,"Very High")</f>
        <v>High</v>
      </c>
      <c r="AM158">
        <v>1</v>
      </c>
      <c r="AN158">
        <v>0</v>
      </c>
      <c r="AO158">
        <v>0</v>
      </c>
      <c r="AP158">
        <v>0</v>
      </c>
    </row>
    <row r="159" spans="1:42">
      <c r="A159">
        <v>58</v>
      </c>
      <c r="B159" t="str" cm="1">
        <f t="array" ref="B159">_xlfn.IFS(A159&lt;=25,"18-25",A159&lt;=35,"26-35",A159&lt;=45,"36-45",A159&lt;=55,"46-55",A159&gt;55,"56+")</f>
        <v>56+</v>
      </c>
      <c r="C159" t="s">
        <v>39</v>
      </c>
      <c r="D159" t="s">
        <v>33</v>
      </c>
      <c r="E159" s="2">
        <v>1145</v>
      </c>
      <c r="F159" t="s">
        <v>41</v>
      </c>
      <c r="G159">
        <v>9</v>
      </c>
      <c r="H159" t="str">
        <f t="shared" si="2"/>
        <v>1-10 km</v>
      </c>
      <c r="I159">
        <v>3</v>
      </c>
      <c r="J159" t="str" cm="1">
        <f t="array" ref="J159">_xlfn.IFS(I159=1,"Below College",I159=2,"College",I159=3,"Bachelor",I159=4,"Master",I159=5,"Doctor")</f>
        <v>Bachelor</v>
      </c>
      <c r="K159" t="s">
        <v>47</v>
      </c>
      <c r="L159">
        <v>214</v>
      </c>
      <c r="M159">
        <v>2</v>
      </c>
      <c r="N159" t="str" cm="1">
        <f t="array" ref="N159">_xlfn.IFS(M159=1,"Low",M159=2,"Medium",M159=3,"High",M159=4,"Very High")</f>
        <v>Medium</v>
      </c>
      <c r="O159" t="s">
        <v>36</v>
      </c>
      <c r="P159" s="2">
        <v>75</v>
      </c>
      <c r="Q159">
        <v>2</v>
      </c>
      <c r="R159" t="str" cm="1">
        <f t="array" ref="R159">_xlfn.IFS(Q159=1,"Low",Q159=2,"Medium",Q159=3,"High",Q159=4,"Very High")</f>
        <v>Medium</v>
      </c>
      <c r="S159">
        <v>1</v>
      </c>
      <c r="T159" t="str" cm="1">
        <f t="array" ref="T159">_xlfn.IFS(S159=1,"Entry Level",S159=2,"Junior",S159=3,"Mid-Level",S159=4,"Senior",S159=5,"Executive")</f>
        <v>Entry Level</v>
      </c>
      <c r="U159" t="s">
        <v>43</v>
      </c>
      <c r="V159">
        <v>2</v>
      </c>
      <c r="W159" t="str" cm="1">
        <f t="array" ref="W159">_xlfn.IFS(V159=1,"Low",V159=2,"Medium",V159=3,"High",V159=4,"Very High")</f>
        <v>Medium</v>
      </c>
      <c r="X159" t="s">
        <v>44</v>
      </c>
      <c r="Y159" s="2">
        <v>3346</v>
      </c>
      <c r="Z159" s="2">
        <v>11873</v>
      </c>
      <c r="AA159">
        <v>4</v>
      </c>
      <c r="AB159" t="s">
        <v>32</v>
      </c>
      <c r="AC159">
        <v>20</v>
      </c>
      <c r="AD159">
        <v>4</v>
      </c>
      <c r="AE159" t="str" cm="1">
        <f t="array" ref="AE159">_xlfn.IFS(AD159=1,"Low",AD159=2,"Good",AD159=3,"Excellent",AD159=4,"Outstanding")</f>
        <v>Outstanding</v>
      </c>
      <c r="AF159">
        <v>2</v>
      </c>
      <c r="AG159" t="str" cm="1">
        <f t="array" ref="AG159">_xlfn.IFS(AF159=1,"Low",AF159=2,"Medium",AF159=3,"High",AF159=4,"Very High")</f>
        <v>Medium</v>
      </c>
      <c r="AH159">
        <v>1</v>
      </c>
      <c r="AI159">
        <v>9</v>
      </c>
      <c r="AJ159">
        <v>3</v>
      </c>
      <c r="AK159">
        <v>2</v>
      </c>
      <c r="AL159" t="str" cm="1">
        <f t="array" ref="AL159">_xlfn.IFS(AK159=1,"Low",AK159=2,"Medium",AK159=3,"High",AK159=4,"Very High")</f>
        <v>Medium</v>
      </c>
      <c r="AM159">
        <v>1</v>
      </c>
      <c r="AN159">
        <v>0</v>
      </c>
      <c r="AO159">
        <v>0</v>
      </c>
      <c r="AP159">
        <v>0</v>
      </c>
    </row>
    <row r="160" spans="1:42">
      <c r="A160">
        <v>40</v>
      </c>
      <c r="B160" t="str" cm="1">
        <f t="array" ref="B160">_xlfn.IFS(A160&lt;=25,"18-25",A160&lt;=35,"26-35",A160&lt;=45,"36-45",A160&lt;=55,"46-55",A160&gt;55,"56+")</f>
        <v>36-45</v>
      </c>
      <c r="C160" t="s">
        <v>39</v>
      </c>
      <c r="D160" t="s">
        <v>33</v>
      </c>
      <c r="E160" s="2">
        <v>630</v>
      </c>
      <c r="F160" t="s">
        <v>34</v>
      </c>
      <c r="G160">
        <v>4</v>
      </c>
      <c r="H160" t="str">
        <f t="shared" si="2"/>
        <v>1-10 km</v>
      </c>
      <c r="I160">
        <v>4</v>
      </c>
      <c r="J160" t="str" cm="1">
        <f t="array" ref="J160">_xlfn.IFS(I160=1,"Below College",I160=2,"College",I160=3,"Bachelor",I160=4,"Master",I160=5,"Doctor")</f>
        <v>Master</v>
      </c>
      <c r="K160" t="s">
        <v>55</v>
      </c>
      <c r="L160">
        <v>215</v>
      </c>
      <c r="M160">
        <v>3</v>
      </c>
      <c r="N160" t="str" cm="1">
        <f t="array" ref="N160">_xlfn.IFS(M160=1,"Low",M160=2,"Medium",M160=3,"High",M160=4,"Very High")</f>
        <v>High</v>
      </c>
      <c r="O160" t="s">
        <v>42</v>
      </c>
      <c r="P160" s="2">
        <v>67</v>
      </c>
      <c r="Q160">
        <v>2</v>
      </c>
      <c r="R160" t="str" cm="1">
        <f t="array" ref="R160">_xlfn.IFS(Q160=1,"Low",Q160=2,"Medium",Q160=3,"High",Q160=4,"Very High")</f>
        <v>Medium</v>
      </c>
      <c r="S160">
        <v>3</v>
      </c>
      <c r="T160" t="str" cm="1">
        <f t="array" ref="T160">_xlfn.IFS(S160=1,"Entry Level",S160=2,"Junior",S160=3,"Mid-Level",S160=4,"Senior",S160=5,"Executive")</f>
        <v>Mid-Level</v>
      </c>
      <c r="U160" t="s">
        <v>37</v>
      </c>
      <c r="V160">
        <v>4</v>
      </c>
      <c r="W160" t="str" cm="1">
        <f t="array" ref="W160">_xlfn.IFS(V160=1,"Low",V160=2,"Medium",V160=3,"High",V160=4,"Very High")</f>
        <v>Very High</v>
      </c>
      <c r="X160" t="s">
        <v>44</v>
      </c>
      <c r="Y160" s="2">
        <v>10855</v>
      </c>
      <c r="Z160" s="2">
        <v>8552</v>
      </c>
      <c r="AA160">
        <v>7</v>
      </c>
      <c r="AB160" t="s">
        <v>39</v>
      </c>
      <c r="AC160">
        <v>11</v>
      </c>
      <c r="AD160">
        <v>3</v>
      </c>
      <c r="AE160" t="str" cm="1">
        <f t="array" ref="AE160">_xlfn.IFS(AD160=1,"Low",AD160=2,"Good",AD160=3,"Excellent",AD160=4,"Outstanding")</f>
        <v>Excellent</v>
      </c>
      <c r="AF160">
        <v>1</v>
      </c>
      <c r="AG160" t="str" cm="1">
        <f t="array" ref="AG160">_xlfn.IFS(AF160=1,"Low",AF160=2,"Medium",AF160=3,"High",AF160=4,"Very High")</f>
        <v>Low</v>
      </c>
      <c r="AH160">
        <v>1</v>
      </c>
      <c r="AI160">
        <v>15</v>
      </c>
      <c r="AJ160">
        <v>2</v>
      </c>
      <c r="AK160">
        <v>2</v>
      </c>
      <c r="AL160" t="str" cm="1">
        <f t="array" ref="AL160">_xlfn.IFS(AK160=1,"Low",AK160=2,"Medium",AK160=3,"High",AK160=4,"Very High")</f>
        <v>Medium</v>
      </c>
      <c r="AM160">
        <v>12</v>
      </c>
      <c r="AN160">
        <v>11</v>
      </c>
      <c r="AO160">
        <v>2</v>
      </c>
      <c r="AP160">
        <v>11</v>
      </c>
    </row>
    <row r="161" spans="1:42">
      <c r="A161">
        <v>34</v>
      </c>
      <c r="B161" t="str" cm="1">
        <f t="array" ref="B161">_xlfn.IFS(A161&lt;=25,"18-25",A161&lt;=35,"26-35",A161&lt;=45,"36-45",A161&lt;=55,"46-55",A161&gt;55,"56+")</f>
        <v>26-35</v>
      </c>
      <c r="C161" t="s">
        <v>39</v>
      </c>
      <c r="D161" t="s">
        <v>40</v>
      </c>
      <c r="E161" s="2">
        <v>303</v>
      </c>
      <c r="F161" t="s">
        <v>34</v>
      </c>
      <c r="G161">
        <v>2</v>
      </c>
      <c r="H161" t="str">
        <f t="shared" si="2"/>
        <v>1-10 km</v>
      </c>
      <c r="I161">
        <v>4</v>
      </c>
      <c r="J161" t="str" cm="1">
        <f t="array" ref="J161">_xlfn.IFS(I161=1,"Below College",I161=2,"College",I161=3,"Bachelor",I161=4,"Master",I161=5,"Doctor")</f>
        <v>Master</v>
      </c>
      <c r="K161" t="s">
        <v>55</v>
      </c>
      <c r="L161">
        <v>216</v>
      </c>
      <c r="M161">
        <v>3</v>
      </c>
      <c r="N161" t="str" cm="1">
        <f t="array" ref="N161">_xlfn.IFS(M161=1,"Low",M161=2,"Medium",M161=3,"High",M161=4,"Very High")</f>
        <v>High</v>
      </c>
      <c r="O161" t="s">
        <v>36</v>
      </c>
      <c r="P161" s="2">
        <v>75</v>
      </c>
      <c r="Q161">
        <v>3</v>
      </c>
      <c r="R161" t="str" cm="1">
        <f t="array" ref="R161">_xlfn.IFS(Q161=1,"Low",Q161=2,"Medium",Q161=3,"High",Q161=4,"Very High")</f>
        <v>High</v>
      </c>
      <c r="S161">
        <v>1</v>
      </c>
      <c r="T161" t="str" cm="1">
        <f t="array" ref="T161">_xlfn.IFS(S161=1,"Entry Level",S161=2,"Junior",S161=3,"Mid-Level",S161=4,"Senior",S161=5,"Executive")</f>
        <v>Entry Level</v>
      </c>
      <c r="U161" t="s">
        <v>53</v>
      </c>
      <c r="V161">
        <v>3</v>
      </c>
      <c r="W161" t="str" cm="1">
        <f t="array" ref="W161">_xlfn.IFS(V161=1,"Low",V161=2,"Medium",V161=3,"High",V161=4,"Very High")</f>
        <v>High</v>
      </c>
      <c r="X161" t="s">
        <v>44</v>
      </c>
      <c r="Y161" s="2">
        <v>2231</v>
      </c>
      <c r="Z161" s="2">
        <v>11314</v>
      </c>
      <c r="AA161">
        <v>6</v>
      </c>
      <c r="AB161" t="s">
        <v>39</v>
      </c>
      <c r="AC161">
        <v>18</v>
      </c>
      <c r="AD161">
        <v>3</v>
      </c>
      <c r="AE161" t="str" cm="1">
        <f t="array" ref="AE161">_xlfn.IFS(AD161=1,"Low",AD161=2,"Good",AD161=3,"Excellent",AD161=4,"Outstanding")</f>
        <v>Excellent</v>
      </c>
      <c r="AF161">
        <v>4</v>
      </c>
      <c r="AG161" t="str" cm="1">
        <f t="array" ref="AG161">_xlfn.IFS(AF161=1,"Low",AF161=2,"Medium",AF161=3,"High",AF161=4,"Very High")</f>
        <v>Very High</v>
      </c>
      <c r="AH161">
        <v>1</v>
      </c>
      <c r="AI161">
        <v>6</v>
      </c>
      <c r="AJ161">
        <v>3</v>
      </c>
      <c r="AK161">
        <v>3</v>
      </c>
      <c r="AL161" t="str" cm="1">
        <f t="array" ref="AL161">_xlfn.IFS(AK161=1,"Low",AK161=2,"Medium",AK161=3,"High",AK161=4,"Very High")</f>
        <v>High</v>
      </c>
      <c r="AM161">
        <v>4</v>
      </c>
      <c r="AN161">
        <v>3</v>
      </c>
      <c r="AO161">
        <v>1</v>
      </c>
      <c r="AP161">
        <v>2</v>
      </c>
    </row>
    <row r="162" spans="1:42">
      <c r="A162">
        <v>22</v>
      </c>
      <c r="B162" t="str" cm="1">
        <f t="array" ref="B162">_xlfn.IFS(A162&lt;=25,"18-25",A162&lt;=35,"26-35",A162&lt;=45,"36-45",A162&lt;=55,"46-55",A162&gt;55,"56+")</f>
        <v>18-25</v>
      </c>
      <c r="C162" t="s">
        <v>39</v>
      </c>
      <c r="D162" t="s">
        <v>33</v>
      </c>
      <c r="E162" s="2">
        <v>1256</v>
      </c>
      <c r="F162" t="s">
        <v>41</v>
      </c>
      <c r="G162">
        <v>19</v>
      </c>
      <c r="H162" t="str">
        <f t="shared" si="2"/>
        <v>11-20 km</v>
      </c>
      <c r="I162">
        <v>1</v>
      </c>
      <c r="J162" t="str" cm="1">
        <f t="array" ref="J162">_xlfn.IFS(I162=1,"Below College",I162=2,"College",I162=3,"Bachelor",I162=4,"Master",I162=5,"Doctor")</f>
        <v>Below College</v>
      </c>
      <c r="K162" t="s">
        <v>47</v>
      </c>
      <c r="L162">
        <v>217</v>
      </c>
      <c r="M162">
        <v>3</v>
      </c>
      <c r="N162" t="str" cm="1">
        <f t="array" ref="N162">_xlfn.IFS(M162=1,"Low",M162=2,"Medium",M162=3,"High",M162=4,"Very High")</f>
        <v>High</v>
      </c>
      <c r="O162" t="s">
        <v>42</v>
      </c>
      <c r="P162" s="2">
        <v>80</v>
      </c>
      <c r="Q162">
        <v>3</v>
      </c>
      <c r="R162" t="str" cm="1">
        <f t="array" ref="R162">_xlfn.IFS(Q162=1,"Low",Q162=2,"Medium",Q162=3,"High",Q162=4,"Very High")</f>
        <v>High</v>
      </c>
      <c r="S162">
        <v>1</v>
      </c>
      <c r="T162" t="str" cm="1">
        <f t="array" ref="T162">_xlfn.IFS(S162=1,"Entry Level",S162=2,"Junior",S162=3,"Mid-Level",S162=4,"Senior",S162=5,"Executive")</f>
        <v>Entry Level</v>
      </c>
      <c r="U162" t="s">
        <v>43</v>
      </c>
      <c r="V162">
        <v>4</v>
      </c>
      <c r="W162" t="str" cm="1">
        <f t="array" ref="W162">_xlfn.IFS(V162=1,"Low",V162=2,"Medium",V162=3,"High",V162=4,"Very High")</f>
        <v>Very High</v>
      </c>
      <c r="X162" t="s">
        <v>44</v>
      </c>
      <c r="Y162" s="2">
        <v>2323</v>
      </c>
      <c r="Z162" s="2">
        <v>11992</v>
      </c>
      <c r="AA162">
        <v>1</v>
      </c>
      <c r="AB162" t="s">
        <v>39</v>
      </c>
      <c r="AC162">
        <v>24</v>
      </c>
      <c r="AD162">
        <v>4</v>
      </c>
      <c r="AE162" t="str" cm="1">
        <f t="array" ref="AE162">_xlfn.IFS(AD162=1,"Low",AD162=2,"Good",AD162=3,"Excellent",AD162=4,"Outstanding")</f>
        <v>Outstanding</v>
      </c>
      <c r="AF162">
        <v>1</v>
      </c>
      <c r="AG162" t="str" cm="1">
        <f t="array" ref="AG162">_xlfn.IFS(AF162=1,"Low",AF162=2,"Medium",AF162=3,"High",AF162=4,"Very High")</f>
        <v>Low</v>
      </c>
      <c r="AH162">
        <v>2</v>
      </c>
      <c r="AI162">
        <v>2</v>
      </c>
      <c r="AJ162">
        <v>6</v>
      </c>
      <c r="AK162">
        <v>3</v>
      </c>
      <c r="AL162" t="str" cm="1">
        <f t="array" ref="AL162">_xlfn.IFS(AK162=1,"Low",AK162=2,"Medium",AK162=3,"High",AK162=4,"Very High")</f>
        <v>High</v>
      </c>
      <c r="AM162">
        <v>2</v>
      </c>
      <c r="AN162">
        <v>2</v>
      </c>
      <c r="AO162">
        <v>2</v>
      </c>
      <c r="AP162">
        <v>2</v>
      </c>
    </row>
    <row r="163" spans="1:42">
      <c r="A163">
        <v>27</v>
      </c>
      <c r="B163" t="str" cm="1">
        <f t="array" ref="B163">_xlfn.IFS(A163&lt;=25,"18-25",A163&lt;=35,"26-35",A163&lt;=45,"36-45",A163&lt;=55,"46-55",A163&gt;55,"56+")</f>
        <v>26-35</v>
      </c>
      <c r="C163" t="s">
        <v>39</v>
      </c>
      <c r="D163" t="s">
        <v>51</v>
      </c>
      <c r="E163" s="2">
        <v>691</v>
      </c>
      <c r="F163" t="s">
        <v>41</v>
      </c>
      <c r="G163">
        <v>9</v>
      </c>
      <c r="H163" t="str">
        <f t="shared" si="2"/>
        <v>1-10 km</v>
      </c>
      <c r="I163">
        <v>3</v>
      </c>
      <c r="J163" t="str" cm="1">
        <f t="array" ref="J163">_xlfn.IFS(I163=1,"Below College",I163=2,"College",I163=3,"Bachelor",I163=4,"Master",I163=5,"Doctor")</f>
        <v>Bachelor</v>
      </c>
      <c r="K163" t="s">
        <v>47</v>
      </c>
      <c r="L163">
        <v>218</v>
      </c>
      <c r="M163">
        <v>4</v>
      </c>
      <c r="N163" t="str" cm="1">
        <f t="array" ref="N163">_xlfn.IFS(M163=1,"Low",M163=2,"Medium",M163=3,"High",M163=4,"Very High")</f>
        <v>Very High</v>
      </c>
      <c r="O163" t="s">
        <v>42</v>
      </c>
      <c r="P163" s="2">
        <v>57</v>
      </c>
      <c r="Q163">
        <v>3</v>
      </c>
      <c r="R163" t="str" cm="1">
        <f t="array" ref="R163">_xlfn.IFS(Q163=1,"Low",Q163=2,"Medium",Q163=3,"High",Q163=4,"Very High")</f>
        <v>High</v>
      </c>
      <c r="S163">
        <v>1</v>
      </c>
      <c r="T163" t="str" cm="1">
        <f t="array" ref="T163">_xlfn.IFS(S163=1,"Entry Level",S163=2,"Junior",S163=3,"Mid-Level",S163=4,"Senior",S163=5,"Executive")</f>
        <v>Entry Level</v>
      </c>
      <c r="U163" t="s">
        <v>43</v>
      </c>
      <c r="V163">
        <v>2</v>
      </c>
      <c r="W163" t="str" cm="1">
        <f t="array" ref="W163">_xlfn.IFS(V163=1,"Low",V163=2,"Medium",V163=3,"High",V163=4,"Very High")</f>
        <v>Medium</v>
      </c>
      <c r="X163" t="s">
        <v>48</v>
      </c>
      <c r="Y163" s="2">
        <v>2024</v>
      </c>
      <c r="Z163" s="2">
        <v>5970</v>
      </c>
      <c r="AA163">
        <v>6</v>
      </c>
      <c r="AB163" t="s">
        <v>39</v>
      </c>
      <c r="AC163">
        <v>18</v>
      </c>
      <c r="AD163">
        <v>3</v>
      </c>
      <c r="AE163" t="str" cm="1">
        <f t="array" ref="AE163">_xlfn.IFS(AD163=1,"Low",AD163=2,"Good",AD163=3,"Excellent",AD163=4,"Outstanding")</f>
        <v>Excellent</v>
      </c>
      <c r="AF163">
        <v>4</v>
      </c>
      <c r="AG163" t="str" cm="1">
        <f t="array" ref="AG163">_xlfn.IFS(AF163=1,"Low",AF163=2,"Medium",AF163=3,"High",AF163=4,"Very High")</f>
        <v>Very High</v>
      </c>
      <c r="AH163">
        <v>1</v>
      </c>
      <c r="AI163">
        <v>6</v>
      </c>
      <c r="AJ163">
        <v>1</v>
      </c>
      <c r="AK163">
        <v>1</v>
      </c>
      <c r="AL163" t="str" cm="1">
        <f t="array" ref="AL163">_xlfn.IFS(AK163=1,"Low",AK163=2,"Medium",AK163=3,"High",AK163=4,"Very High")</f>
        <v>Low</v>
      </c>
      <c r="AM163">
        <v>2</v>
      </c>
      <c r="AN163">
        <v>2</v>
      </c>
      <c r="AO163">
        <v>2</v>
      </c>
      <c r="AP163">
        <v>2</v>
      </c>
    </row>
    <row r="164" spans="1:42">
      <c r="A164">
        <v>28</v>
      </c>
      <c r="B164" t="str" cm="1">
        <f t="array" ref="B164">_xlfn.IFS(A164&lt;=25,"18-25",A164&lt;=35,"26-35",A164&lt;=45,"36-45",A164&lt;=55,"46-55",A164&gt;55,"56+")</f>
        <v>26-35</v>
      </c>
      <c r="C164" t="s">
        <v>39</v>
      </c>
      <c r="D164" t="s">
        <v>33</v>
      </c>
      <c r="E164" s="2">
        <v>440</v>
      </c>
      <c r="F164" t="s">
        <v>41</v>
      </c>
      <c r="G164">
        <v>21</v>
      </c>
      <c r="H164" t="str">
        <f t="shared" si="2"/>
        <v>21-30 km</v>
      </c>
      <c r="I164">
        <v>3</v>
      </c>
      <c r="J164" t="str" cm="1">
        <f t="array" ref="J164">_xlfn.IFS(I164=1,"Below College",I164=2,"College",I164=3,"Bachelor",I164=4,"Master",I164=5,"Doctor")</f>
        <v>Bachelor</v>
      </c>
      <c r="K164" t="s">
        <v>47</v>
      </c>
      <c r="L164">
        <v>221</v>
      </c>
      <c r="M164">
        <v>3</v>
      </c>
      <c r="N164" t="str" cm="1">
        <f t="array" ref="N164">_xlfn.IFS(M164=1,"Low",M164=2,"Medium",M164=3,"High",M164=4,"Very High")</f>
        <v>High</v>
      </c>
      <c r="O164" t="s">
        <v>42</v>
      </c>
      <c r="P164" s="2">
        <v>42</v>
      </c>
      <c r="Q164">
        <v>3</v>
      </c>
      <c r="R164" t="str" cm="1">
        <f t="array" ref="R164">_xlfn.IFS(Q164=1,"Low",Q164=2,"Medium",Q164=3,"High",Q164=4,"Very High")</f>
        <v>High</v>
      </c>
      <c r="S164">
        <v>1</v>
      </c>
      <c r="T164" t="str" cm="1">
        <f t="array" ref="T164">_xlfn.IFS(S164=1,"Entry Level",S164=2,"Junior",S164=3,"Mid-Level",S164=4,"Senior",S164=5,"Executive")</f>
        <v>Entry Level</v>
      </c>
      <c r="U164" t="s">
        <v>43</v>
      </c>
      <c r="V164">
        <v>4</v>
      </c>
      <c r="W164" t="str" cm="1">
        <f t="array" ref="W164">_xlfn.IFS(V164=1,"Low",V164=2,"Medium",V164=3,"High",V164=4,"Very High")</f>
        <v>Very High</v>
      </c>
      <c r="X164" t="s">
        <v>44</v>
      </c>
      <c r="Y164" s="2">
        <v>2713</v>
      </c>
      <c r="Z164" s="2">
        <v>6672</v>
      </c>
      <c r="AA164">
        <v>1</v>
      </c>
      <c r="AB164" t="s">
        <v>39</v>
      </c>
      <c r="AC164">
        <v>11</v>
      </c>
      <c r="AD164">
        <v>3</v>
      </c>
      <c r="AE164" t="str" cm="1">
        <f t="array" ref="AE164">_xlfn.IFS(AD164=1,"Low",AD164=2,"Good",AD164=3,"Excellent",AD164=4,"Outstanding")</f>
        <v>Excellent</v>
      </c>
      <c r="AF164">
        <v>3</v>
      </c>
      <c r="AG164" t="str" cm="1">
        <f t="array" ref="AG164">_xlfn.IFS(AF164=1,"Low",AF164=2,"Medium",AF164=3,"High",AF164=4,"Very High")</f>
        <v>High</v>
      </c>
      <c r="AH164">
        <v>1</v>
      </c>
      <c r="AI164">
        <v>5</v>
      </c>
      <c r="AJ164">
        <v>2</v>
      </c>
      <c r="AK164">
        <v>1</v>
      </c>
      <c r="AL164" t="str" cm="1">
        <f t="array" ref="AL164">_xlfn.IFS(AK164=1,"Low",AK164=2,"Medium",AK164=3,"High",AK164=4,"Very High")</f>
        <v>Low</v>
      </c>
      <c r="AM164">
        <v>5</v>
      </c>
      <c r="AN164">
        <v>2</v>
      </c>
      <c r="AO164">
        <v>0</v>
      </c>
      <c r="AP164">
        <v>2</v>
      </c>
    </row>
    <row r="165" spans="1:42">
      <c r="A165">
        <v>57</v>
      </c>
      <c r="B165" t="str" cm="1">
        <f t="array" ref="B165">_xlfn.IFS(A165&lt;=25,"18-25",A165&lt;=35,"26-35",A165&lt;=45,"36-45",A165&lt;=55,"46-55",A165&gt;55,"56+")</f>
        <v>56+</v>
      </c>
      <c r="C165" t="s">
        <v>39</v>
      </c>
      <c r="D165" t="s">
        <v>33</v>
      </c>
      <c r="E165" s="2">
        <v>334</v>
      </c>
      <c r="F165" t="s">
        <v>41</v>
      </c>
      <c r="G165">
        <v>24</v>
      </c>
      <c r="H165" t="str">
        <f t="shared" si="2"/>
        <v>21-30 km</v>
      </c>
      <c r="I165">
        <v>2</v>
      </c>
      <c r="J165" t="str" cm="1">
        <f t="array" ref="J165">_xlfn.IFS(I165=1,"Below College",I165=2,"College",I165=3,"Bachelor",I165=4,"Master",I165=5,"Doctor")</f>
        <v>College</v>
      </c>
      <c r="K165" t="s">
        <v>35</v>
      </c>
      <c r="L165">
        <v>223</v>
      </c>
      <c r="M165">
        <v>3</v>
      </c>
      <c r="N165" t="str" cm="1">
        <f t="array" ref="N165">_xlfn.IFS(M165=1,"Low",M165=2,"Medium",M165=3,"High",M165=4,"Very High")</f>
        <v>High</v>
      </c>
      <c r="O165" t="s">
        <v>42</v>
      </c>
      <c r="P165" s="2">
        <v>83</v>
      </c>
      <c r="Q165">
        <v>4</v>
      </c>
      <c r="R165" t="str" cm="1">
        <f t="array" ref="R165">_xlfn.IFS(Q165=1,"Low",Q165=2,"Medium",Q165=3,"High",Q165=4,"Very High")</f>
        <v>Very High</v>
      </c>
      <c r="S165">
        <v>3</v>
      </c>
      <c r="T165" t="str" cm="1">
        <f t="array" ref="T165">_xlfn.IFS(S165=1,"Entry Level",S165=2,"Junior",S165=3,"Mid-Level",S165=4,"Senior",S165=5,"Executive")</f>
        <v>Mid-Level</v>
      </c>
      <c r="U165" t="s">
        <v>50</v>
      </c>
      <c r="V165">
        <v>4</v>
      </c>
      <c r="W165" t="str" cm="1">
        <f t="array" ref="W165">_xlfn.IFS(V165=1,"Low",V165=2,"Medium",V165=3,"High",V165=4,"Very High")</f>
        <v>Very High</v>
      </c>
      <c r="X165" t="s">
        <v>48</v>
      </c>
      <c r="Y165" s="2">
        <v>9439</v>
      </c>
      <c r="Z165" s="2">
        <v>23402</v>
      </c>
      <c r="AA165">
        <v>3</v>
      </c>
      <c r="AB165" t="s">
        <v>32</v>
      </c>
      <c r="AC165">
        <v>16</v>
      </c>
      <c r="AD165">
        <v>3</v>
      </c>
      <c r="AE165" t="str" cm="1">
        <f t="array" ref="AE165">_xlfn.IFS(AD165=1,"Low",AD165=2,"Good",AD165=3,"Excellent",AD165=4,"Outstanding")</f>
        <v>Excellent</v>
      </c>
      <c r="AF165">
        <v>2</v>
      </c>
      <c r="AG165" t="str" cm="1">
        <f t="array" ref="AG165">_xlfn.IFS(AF165=1,"Low",AF165=2,"Medium",AF165=3,"High",AF165=4,"Very High")</f>
        <v>Medium</v>
      </c>
      <c r="AH165">
        <v>1</v>
      </c>
      <c r="AI165">
        <v>12</v>
      </c>
      <c r="AJ165">
        <v>2</v>
      </c>
      <c r="AK165">
        <v>1</v>
      </c>
      <c r="AL165" t="str" cm="1">
        <f t="array" ref="AL165">_xlfn.IFS(AK165=1,"Low",AK165=2,"Medium",AK165=3,"High",AK165=4,"Very High")</f>
        <v>Low</v>
      </c>
      <c r="AM165">
        <v>5</v>
      </c>
      <c r="AN165">
        <v>3</v>
      </c>
      <c r="AO165">
        <v>1</v>
      </c>
      <c r="AP165">
        <v>4</v>
      </c>
    </row>
    <row r="166" spans="1:42">
      <c r="A166">
        <v>27</v>
      </c>
      <c r="B166" t="str" cm="1">
        <f t="array" ref="B166">_xlfn.IFS(A166&lt;=25,"18-25",A166&lt;=35,"26-35",A166&lt;=45,"36-45",A166&lt;=55,"46-55",A166&gt;55,"56+")</f>
        <v>26-35</v>
      </c>
      <c r="C166" t="s">
        <v>39</v>
      </c>
      <c r="D166" t="s">
        <v>51</v>
      </c>
      <c r="E166" s="2">
        <v>1450</v>
      </c>
      <c r="F166" t="s">
        <v>41</v>
      </c>
      <c r="G166">
        <v>3</v>
      </c>
      <c r="H166" t="str">
        <f t="shared" si="2"/>
        <v>1-10 km</v>
      </c>
      <c r="I166">
        <v>3</v>
      </c>
      <c r="J166" t="str" cm="1">
        <f t="array" ref="J166">_xlfn.IFS(I166=1,"Below College",I166=2,"College",I166=3,"Bachelor",I166=4,"Master",I166=5,"Doctor")</f>
        <v>Bachelor</v>
      </c>
      <c r="K166" t="s">
        <v>47</v>
      </c>
      <c r="L166">
        <v>224</v>
      </c>
      <c r="M166">
        <v>3</v>
      </c>
      <c r="N166" t="str" cm="1">
        <f t="array" ref="N166">_xlfn.IFS(M166=1,"Low",M166=2,"Medium",M166=3,"High",M166=4,"Very High")</f>
        <v>High</v>
      </c>
      <c r="O166" t="s">
        <v>42</v>
      </c>
      <c r="P166" s="2">
        <v>79</v>
      </c>
      <c r="Q166">
        <v>2</v>
      </c>
      <c r="R166" t="str" cm="1">
        <f t="array" ref="R166">_xlfn.IFS(Q166=1,"Low",Q166=2,"Medium",Q166=3,"High",Q166=4,"Very High")</f>
        <v>Medium</v>
      </c>
      <c r="S166">
        <v>1</v>
      </c>
      <c r="T166" t="str" cm="1">
        <f t="array" ref="T166">_xlfn.IFS(S166=1,"Entry Level",S166=2,"Junior",S166=3,"Mid-Level",S166=4,"Senior",S166=5,"Executive")</f>
        <v>Entry Level</v>
      </c>
      <c r="U166" t="s">
        <v>43</v>
      </c>
      <c r="V166">
        <v>3</v>
      </c>
      <c r="W166" t="str" cm="1">
        <f t="array" ref="W166">_xlfn.IFS(V166=1,"Low",V166=2,"Medium",V166=3,"High",V166=4,"Very High")</f>
        <v>High</v>
      </c>
      <c r="X166" t="s">
        <v>48</v>
      </c>
      <c r="Y166" s="2">
        <v>2566</v>
      </c>
      <c r="Z166" s="2">
        <v>25326</v>
      </c>
      <c r="AA166">
        <v>1</v>
      </c>
      <c r="AB166" t="s">
        <v>32</v>
      </c>
      <c r="AC166">
        <v>15</v>
      </c>
      <c r="AD166">
        <v>3</v>
      </c>
      <c r="AE166" t="str" cm="1">
        <f t="array" ref="AE166">_xlfn.IFS(AD166=1,"Low",AD166=2,"Good",AD166=3,"Excellent",AD166=4,"Outstanding")</f>
        <v>Excellent</v>
      </c>
      <c r="AF166">
        <v>4</v>
      </c>
      <c r="AG166" t="str" cm="1">
        <f t="array" ref="AG166">_xlfn.IFS(AF166=1,"Low",AF166=2,"Medium",AF166=3,"High",AF166=4,"Very High")</f>
        <v>Very High</v>
      </c>
      <c r="AH166">
        <v>1</v>
      </c>
      <c r="AI166">
        <v>1</v>
      </c>
      <c r="AJ166">
        <v>2</v>
      </c>
      <c r="AK166">
        <v>2</v>
      </c>
      <c r="AL166" t="str" cm="1">
        <f t="array" ref="AL166">_xlfn.IFS(AK166=1,"Low",AK166=2,"Medium",AK166=3,"High",AK166=4,"Very High")</f>
        <v>Medium</v>
      </c>
      <c r="AM166">
        <v>1</v>
      </c>
      <c r="AN166">
        <v>1</v>
      </c>
      <c r="AO166">
        <v>0</v>
      </c>
      <c r="AP166">
        <v>1</v>
      </c>
    </row>
    <row r="167" spans="1:42">
      <c r="A167">
        <v>50</v>
      </c>
      <c r="B167" t="str" cm="1">
        <f t="array" ref="B167">_xlfn.IFS(A167&lt;=25,"18-25",A167&lt;=35,"26-35",A167&lt;=45,"36-45",A167&lt;=55,"46-55",A167&gt;55,"56+")</f>
        <v>46-55</v>
      </c>
      <c r="C167" t="s">
        <v>39</v>
      </c>
      <c r="D167" t="s">
        <v>33</v>
      </c>
      <c r="E167" s="2">
        <v>1452</v>
      </c>
      <c r="F167" t="s">
        <v>41</v>
      </c>
      <c r="G167">
        <v>11</v>
      </c>
      <c r="H167" t="str">
        <f t="shared" si="2"/>
        <v>11-20 km</v>
      </c>
      <c r="I167">
        <v>3</v>
      </c>
      <c r="J167" t="str" cm="1">
        <f t="array" ref="J167">_xlfn.IFS(I167=1,"Below College",I167=2,"College",I167=3,"Bachelor",I167=4,"Master",I167=5,"Doctor")</f>
        <v>Bachelor</v>
      </c>
      <c r="K167" t="s">
        <v>35</v>
      </c>
      <c r="L167">
        <v>226</v>
      </c>
      <c r="M167">
        <v>3</v>
      </c>
      <c r="N167" t="str" cm="1">
        <f t="array" ref="N167">_xlfn.IFS(M167=1,"Low",M167=2,"Medium",M167=3,"High",M167=4,"Very High")</f>
        <v>High</v>
      </c>
      <c r="O167" t="s">
        <v>36</v>
      </c>
      <c r="P167" s="2">
        <v>53</v>
      </c>
      <c r="Q167">
        <v>3</v>
      </c>
      <c r="R167" t="str" cm="1">
        <f t="array" ref="R167">_xlfn.IFS(Q167=1,"Low",Q167=2,"Medium",Q167=3,"High",Q167=4,"Very High")</f>
        <v>High</v>
      </c>
      <c r="S167">
        <v>5</v>
      </c>
      <c r="T167" t="str" cm="1">
        <f t="array" ref="T167">_xlfn.IFS(S167=1,"Entry Level",S167=2,"Junior",S167=3,"Mid-Level",S167=4,"Senior",S167=5,"Executive")</f>
        <v>Executive</v>
      </c>
      <c r="U167" t="s">
        <v>52</v>
      </c>
      <c r="V167">
        <v>2</v>
      </c>
      <c r="W167" t="str" cm="1">
        <f t="array" ref="W167">_xlfn.IFS(V167=1,"Low",V167=2,"Medium",V167=3,"High",V167=4,"Very High")</f>
        <v>Medium</v>
      </c>
      <c r="X167" t="s">
        <v>38</v>
      </c>
      <c r="Y167" s="2">
        <v>19926</v>
      </c>
      <c r="Z167" s="2">
        <v>17053</v>
      </c>
      <c r="AA167">
        <v>3</v>
      </c>
      <c r="AB167" t="s">
        <v>39</v>
      </c>
      <c r="AC167">
        <v>15</v>
      </c>
      <c r="AD167">
        <v>3</v>
      </c>
      <c r="AE167" t="str" cm="1">
        <f t="array" ref="AE167">_xlfn.IFS(AD167=1,"Low",AD167=2,"Good",AD167=3,"Excellent",AD167=4,"Outstanding")</f>
        <v>Excellent</v>
      </c>
      <c r="AF167">
        <v>2</v>
      </c>
      <c r="AG167" t="str" cm="1">
        <f t="array" ref="AG167">_xlfn.IFS(AF167=1,"Low",AF167=2,"Medium",AF167=3,"High",AF167=4,"Very High")</f>
        <v>Medium</v>
      </c>
      <c r="AH167">
        <v>0</v>
      </c>
      <c r="AI167">
        <v>21</v>
      </c>
      <c r="AJ167">
        <v>5</v>
      </c>
      <c r="AK167">
        <v>3</v>
      </c>
      <c r="AL167" t="str" cm="1">
        <f t="array" ref="AL167">_xlfn.IFS(AK167=1,"Low",AK167=2,"Medium",AK167=3,"High",AK167=4,"Very High")</f>
        <v>High</v>
      </c>
      <c r="AM167">
        <v>5</v>
      </c>
      <c r="AN167">
        <v>4</v>
      </c>
      <c r="AO167">
        <v>4</v>
      </c>
      <c r="AP167">
        <v>4</v>
      </c>
    </row>
    <row r="168" spans="1:42">
      <c r="A168">
        <v>41</v>
      </c>
      <c r="B168" t="str" cm="1">
        <f t="array" ref="B168">_xlfn.IFS(A168&lt;=25,"18-25",A168&lt;=35,"26-35",A168&lt;=45,"36-45",A168&lt;=55,"46-55",A168&gt;55,"56+")</f>
        <v>36-45</v>
      </c>
      <c r="C168" t="s">
        <v>39</v>
      </c>
      <c r="D168" t="s">
        <v>33</v>
      </c>
      <c r="E168" s="2">
        <v>465</v>
      </c>
      <c r="F168" t="s">
        <v>41</v>
      </c>
      <c r="G168">
        <v>14</v>
      </c>
      <c r="H168" t="str">
        <f t="shared" si="2"/>
        <v>11-20 km</v>
      </c>
      <c r="I168">
        <v>3</v>
      </c>
      <c r="J168" t="str" cm="1">
        <f t="array" ref="J168">_xlfn.IFS(I168=1,"Below College",I168=2,"College",I168=3,"Bachelor",I168=4,"Master",I168=5,"Doctor")</f>
        <v>Bachelor</v>
      </c>
      <c r="K168" t="s">
        <v>35</v>
      </c>
      <c r="L168">
        <v>227</v>
      </c>
      <c r="M168">
        <v>1</v>
      </c>
      <c r="N168" t="str" cm="1">
        <f t="array" ref="N168">_xlfn.IFS(M168=1,"Low",M168=2,"Medium",M168=3,"High",M168=4,"Very High")</f>
        <v>Low</v>
      </c>
      <c r="O168" t="s">
        <v>42</v>
      </c>
      <c r="P168" s="2">
        <v>56</v>
      </c>
      <c r="Q168">
        <v>3</v>
      </c>
      <c r="R168" t="str" cm="1">
        <f t="array" ref="R168">_xlfn.IFS(Q168=1,"Low",Q168=2,"Medium",Q168=3,"High",Q168=4,"Very High")</f>
        <v>High</v>
      </c>
      <c r="S168">
        <v>1</v>
      </c>
      <c r="T168" t="str" cm="1">
        <f t="array" ref="T168">_xlfn.IFS(S168=1,"Entry Level",S168=2,"Junior",S168=3,"Mid-Level",S168=4,"Senior",S168=5,"Executive")</f>
        <v>Entry Level</v>
      </c>
      <c r="U168" t="s">
        <v>43</v>
      </c>
      <c r="V168">
        <v>3</v>
      </c>
      <c r="W168" t="str" cm="1">
        <f t="array" ref="W168">_xlfn.IFS(V168=1,"Low",V168=2,"Medium",V168=3,"High",V168=4,"Very High")</f>
        <v>High</v>
      </c>
      <c r="X168" t="s">
        <v>48</v>
      </c>
      <c r="Y168" s="2">
        <v>2451</v>
      </c>
      <c r="Z168" s="2">
        <v>4609</v>
      </c>
      <c r="AA168">
        <v>4</v>
      </c>
      <c r="AB168" t="s">
        <v>39</v>
      </c>
      <c r="AC168">
        <v>12</v>
      </c>
      <c r="AD168">
        <v>3</v>
      </c>
      <c r="AE168" t="str" cm="1">
        <f t="array" ref="AE168">_xlfn.IFS(AD168=1,"Low",AD168=2,"Good",AD168=3,"Excellent",AD168=4,"Outstanding")</f>
        <v>Excellent</v>
      </c>
      <c r="AF168">
        <v>1</v>
      </c>
      <c r="AG168" t="str" cm="1">
        <f t="array" ref="AG168">_xlfn.IFS(AF168=1,"Low",AF168=2,"Medium",AF168=3,"High",AF168=4,"Very High")</f>
        <v>Low</v>
      </c>
      <c r="AH168">
        <v>1</v>
      </c>
      <c r="AI168">
        <v>13</v>
      </c>
      <c r="AJ168">
        <v>2</v>
      </c>
      <c r="AK168">
        <v>3</v>
      </c>
      <c r="AL168" t="str" cm="1">
        <f t="array" ref="AL168">_xlfn.IFS(AK168=1,"Low",AK168=2,"Medium",AK168=3,"High",AK168=4,"Very High")</f>
        <v>High</v>
      </c>
      <c r="AM168">
        <v>9</v>
      </c>
      <c r="AN168">
        <v>8</v>
      </c>
      <c r="AO168">
        <v>1</v>
      </c>
      <c r="AP168">
        <v>8</v>
      </c>
    </row>
    <row r="169" spans="1:42">
      <c r="A169">
        <v>30</v>
      </c>
      <c r="B169" t="str" cm="1">
        <f t="array" ref="B169">_xlfn.IFS(A169&lt;=25,"18-25",A169&lt;=35,"26-35",A169&lt;=45,"36-45",A169&lt;=55,"46-55",A169&gt;55,"56+")</f>
        <v>26-35</v>
      </c>
      <c r="C169" t="s">
        <v>39</v>
      </c>
      <c r="D169" t="s">
        <v>33</v>
      </c>
      <c r="E169" s="2">
        <v>1339</v>
      </c>
      <c r="F169" t="s">
        <v>34</v>
      </c>
      <c r="G169">
        <v>5</v>
      </c>
      <c r="H169" t="str">
        <f t="shared" si="2"/>
        <v>1-10 km</v>
      </c>
      <c r="I169">
        <v>3</v>
      </c>
      <c r="J169" t="str" cm="1">
        <f t="array" ref="J169">_xlfn.IFS(I169=1,"Below College",I169=2,"College",I169=3,"Bachelor",I169=4,"Master",I169=5,"Doctor")</f>
        <v>Bachelor</v>
      </c>
      <c r="K169" t="s">
        <v>35</v>
      </c>
      <c r="L169">
        <v>228</v>
      </c>
      <c r="M169">
        <v>2</v>
      </c>
      <c r="N169" t="str" cm="1">
        <f t="array" ref="N169">_xlfn.IFS(M169=1,"Low",M169=2,"Medium",M169=3,"High",M169=4,"Very High")</f>
        <v>Medium</v>
      </c>
      <c r="O169" t="s">
        <v>36</v>
      </c>
      <c r="P169" s="2">
        <v>41</v>
      </c>
      <c r="Q169">
        <v>3</v>
      </c>
      <c r="R169" t="str" cm="1">
        <f t="array" ref="R169">_xlfn.IFS(Q169=1,"Low",Q169=2,"Medium",Q169=3,"High",Q169=4,"Very High")</f>
        <v>High</v>
      </c>
      <c r="S169">
        <v>3</v>
      </c>
      <c r="T169" t="str" cm="1">
        <f t="array" ref="T169">_xlfn.IFS(S169=1,"Entry Level",S169=2,"Junior",S169=3,"Mid-Level",S169=4,"Senior",S169=5,"Executive")</f>
        <v>Mid-Level</v>
      </c>
      <c r="U169" t="s">
        <v>37</v>
      </c>
      <c r="V169">
        <v>4</v>
      </c>
      <c r="W169" t="str" cm="1">
        <f t="array" ref="W169">_xlfn.IFS(V169=1,"Low",V169=2,"Medium",V169=3,"High",V169=4,"Very High")</f>
        <v>Very High</v>
      </c>
      <c r="X169" t="s">
        <v>44</v>
      </c>
      <c r="Y169" s="2">
        <v>9419</v>
      </c>
      <c r="Z169" s="2">
        <v>8053</v>
      </c>
      <c r="AA169">
        <v>2</v>
      </c>
      <c r="AB169" t="s">
        <v>39</v>
      </c>
      <c r="AC169">
        <v>12</v>
      </c>
      <c r="AD169">
        <v>3</v>
      </c>
      <c r="AE169" t="str" cm="1">
        <f t="array" ref="AE169">_xlfn.IFS(AD169=1,"Low",AD169=2,"Good",AD169=3,"Excellent",AD169=4,"Outstanding")</f>
        <v>Excellent</v>
      </c>
      <c r="AF169">
        <v>3</v>
      </c>
      <c r="AG169" t="str" cm="1">
        <f t="array" ref="AG169">_xlfn.IFS(AF169=1,"Low",AF169=2,"Medium",AF169=3,"High",AF169=4,"Very High")</f>
        <v>High</v>
      </c>
      <c r="AH169">
        <v>1</v>
      </c>
      <c r="AI169">
        <v>12</v>
      </c>
      <c r="AJ169">
        <v>2</v>
      </c>
      <c r="AK169">
        <v>3</v>
      </c>
      <c r="AL169" t="str" cm="1">
        <f t="array" ref="AL169">_xlfn.IFS(AK169=1,"Low",AK169=2,"Medium",AK169=3,"High",AK169=4,"Very High")</f>
        <v>High</v>
      </c>
      <c r="AM169">
        <v>10</v>
      </c>
      <c r="AN169">
        <v>9</v>
      </c>
      <c r="AO169">
        <v>7</v>
      </c>
      <c r="AP169">
        <v>4</v>
      </c>
    </row>
    <row r="170" spans="1:42">
      <c r="A170">
        <v>38</v>
      </c>
      <c r="B170" t="str" cm="1">
        <f t="array" ref="B170">_xlfn.IFS(A170&lt;=25,"18-25",A170&lt;=35,"26-35",A170&lt;=45,"36-45",A170&lt;=55,"46-55",A170&gt;55,"56+")</f>
        <v>36-45</v>
      </c>
      <c r="C170" t="s">
        <v>39</v>
      </c>
      <c r="D170" t="s">
        <v>33</v>
      </c>
      <c r="E170" s="2">
        <v>702</v>
      </c>
      <c r="F170" t="s">
        <v>34</v>
      </c>
      <c r="G170">
        <v>1</v>
      </c>
      <c r="H170" t="str">
        <f t="shared" si="2"/>
        <v>1-10 km</v>
      </c>
      <c r="I170">
        <v>4</v>
      </c>
      <c r="J170" t="str" cm="1">
        <f t="array" ref="J170">_xlfn.IFS(I170=1,"Below College",I170=2,"College",I170=3,"Bachelor",I170=4,"Master",I170=5,"Doctor")</f>
        <v>Master</v>
      </c>
      <c r="K170" t="s">
        <v>35</v>
      </c>
      <c r="L170">
        <v>230</v>
      </c>
      <c r="M170">
        <v>1</v>
      </c>
      <c r="N170" t="str" cm="1">
        <f t="array" ref="N170">_xlfn.IFS(M170=1,"Low",M170=2,"Medium",M170=3,"High",M170=4,"Very High")</f>
        <v>Low</v>
      </c>
      <c r="O170" t="s">
        <v>36</v>
      </c>
      <c r="P170" s="2">
        <v>59</v>
      </c>
      <c r="Q170">
        <v>2</v>
      </c>
      <c r="R170" t="str" cm="1">
        <f t="array" ref="R170">_xlfn.IFS(Q170=1,"Low",Q170=2,"Medium",Q170=3,"High",Q170=4,"Very High")</f>
        <v>Medium</v>
      </c>
      <c r="S170">
        <v>2</v>
      </c>
      <c r="T170" t="str" cm="1">
        <f t="array" ref="T170">_xlfn.IFS(S170=1,"Entry Level",S170=2,"Junior",S170=3,"Mid-Level",S170=4,"Senior",S170=5,"Executive")</f>
        <v>Junior</v>
      </c>
      <c r="U170" t="s">
        <v>37</v>
      </c>
      <c r="V170">
        <v>4</v>
      </c>
      <c r="W170" t="str" cm="1">
        <f t="array" ref="W170">_xlfn.IFS(V170=1,"Low",V170=2,"Medium",V170=3,"High",V170=4,"Very High")</f>
        <v>Very High</v>
      </c>
      <c r="X170" t="s">
        <v>38</v>
      </c>
      <c r="Y170" s="2">
        <v>8686</v>
      </c>
      <c r="Z170" s="2">
        <v>12930</v>
      </c>
      <c r="AA170">
        <v>4</v>
      </c>
      <c r="AB170" t="s">
        <v>39</v>
      </c>
      <c r="AC170">
        <v>22</v>
      </c>
      <c r="AD170">
        <v>4</v>
      </c>
      <c r="AE170" t="str" cm="1">
        <f t="array" ref="AE170">_xlfn.IFS(AD170=1,"Low",AD170=2,"Good",AD170=3,"Excellent",AD170=4,"Outstanding")</f>
        <v>Outstanding</v>
      </c>
      <c r="AF170">
        <v>3</v>
      </c>
      <c r="AG170" t="str" cm="1">
        <f t="array" ref="AG170">_xlfn.IFS(AF170=1,"Low",AF170=2,"Medium",AF170=3,"High",AF170=4,"Very High")</f>
        <v>High</v>
      </c>
      <c r="AH170">
        <v>0</v>
      </c>
      <c r="AI170">
        <v>12</v>
      </c>
      <c r="AJ170">
        <v>2</v>
      </c>
      <c r="AK170">
        <v>4</v>
      </c>
      <c r="AL170" t="str" cm="1">
        <f t="array" ref="AL170">_xlfn.IFS(AK170=1,"Low",AK170=2,"Medium",AK170=3,"High",AK170=4,"Very High")</f>
        <v>Very High</v>
      </c>
      <c r="AM170">
        <v>8</v>
      </c>
      <c r="AN170">
        <v>3</v>
      </c>
      <c r="AO170">
        <v>0</v>
      </c>
      <c r="AP170">
        <v>7</v>
      </c>
    </row>
    <row r="171" spans="1:42">
      <c r="A171">
        <v>32</v>
      </c>
      <c r="B171" t="str" cm="1">
        <f t="array" ref="B171">_xlfn.IFS(A171&lt;=25,"18-25",A171&lt;=35,"26-35",A171&lt;=45,"36-45",A171&lt;=55,"46-55",A171&gt;55,"56+")</f>
        <v>26-35</v>
      </c>
      <c r="C171" t="s">
        <v>39</v>
      </c>
      <c r="D171" t="s">
        <v>33</v>
      </c>
      <c r="E171" s="2">
        <v>120</v>
      </c>
      <c r="F171" t="s">
        <v>41</v>
      </c>
      <c r="G171">
        <v>6</v>
      </c>
      <c r="H171" t="str">
        <f t="shared" si="2"/>
        <v>1-10 km</v>
      </c>
      <c r="I171">
        <v>5</v>
      </c>
      <c r="J171" t="str" cm="1">
        <f t="array" ref="J171">_xlfn.IFS(I171=1,"Below College",I171=2,"College",I171=3,"Bachelor",I171=4,"Master",I171=5,"Doctor")</f>
        <v>Doctor</v>
      </c>
      <c r="K171" t="s">
        <v>35</v>
      </c>
      <c r="L171">
        <v>231</v>
      </c>
      <c r="M171">
        <v>3</v>
      </c>
      <c r="N171" t="str" cm="1">
        <f t="array" ref="N171">_xlfn.IFS(M171=1,"Low",M171=2,"Medium",M171=3,"High",M171=4,"Very High")</f>
        <v>High</v>
      </c>
      <c r="O171" t="s">
        <v>42</v>
      </c>
      <c r="P171" s="2">
        <v>43</v>
      </c>
      <c r="Q171">
        <v>3</v>
      </c>
      <c r="R171" t="str" cm="1">
        <f t="array" ref="R171">_xlfn.IFS(Q171=1,"Low",Q171=2,"Medium",Q171=3,"High",Q171=4,"Very High")</f>
        <v>High</v>
      </c>
      <c r="S171">
        <v>1</v>
      </c>
      <c r="T171" t="str" cm="1">
        <f t="array" ref="T171">_xlfn.IFS(S171=1,"Entry Level",S171=2,"Junior",S171=3,"Mid-Level",S171=4,"Senior",S171=5,"Executive")</f>
        <v>Entry Level</v>
      </c>
      <c r="U171" t="s">
        <v>43</v>
      </c>
      <c r="V171">
        <v>3</v>
      </c>
      <c r="W171" t="str" cm="1">
        <f t="array" ref="W171">_xlfn.IFS(V171=1,"Low",V171=2,"Medium",V171=3,"High",V171=4,"Very High")</f>
        <v>High</v>
      </c>
      <c r="X171" t="s">
        <v>38</v>
      </c>
      <c r="Y171" s="2">
        <v>3038</v>
      </c>
      <c r="Z171" s="2">
        <v>12430</v>
      </c>
      <c r="AA171">
        <v>3</v>
      </c>
      <c r="AB171" t="s">
        <v>39</v>
      </c>
      <c r="AC171">
        <v>20</v>
      </c>
      <c r="AD171">
        <v>4</v>
      </c>
      <c r="AE171" t="str" cm="1">
        <f t="array" ref="AE171">_xlfn.IFS(AD171=1,"Low",AD171=2,"Good",AD171=3,"Excellent",AD171=4,"Outstanding")</f>
        <v>Outstanding</v>
      </c>
      <c r="AF171">
        <v>1</v>
      </c>
      <c r="AG171" t="str" cm="1">
        <f t="array" ref="AG171">_xlfn.IFS(AF171=1,"Low",AF171=2,"Medium",AF171=3,"High",AF171=4,"Very High")</f>
        <v>Low</v>
      </c>
      <c r="AH171">
        <v>0</v>
      </c>
      <c r="AI171">
        <v>8</v>
      </c>
      <c r="AJ171">
        <v>2</v>
      </c>
      <c r="AK171">
        <v>3</v>
      </c>
      <c r="AL171" t="str" cm="1">
        <f t="array" ref="AL171">_xlfn.IFS(AK171=1,"Low",AK171=2,"Medium",AK171=3,"High",AK171=4,"Very High")</f>
        <v>High</v>
      </c>
      <c r="AM171">
        <v>5</v>
      </c>
      <c r="AN171">
        <v>4</v>
      </c>
      <c r="AO171">
        <v>1</v>
      </c>
      <c r="AP171">
        <v>4</v>
      </c>
    </row>
    <row r="172" spans="1:42">
      <c r="A172">
        <v>27</v>
      </c>
      <c r="B172" t="str" cm="1">
        <f t="array" ref="B172">_xlfn.IFS(A172&lt;=25,"18-25",A172&lt;=35,"26-35",A172&lt;=45,"36-45",A172&lt;=55,"46-55",A172&gt;55,"56+")</f>
        <v>26-35</v>
      </c>
      <c r="C172" t="s">
        <v>39</v>
      </c>
      <c r="D172" t="s">
        <v>33</v>
      </c>
      <c r="E172" s="2">
        <v>1157</v>
      </c>
      <c r="F172" t="s">
        <v>41</v>
      </c>
      <c r="G172">
        <v>17</v>
      </c>
      <c r="H172" t="str">
        <f t="shared" si="2"/>
        <v>11-20 km</v>
      </c>
      <c r="I172">
        <v>3</v>
      </c>
      <c r="J172" t="str" cm="1">
        <f t="array" ref="J172">_xlfn.IFS(I172=1,"Below College",I172=2,"College",I172=3,"Bachelor",I172=4,"Master",I172=5,"Doctor")</f>
        <v>Bachelor</v>
      </c>
      <c r="K172" t="s">
        <v>56</v>
      </c>
      <c r="L172">
        <v>233</v>
      </c>
      <c r="M172">
        <v>3</v>
      </c>
      <c r="N172" t="str" cm="1">
        <f t="array" ref="N172">_xlfn.IFS(M172=1,"Low",M172=2,"Medium",M172=3,"High",M172=4,"Very High")</f>
        <v>High</v>
      </c>
      <c r="O172" t="s">
        <v>42</v>
      </c>
      <c r="P172" s="2">
        <v>51</v>
      </c>
      <c r="Q172">
        <v>3</v>
      </c>
      <c r="R172" t="str" cm="1">
        <f t="array" ref="R172">_xlfn.IFS(Q172=1,"Low",Q172=2,"Medium",Q172=3,"High",Q172=4,"Very High")</f>
        <v>High</v>
      </c>
      <c r="S172">
        <v>1</v>
      </c>
      <c r="T172" t="str" cm="1">
        <f t="array" ref="T172">_xlfn.IFS(S172=1,"Entry Level",S172=2,"Junior",S172=3,"Mid-Level",S172=4,"Senior",S172=5,"Executive")</f>
        <v>Entry Level</v>
      </c>
      <c r="U172" t="s">
        <v>43</v>
      </c>
      <c r="V172">
        <v>2</v>
      </c>
      <c r="W172" t="str" cm="1">
        <f t="array" ref="W172">_xlfn.IFS(V172=1,"Low",V172=2,"Medium",V172=3,"High",V172=4,"Very High")</f>
        <v>Medium</v>
      </c>
      <c r="X172" t="s">
        <v>44</v>
      </c>
      <c r="Y172" s="2">
        <v>3058</v>
      </c>
      <c r="Z172" s="2">
        <v>13364</v>
      </c>
      <c r="AA172">
        <v>0</v>
      </c>
      <c r="AB172" t="s">
        <v>32</v>
      </c>
      <c r="AC172">
        <v>16</v>
      </c>
      <c r="AD172">
        <v>3</v>
      </c>
      <c r="AE172" t="str" cm="1">
        <f t="array" ref="AE172">_xlfn.IFS(AD172=1,"Low",AD172=2,"Good",AD172=3,"Excellent",AD172=4,"Outstanding")</f>
        <v>Excellent</v>
      </c>
      <c r="AF172">
        <v>4</v>
      </c>
      <c r="AG172" t="str" cm="1">
        <f t="array" ref="AG172">_xlfn.IFS(AF172=1,"Low",AF172=2,"Medium",AF172=3,"High",AF172=4,"Very High")</f>
        <v>Very High</v>
      </c>
      <c r="AH172">
        <v>1</v>
      </c>
      <c r="AI172">
        <v>6</v>
      </c>
      <c r="AJ172">
        <v>3</v>
      </c>
      <c r="AK172">
        <v>2</v>
      </c>
      <c r="AL172" t="str" cm="1">
        <f t="array" ref="AL172">_xlfn.IFS(AK172=1,"Low",AK172=2,"Medium",AK172=3,"High",AK172=4,"Very High")</f>
        <v>Medium</v>
      </c>
      <c r="AM172">
        <v>5</v>
      </c>
      <c r="AN172">
        <v>2</v>
      </c>
      <c r="AO172">
        <v>1</v>
      </c>
      <c r="AP172">
        <v>1</v>
      </c>
    </row>
    <row r="173" spans="1:42">
      <c r="A173">
        <v>19</v>
      </c>
      <c r="B173" t="str" cm="1">
        <f t="array" ref="B173">_xlfn.IFS(A173&lt;=25,"18-25",A173&lt;=35,"26-35",A173&lt;=45,"36-45",A173&lt;=55,"46-55",A173&gt;55,"56+")</f>
        <v>18-25</v>
      </c>
      <c r="C173" t="s">
        <v>32</v>
      </c>
      <c r="D173" t="s">
        <v>40</v>
      </c>
      <c r="E173" s="2">
        <v>602</v>
      </c>
      <c r="F173" t="s">
        <v>34</v>
      </c>
      <c r="G173">
        <v>1</v>
      </c>
      <c r="H173" t="str">
        <f t="shared" si="2"/>
        <v>1-10 km</v>
      </c>
      <c r="I173">
        <v>1</v>
      </c>
      <c r="J173" t="str" cm="1">
        <f t="array" ref="J173">_xlfn.IFS(I173=1,"Below College",I173=2,"College",I173=3,"Bachelor",I173=4,"Master",I173=5,"Doctor")</f>
        <v>Below College</v>
      </c>
      <c r="K173" t="s">
        <v>56</v>
      </c>
      <c r="L173">
        <v>235</v>
      </c>
      <c r="M173">
        <v>3</v>
      </c>
      <c r="N173" t="str" cm="1">
        <f t="array" ref="N173">_xlfn.IFS(M173=1,"Low",M173=2,"Medium",M173=3,"High",M173=4,"Very High")</f>
        <v>High</v>
      </c>
      <c r="O173" t="s">
        <v>36</v>
      </c>
      <c r="P173" s="2">
        <v>100</v>
      </c>
      <c r="Q173">
        <v>1</v>
      </c>
      <c r="R173" t="str" cm="1">
        <f t="array" ref="R173">_xlfn.IFS(Q173=1,"Low",Q173=2,"Medium",Q173=3,"High",Q173=4,"Very High")</f>
        <v>Low</v>
      </c>
      <c r="S173">
        <v>1</v>
      </c>
      <c r="T173" t="str" cm="1">
        <f t="array" ref="T173">_xlfn.IFS(S173=1,"Entry Level",S173=2,"Junior",S173=3,"Mid-Level",S173=4,"Senior",S173=5,"Executive")</f>
        <v>Entry Level</v>
      </c>
      <c r="U173" t="s">
        <v>53</v>
      </c>
      <c r="V173">
        <v>1</v>
      </c>
      <c r="W173" t="str" cm="1">
        <f t="array" ref="W173">_xlfn.IFS(V173=1,"Low",V173=2,"Medium",V173=3,"High",V173=4,"Very High")</f>
        <v>Low</v>
      </c>
      <c r="X173" t="s">
        <v>38</v>
      </c>
      <c r="Y173" s="2">
        <v>2325</v>
      </c>
      <c r="Z173" s="2">
        <v>20989</v>
      </c>
      <c r="AA173">
        <v>0</v>
      </c>
      <c r="AB173" t="s">
        <v>39</v>
      </c>
      <c r="AC173">
        <v>21</v>
      </c>
      <c r="AD173">
        <v>4</v>
      </c>
      <c r="AE173" t="str" cm="1">
        <f t="array" ref="AE173">_xlfn.IFS(AD173=1,"Low",AD173=2,"Good",AD173=3,"Excellent",AD173=4,"Outstanding")</f>
        <v>Outstanding</v>
      </c>
      <c r="AF173">
        <v>1</v>
      </c>
      <c r="AG173" t="str" cm="1">
        <f t="array" ref="AG173">_xlfn.IFS(AF173=1,"Low",AF173=2,"Medium",AF173=3,"High",AF173=4,"Very High")</f>
        <v>Low</v>
      </c>
      <c r="AH173">
        <v>0</v>
      </c>
      <c r="AI173">
        <v>1</v>
      </c>
      <c r="AJ173">
        <v>5</v>
      </c>
      <c r="AK173">
        <v>4</v>
      </c>
      <c r="AL173" t="str" cm="1">
        <f t="array" ref="AL173">_xlfn.IFS(AK173=1,"Low",AK173=2,"Medium",AK173=3,"High",AK173=4,"Very High")</f>
        <v>Very High</v>
      </c>
      <c r="AM173">
        <v>0</v>
      </c>
      <c r="AN173">
        <v>0</v>
      </c>
      <c r="AO173">
        <v>0</v>
      </c>
      <c r="AP173">
        <v>0</v>
      </c>
    </row>
    <row r="174" spans="1:42">
      <c r="A174">
        <v>36</v>
      </c>
      <c r="B174" t="str" cm="1">
        <f t="array" ref="B174">_xlfn.IFS(A174&lt;=25,"18-25",A174&lt;=35,"26-35",A174&lt;=45,"36-45",A174&lt;=55,"46-55",A174&gt;55,"56+")</f>
        <v>36-45</v>
      </c>
      <c r="C174" t="s">
        <v>39</v>
      </c>
      <c r="D174" t="s">
        <v>40</v>
      </c>
      <c r="E174" s="2">
        <v>1480</v>
      </c>
      <c r="F174" t="s">
        <v>41</v>
      </c>
      <c r="G174">
        <v>3</v>
      </c>
      <c r="H174" t="str">
        <f t="shared" si="2"/>
        <v>1-10 km</v>
      </c>
      <c r="I174">
        <v>2</v>
      </c>
      <c r="J174" t="str" cm="1">
        <f t="array" ref="J174">_xlfn.IFS(I174=1,"Below College",I174=2,"College",I174=3,"Bachelor",I174=4,"Master",I174=5,"Doctor")</f>
        <v>College</v>
      </c>
      <c r="K174" t="s">
        <v>47</v>
      </c>
      <c r="L174">
        <v>238</v>
      </c>
      <c r="M174">
        <v>4</v>
      </c>
      <c r="N174" t="str" cm="1">
        <f t="array" ref="N174">_xlfn.IFS(M174=1,"Low",M174=2,"Medium",M174=3,"High",M174=4,"Very High")</f>
        <v>Very High</v>
      </c>
      <c r="O174" t="s">
        <v>42</v>
      </c>
      <c r="P174" s="2">
        <v>30</v>
      </c>
      <c r="Q174">
        <v>3</v>
      </c>
      <c r="R174" t="str" cm="1">
        <f t="array" ref="R174">_xlfn.IFS(Q174=1,"Low",Q174=2,"Medium",Q174=3,"High",Q174=4,"Very High")</f>
        <v>High</v>
      </c>
      <c r="S174">
        <v>1</v>
      </c>
      <c r="T174" t="str" cm="1">
        <f t="array" ref="T174">_xlfn.IFS(S174=1,"Entry Level",S174=2,"Junior",S174=3,"Mid-Level",S174=4,"Senior",S174=5,"Executive")</f>
        <v>Entry Level</v>
      </c>
      <c r="U174" t="s">
        <v>46</v>
      </c>
      <c r="V174">
        <v>2</v>
      </c>
      <c r="W174" t="str" cm="1">
        <f t="array" ref="W174">_xlfn.IFS(V174=1,"Low",V174=2,"Medium",V174=3,"High",V174=4,"Very High")</f>
        <v>Medium</v>
      </c>
      <c r="X174" t="s">
        <v>38</v>
      </c>
      <c r="Y174" s="2">
        <v>2088</v>
      </c>
      <c r="Z174" s="2">
        <v>15062</v>
      </c>
      <c r="AA174">
        <v>4</v>
      </c>
      <c r="AB174" t="s">
        <v>39</v>
      </c>
      <c r="AC174">
        <v>12</v>
      </c>
      <c r="AD174">
        <v>3</v>
      </c>
      <c r="AE174" t="str" cm="1">
        <f t="array" ref="AE174">_xlfn.IFS(AD174=1,"Low",AD174=2,"Good",AD174=3,"Excellent",AD174=4,"Outstanding")</f>
        <v>Excellent</v>
      </c>
      <c r="AF174">
        <v>3</v>
      </c>
      <c r="AG174" t="str" cm="1">
        <f t="array" ref="AG174">_xlfn.IFS(AF174=1,"Low",AF174=2,"Medium",AF174=3,"High",AF174=4,"Very High")</f>
        <v>High</v>
      </c>
      <c r="AH174">
        <v>0</v>
      </c>
      <c r="AI174">
        <v>13</v>
      </c>
      <c r="AJ174">
        <v>3</v>
      </c>
      <c r="AK174">
        <v>2</v>
      </c>
      <c r="AL174" t="str" cm="1">
        <f t="array" ref="AL174">_xlfn.IFS(AK174=1,"Low",AK174=2,"Medium",AK174=3,"High",AK174=4,"Very High")</f>
        <v>Medium</v>
      </c>
      <c r="AM174">
        <v>8</v>
      </c>
      <c r="AN174">
        <v>7</v>
      </c>
      <c r="AO174">
        <v>7</v>
      </c>
      <c r="AP174">
        <v>2</v>
      </c>
    </row>
    <row r="175" spans="1:42">
      <c r="A175">
        <v>30</v>
      </c>
      <c r="B175" t="str" cm="1">
        <f t="array" ref="B175">_xlfn.IFS(A175&lt;=25,"18-25",A175&lt;=35,"26-35",A175&lt;=45,"36-45",A175&lt;=55,"46-55",A175&gt;55,"56+")</f>
        <v>26-35</v>
      </c>
      <c r="C175" t="s">
        <v>39</v>
      </c>
      <c r="D175" t="s">
        <v>51</v>
      </c>
      <c r="E175" s="2">
        <v>111</v>
      </c>
      <c r="F175" t="s">
        <v>41</v>
      </c>
      <c r="G175">
        <v>9</v>
      </c>
      <c r="H175" t="str">
        <f t="shared" si="2"/>
        <v>1-10 km</v>
      </c>
      <c r="I175">
        <v>3</v>
      </c>
      <c r="J175" t="str" cm="1">
        <f t="array" ref="J175">_xlfn.IFS(I175=1,"Below College",I175=2,"College",I175=3,"Bachelor",I175=4,"Master",I175=5,"Doctor")</f>
        <v>Bachelor</v>
      </c>
      <c r="K175" t="s">
        <v>47</v>
      </c>
      <c r="L175">
        <v>239</v>
      </c>
      <c r="M175">
        <v>3</v>
      </c>
      <c r="N175" t="str" cm="1">
        <f t="array" ref="N175">_xlfn.IFS(M175=1,"Low",M175=2,"Medium",M175=3,"High",M175=4,"Very High")</f>
        <v>High</v>
      </c>
      <c r="O175" t="s">
        <v>42</v>
      </c>
      <c r="P175" s="2">
        <v>66</v>
      </c>
      <c r="Q175">
        <v>3</v>
      </c>
      <c r="R175" t="str" cm="1">
        <f t="array" ref="R175">_xlfn.IFS(Q175=1,"Low",Q175=2,"Medium",Q175=3,"High",Q175=4,"Very High")</f>
        <v>High</v>
      </c>
      <c r="S175">
        <v>2</v>
      </c>
      <c r="T175" t="str" cm="1">
        <f t="array" ref="T175">_xlfn.IFS(S175=1,"Entry Level",S175=2,"Junior",S175=3,"Mid-Level",S175=4,"Senior",S175=5,"Executive")</f>
        <v>Junior</v>
      </c>
      <c r="U175" t="s">
        <v>46</v>
      </c>
      <c r="V175">
        <v>1</v>
      </c>
      <c r="W175" t="str" cm="1">
        <f t="array" ref="W175">_xlfn.IFS(V175=1,"Low",V175=2,"Medium",V175=3,"High",V175=4,"Very High")</f>
        <v>Low</v>
      </c>
      <c r="X175" t="s">
        <v>48</v>
      </c>
      <c r="Y175" s="2">
        <v>3072</v>
      </c>
      <c r="Z175" s="2">
        <v>11012</v>
      </c>
      <c r="AA175">
        <v>1</v>
      </c>
      <c r="AB175" t="s">
        <v>39</v>
      </c>
      <c r="AC175">
        <v>11</v>
      </c>
      <c r="AD175">
        <v>3</v>
      </c>
      <c r="AE175" t="str" cm="1">
        <f t="array" ref="AE175">_xlfn.IFS(AD175=1,"Low",AD175=2,"Good",AD175=3,"Excellent",AD175=4,"Outstanding")</f>
        <v>Excellent</v>
      </c>
      <c r="AF175">
        <v>3</v>
      </c>
      <c r="AG175" t="str" cm="1">
        <f t="array" ref="AG175">_xlfn.IFS(AF175=1,"Low",AF175=2,"Medium",AF175=3,"High",AF175=4,"Very High")</f>
        <v>High</v>
      </c>
      <c r="AH175">
        <v>2</v>
      </c>
      <c r="AI175">
        <v>12</v>
      </c>
      <c r="AJ175">
        <v>4</v>
      </c>
      <c r="AK175">
        <v>3</v>
      </c>
      <c r="AL175" t="str" cm="1">
        <f t="array" ref="AL175">_xlfn.IFS(AK175=1,"Low",AK175=2,"Medium",AK175=3,"High",AK175=4,"Very High")</f>
        <v>High</v>
      </c>
      <c r="AM175">
        <v>12</v>
      </c>
      <c r="AN175">
        <v>9</v>
      </c>
      <c r="AO175">
        <v>6</v>
      </c>
      <c r="AP175">
        <v>10</v>
      </c>
    </row>
    <row r="176" spans="1:42">
      <c r="A176">
        <v>45</v>
      </c>
      <c r="B176" t="str" cm="1">
        <f t="array" ref="B176">_xlfn.IFS(A176&lt;=25,"18-25",A176&lt;=35,"26-35",A176&lt;=45,"36-45",A176&lt;=55,"46-55",A176&gt;55,"56+")</f>
        <v>36-45</v>
      </c>
      <c r="C176" t="s">
        <v>39</v>
      </c>
      <c r="D176" t="s">
        <v>33</v>
      </c>
      <c r="E176" s="2">
        <v>1268</v>
      </c>
      <c r="F176" t="s">
        <v>34</v>
      </c>
      <c r="G176">
        <v>4</v>
      </c>
      <c r="H176" t="str">
        <f t="shared" si="2"/>
        <v>1-10 km</v>
      </c>
      <c r="I176">
        <v>2</v>
      </c>
      <c r="J176" t="str" cm="1">
        <f t="array" ref="J176">_xlfn.IFS(I176=1,"Below College",I176=2,"College",I176=3,"Bachelor",I176=4,"Master",I176=5,"Doctor")</f>
        <v>College</v>
      </c>
      <c r="K176" t="s">
        <v>35</v>
      </c>
      <c r="L176">
        <v>240</v>
      </c>
      <c r="M176">
        <v>3</v>
      </c>
      <c r="N176" t="str" cm="1">
        <f t="array" ref="N176">_xlfn.IFS(M176=1,"Low",M176=2,"Medium",M176=3,"High",M176=4,"Very High")</f>
        <v>High</v>
      </c>
      <c r="O176" t="s">
        <v>36</v>
      </c>
      <c r="P176" s="2">
        <v>30</v>
      </c>
      <c r="Q176">
        <v>3</v>
      </c>
      <c r="R176" t="str" cm="1">
        <f t="array" ref="R176">_xlfn.IFS(Q176=1,"Low",Q176=2,"Medium",Q176=3,"High",Q176=4,"Very High")</f>
        <v>High</v>
      </c>
      <c r="S176">
        <v>2</v>
      </c>
      <c r="T176" t="str" cm="1">
        <f t="array" ref="T176">_xlfn.IFS(S176=1,"Entry Level",S176=2,"Junior",S176=3,"Mid-Level",S176=4,"Senior",S176=5,"Executive")</f>
        <v>Junior</v>
      </c>
      <c r="U176" t="s">
        <v>37</v>
      </c>
      <c r="V176">
        <v>1</v>
      </c>
      <c r="W176" t="str" cm="1">
        <f t="array" ref="W176">_xlfn.IFS(V176=1,"Low",V176=2,"Medium",V176=3,"High",V176=4,"Very High")</f>
        <v>Low</v>
      </c>
      <c r="X176" t="s">
        <v>48</v>
      </c>
      <c r="Y176" s="2">
        <v>5006</v>
      </c>
      <c r="Z176" s="2">
        <v>6319</v>
      </c>
      <c r="AA176">
        <v>4</v>
      </c>
      <c r="AB176" t="s">
        <v>32</v>
      </c>
      <c r="AC176">
        <v>11</v>
      </c>
      <c r="AD176">
        <v>3</v>
      </c>
      <c r="AE176" t="str" cm="1">
        <f t="array" ref="AE176">_xlfn.IFS(AD176=1,"Low",AD176=2,"Good",AD176=3,"Excellent",AD176=4,"Outstanding")</f>
        <v>Excellent</v>
      </c>
      <c r="AF176">
        <v>1</v>
      </c>
      <c r="AG176" t="str" cm="1">
        <f t="array" ref="AG176">_xlfn.IFS(AF176=1,"Low",AF176=2,"Medium",AF176=3,"High",AF176=4,"Very High")</f>
        <v>Low</v>
      </c>
      <c r="AH176">
        <v>1</v>
      </c>
      <c r="AI176">
        <v>9</v>
      </c>
      <c r="AJ176">
        <v>3</v>
      </c>
      <c r="AK176">
        <v>4</v>
      </c>
      <c r="AL176" t="str" cm="1">
        <f t="array" ref="AL176">_xlfn.IFS(AK176=1,"Low",AK176=2,"Medium",AK176=3,"High",AK176=4,"Very High")</f>
        <v>Very High</v>
      </c>
      <c r="AM176">
        <v>5</v>
      </c>
      <c r="AN176">
        <v>4</v>
      </c>
      <c r="AO176">
        <v>0</v>
      </c>
      <c r="AP176">
        <v>3</v>
      </c>
    </row>
    <row r="177" spans="1:42">
      <c r="A177">
        <v>56</v>
      </c>
      <c r="B177" t="str" cm="1">
        <f t="array" ref="B177">_xlfn.IFS(A177&lt;=25,"18-25",A177&lt;=35,"26-35",A177&lt;=45,"36-45",A177&lt;=55,"46-55",A177&gt;55,"56+")</f>
        <v>56+</v>
      </c>
      <c r="C177" t="s">
        <v>39</v>
      </c>
      <c r="D177" t="s">
        <v>33</v>
      </c>
      <c r="E177" s="2">
        <v>713</v>
      </c>
      <c r="F177" t="s">
        <v>41</v>
      </c>
      <c r="G177">
        <v>8</v>
      </c>
      <c r="H177" t="str">
        <f t="shared" si="2"/>
        <v>1-10 km</v>
      </c>
      <c r="I177">
        <v>3</v>
      </c>
      <c r="J177" t="str" cm="1">
        <f t="array" ref="J177">_xlfn.IFS(I177=1,"Below College",I177=2,"College",I177=3,"Bachelor",I177=4,"Master",I177=5,"Doctor")</f>
        <v>Bachelor</v>
      </c>
      <c r="K177" t="s">
        <v>35</v>
      </c>
      <c r="L177">
        <v>241</v>
      </c>
      <c r="M177">
        <v>3</v>
      </c>
      <c r="N177" t="str" cm="1">
        <f t="array" ref="N177">_xlfn.IFS(M177=1,"Low",M177=2,"Medium",M177=3,"High",M177=4,"Very High")</f>
        <v>High</v>
      </c>
      <c r="O177" t="s">
        <v>36</v>
      </c>
      <c r="P177" s="2">
        <v>67</v>
      </c>
      <c r="Q177">
        <v>3</v>
      </c>
      <c r="R177" t="str" cm="1">
        <f t="array" ref="R177">_xlfn.IFS(Q177=1,"Low",Q177=2,"Medium",Q177=3,"High",Q177=4,"Very High")</f>
        <v>High</v>
      </c>
      <c r="S177">
        <v>1</v>
      </c>
      <c r="T177" t="str" cm="1">
        <f t="array" ref="T177">_xlfn.IFS(S177=1,"Entry Level",S177=2,"Junior",S177=3,"Mid-Level",S177=4,"Senior",S177=5,"Executive")</f>
        <v>Entry Level</v>
      </c>
      <c r="U177" t="s">
        <v>43</v>
      </c>
      <c r="V177">
        <v>1</v>
      </c>
      <c r="W177" t="str" cm="1">
        <f t="array" ref="W177">_xlfn.IFS(V177=1,"Low",V177=2,"Medium",V177=3,"High",V177=4,"Very High")</f>
        <v>Low</v>
      </c>
      <c r="X177" t="s">
        <v>48</v>
      </c>
      <c r="Y177" s="2">
        <v>4257</v>
      </c>
      <c r="Z177" s="2">
        <v>13939</v>
      </c>
      <c r="AA177">
        <v>4</v>
      </c>
      <c r="AB177" t="s">
        <v>32</v>
      </c>
      <c r="AC177">
        <v>18</v>
      </c>
      <c r="AD177">
        <v>3</v>
      </c>
      <c r="AE177" t="str" cm="1">
        <f t="array" ref="AE177">_xlfn.IFS(AD177=1,"Low",AD177=2,"Good",AD177=3,"Excellent",AD177=4,"Outstanding")</f>
        <v>Excellent</v>
      </c>
      <c r="AF177">
        <v>3</v>
      </c>
      <c r="AG177" t="str" cm="1">
        <f t="array" ref="AG177">_xlfn.IFS(AF177=1,"Low",AF177=2,"Medium",AF177=3,"High",AF177=4,"Very High")</f>
        <v>High</v>
      </c>
      <c r="AH177">
        <v>1</v>
      </c>
      <c r="AI177">
        <v>19</v>
      </c>
      <c r="AJ177">
        <v>3</v>
      </c>
      <c r="AK177">
        <v>3</v>
      </c>
      <c r="AL177" t="str" cm="1">
        <f t="array" ref="AL177">_xlfn.IFS(AK177=1,"Low",AK177=2,"Medium",AK177=3,"High",AK177=4,"Very High")</f>
        <v>High</v>
      </c>
      <c r="AM177">
        <v>2</v>
      </c>
      <c r="AN177">
        <v>2</v>
      </c>
      <c r="AO177">
        <v>2</v>
      </c>
      <c r="AP177">
        <v>2</v>
      </c>
    </row>
    <row r="178" spans="1:42">
      <c r="A178">
        <v>33</v>
      </c>
      <c r="B178" t="str" cm="1">
        <f t="array" ref="B178">_xlfn.IFS(A178&lt;=25,"18-25",A178&lt;=35,"26-35",A178&lt;=45,"36-45",A178&lt;=55,"46-55",A178&gt;55,"56+")</f>
        <v>26-35</v>
      </c>
      <c r="C178" t="s">
        <v>39</v>
      </c>
      <c r="D178" t="s">
        <v>33</v>
      </c>
      <c r="E178" s="2">
        <v>134</v>
      </c>
      <c r="F178" t="s">
        <v>41</v>
      </c>
      <c r="G178">
        <v>2</v>
      </c>
      <c r="H178" t="str">
        <f t="shared" si="2"/>
        <v>1-10 km</v>
      </c>
      <c r="I178">
        <v>3</v>
      </c>
      <c r="J178" t="str" cm="1">
        <f t="array" ref="J178">_xlfn.IFS(I178=1,"Below College",I178=2,"College",I178=3,"Bachelor",I178=4,"Master",I178=5,"Doctor")</f>
        <v>Bachelor</v>
      </c>
      <c r="K178" t="s">
        <v>35</v>
      </c>
      <c r="L178">
        <v>242</v>
      </c>
      <c r="M178">
        <v>3</v>
      </c>
      <c r="N178" t="str" cm="1">
        <f t="array" ref="N178">_xlfn.IFS(M178=1,"Low",M178=2,"Medium",M178=3,"High",M178=4,"Very High")</f>
        <v>High</v>
      </c>
      <c r="O178" t="s">
        <v>42</v>
      </c>
      <c r="P178" s="2">
        <v>90</v>
      </c>
      <c r="Q178">
        <v>3</v>
      </c>
      <c r="R178" t="str" cm="1">
        <f t="array" ref="R178">_xlfn.IFS(Q178=1,"Low",Q178=2,"Medium",Q178=3,"High",Q178=4,"Very High")</f>
        <v>High</v>
      </c>
      <c r="S178">
        <v>1</v>
      </c>
      <c r="T178" t="str" cm="1">
        <f t="array" ref="T178">_xlfn.IFS(S178=1,"Entry Level",S178=2,"Junior",S178=3,"Mid-Level",S178=4,"Senior",S178=5,"Executive")</f>
        <v>Entry Level</v>
      </c>
      <c r="U178" t="s">
        <v>43</v>
      </c>
      <c r="V178">
        <v>4</v>
      </c>
      <c r="W178" t="str" cm="1">
        <f t="array" ref="W178">_xlfn.IFS(V178=1,"Low",V178=2,"Medium",V178=3,"High",V178=4,"Very High")</f>
        <v>Very High</v>
      </c>
      <c r="X178" t="s">
        <v>38</v>
      </c>
      <c r="Y178" s="2">
        <v>2500</v>
      </c>
      <c r="Z178" s="2">
        <v>10515</v>
      </c>
      <c r="AA178">
        <v>0</v>
      </c>
      <c r="AB178" t="s">
        <v>39</v>
      </c>
      <c r="AC178">
        <v>14</v>
      </c>
      <c r="AD178">
        <v>3</v>
      </c>
      <c r="AE178" t="str" cm="1">
        <f t="array" ref="AE178">_xlfn.IFS(AD178=1,"Low",AD178=2,"Good",AD178=3,"Excellent",AD178=4,"Outstanding")</f>
        <v>Excellent</v>
      </c>
      <c r="AF178">
        <v>1</v>
      </c>
      <c r="AG178" t="str" cm="1">
        <f t="array" ref="AG178">_xlfn.IFS(AF178=1,"Low",AF178=2,"Medium",AF178=3,"High",AF178=4,"Very High")</f>
        <v>Low</v>
      </c>
      <c r="AH178">
        <v>0</v>
      </c>
      <c r="AI178">
        <v>4</v>
      </c>
      <c r="AJ178">
        <v>2</v>
      </c>
      <c r="AK178">
        <v>4</v>
      </c>
      <c r="AL178" t="str" cm="1">
        <f t="array" ref="AL178">_xlfn.IFS(AK178=1,"Low",AK178=2,"Medium",AK178=3,"High",AK178=4,"Very High")</f>
        <v>Very High</v>
      </c>
      <c r="AM178">
        <v>3</v>
      </c>
      <c r="AN178">
        <v>1</v>
      </c>
      <c r="AO178">
        <v>0</v>
      </c>
      <c r="AP178">
        <v>2</v>
      </c>
    </row>
    <row r="179" spans="1:42">
      <c r="A179">
        <v>19</v>
      </c>
      <c r="B179" t="str" cm="1">
        <f t="array" ref="B179">_xlfn.IFS(A179&lt;=25,"18-25",A179&lt;=35,"26-35",A179&lt;=45,"36-45",A179&lt;=55,"46-55",A179&gt;55,"56+")</f>
        <v>18-25</v>
      </c>
      <c r="C179" t="s">
        <v>32</v>
      </c>
      <c r="D179" t="s">
        <v>33</v>
      </c>
      <c r="E179" s="2">
        <v>303</v>
      </c>
      <c r="F179" t="s">
        <v>41</v>
      </c>
      <c r="G179">
        <v>2</v>
      </c>
      <c r="H179" t="str">
        <f t="shared" si="2"/>
        <v>1-10 km</v>
      </c>
      <c r="I179">
        <v>3</v>
      </c>
      <c r="J179" t="str" cm="1">
        <f t="array" ref="J179">_xlfn.IFS(I179=1,"Below College",I179=2,"College",I179=3,"Bachelor",I179=4,"Master",I179=5,"Doctor")</f>
        <v>Bachelor</v>
      </c>
      <c r="K179" t="s">
        <v>35</v>
      </c>
      <c r="L179">
        <v>243</v>
      </c>
      <c r="M179">
        <v>2</v>
      </c>
      <c r="N179" t="str" cm="1">
        <f t="array" ref="N179">_xlfn.IFS(M179=1,"Low",M179=2,"Medium",M179=3,"High",M179=4,"Very High")</f>
        <v>Medium</v>
      </c>
      <c r="O179" t="s">
        <v>42</v>
      </c>
      <c r="P179" s="2">
        <v>47</v>
      </c>
      <c r="Q179">
        <v>2</v>
      </c>
      <c r="R179" t="str" cm="1">
        <f t="array" ref="R179">_xlfn.IFS(Q179=1,"Low",Q179=2,"Medium",Q179=3,"High",Q179=4,"Very High")</f>
        <v>Medium</v>
      </c>
      <c r="S179">
        <v>1</v>
      </c>
      <c r="T179" t="str" cm="1">
        <f t="array" ref="T179">_xlfn.IFS(S179=1,"Entry Level",S179=2,"Junior",S179=3,"Mid-Level",S179=4,"Senior",S179=5,"Executive")</f>
        <v>Entry Level</v>
      </c>
      <c r="U179" t="s">
        <v>46</v>
      </c>
      <c r="V179">
        <v>4</v>
      </c>
      <c r="W179" t="str" cm="1">
        <f t="array" ref="W179">_xlfn.IFS(V179=1,"Low",V179=2,"Medium",V179=3,"High",V179=4,"Very High")</f>
        <v>Very High</v>
      </c>
      <c r="X179" t="s">
        <v>38</v>
      </c>
      <c r="Y179" s="2">
        <v>1102</v>
      </c>
      <c r="Z179" s="2">
        <v>9241</v>
      </c>
      <c r="AA179">
        <v>1</v>
      </c>
      <c r="AB179" t="s">
        <v>39</v>
      </c>
      <c r="AC179">
        <v>22</v>
      </c>
      <c r="AD179">
        <v>4</v>
      </c>
      <c r="AE179" t="str" cm="1">
        <f t="array" ref="AE179">_xlfn.IFS(AD179=1,"Low",AD179=2,"Good",AD179=3,"Excellent",AD179=4,"Outstanding")</f>
        <v>Outstanding</v>
      </c>
      <c r="AF179">
        <v>3</v>
      </c>
      <c r="AG179" t="str" cm="1">
        <f t="array" ref="AG179">_xlfn.IFS(AF179=1,"Low",AF179=2,"Medium",AF179=3,"High",AF179=4,"Very High")</f>
        <v>High</v>
      </c>
      <c r="AH179">
        <v>0</v>
      </c>
      <c r="AI179">
        <v>1</v>
      </c>
      <c r="AJ179">
        <v>3</v>
      </c>
      <c r="AK179">
        <v>2</v>
      </c>
      <c r="AL179" t="str" cm="1">
        <f t="array" ref="AL179">_xlfn.IFS(AK179=1,"Low",AK179=2,"Medium",AK179=3,"High",AK179=4,"Very High")</f>
        <v>Medium</v>
      </c>
      <c r="AM179">
        <v>1</v>
      </c>
      <c r="AN179">
        <v>0</v>
      </c>
      <c r="AO179">
        <v>1</v>
      </c>
      <c r="AP179">
        <v>0</v>
      </c>
    </row>
    <row r="180" spans="1:42">
      <c r="A180">
        <v>46</v>
      </c>
      <c r="B180" t="str" cm="1">
        <f t="array" ref="B180">_xlfn.IFS(A180&lt;=25,"18-25",A180&lt;=35,"26-35",A180&lt;=45,"36-45",A180&lt;=55,"46-55",A180&gt;55,"56+")</f>
        <v>46-55</v>
      </c>
      <c r="C180" t="s">
        <v>39</v>
      </c>
      <c r="D180" t="s">
        <v>33</v>
      </c>
      <c r="E180" s="2">
        <v>526</v>
      </c>
      <c r="F180" t="s">
        <v>34</v>
      </c>
      <c r="G180">
        <v>1</v>
      </c>
      <c r="H180" t="str">
        <f t="shared" si="2"/>
        <v>1-10 km</v>
      </c>
      <c r="I180">
        <v>2</v>
      </c>
      <c r="J180" t="str" cm="1">
        <f t="array" ref="J180">_xlfn.IFS(I180=1,"Below College",I180=2,"College",I180=3,"Bachelor",I180=4,"Master",I180=5,"Doctor")</f>
        <v>College</v>
      </c>
      <c r="K180" t="s">
        <v>55</v>
      </c>
      <c r="L180">
        <v>244</v>
      </c>
      <c r="M180">
        <v>2</v>
      </c>
      <c r="N180" t="str" cm="1">
        <f t="array" ref="N180">_xlfn.IFS(M180=1,"Low",M180=2,"Medium",M180=3,"High",M180=4,"Very High")</f>
        <v>Medium</v>
      </c>
      <c r="O180" t="s">
        <v>36</v>
      </c>
      <c r="P180" s="2">
        <v>92</v>
      </c>
      <c r="Q180">
        <v>3</v>
      </c>
      <c r="R180" t="str" cm="1">
        <f t="array" ref="R180">_xlfn.IFS(Q180=1,"Low",Q180=2,"Medium",Q180=3,"High",Q180=4,"Very High")</f>
        <v>High</v>
      </c>
      <c r="S180">
        <v>3</v>
      </c>
      <c r="T180" t="str" cm="1">
        <f t="array" ref="T180">_xlfn.IFS(S180=1,"Entry Level",S180=2,"Junior",S180=3,"Mid-Level",S180=4,"Senior",S180=5,"Executive")</f>
        <v>Mid-Level</v>
      </c>
      <c r="U180" t="s">
        <v>37</v>
      </c>
      <c r="V180">
        <v>1</v>
      </c>
      <c r="W180" t="str" cm="1">
        <f t="array" ref="W180">_xlfn.IFS(V180=1,"Low",V180=2,"Medium",V180=3,"High",V180=4,"Very High")</f>
        <v>Low</v>
      </c>
      <c r="X180" t="s">
        <v>48</v>
      </c>
      <c r="Y180" s="2">
        <v>10453</v>
      </c>
      <c r="Z180" s="2">
        <v>2137</v>
      </c>
      <c r="AA180">
        <v>1</v>
      </c>
      <c r="AB180" t="s">
        <v>39</v>
      </c>
      <c r="AC180">
        <v>25</v>
      </c>
      <c r="AD180">
        <v>4</v>
      </c>
      <c r="AE180" t="str" cm="1">
        <f t="array" ref="AE180">_xlfn.IFS(AD180=1,"Low",AD180=2,"Good",AD180=3,"Excellent",AD180=4,"Outstanding")</f>
        <v>Outstanding</v>
      </c>
      <c r="AF180">
        <v>3</v>
      </c>
      <c r="AG180" t="str" cm="1">
        <f t="array" ref="AG180">_xlfn.IFS(AF180=1,"Low",AF180=2,"Medium",AF180=3,"High",AF180=4,"Very High")</f>
        <v>High</v>
      </c>
      <c r="AH180">
        <v>3</v>
      </c>
      <c r="AI180">
        <v>24</v>
      </c>
      <c r="AJ180">
        <v>2</v>
      </c>
      <c r="AK180">
        <v>3</v>
      </c>
      <c r="AL180" t="str" cm="1">
        <f t="array" ref="AL180">_xlfn.IFS(AK180=1,"Low",AK180=2,"Medium",AK180=3,"High",AK180=4,"Very High")</f>
        <v>High</v>
      </c>
      <c r="AM180">
        <v>24</v>
      </c>
      <c r="AN180">
        <v>13</v>
      </c>
      <c r="AO180">
        <v>15</v>
      </c>
      <c r="AP180">
        <v>7</v>
      </c>
    </row>
    <row r="181" spans="1:42">
      <c r="A181">
        <v>38</v>
      </c>
      <c r="B181" t="str" cm="1">
        <f t="array" ref="B181">_xlfn.IFS(A181&lt;=25,"18-25",A181&lt;=35,"26-35",A181&lt;=45,"36-45",A181&lt;=55,"46-55",A181&gt;55,"56+")</f>
        <v>36-45</v>
      </c>
      <c r="C181" t="s">
        <v>39</v>
      </c>
      <c r="D181" t="s">
        <v>33</v>
      </c>
      <c r="E181" s="2">
        <v>1380</v>
      </c>
      <c r="F181" t="s">
        <v>41</v>
      </c>
      <c r="G181">
        <v>9</v>
      </c>
      <c r="H181" t="str">
        <f t="shared" si="2"/>
        <v>1-10 km</v>
      </c>
      <c r="I181">
        <v>2</v>
      </c>
      <c r="J181" t="str" cm="1">
        <f t="array" ref="J181">_xlfn.IFS(I181=1,"Below College",I181=2,"College",I181=3,"Bachelor",I181=4,"Master",I181=5,"Doctor")</f>
        <v>College</v>
      </c>
      <c r="K181" t="s">
        <v>35</v>
      </c>
      <c r="L181">
        <v>245</v>
      </c>
      <c r="M181">
        <v>3</v>
      </c>
      <c r="N181" t="str" cm="1">
        <f t="array" ref="N181">_xlfn.IFS(M181=1,"Low",M181=2,"Medium",M181=3,"High",M181=4,"Very High")</f>
        <v>High</v>
      </c>
      <c r="O181" t="s">
        <v>36</v>
      </c>
      <c r="P181" s="2">
        <v>75</v>
      </c>
      <c r="Q181">
        <v>3</v>
      </c>
      <c r="R181" t="str" cm="1">
        <f t="array" ref="R181">_xlfn.IFS(Q181=1,"Low",Q181=2,"Medium",Q181=3,"High",Q181=4,"Very High")</f>
        <v>High</v>
      </c>
      <c r="S181">
        <v>1</v>
      </c>
      <c r="T181" t="str" cm="1">
        <f t="array" ref="T181">_xlfn.IFS(S181=1,"Entry Level",S181=2,"Junior",S181=3,"Mid-Level",S181=4,"Senior",S181=5,"Executive")</f>
        <v>Entry Level</v>
      </c>
      <c r="U181" t="s">
        <v>46</v>
      </c>
      <c r="V181">
        <v>4</v>
      </c>
      <c r="W181" t="str" cm="1">
        <f t="array" ref="W181">_xlfn.IFS(V181=1,"Low",V181=2,"Medium",V181=3,"High",V181=4,"Very High")</f>
        <v>Very High</v>
      </c>
      <c r="X181" t="s">
        <v>38</v>
      </c>
      <c r="Y181" s="2">
        <v>2288</v>
      </c>
      <c r="Z181" s="2">
        <v>6319</v>
      </c>
      <c r="AA181">
        <v>1</v>
      </c>
      <c r="AB181" t="s">
        <v>39</v>
      </c>
      <c r="AC181">
        <v>12</v>
      </c>
      <c r="AD181">
        <v>3</v>
      </c>
      <c r="AE181" t="str" cm="1">
        <f t="array" ref="AE181">_xlfn.IFS(AD181=1,"Low",AD181=2,"Good",AD181=3,"Excellent",AD181=4,"Outstanding")</f>
        <v>Excellent</v>
      </c>
      <c r="AF181">
        <v>3</v>
      </c>
      <c r="AG181" t="str" cm="1">
        <f t="array" ref="AG181">_xlfn.IFS(AF181=1,"Low",AF181=2,"Medium",AF181=3,"High",AF181=4,"Very High")</f>
        <v>High</v>
      </c>
      <c r="AH181">
        <v>0</v>
      </c>
      <c r="AI181">
        <v>2</v>
      </c>
      <c r="AJ181">
        <v>3</v>
      </c>
      <c r="AK181">
        <v>3</v>
      </c>
      <c r="AL181" t="str" cm="1">
        <f t="array" ref="AL181">_xlfn.IFS(AK181=1,"Low",AK181=2,"Medium",AK181=3,"High",AK181=4,"Very High")</f>
        <v>High</v>
      </c>
      <c r="AM181">
        <v>2</v>
      </c>
      <c r="AN181">
        <v>2</v>
      </c>
      <c r="AO181">
        <v>2</v>
      </c>
      <c r="AP181">
        <v>1</v>
      </c>
    </row>
    <row r="182" spans="1:42">
      <c r="A182">
        <v>31</v>
      </c>
      <c r="B182" t="str" cm="1">
        <f t="array" ref="B182">_xlfn.IFS(A182&lt;=25,"18-25",A182&lt;=35,"26-35",A182&lt;=45,"36-45",A182&lt;=55,"46-55",A182&gt;55,"56+")</f>
        <v>26-35</v>
      </c>
      <c r="C182" t="s">
        <v>39</v>
      </c>
      <c r="D182" t="s">
        <v>33</v>
      </c>
      <c r="E182" s="2">
        <v>140</v>
      </c>
      <c r="F182" t="s">
        <v>41</v>
      </c>
      <c r="G182">
        <v>12</v>
      </c>
      <c r="H182" t="str">
        <f t="shared" si="2"/>
        <v>11-20 km</v>
      </c>
      <c r="I182">
        <v>1</v>
      </c>
      <c r="J182" t="str" cm="1">
        <f t="array" ref="J182">_xlfn.IFS(I182=1,"Below College",I182=2,"College",I182=3,"Bachelor",I182=4,"Master",I182=5,"Doctor")</f>
        <v>Below College</v>
      </c>
      <c r="K182" t="s">
        <v>47</v>
      </c>
      <c r="L182">
        <v>246</v>
      </c>
      <c r="M182">
        <v>3</v>
      </c>
      <c r="N182" t="str" cm="1">
        <f t="array" ref="N182">_xlfn.IFS(M182=1,"Low",M182=2,"Medium",M182=3,"High",M182=4,"Very High")</f>
        <v>High</v>
      </c>
      <c r="O182" t="s">
        <v>36</v>
      </c>
      <c r="P182" s="2">
        <v>95</v>
      </c>
      <c r="Q182">
        <v>3</v>
      </c>
      <c r="R182" t="str" cm="1">
        <f t="array" ref="R182">_xlfn.IFS(Q182=1,"Low",Q182=2,"Medium",Q182=3,"High",Q182=4,"Very High")</f>
        <v>High</v>
      </c>
      <c r="S182">
        <v>1</v>
      </c>
      <c r="T182" t="str" cm="1">
        <f t="array" ref="T182">_xlfn.IFS(S182=1,"Entry Level",S182=2,"Junior",S182=3,"Mid-Level",S182=4,"Senior",S182=5,"Executive")</f>
        <v>Entry Level</v>
      </c>
      <c r="U182" t="s">
        <v>43</v>
      </c>
      <c r="V182">
        <v>4</v>
      </c>
      <c r="W182" t="str" cm="1">
        <f t="array" ref="W182">_xlfn.IFS(V182=1,"Low",V182=2,"Medium",V182=3,"High",V182=4,"Very High")</f>
        <v>Very High</v>
      </c>
      <c r="X182" t="s">
        <v>44</v>
      </c>
      <c r="Y182" s="2">
        <v>3929</v>
      </c>
      <c r="Z182" s="2">
        <v>6984</v>
      </c>
      <c r="AA182">
        <v>8</v>
      </c>
      <c r="AB182" t="s">
        <v>32</v>
      </c>
      <c r="AC182">
        <v>23</v>
      </c>
      <c r="AD182">
        <v>4</v>
      </c>
      <c r="AE182" t="str" cm="1">
        <f t="array" ref="AE182">_xlfn.IFS(AD182=1,"Low",AD182=2,"Good",AD182=3,"Excellent",AD182=4,"Outstanding")</f>
        <v>Outstanding</v>
      </c>
      <c r="AF182">
        <v>3</v>
      </c>
      <c r="AG182" t="str" cm="1">
        <f t="array" ref="AG182">_xlfn.IFS(AF182=1,"Low",AF182=2,"Medium",AF182=3,"High",AF182=4,"Very High")</f>
        <v>High</v>
      </c>
      <c r="AH182">
        <v>1</v>
      </c>
      <c r="AI182">
        <v>7</v>
      </c>
      <c r="AJ182">
        <v>0</v>
      </c>
      <c r="AK182">
        <v>3</v>
      </c>
      <c r="AL182" t="str" cm="1">
        <f t="array" ref="AL182">_xlfn.IFS(AK182=1,"Low",AK182=2,"Medium",AK182=3,"High",AK182=4,"Very High")</f>
        <v>High</v>
      </c>
      <c r="AM182">
        <v>4</v>
      </c>
      <c r="AN182">
        <v>2</v>
      </c>
      <c r="AO182">
        <v>0</v>
      </c>
      <c r="AP182">
        <v>2</v>
      </c>
    </row>
    <row r="183" spans="1:42">
      <c r="A183">
        <v>34</v>
      </c>
      <c r="B183" t="str" cm="1">
        <f t="array" ref="B183">_xlfn.IFS(A183&lt;=25,"18-25",A183&lt;=35,"26-35",A183&lt;=45,"36-45",A183&lt;=55,"46-55",A183&gt;55,"56+")</f>
        <v>26-35</v>
      </c>
      <c r="C183" t="s">
        <v>39</v>
      </c>
      <c r="D183" t="s">
        <v>33</v>
      </c>
      <c r="E183" s="2">
        <v>629</v>
      </c>
      <c r="F183" t="s">
        <v>41</v>
      </c>
      <c r="G183">
        <v>27</v>
      </c>
      <c r="H183" t="str">
        <f t="shared" si="2"/>
        <v>21-30 km</v>
      </c>
      <c r="I183">
        <v>2</v>
      </c>
      <c r="J183" t="str" cm="1">
        <f t="array" ref="J183">_xlfn.IFS(I183=1,"Below College",I183=2,"College",I183=3,"Bachelor",I183=4,"Master",I183=5,"Doctor")</f>
        <v>College</v>
      </c>
      <c r="K183" t="s">
        <v>47</v>
      </c>
      <c r="L183">
        <v>247</v>
      </c>
      <c r="M183">
        <v>4</v>
      </c>
      <c r="N183" t="str" cm="1">
        <f t="array" ref="N183">_xlfn.IFS(M183=1,"Low",M183=2,"Medium",M183=3,"High",M183=4,"Very High")</f>
        <v>Very High</v>
      </c>
      <c r="O183" t="s">
        <v>36</v>
      </c>
      <c r="P183" s="2">
        <v>95</v>
      </c>
      <c r="Q183">
        <v>3</v>
      </c>
      <c r="R183" t="str" cm="1">
        <f t="array" ref="R183">_xlfn.IFS(Q183=1,"Low",Q183=2,"Medium",Q183=3,"High",Q183=4,"Very High")</f>
        <v>High</v>
      </c>
      <c r="S183">
        <v>1</v>
      </c>
      <c r="T183" t="str" cm="1">
        <f t="array" ref="T183">_xlfn.IFS(S183=1,"Entry Level",S183=2,"Junior",S183=3,"Mid-Level",S183=4,"Senior",S183=5,"Executive")</f>
        <v>Entry Level</v>
      </c>
      <c r="U183" t="s">
        <v>43</v>
      </c>
      <c r="V183">
        <v>2</v>
      </c>
      <c r="W183" t="str" cm="1">
        <f t="array" ref="W183">_xlfn.IFS(V183=1,"Low",V183=2,"Medium",V183=3,"High",V183=4,"Very High")</f>
        <v>Medium</v>
      </c>
      <c r="X183" t="s">
        <v>38</v>
      </c>
      <c r="Y183" s="2">
        <v>2311</v>
      </c>
      <c r="Z183" s="2">
        <v>5711</v>
      </c>
      <c r="AA183">
        <v>2</v>
      </c>
      <c r="AB183" t="s">
        <v>39</v>
      </c>
      <c r="AC183">
        <v>15</v>
      </c>
      <c r="AD183">
        <v>3</v>
      </c>
      <c r="AE183" t="str" cm="1">
        <f t="array" ref="AE183">_xlfn.IFS(AD183=1,"Low",AD183=2,"Good",AD183=3,"Excellent",AD183=4,"Outstanding")</f>
        <v>Excellent</v>
      </c>
      <c r="AF183">
        <v>4</v>
      </c>
      <c r="AG183" t="str" cm="1">
        <f t="array" ref="AG183">_xlfn.IFS(AF183=1,"Low",AF183=2,"Medium",AF183=3,"High",AF183=4,"Very High")</f>
        <v>Very High</v>
      </c>
      <c r="AH183">
        <v>0</v>
      </c>
      <c r="AI183">
        <v>9</v>
      </c>
      <c r="AJ183">
        <v>3</v>
      </c>
      <c r="AK183">
        <v>3</v>
      </c>
      <c r="AL183" t="str" cm="1">
        <f t="array" ref="AL183">_xlfn.IFS(AK183=1,"Low",AK183=2,"Medium",AK183=3,"High",AK183=4,"Very High")</f>
        <v>High</v>
      </c>
      <c r="AM183">
        <v>3</v>
      </c>
      <c r="AN183">
        <v>2</v>
      </c>
      <c r="AO183">
        <v>1</v>
      </c>
      <c r="AP183">
        <v>2</v>
      </c>
    </row>
    <row r="184" spans="1:42">
      <c r="A184">
        <v>41</v>
      </c>
      <c r="B184" t="str" cm="1">
        <f t="array" ref="B184">_xlfn.IFS(A184&lt;=25,"18-25",A184&lt;=35,"26-35",A184&lt;=45,"36-45",A184&lt;=55,"46-55",A184&gt;55,"56+")</f>
        <v>36-45</v>
      </c>
      <c r="C184" t="s">
        <v>32</v>
      </c>
      <c r="D184" t="s">
        <v>33</v>
      </c>
      <c r="E184" s="2">
        <v>1356</v>
      </c>
      <c r="F184" t="s">
        <v>34</v>
      </c>
      <c r="G184">
        <v>20</v>
      </c>
      <c r="H184" t="str">
        <f t="shared" si="2"/>
        <v>11-20 km</v>
      </c>
      <c r="I184">
        <v>2</v>
      </c>
      <c r="J184" t="str" cm="1">
        <f t="array" ref="J184">_xlfn.IFS(I184=1,"Below College",I184=2,"College",I184=3,"Bachelor",I184=4,"Master",I184=5,"Doctor")</f>
        <v>College</v>
      </c>
      <c r="K184" t="s">
        <v>55</v>
      </c>
      <c r="L184">
        <v>248</v>
      </c>
      <c r="M184">
        <v>2</v>
      </c>
      <c r="N184" t="str" cm="1">
        <f t="array" ref="N184">_xlfn.IFS(M184=1,"Low",M184=2,"Medium",M184=3,"High",M184=4,"Very High")</f>
        <v>Medium</v>
      </c>
      <c r="O184" t="s">
        <v>36</v>
      </c>
      <c r="P184" s="2">
        <v>70</v>
      </c>
      <c r="Q184">
        <v>3</v>
      </c>
      <c r="R184" t="str" cm="1">
        <f t="array" ref="R184">_xlfn.IFS(Q184=1,"Low",Q184=2,"Medium",Q184=3,"High",Q184=4,"Very High")</f>
        <v>High</v>
      </c>
      <c r="S184">
        <v>1</v>
      </c>
      <c r="T184" t="str" cm="1">
        <f t="array" ref="T184">_xlfn.IFS(S184=1,"Entry Level",S184=2,"Junior",S184=3,"Mid-Level",S184=4,"Senior",S184=5,"Executive")</f>
        <v>Entry Level</v>
      </c>
      <c r="U184" t="s">
        <v>53</v>
      </c>
      <c r="V184">
        <v>2</v>
      </c>
      <c r="W184" t="str" cm="1">
        <f t="array" ref="W184">_xlfn.IFS(V184=1,"Low",V184=2,"Medium",V184=3,"High",V184=4,"Very High")</f>
        <v>Medium</v>
      </c>
      <c r="X184" t="s">
        <v>38</v>
      </c>
      <c r="Y184" s="2">
        <v>3140</v>
      </c>
      <c r="Z184" s="2">
        <v>21728</v>
      </c>
      <c r="AA184">
        <v>1</v>
      </c>
      <c r="AB184" t="s">
        <v>32</v>
      </c>
      <c r="AC184">
        <v>22</v>
      </c>
      <c r="AD184">
        <v>4</v>
      </c>
      <c r="AE184" t="str" cm="1">
        <f t="array" ref="AE184">_xlfn.IFS(AD184=1,"Low",AD184=2,"Good",AD184=3,"Excellent",AD184=4,"Outstanding")</f>
        <v>Outstanding</v>
      </c>
      <c r="AF184">
        <v>4</v>
      </c>
      <c r="AG184" t="str" cm="1">
        <f t="array" ref="AG184">_xlfn.IFS(AF184=1,"Low",AF184=2,"Medium",AF184=3,"High",AF184=4,"Very High")</f>
        <v>Very High</v>
      </c>
      <c r="AH184">
        <v>0</v>
      </c>
      <c r="AI184">
        <v>4</v>
      </c>
      <c r="AJ184">
        <v>5</v>
      </c>
      <c r="AK184">
        <v>2</v>
      </c>
      <c r="AL184" t="str" cm="1">
        <f t="array" ref="AL184">_xlfn.IFS(AK184=1,"Low",AK184=2,"Medium",AK184=3,"High",AK184=4,"Very High")</f>
        <v>Medium</v>
      </c>
      <c r="AM184">
        <v>4</v>
      </c>
      <c r="AN184">
        <v>3</v>
      </c>
      <c r="AO184">
        <v>0</v>
      </c>
      <c r="AP184">
        <v>2</v>
      </c>
    </row>
    <row r="185" spans="1:42">
      <c r="A185">
        <v>50</v>
      </c>
      <c r="B185" t="str" cm="1">
        <f t="array" ref="B185">_xlfn.IFS(A185&lt;=25,"18-25",A185&lt;=35,"26-35",A185&lt;=45,"36-45",A185&lt;=55,"46-55",A185&gt;55,"56+")</f>
        <v>46-55</v>
      </c>
      <c r="C185" t="s">
        <v>39</v>
      </c>
      <c r="D185" t="s">
        <v>33</v>
      </c>
      <c r="E185" s="2">
        <v>328</v>
      </c>
      <c r="F185" t="s">
        <v>41</v>
      </c>
      <c r="G185">
        <v>1</v>
      </c>
      <c r="H185" t="str">
        <f t="shared" si="2"/>
        <v>1-10 km</v>
      </c>
      <c r="I185">
        <v>3</v>
      </c>
      <c r="J185" t="str" cm="1">
        <f t="array" ref="J185">_xlfn.IFS(I185=1,"Below College",I185=2,"College",I185=3,"Bachelor",I185=4,"Master",I185=5,"Doctor")</f>
        <v>Bachelor</v>
      </c>
      <c r="K185" t="s">
        <v>47</v>
      </c>
      <c r="L185">
        <v>249</v>
      </c>
      <c r="M185">
        <v>3</v>
      </c>
      <c r="N185" t="str" cm="1">
        <f t="array" ref="N185">_xlfn.IFS(M185=1,"Low",M185=2,"Medium",M185=3,"High",M185=4,"Very High")</f>
        <v>High</v>
      </c>
      <c r="O185" t="s">
        <v>42</v>
      </c>
      <c r="P185" s="2">
        <v>86</v>
      </c>
      <c r="Q185">
        <v>2</v>
      </c>
      <c r="R185" t="str" cm="1">
        <f t="array" ref="R185">_xlfn.IFS(Q185=1,"Low",Q185=2,"Medium",Q185=3,"High",Q185=4,"Very High")</f>
        <v>Medium</v>
      </c>
      <c r="S185">
        <v>1</v>
      </c>
      <c r="T185" t="str" cm="1">
        <f t="array" ref="T185">_xlfn.IFS(S185=1,"Entry Level",S185=2,"Junior",S185=3,"Mid-Level",S185=4,"Senior",S185=5,"Executive")</f>
        <v>Entry Level</v>
      </c>
      <c r="U185" t="s">
        <v>46</v>
      </c>
      <c r="V185">
        <v>3</v>
      </c>
      <c r="W185" t="str" cm="1">
        <f t="array" ref="W185">_xlfn.IFS(V185=1,"Low",V185=2,"Medium",V185=3,"High",V185=4,"Very High")</f>
        <v>High</v>
      </c>
      <c r="X185" t="s">
        <v>44</v>
      </c>
      <c r="Y185" s="2">
        <v>3690</v>
      </c>
      <c r="Z185" s="2">
        <v>3425</v>
      </c>
      <c r="AA185">
        <v>2</v>
      </c>
      <c r="AB185" t="s">
        <v>39</v>
      </c>
      <c r="AC185">
        <v>15</v>
      </c>
      <c r="AD185">
        <v>3</v>
      </c>
      <c r="AE185" t="str" cm="1">
        <f t="array" ref="AE185">_xlfn.IFS(AD185=1,"Low",AD185=2,"Good",AD185=3,"Excellent",AD185=4,"Outstanding")</f>
        <v>Excellent</v>
      </c>
      <c r="AF185">
        <v>4</v>
      </c>
      <c r="AG185" t="str" cm="1">
        <f t="array" ref="AG185">_xlfn.IFS(AF185=1,"Low",AF185=2,"Medium",AF185=3,"High",AF185=4,"Very High")</f>
        <v>Very High</v>
      </c>
      <c r="AH185">
        <v>1</v>
      </c>
      <c r="AI185">
        <v>5</v>
      </c>
      <c r="AJ185">
        <v>2</v>
      </c>
      <c r="AK185">
        <v>2</v>
      </c>
      <c r="AL185" t="str" cm="1">
        <f t="array" ref="AL185">_xlfn.IFS(AK185=1,"Low",AK185=2,"Medium",AK185=3,"High",AK185=4,"Very High")</f>
        <v>Medium</v>
      </c>
      <c r="AM185">
        <v>3</v>
      </c>
      <c r="AN185">
        <v>2</v>
      </c>
      <c r="AO185">
        <v>0</v>
      </c>
      <c r="AP185">
        <v>2</v>
      </c>
    </row>
    <row r="186" spans="1:42">
      <c r="A186">
        <v>53</v>
      </c>
      <c r="B186" t="str" cm="1">
        <f t="array" ref="B186">_xlfn.IFS(A186&lt;=25,"18-25",A186&lt;=35,"26-35",A186&lt;=45,"36-45",A186&lt;=55,"46-55",A186&gt;55,"56+")</f>
        <v>46-55</v>
      </c>
      <c r="C186" t="s">
        <v>39</v>
      </c>
      <c r="D186" t="s">
        <v>33</v>
      </c>
      <c r="E186" s="2">
        <v>1084</v>
      </c>
      <c r="F186" t="s">
        <v>41</v>
      </c>
      <c r="G186">
        <v>13</v>
      </c>
      <c r="H186" t="str">
        <f t="shared" si="2"/>
        <v>11-20 km</v>
      </c>
      <c r="I186">
        <v>2</v>
      </c>
      <c r="J186" t="str" cm="1">
        <f t="array" ref="J186">_xlfn.IFS(I186=1,"Below College",I186=2,"College",I186=3,"Bachelor",I186=4,"Master",I186=5,"Doctor")</f>
        <v>College</v>
      </c>
      <c r="K186" t="s">
        <v>47</v>
      </c>
      <c r="L186">
        <v>250</v>
      </c>
      <c r="M186">
        <v>4</v>
      </c>
      <c r="N186" t="str" cm="1">
        <f t="array" ref="N186">_xlfn.IFS(M186=1,"Low",M186=2,"Medium",M186=3,"High",M186=4,"Very High")</f>
        <v>Very High</v>
      </c>
      <c r="O186" t="s">
        <v>36</v>
      </c>
      <c r="P186" s="2">
        <v>57</v>
      </c>
      <c r="Q186">
        <v>4</v>
      </c>
      <c r="R186" t="str" cm="1">
        <f t="array" ref="R186">_xlfn.IFS(Q186=1,"Low",Q186=2,"Medium",Q186=3,"High",Q186=4,"Very High")</f>
        <v>Very High</v>
      </c>
      <c r="S186">
        <v>2</v>
      </c>
      <c r="T186" t="str" cm="1">
        <f t="array" ref="T186">_xlfn.IFS(S186=1,"Entry Level",S186=2,"Junior",S186=3,"Mid-Level",S186=4,"Senior",S186=5,"Executive")</f>
        <v>Junior</v>
      </c>
      <c r="U186" t="s">
        <v>49</v>
      </c>
      <c r="V186">
        <v>1</v>
      </c>
      <c r="W186" t="str" cm="1">
        <f t="array" ref="W186">_xlfn.IFS(V186=1,"Low",V186=2,"Medium",V186=3,"High",V186=4,"Very High")</f>
        <v>Low</v>
      </c>
      <c r="X186" t="s">
        <v>48</v>
      </c>
      <c r="Y186" s="2">
        <v>4450</v>
      </c>
      <c r="Z186" s="2">
        <v>26250</v>
      </c>
      <c r="AA186">
        <v>1</v>
      </c>
      <c r="AB186" t="s">
        <v>39</v>
      </c>
      <c r="AC186">
        <v>11</v>
      </c>
      <c r="AD186">
        <v>3</v>
      </c>
      <c r="AE186" t="str" cm="1">
        <f t="array" ref="AE186">_xlfn.IFS(AD186=1,"Low",AD186=2,"Good",AD186=3,"Excellent",AD186=4,"Outstanding")</f>
        <v>Excellent</v>
      </c>
      <c r="AF186">
        <v>3</v>
      </c>
      <c r="AG186" t="str" cm="1">
        <f t="array" ref="AG186">_xlfn.IFS(AF186=1,"Low",AF186=2,"Medium",AF186=3,"High",AF186=4,"Very High")</f>
        <v>High</v>
      </c>
      <c r="AH186">
        <v>2</v>
      </c>
      <c r="AI186">
        <v>5</v>
      </c>
      <c r="AJ186">
        <v>3</v>
      </c>
      <c r="AK186">
        <v>3</v>
      </c>
      <c r="AL186" t="str" cm="1">
        <f t="array" ref="AL186">_xlfn.IFS(AK186=1,"Low",AK186=2,"Medium",AK186=3,"High",AK186=4,"Very High")</f>
        <v>High</v>
      </c>
      <c r="AM186">
        <v>4</v>
      </c>
      <c r="AN186">
        <v>2</v>
      </c>
      <c r="AO186">
        <v>1</v>
      </c>
      <c r="AP186">
        <v>3</v>
      </c>
    </row>
    <row r="187" spans="1:42">
      <c r="A187">
        <v>33</v>
      </c>
      <c r="B187" t="str" cm="1">
        <f t="array" ref="B187">_xlfn.IFS(A187&lt;=25,"18-25",A187&lt;=35,"26-35",A187&lt;=45,"36-45",A187&lt;=55,"46-55",A187&gt;55,"56+")</f>
        <v>26-35</v>
      </c>
      <c r="C187" t="s">
        <v>39</v>
      </c>
      <c r="D187" t="s">
        <v>33</v>
      </c>
      <c r="E187" s="2">
        <v>931</v>
      </c>
      <c r="F187" t="s">
        <v>41</v>
      </c>
      <c r="G187">
        <v>14</v>
      </c>
      <c r="H187" t="str">
        <f t="shared" si="2"/>
        <v>11-20 km</v>
      </c>
      <c r="I187">
        <v>3</v>
      </c>
      <c r="J187" t="str" cm="1">
        <f t="array" ref="J187">_xlfn.IFS(I187=1,"Below College",I187=2,"College",I187=3,"Bachelor",I187=4,"Master",I187=5,"Doctor")</f>
        <v>Bachelor</v>
      </c>
      <c r="K187" t="s">
        <v>47</v>
      </c>
      <c r="L187">
        <v>252</v>
      </c>
      <c r="M187">
        <v>4</v>
      </c>
      <c r="N187" t="str" cm="1">
        <f t="array" ref="N187">_xlfn.IFS(M187=1,"Low",M187=2,"Medium",M187=3,"High",M187=4,"Very High")</f>
        <v>Very High</v>
      </c>
      <c r="O187" t="s">
        <v>36</v>
      </c>
      <c r="P187" s="2">
        <v>72</v>
      </c>
      <c r="Q187">
        <v>3</v>
      </c>
      <c r="R187" t="str" cm="1">
        <f t="array" ref="R187">_xlfn.IFS(Q187=1,"Low",Q187=2,"Medium",Q187=3,"High",Q187=4,"Very High")</f>
        <v>High</v>
      </c>
      <c r="S187">
        <v>1</v>
      </c>
      <c r="T187" t="str" cm="1">
        <f t="array" ref="T187">_xlfn.IFS(S187=1,"Entry Level",S187=2,"Junior",S187=3,"Mid-Level",S187=4,"Senior",S187=5,"Executive")</f>
        <v>Entry Level</v>
      </c>
      <c r="U187" t="s">
        <v>43</v>
      </c>
      <c r="V187">
        <v>2</v>
      </c>
      <c r="W187" t="str" cm="1">
        <f t="array" ref="W187">_xlfn.IFS(V187=1,"Low",V187=2,"Medium",V187=3,"High",V187=4,"Very High")</f>
        <v>Medium</v>
      </c>
      <c r="X187" t="s">
        <v>44</v>
      </c>
      <c r="Y187" s="2">
        <v>2756</v>
      </c>
      <c r="Z187" s="2">
        <v>4673</v>
      </c>
      <c r="AA187">
        <v>1</v>
      </c>
      <c r="AB187" t="s">
        <v>39</v>
      </c>
      <c r="AC187">
        <v>13</v>
      </c>
      <c r="AD187">
        <v>3</v>
      </c>
      <c r="AE187" t="str" cm="1">
        <f t="array" ref="AE187">_xlfn.IFS(AD187=1,"Low",AD187=2,"Good",AD187=3,"Excellent",AD187=4,"Outstanding")</f>
        <v>Excellent</v>
      </c>
      <c r="AF187">
        <v>4</v>
      </c>
      <c r="AG187" t="str" cm="1">
        <f t="array" ref="AG187">_xlfn.IFS(AF187=1,"Low",AF187=2,"Medium",AF187=3,"High",AF187=4,"Very High")</f>
        <v>Very High</v>
      </c>
      <c r="AH187">
        <v>1</v>
      </c>
      <c r="AI187">
        <v>8</v>
      </c>
      <c r="AJ187">
        <v>5</v>
      </c>
      <c r="AK187">
        <v>3</v>
      </c>
      <c r="AL187" t="str" cm="1">
        <f t="array" ref="AL187">_xlfn.IFS(AK187=1,"Low",AK187=2,"Medium",AK187=3,"High",AK187=4,"Very High")</f>
        <v>High</v>
      </c>
      <c r="AM187">
        <v>8</v>
      </c>
      <c r="AN187">
        <v>7</v>
      </c>
      <c r="AO187">
        <v>1</v>
      </c>
      <c r="AP187">
        <v>6</v>
      </c>
    </row>
    <row r="188" spans="1:42">
      <c r="A188">
        <v>40</v>
      </c>
      <c r="B188" t="str" cm="1">
        <f t="array" ref="B188">_xlfn.IFS(A188&lt;=25,"18-25",A188&lt;=35,"26-35",A188&lt;=45,"36-45",A188&lt;=55,"46-55",A188&gt;55,"56+")</f>
        <v>36-45</v>
      </c>
      <c r="C188" t="s">
        <v>39</v>
      </c>
      <c r="D188" t="s">
        <v>33</v>
      </c>
      <c r="E188" s="2">
        <v>989</v>
      </c>
      <c r="F188" t="s">
        <v>41</v>
      </c>
      <c r="G188">
        <v>4</v>
      </c>
      <c r="H188" t="str">
        <f t="shared" si="2"/>
        <v>1-10 km</v>
      </c>
      <c r="I188">
        <v>1</v>
      </c>
      <c r="J188" t="str" cm="1">
        <f t="array" ref="J188">_xlfn.IFS(I188=1,"Below College",I188=2,"College",I188=3,"Bachelor",I188=4,"Master",I188=5,"Doctor")</f>
        <v>Below College</v>
      </c>
      <c r="K188" t="s">
        <v>47</v>
      </c>
      <c r="L188">
        <v>253</v>
      </c>
      <c r="M188">
        <v>4</v>
      </c>
      <c r="N188" t="str" cm="1">
        <f t="array" ref="N188">_xlfn.IFS(M188=1,"Low",M188=2,"Medium",M188=3,"High",M188=4,"Very High")</f>
        <v>Very High</v>
      </c>
      <c r="O188" t="s">
        <v>36</v>
      </c>
      <c r="P188" s="2">
        <v>46</v>
      </c>
      <c r="Q188">
        <v>3</v>
      </c>
      <c r="R188" t="str" cm="1">
        <f t="array" ref="R188">_xlfn.IFS(Q188=1,"Low",Q188=2,"Medium",Q188=3,"High",Q188=4,"Very High")</f>
        <v>High</v>
      </c>
      <c r="S188">
        <v>5</v>
      </c>
      <c r="T188" t="str" cm="1">
        <f t="array" ref="T188">_xlfn.IFS(S188=1,"Entry Level",S188=2,"Junior",S188=3,"Mid-Level",S188=4,"Senior",S188=5,"Executive")</f>
        <v>Executive</v>
      </c>
      <c r="U188" t="s">
        <v>52</v>
      </c>
      <c r="V188">
        <v>3</v>
      </c>
      <c r="W188" t="str" cm="1">
        <f t="array" ref="W188">_xlfn.IFS(V188=1,"Low",V188=2,"Medium",V188=3,"High",V188=4,"Very High")</f>
        <v>High</v>
      </c>
      <c r="X188" t="s">
        <v>44</v>
      </c>
      <c r="Y188" s="2">
        <v>19033</v>
      </c>
      <c r="Z188" s="2">
        <v>6499</v>
      </c>
      <c r="AA188">
        <v>1</v>
      </c>
      <c r="AB188" t="s">
        <v>39</v>
      </c>
      <c r="AC188">
        <v>14</v>
      </c>
      <c r="AD188">
        <v>3</v>
      </c>
      <c r="AE188" t="str" cm="1">
        <f t="array" ref="AE188">_xlfn.IFS(AD188=1,"Low",AD188=2,"Good",AD188=3,"Excellent",AD188=4,"Outstanding")</f>
        <v>Excellent</v>
      </c>
      <c r="AF188">
        <v>2</v>
      </c>
      <c r="AG188" t="str" cm="1">
        <f t="array" ref="AG188">_xlfn.IFS(AF188=1,"Low",AF188=2,"Medium",AF188=3,"High",AF188=4,"Very High")</f>
        <v>Medium</v>
      </c>
      <c r="AH188">
        <v>1</v>
      </c>
      <c r="AI188">
        <v>21</v>
      </c>
      <c r="AJ188">
        <v>2</v>
      </c>
      <c r="AK188">
        <v>3</v>
      </c>
      <c r="AL188" t="str" cm="1">
        <f t="array" ref="AL188">_xlfn.IFS(AK188=1,"Low",AK188=2,"Medium",AK188=3,"High",AK188=4,"Very High")</f>
        <v>High</v>
      </c>
      <c r="AM188">
        <v>20</v>
      </c>
      <c r="AN188">
        <v>8</v>
      </c>
      <c r="AO188">
        <v>9</v>
      </c>
      <c r="AP188">
        <v>9</v>
      </c>
    </row>
    <row r="189" spans="1:42">
      <c r="A189">
        <v>55</v>
      </c>
      <c r="B189" t="str" cm="1">
        <f t="array" ref="B189">_xlfn.IFS(A189&lt;=25,"18-25",A189&lt;=35,"26-35",A189&lt;=45,"36-45",A189&lt;=55,"46-55",A189&gt;55,"56+")</f>
        <v>46-55</v>
      </c>
      <c r="C189" t="s">
        <v>39</v>
      </c>
      <c r="D189" t="s">
        <v>33</v>
      </c>
      <c r="E189" s="2">
        <v>692</v>
      </c>
      <c r="F189" t="s">
        <v>41</v>
      </c>
      <c r="G189">
        <v>14</v>
      </c>
      <c r="H189" t="str">
        <f t="shared" si="2"/>
        <v>11-20 km</v>
      </c>
      <c r="I189">
        <v>4</v>
      </c>
      <c r="J189" t="str" cm="1">
        <f t="array" ref="J189">_xlfn.IFS(I189=1,"Below College",I189=2,"College",I189=3,"Bachelor",I189=4,"Master",I189=5,"Doctor")</f>
        <v>Master</v>
      </c>
      <c r="K189" t="s">
        <v>47</v>
      </c>
      <c r="L189">
        <v>254</v>
      </c>
      <c r="M189">
        <v>3</v>
      </c>
      <c r="N189" t="str" cm="1">
        <f t="array" ref="N189">_xlfn.IFS(M189=1,"Low",M189=2,"Medium",M189=3,"High",M189=4,"Very High")</f>
        <v>High</v>
      </c>
      <c r="O189" t="s">
        <v>42</v>
      </c>
      <c r="P189" s="2">
        <v>61</v>
      </c>
      <c r="Q189">
        <v>4</v>
      </c>
      <c r="R189" t="str" cm="1">
        <f t="array" ref="R189">_xlfn.IFS(Q189=1,"Low",Q189=2,"Medium",Q189=3,"High",Q189=4,"Very High")</f>
        <v>Very High</v>
      </c>
      <c r="S189">
        <v>5</v>
      </c>
      <c r="T189" t="str" cm="1">
        <f t="array" ref="T189">_xlfn.IFS(S189=1,"Entry Level",S189=2,"Junior",S189=3,"Mid-Level",S189=4,"Senior",S189=5,"Executive")</f>
        <v>Executive</v>
      </c>
      <c r="U189" t="s">
        <v>54</v>
      </c>
      <c r="V189">
        <v>2</v>
      </c>
      <c r="W189" t="str" cm="1">
        <f t="array" ref="W189">_xlfn.IFS(V189=1,"Low",V189=2,"Medium",V189=3,"High",V189=4,"Very High")</f>
        <v>Medium</v>
      </c>
      <c r="X189" t="s">
        <v>38</v>
      </c>
      <c r="Y189" s="2">
        <v>18722</v>
      </c>
      <c r="Z189" s="2">
        <v>13339</v>
      </c>
      <c r="AA189">
        <v>8</v>
      </c>
      <c r="AB189" t="s">
        <v>39</v>
      </c>
      <c r="AC189">
        <v>11</v>
      </c>
      <c r="AD189">
        <v>3</v>
      </c>
      <c r="AE189" t="str" cm="1">
        <f t="array" ref="AE189">_xlfn.IFS(AD189=1,"Low",AD189=2,"Good",AD189=3,"Excellent",AD189=4,"Outstanding")</f>
        <v>Excellent</v>
      </c>
      <c r="AF189">
        <v>4</v>
      </c>
      <c r="AG189" t="str" cm="1">
        <f t="array" ref="AG189">_xlfn.IFS(AF189=1,"Low",AF189=2,"Medium",AF189=3,"High",AF189=4,"Very High")</f>
        <v>Very High</v>
      </c>
      <c r="AH189">
        <v>0</v>
      </c>
      <c r="AI189">
        <v>36</v>
      </c>
      <c r="AJ189">
        <v>3</v>
      </c>
      <c r="AK189">
        <v>3</v>
      </c>
      <c r="AL189" t="str" cm="1">
        <f t="array" ref="AL189">_xlfn.IFS(AK189=1,"Low",AK189=2,"Medium",AK189=3,"High",AK189=4,"Very High")</f>
        <v>High</v>
      </c>
      <c r="AM189">
        <v>24</v>
      </c>
      <c r="AN189">
        <v>15</v>
      </c>
      <c r="AO189">
        <v>2</v>
      </c>
      <c r="AP189">
        <v>15</v>
      </c>
    </row>
    <row r="190" spans="1:42">
      <c r="A190">
        <v>34</v>
      </c>
      <c r="B190" t="str" cm="1">
        <f t="array" ref="B190">_xlfn.IFS(A190&lt;=25,"18-25",A190&lt;=35,"26-35",A190&lt;=45,"36-45",A190&lt;=55,"46-55",A190&gt;55,"56+")</f>
        <v>26-35</v>
      </c>
      <c r="C190" t="s">
        <v>39</v>
      </c>
      <c r="D190" t="s">
        <v>40</v>
      </c>
      <c r="E190" s="2">
        <v>1069</v>
      </c>
      <c r="F190" t="s">
        <v>41</v>
      </c>
      <c r="G190">
        <v>2</v>
      </c>
      <c r="H190" t="str">
        <f t="shared" si="2"/>
        <v>1-10 km</v>
      </c>
      <c r="I190">
        <v>1</v>
      </c>
      <c r="J190" t="str" cm="1">
        <f t="array" ref="J190">_xlfn.IFS(I190=1,"Below College",I190=2,"College",I190=3,"Bachelor",I190=4,"Master",I190=5,"Doctor")</f>
        <v>Below College</v>
      </c>
      <c r="K190" t="s">
        <v>35</v>
      </c>
      <c r="L190">
        <v>256</v>
      </c>
      <c r="M190">
        <v>4</v>
      </c>
      <c r="N190" t="str" cm="1">
        <f t="array" ref="N190">_xlfn.IFS(M190=1,"Low",M190=2,"Medium",M190=3,"High",M190=4,"Very High")</f>
        <v>Very High</v>
      </c>
      <c r="O190" t="s">
        <v>42</v>
      </c>
      <c r="P190" s="2">
        <v>45</v>
      </c>
      <c r="Q190">
        <v>2</v>
      </c>
      <c r="R190" t="str" cm="1">
        <f t="array" ref="R190">_xlfn.IFS(Q190=1,"Low",Q190=2,"Medium",Q190=3,"High",Q190=4,"Very High")</f>
        <v>Medium</v>
      </c>
      <c r="S190">
        <v>2</v>
      </c>
      <c r="T190" t="str" cm="1">
        <f t="array" ref="T190">_xlfn.IFS(S190=1,"Entry Level",S190=2,"Junior",S190=3,"Mid-Level",S190=4,"Senior",S190=5,"Executive")</f>
        <v>Junior</v>
      </c>
      <c r="U190" t="s">
        <v>49</v>
      </c>
      <c r="V190">
        <v>3</v>
      </c>
      <c r="W190" t="str" cm="1">
        <f t="array" ref="W190">_xlfn.IFS(V190=1,"Low",V190=2,"Medium",V190=3,"High",V190=4,"Very High")</f>
        <v>High</v>
      </c>
      <c r="X190" t="s">
        <v>44</v>
      </c>
      <c r="Y190" s="2">
        <v>9547</v>
      </c>
      <c r="Z190" s="2">
        <v>14074</v>
      </c>
      <c r="AA190">
        <v>1</v>
      </c>
      <c r="AB190" t="s">
        <v>39</v>
      </c>
      <c r="AC190">
        <v>17</v>
      </c>
      <c r="AD190">
        <v>3</v>
      </c>
      <c r="AE190" t="str" cm="1">
        <f t="array" ref="AE190">_xlfn.IFS(AD190=1,"Low",AD190=2,"Good",AD190=3,"Excellent",AD190=4,"Outstanding")</f>
        <v>Excellent</v>
      </c>
      <c r="AF190">
        <v>3</v>
      </c>
      <c r="AG190" t="str" cm="1">
        <f t="array" ref="AG190">_xlfn.IFS(AF190=1,"Low",AF190=2,"Medium",AF190=3,"High",AF190=4,"Very High")</f>
        <v>High</v>
      </c>
      <c r="AH190">
        <v>0</v>
      </c>
      <c r="AI190">
        <v>10</v>
      </c>
      <c r="AJ190">
        <v>2</v>
      </c>
      <c r="AK190">
        <v>2</v>
      </c>
      <c r="AL190" t="str" cm="1">
        <f t="array" ref="AL190">_xlfn.IFS(AK190=1,"Low",AK190=2,"Medium",AK190=3,"High",AK190=4,"Very High")</f>
        <v>Medium</v>
      </c>
      <c r="AM190">
        <v>10</v>
      </c>
      <c r="AN190">
        <v>9</v>
      </c>
      <c r="AO190">
        <v>1</v>
      </c>
      <c r="AP190">
        <v>9</v>
      </c>
    </row>
    <row r="191" spans="1:42">
      <c r="A191">
        <v>51</v>
      </c>
      <c r="B191" t="str" cm="1">
        <f t="array" ref="B191">_xlfn.IFS(A191&lt;=25,"18-25",A191&lt;=35,"26-35",A191&lt;=45,"36-45",A191&lt;=55,"46-55",A191&gt;55,"56+")</f>
        <v>46-55</v>
      </c>
      <c r="C191" t="s">
        <v>39</v>
      </c>
      <c r="D191" t="s">
        <v>33</v>
      </c>
      <c r="E191" s="2">
        <v>313</v>
      </c>
      <c r="F191" t="s">
        <v>41</v>
      </c>
      <c r="G191">
        <v>3</v>
      </c>
      <c r="H191" t="str">
        <f t="shared" si="2"/>
        <v>1-10 km</v>
      </c>
      <c r="I191">
        <v>3</v>
      </c>
      <c r="J191" t="str" cm="1">
        <f t="array" ref="J191">_xlfn.IFS(I191=1,"Below College",I191=2,"College",I191=3,"Bachelor",I191=4,"Master",I191=5,"Doctor")</f>
        <v>Bachelor</v>
      </c>
      <c r="K191" t="s">
        <v>47</v>
      </c>
      <c r="L191">
        <v>258</v>
      </c>
      <c r="M191">
        <v>4</v>
      </c>
      <c r="N191" t="str" cm="1">
        <f t="array" ref="N191">_xlfn.IFS(M191=1,"Low",M191=2,"Medium",M191=3,"High",M191=4,"Very High")</f>
        <v>Very High</v>
      </c>
      <c r="O191" t="s">
        <v>36</v>
      </c>
      <c r="P191" s="2">
        <v>98</v>
      </c>
      <c r="Q191">
        <v>3</v>
      </c>
      <c r="R191" t="str" cm="1">
        <f t="array" ref="R191">_xlfn.IFS(Q191=1,"Low",Q191=2,"Medium",Q191=3,"High",Q191=4,"Very High")</f>
        <v>High</v>
      </c>
      <c r="S191">
        <v>4</v>
      </c>
      <c r="T191" t="str" cm="1">
        <f t="array" ref="T191">_xlfn.IFS(S191=1,"Entry Level",S191=2,"Junior",S191=3,"Mid-Level",S191=4,"Senior",S191=5,"Executive")</f>
        <v>Senior</v>
      </c>
      <c r="U191" t="s">
        <v>50</v>
      </c>
      <c r="V191">
        <v>2</v>
      </c>
      <c r="W191" t="str" cm="1">
        <f t="array" ref="W191">_xlfn.IFS(V191=1,"Low",V191=2,"Medium",V191=3,"High",V191=4,"Very High")</f>
        <v>Medium</v>
      </c>
      <c r="X191" t="s">
        <v>38</v>
      </c>
      <c r="Y191" s="2">
        <v>13734</v>
      </c>
      <c r="Z191" s="2">
        <v>7192</v>
      </c>
      <c r="AA191">
        <v>3</v>
      </c>
      <c r="AB191" t="s">
        <v>39</v>
      </c>
      <c r="AC191">
        <v>18</v>
      </c>
      <c r="AD191">
        <v>3</v>
      </c>
      <c r="AE191" t="str" cm="1">
        <f t="array" ref="AE191">_xlfn.IFS(AD191=1,"Low",AD191=2,"Good",AD191=3,"Excellent",AD191=4,"Outstanding")</f>
        <v>Excellent</v>
      </c>
      <c r="AF191">
        <v>3</v>
      </c>
      <c r="AG191" t="str" cm="1">
        <f t="array" ref="AG191">_xlfn.IFS(AF191=1,"Low",AF191=2,"Medium",AF191=3,"High",AF191=4,"Very High")</f>
        <v>High</v>
      </c>
      <c r="AH191">
        <v>0</v>
      </c>
      <c r="AI191">
        <v>21</v>
      </c>
      <c r="AJ191">
        <v>6</v>
      </c>
      <c r="AK191">
        <v>3</v>
      </c>
      <c r="AL191" t="str" cm="1">
        <f t="array" ref="AL191">_xlfn.IFS(AK191=1,"Low",AK191=2,"Medium",AK191=3,"High",AK191=4,"Very High")</f>
        <v>High</v>
      </c>
      <c r="AM191">
        <v>7</v>
      </c>
      <c r="AN191">
        <v>7</v>
      </c>
      <c r="AO191">
        <v>1</v>
      </c>
      <c r="AP191">
        <v>0</v>
      </c>
    </row>
    <row r="192" spans="1:42">
      <c r="A192">
        <v>52</v>
      </c>
      <c r="B192" t="str" cm="1">
        <f t="array" ref="B192">_xlfn.IFS(A192&lt;=25,"18-25",A192&lt;=35,"26-35",A192&lt;=45,"36-45",A192&lt;=55,"46-55",A192&gt;55,"56+")</f>
        <v>46-55</v>
      </c>
      <c r="C192" t="s">
        <v>39</v>
      </c>
      <c r="D192" t="s">
        <v>33</v>
      </c>
      <c r="E192" s="2">
        <v>699</v>
      </c>
      <c r="F192" t="s">
        <v>41</v>
      </c>
      <c r="G192">
        <v>1</v>
      </c>
      <c r="H192" t="str">
        <f t="shared" si="2"/>
        <v>1-10 km</v>
      </c>
      <c r="I192">
        <v>4</v>
      </c>
      <c r="J192" t="str" cm="1">
        <f t="array" ref="J192">_xlfn.IFS(I192=1,"Below College",I192=2,"College",I192=3,"Bachelor",I192=4,"Master",I192=5,"Doctor")</f>
        <v>Master</v>
      </c>
      <c r="K192" t="s">
        <v>35</v>
      </c>
      <c r="L192">
        <v>259</v>
      </c>
      <c r="M192">
        <v>3</v>
      </c>
      <c r="N192" t="str" cm="1">
        <f t="array" ref="N192">_xlfn.IFS(M192=1,"Low",M192=2,"Medium",M192=3,"High",M192=4,"Very High")</f>
        <v>High</v>
      </c>
      <c r="O192" t="s">
        <v>42</v>
      </c>
      <c r="P192" s="2">
        <v>65</v>
      </c>
      <c r="Q192">
        <v>2</v>
      </c>
      <c r="R192" t="str" cm="1">
        <f t="array" ref="R192">_xlfn.IFS(Q192=1,"Low",Q192=2,"Medium",Q192=3,"High",Q192=4,"Very High")</f>
        <v>Medium</v>
      </c>
      <c r="S192">
        <v>5</v>
      </c>
      <c r="T192" t="str" cm="1">
        <f t="array" ref="T192">_xlfn.IFS(S192=1,"Entry Level",S192=2,"Junior",S192=3,"Mid-Level",S192=4,"Senior",S192=5,"Executive")</f>
        <v>Executive</v>
      </c>
      <c r="U192" t="s">
        <v>52</v>
      </c>
      <c r="V192">
        <v>3</v>
      </c>
      <c r="W192" t="str" cm="1">
        <f t="array" ref="W192">_xlfn.IFS(V192=1,"Low",V192=2,"Medium",V192=3,"High",V192=4,"Very High")</f>
        <v>High</v>
      </c>
      <c r="X192" t="s">
        <v>44</v>
      </c>
      <c r="Y192" s="2">
        <v>19999</v>
      </c>
      <c r="Z192" s="2">
        <v>5678</v>
      </c>
      <c r="AA192">
        <v>0</v>
      </c>
      <c r="AB192" t="s">
        <v>39</v>
      </c>
      <c r="AC192">
        <v>14</v>
      </c>
      <c r="AD192">
        <v>3</v>
      </c>
      <c r="AE192" t="str" cm="1">
        <f t="array" ref="AE192">_xlfn.IFS(AD192=1,"Low",AD192=2,"Good",AD192=3,"Excellent",AD192=4,"Outstanding")</f>
        <v>Excellent</v>
      </c>
      <c r="AF192">
        <v>1</v>
      </c>
      <c r="AG192" t="str" cm="1">
        <f t="array" ref="AG192">_xlfn.IFS(AF192=1,"Low",AF192=2,"Medium",AF192=3,"High",AF192=4,"Very High")</f>
        <v>Low</v>
      </c>
      <c r="AH192">
        <v>1</v>
      </c>
      <c r="AI192">
        <v>34</v>
      </c>
      <c r="AJ192">
        <v>5</v>
      </c>
      <c r="AK192">
        <v>3</v>
      </c>
      <c r="AL192" t="str" cm="1">
        <f t="array" ref="AL192">_xlfn.IFS(AK192=1,"Low",AK192=2,"Medium",AK192=3,"High",AK192=4,"Very High")</f>
        <v>High</v>
      </c>
      <c r="AM192">
        <v>33</v>
      </c>
      <c r="AN192">
        <v>18</v>
      </c>
      <c r="AO192">
        <v>11</v>
      </c>
      <c r="AP192">
        <v>9</v>
      </c>
    </row>
    <row r="193" spans="1:42">
      <c r="A193">
        <v>27</v>
      </c>
      <c r="B193" t="str" cm="1">
        <f t="array" ref="B193">_xlfn.IFS(A193&lt;=25,"18-25",A193&lt;=35,"26-35",A193&lt;=45,"36-45",A193&lt;=55,"46-55",A193&gt;55,"56+")</f>
        <v>26-35</v>
      </c>
      <c r="C193" t="s">
        <v>39</v>
      </c>
      <c r="D193" t="s">
        <v>33</v>
      </c>
      <c r="E193" s="2">
        <v>894</v>
      </c>
      <c r="F193" t="s">
        <v>41</v>
      </c>
      <c r="G193">
        <v>9</v>
      </c>
      <c r="H193" t="str">
        <f t="shared" si="2"/>
        <v>1-10 km</v>
      </c>
      <c r="I193">
        <v>3</v>
      </c>
      <c r="J193" t="str" cm="1">
        <f t="array" ref="J193">_xlfn.IFS(I193=1,"Below College",I193=2,"College",I193=3,"Bachelor",I193=4,"Master",I193=5,"Doctor")</f>
        <v>Bachelor</v>
      </c>
      <c r="K193" t="s">
        <v>47</v>
      </c>
      <c r="L193">
        <v>260</v>
      </c>
      <c r="M193">
        <v>4</v>
      </c>
      <c r="N193" t="str" cm="1">
        <f t="array" ref="N193">_xlfn.IFS(M193=1,"Low",M193=2,"Medium",M193=3,"High",M193=4,"Very High")</f>
        <v>Very High</v>
      </c>
      <c r="O193" t="s">
        <v>36</v>
      </c>
      <c r="P193" s="2">
        <v>99</v>
      </c>
      <c r="Q193">
        <v>3</v>
      </c>
      <c r="R193" t="str" cm="1">
        <f t="array" ref="R193">_xlfn.IFS(Q193=1,"Low",Q193=2,"Medium",Q193=3,"High",Q193=4,"Very High")</f>
        <v>High</v>
      </c>
      <c r="S193">
        <v>1</v>
      </c>
      <c r="T193" t="str" cm="1">
        <f t="array" ref="T193">_xlfn.IFS(S193=1,"Entry Level",S193=2,"Junior",S193=3,"Mid-Level",S193=4,"Senior",S193=5,"Executive")</f>
        <v>Entry Level</v>
      </c>
      <c r="U193" t="s">
        <v>43</v>
      </c>
      <c r="V193">
        <v>2</v>
      </c>
      <c r="W193" t="str" cm="1">
        <f t="array" ref="W193">_xlfn.IFS(V193=1,"Low",V193=2,"Medium",V193=3,"High",V193=4,"Very High")</f>
        <v>Medium</v>
      </c>
      <c r="X193" t="s">
        <v>38</v>
      </c>
      <c r="Y193" s="2">
        <v>2279</v>
      </c>
      <c r="Z193" s="2">
        <v>11781</v>
      </c>
      <c r="AA193">
        <v>1</v>
      </c>
      <c r="AB193" t="s">
        <v>39</v>
      </c>
      <c r="AC193">
        <v>16</v>
      </c>
      <c r="AD193">
        <v>3</v>
      </c>
      <c r="AE193" t="str" cm="1">
        <f t="array" ref="AE193">_xlfn.IFS(AD193=1,"Low",AD193=2,"Good",AD193=3,"Excellent",AD193=4,"Outstanding")</f>
        <v>Excellent</v>
      </c>
      <c r="AF193">
        <v>4</v>
      </c>
      <c r="AG193" t="str" cm="1">
        <f t="array" ref="AG193">_xlfn.IFS(AF193=1,"Low",AF193=2,"Medium",AF193=3,"High",AF193=4,"Very High")</f>
        <v>Very High</v>
      </c>
      <c r="AH193">
        <v>0</v>
      </c>
      <c r="AI193">
        <v>7</v>
      </c>
      <c r="AJ193">
        <v>2</v>
      </c>
      <c r="AK193">
        <v>2</v>
      </c>
      <c r="AL193" t="str" cm="1">
        <f t="array" ref="AL193">_xlfn.IFS(AK193=1,"Low",AK193=2,"Medium",AK193=3,"High",AK193=4,"Very High")</f>
        <v>Medium</v>
      </c>
      <c r="AM193">
        <v>7</v>
      </c>
      <c r="AN193">
        <v>7</v>
      </c>
      <c r="AO193">
        <v>0</v>
      </c>
      <c r="AP193">
        <v>3</v>
      </c>
    </row>
    <row r="194" spans="1:42">
      <c r="A194">
        <v>35</v>
      </c>
      <c r="B194" t="str" cm="1">
        <f t="array" ref="B194">_xlfn.IFS(A194&lt;=25,"18-25",A194&lt;=35,"26-35",A194&lt;=45,"36-45",A194&lt;=55,"46-55",A194&gt;55,"56+")</f>
        <v>26-35</v>
      </c>
      <c r="C194" t="s">
        <v>32</v>
      </c>
      <c r="D194" t="s">
        <v>33</v>
      </c>
      <c r="E194" s="2">
        <v>556</v>
      </c>
      <c r="F194" t="s">
        <v>41</v>
      </c>
      <c r="G194">
        <v>23</v>
      </c>
      <c r="H194" t="str">
        <f t="shared" si="2"/>
        <v>21-30 km</v>
      </c>
      <c r="I194">
        <v>2</v>
      </c>
      <c r="J194" t="str" cm="1">
        <f t="array" ref="J194">_xlfn.IFS(I194=1,"Below College",I194=2,"College",I194=3,"Bachelor",I194=4,"Master",I194=5,"Doctor")</f>
        <v>College</v>
      </c>
      <c r="K194" t="s">
        <v>35</v>
      </c>
      <c r="L194">
        <v>261</v>
      </c>
      <c r="M194">
        <v>2</v>
      </c>
      <c r="N194" t="str" cm="1">
        <f t="array" ref="N194">_xlfn.IFS(M194=1,"Low",M194=2,"Medium",M194=3,"High",M194=4,"Very High")</f>
        <v>Medium</v>
      </c>
      <c r="O194" t="s">
        <v>42</v>
      </c>
      <c r="P194" s="2">
        <v>50</v>
      </c>
      <c r="Q194">
        <v>2</v>
      </c>
      <c r="R194" t="str" cm="1">
        <f t="array" ref="R194">_xlfn.IFS(Q194=1,"Low",Q194=2,"Medium",Q194=3,"High",Q194=4,"Very High")</f>
        <v>Medium</v>
      </c>
      <c r="S194">
        <v>2</v>
      </c>
      <c r="T194" t="str" cm="1">
        <f t="array" ref="T194">_xlfn.IFS(S194=1,"Entry Level",S194=2,"Junior",S194=3,"Mid-Level",S194=4,"Senior",S194=5,"Executive")</f>
        <v>Junior</v>
      </c>
      <c r="U194" t="s">
        <v>49</v>
      </c>
      <c r="V194">
        <v>3</v>
      </c>
      <c r="W194" t="str" cm="1">
        <f t="array" ref="W194">_xlfn.IFS(V194=1,"Low",V194=2,"Medium",V194=3,"High",V194=4,"Very High")</f>
        <v>High</v>
      </c>
      <c r="X194" t="s">
        <v>44</v>
      </c>
      <c r="Y194" s="2">
        <v>5916</v>
      </c>
      <c r="Z194" s="2">
        <v>15497</v>
      </c>
      <c r="AA194">
        <v>3</v>
      </c>
      <c r="AB194" t="s">
        <v>32</v>
      </c>
      <c r="AC194">
        <v>13</v>
      </c>
      <c r="AD194">
        <v>3</v>
      </c>
      <c r="AE194" t="str" cm="1">
        <f t="array" ref="AE194">_xlfn.IFS(AD194=1,"Low",AD194=2,"Good",AD194=3,"Excellent",AD194=4,"Outstanding")</f>
        <v>Excellent</v>
      </c>
      <c r="AF194">
        <v>1</v>
      </c>
      <c r="AG194" t="str" cm="1">
        <f t="array" ref="AG194">_xlfn.IFS(AF194=1,"Low",AF194=2,"Medium",AF194=3,"High",AF194=4,"Very High")</f>
        <v>Low</v>
      </c>
      <c r="AH194">
        <v>0</v>
      </c>
      <c r="AI194">
        <v>8</v>
      </c>
      <c r="AJ194">
        <v>1</v>
      </c>
      <c r="AK194">
        <v>3</v>
      </c>
      <c r="AL194" t="str" cm="1">
        <f t="array" ref="AL194">_xlfn.IFS(AK194=1,"Low",AK194=2,"Medium",AK194=3,"High",AK194=4,"Very High")</f>
        <v>High</v>
      </c>
      <c r="AM194">
        <v>1</v>
      </c>
      <c r="AN194">
        <v>0</v>
      </c>
      <c r="AO194">
        <v>0</v>
      </c>
      <c r="AP194">
        <v>1</v>
      </c>
    </row>
    <row r="195" spans="1:42">
      <c r="A195">
        <v>43</v>
      </c>
      <c r="B195" t="str" cm="1">
        <f t="array" ref="B195">_xlfn.IFS(A195&lt;=25,"18-25",A195&lt;=35,"26-35",A195&lt;=45,"36-45",A195&lt;=55,"46-55",A195&gt;55,"56+")</f>
        <v>36-45</v>
      </c>
      <c r="C195" t="s">
        <v>39</v>
      </c>
      <c r="D195" t="s">
        <v>51</v>
      </c>
      <c r="E195" s="2">
        <v>1344</v>
      </c>
      <c r="F195" t="s">
        <v>41</v>
      </c>
      <c r="G195">
        <v>7</v>
      </c>
      <c r="H195" t="str">
        <f t="shared" ref="H195:H258" si="3">IF(G195&lt;=10,"1-10 km",IF(G195&lt;=20,"11-20 km",IF(G195&lt;=30,"21-30 km","31+ km")))</f>
        <v>1-10 km</v>
      </c>
      <c r="I195">
        <v>3</v>
      </c>
      <c r="J195" t="str" cm="1">
        <f t="array" ref="J195">_xlfn.IFS(I195=1,"Below College",I195=2,"College",I195=3,"Bachelor",I195=4,"Master",I195=5,"Doctor")</f>
        <v>Bachelor</v>
      </c>
      <c r="K195" t="s">
        <v>47</v>
      </c>
      <c r="L195">
        <v>262</v>
      </c>
      <c r="M195">
        <v>4</v>
      </c>
      <c r="N195" t="str" cm="1">
        <f t="array" ref="N195">_xlfn.IFS(M195=1,"Low",M195=2,"Medium",M195=3,"High",M195=4,"Very High")</f>
        <v>Very High</v>
      </c>
      <c r="O195" t="s">
        <v>42</v>
      </c>
      <c r="P195" s="2">
        <v>37</v>
      </c>
      <c r="Q195">
        <v>4</v>
      </c>
      <c r="R195" t="str" cm="1">
        <f t="array" ref="R195">_xlfn.IFS(Q195=1,"Low",Q195=2,"Medium",Q195=3,"High",Q195=4,"Very High")</f>
        <v>Very High</v>
      </c>
      <c r="S195">
        <v>1</v>
      </c>
      <c r="T195" t="str" cm="1">
        <f t="array" ref="T195">_xlfn.IFS(S195=1,"Entry Level",S195=2,"Junior",S195=3,"Mid-Level",S195=4,"Senior",S195=5,"Executive")</f>
        <v>Entry Level</v>
      </c>
      <c r="U195" t="s">
        <v>43</v>
      </c>
      <c r="V195">
        <v>4</v>
      </c>
      <c r="W195" t="str" cm="1">
        <f t="array" ref="W195">_xlfn.IFS(V195=1,"Low",V195=2,"Medium",V195=3,"High",V195=4,"Very High")</f>
        <v>Very High</v>
      </c>
      <c r="X195" t="s">
        <v>48</v>
      </c>
      <c r="Y195" s="2">
        <v>2089</v>
      </c>
      <c r="Z195" s="2">
        <v>5228</v>
      </c>
      <c r="AA195">
        <v>4</v>
      </c>
      <c r="AB195" t="s">
        <v>39</v>
      </c>
      <c r="AC195">
        <v>14</v>
      </c>
      <c r="AD195">
        <v>3</v>
      </c>
      <c r="AE195" t="str" cm="1">
        <f t="array" ref="AE195">_xlfn.IFS(AD195=1,"Low",AD195=2,"Good",AD195=3,"Excellent",AD195=4,"Outstanding")</f>
        <v>Excellent</v>
      </c>
      <c r="AF195">
        <v>4</v>
      </c>
      <c r="AG195" t="str" cm="1">
        <f t="array" ref="AG195">_xlfn.IFS(AF195=1,"Low",AF195=2,"Medium",AF195=3,"High",AF195=4,"Very High")</f>
        <v>Very High</v>
      </c>
      <c r="AH195">
        <v>3</v>
      </c>
      <c r="AI195">
        <v>7</v>
      </c>
      <c r="AJ195">
        <v>3</v>
      </c>
      <c r="AK195">
        <v>4</v>
      </c>
      <c r="AL195" t="str" cm="1">
        <f t="array" ref="AL195">_xlfn.IFS(AK195=1,"Low",AK195=2,"Medium",AK195=3,"High",AK195=4,"Very High")</f>
        <v>Very High</v>
      </c>
      <c r="AM195">
        <v>5</v>
      </c>
      <c r="AN195">
        <v>4</v>
      </c>
      <c r="AO195">
        <v>2</v>
      </c>
      <c r="AP195">
        <v>2</v>
      </c>
    </row>
    <row r="196" spans="1:42">
      <c r="A196">
        <v>45</v>
      </c>
      <c r="B196" t="str" cm="1">
        <f t="array" ref="B196">_xlfn.IFS(A196&lt;=25,"18-25",A196&lt;=35,"26-35",A196&lt;=45,"36-45",A196&lt;=55,"46-55",A196&gt;55,"56+")</f>
        <v>36-45</v>
      </c>
      <c r="C196" t="s">
        <v>39</v>
      </c>
      <c r="D196" t="s">
        <v>51</v>
      </c>
      <c r="E196" s="2">
        <v>1195</v>
      </c>
      <c r="F196" t="s">
        <v>41</v>
      </c>
      <c r="G196">
        <v>2</v>
      </c>
      <c r="H196" t="str">
        <f t="shared" si="3"/>
        <v>1-10 km</v>
      </c>
      <c r="I196">
        <v>2</v>
      </c>
      <c r="J196" t="str" cm="1">
        <f t="array" ref="J196">_xlfn.IFS(I196=1,"Below College",I196=2,"College",I196=3,"Bachelor",I196=4,"Master",I196=5,"Doctor")</f>
        <v>College</v>
      </c>
      <c r="K196" t="s">
        <v>47</v>
      </c>
      <c r="L196">
        <v>264</v>
      </c>
      <c r="M196">
        <v>1</v>
      </c>
      <c r="N196" t="str" cm="1">
        <f t="array" ref="N196">_xlfn.IFS(M196=1,"Low",M196=2,"Medium",M196=3,"High",M196=4,"Very High")</f>
        <v>Low</v>
      </c>
      <c r="O196" t="s">
        <v>42</v>
      </c>
      <c r="P196" s="2">
        <v>65</v>
      </c>
      <c r="Q196">
        <v>2</v>
      </c>
      <c r="R196" t="str" cm="1">
        <f t="array" ref="R196">_xlfn.IFS(Q196=1,"Low",Q196=2,"Medium",Q196=3,"High",Q196=4,"Very High")</f>
        <v>Medium</v>
      </c>
      <c r="S196">
        <v>4</v>
      </c>
      <c r="T196" t="str" cm="1">
        <f t="array" ref="T196">_xlfn.IFS(S196=1,"Entry Level",S196=2,"Junior",S196=3,"Mid-Level",S196=4,"Senior",S196=5,"Executive")</f>
        <v>Senior</v>
      </c>
      <c r="U196" t="s">
        <v>52</v>
      </c>
      <c r="V196">
        <v>4</v>
      </c>
      <c r="W196" t="str" cm="1">
        <f t="array" ref="W196">_xlfn.IFS(V196=1,"Low",V196=2,"Medium",V196=3,"High",V196=4,"Very High")</f>
        <v>Very High</v>
      </c>
      <c r="X196" t="s">
        <v>44</v>
      </c>
      <c r="Y196" s="2">
        <v>16792</v>
      </c>
      <c r="Z196" s="2">
        <v>20462</v>
      </c>
      <c r="AA196">
        <v>9</v>
      </c>
      <c r="AB196" t="s">
        <v>39</v>
      </c>
      <c r="AC196">
        <v>23</v>
      </c>
      <c r="AD196">
        <v>4</v>
      </c>
      <c r="AE196" t="str" cm="1">
        <f t="array" ref="AE196">_xlfn.IFS(AD196=1,"Low",AD196=2,"Good",AD196=3,"Excellent",AD196=4,"Outstanding")</f>
        <v>Outstanding</v>
      </c>
      <c r="AF196">
        <v>4</v>
      </c>
      <c r="AG196" t="str" cm="1">
        <f t="array" ref="AG196">_xlfn.IFS(AF196=1,"Low",AF196=2,"Medium",AF196=3,"High",AF196=4,"Very High")</f>
        <v>Very High</v>
      </c>
      <c r="AH196">
        <v>1</v>
      </c>
      <c r="AI196">
        <v>22</v>
      </c>
      <c r="AJ196">
        <v>1</v>
      </c>
      <c r="AK196">
        <v>3</v>
      </c>
      <c r="AL196" t="str" cm="1">
        <f t="array" ref="AL196">_xlfn.IFS(AK196=1,"Low",AK196=2,"Medium",AK196=3,"High",AK196=4,"Very High")</f>
        <v>High</v>
      </c>
      <c r="AM196">
        <v>20</v>
      </c>
      <c r="AN196">
        <v>8</v>
      </c>
      <c r="AO196">
        <v>11</v>
      </c>
      <c r="AP196">
        <v>8</v>
      </c>
    </row>
    <row r="197" spans="1:42">
      <c r="A197">
        <v>37</v>
      </c>
      <c r="B197" t="str" cm="1">
        <f t="array" ref="B197">_xlfn.IFS(A197&lt;=25,"18-25",A197&lt;=35,"26-35",A197&lt;=45,"36-45",A197&lt;=55,"46-55",A197&gt;55,"56+")</f>
        <v>36-45</v>
      </c>
      <c r="C197" t="s">
        <v>39</v>
      </c>
      <c r="D197" t="s">
        <v>33</v>
      </c>
      <c r="E197" s="2">
        <v>290</v>
      </c>
      <c r="F197" t="s">
        <v>41</v>
      </c>
      <c r="G197">
        <v>21</v>
      </c>
      <c r="H197" t="str">
        <f t="shared" si="3"/>
        <v>21-30 km</v>
      </c>
      <c r="I197">
        <v>3</v>
      </c>
      <c r="J197" t="str" cm="1">
        <f t="array" ref="J197">_xlfn.IFS(I197=1,"Below College",I197=2,"College",I197=3,"Bachelor",I197=4,"Master",I197=5,"Doctor")</f>
        <v>Bachelor</v>
      </c>
      <c r="K197" t="s">
        <v>35</v>
      </c>
      <c r="L197">
        <v>267</v>
      </c>
      <c r="M197">
        <v>2</v>
      </c>
      <c r="N197" t="str" cm="1">
        <f t="array" ref="N197">_xlfn.IFS(M197=1,"Low",M197=2,"Medium",M197=3,"High",M197=4,"Very High")</f>
        <v>Medium</v>
      </c>
      <c r="O197" t="s">
        <v>42</v>
      </c>
      <c r="P197" s="2">
        <v>65</v>
      </c>
      <c r="Q197">
        <v>4</v>
      </c>
      <c r="R197" t="str" cm="1">
        <f t="array" ref="R197">_xlfn.IFS(Q197=1,"Low",Q197=2,"Medium",Q197=3,"High",Q197=4,"Very High")</f>
        <v>Very High</v>
      </c>
      <c r="S197">
        <v>1</v>
      </c>
      <c r="T197" t="str" cm="1">
        <f t="array" ref="T197">_xlfn.IFS(S197=1,"Entry Level",S197=2,"Junior",S197=3,"Mid-Level",S197=4,"Senior",S197=5,"Executive")</f>
        <v>Entry Level</v>
      </c>
      <c r="U197" t="s">
        <v>43</v>
      </c>
      <c r="V197">
        <v>1</v>
      </c>
      <c r="W197" t="str" cm="1">
        <f t="array" ref="W197">_xlfn.IFS(V197=1,"Low",V197=2,"Medium",V197=3,"High",V197=4,"Very High")</f>
        <v>Low</v>
      </c>
      <c r="X197" t="s">
        <v>44</v>
      </c>
      <c r="Y197" s="2">
        <v>3564</v>
      </c>
      <c r="Z197" s="2">
        <v>22977</v>
      </c>
      <c r="AA197">
        <v>1</v>
      </c>
      <c r="AB197" t="s">
        <v>32</v>
      </c>
      <c r="AC197">
        <v>12</v>
      </c>
      <c r="AD197">
        <v>3</v>
      </c>
      <c r="AE197" t="str" cm="1">
        <f t="array" ref="AE197">_xlfn.IFS(AD197=1,"Low",AD197=2,"Good",AD197=3,"Excellent",AD197=4,"Outstanding")</f>
        <v>Excellent</v>
      </c>
      <c r="AF197">
        <v>1</v>
      </c>
      <c r="AG197" t="str" cm="1">
        <f t="array" ref="AG197">_xlfn.IFS(AF197=1,"Low",AF197=2,"Medium",AF197=3,"High",AF197=4,"Very High")</f>
        <v>Low</v>
      </c>
      <c r="AH197">
        <v>1</v>
      </c>
      <c r="AI197">
        <v>8</v>
      </c>
      <c r="AJ197">
        <v>3</v>
      </c>
      <c r="AK197">
        <v>2</v>
      </c>
      <c r="AL197" t="str" cm="1">
        <f t="array" ref="AL197">_xlfn.IFS(AK197=1,"Low",AK197=2,"Medium",AK197=3,"High",AK197=4,"Very High")</f>
        <v>Medium</v>
      </c>
      <c r="AM197">
        <v>8</v>
      </c>
      <c r="AN197">
        <v>7</v>
      </c>
      <c r="AO197">
        <v>1</v>
      </c>
      <c r="AP197">
        <v>7</v>
      </c>
    </row>
    <row r="198" spans="1:42">
      <c r="A198">
        <v>35</v>
      </c>
      <c r="B198" t="str" cm="1">
        <f t="array" ref="B198">_xlfn.IFS(A198&lt;=25,"18-25",A198&lt;=35,"26-35",A198&lt;=45,"36-45",A198&lt;=55,"46-55",A198&gt;55,"56+")</f>
        <v>26-35</v>
      </c>
      <c r="C198" t="s">
        <v>39</v>
      </c>
      <c r="D198" t="s">
        <v>40</v>
      </c>
      <c r="E198" s="2">
        <v>138</v>
      </c>
      <c r="F198" t="s">
        <v>41</v>
      </c>
      <c r="G198">
        <v>2</v>
      </c>
      <c r="H198" t="str">
        <f t="shared" si="3"/>
        <v>1-10 km</v>
      </c>
      <c r="I198">
        <v>3</v>
      </c>
      <c r="J198" t="str" cm="1">
        <f t="array" ref="J198">_xlfn.IFS(I198=1,"Below College",I198=2,"College",I198=3,"Bachelor",I198=4,"Master",I198=5,"Doctor")</f>
        <v>Bachelor</v>
      </c>
      <c r="K198" t="s">
        <v>47</v>
      </c>
      <c r="L198">
        <v>269</v>
      </c>
      <c r="M198">
        <v>2</v>
      </c>
      <c r="N198" t="str" cm="1">
        <f t="array" ref="N198">_xlfn.IFS(M198=1,"Low",M198=2,"Medium",M198=3,"High",M198=4,"Very High")</f>
        <v>Medium</v>
      </c>
      <c r="O198" t="s">
        <v>36</v>
      </c>
      <c r="P198" s="2">
        <v>37</v>
      </c>
      <c r="Q198">
        <v>3</v>
      </c>
      <c r="R198" t="str" cm="1">
        <f t="array" ref="R198">_xlfn.IFS(Q198=1,"Low",Q198=2,"Medium",Q198=3,"High",Q198=4,"Very High")</f>
        <v>High</v>
      </c>
      <c r="S198">
        <v>2</v>
      </c>
      <c r="T198" t="str" cm="1">
        <f t="array" ref="T198">_xlfn.IFS(S198=1,"Entry Level",S198=2,"Junior",S198=3,"Mid-Level",S198=4,"Senior",S198=5,"Executive")</f>
        <v>Junior</v>
      </c>
      <c r="U198" t="s">
        <v>46</v>
      </c>
      <c r="V198">
        <v>2</v>
      </c>
      <c r="W198" t="str" cm="1">
        <f t="array" ref="W198">_xlfn.IFS(V198=1,"Low",V198=2,"Medium",V198=3,"High",V198=4,"Very High")</f>
        <v>Medium</v>
      </c>
      <c r="X198" t="s">
        <v>38</v>
      </c>
      <c r="Y198" s="2">
        <v>4425</v>
      </c>
      <c r="Z198" s="2">
        <v>15986</v>
      </c>
      <c r="AA198">
        <v>5</v>
      </c>
      <c r="AB198" t="s">
        <v>39</v>
      </c>
      <c r="AC198">
        <v>11</v>
      </c>
      <c r="AD198">
        <v>3</v>
      </c>
      <c r="AE198" t="str" cm="1">
        <f t="array" ref="AE198">_xlfn.IFS(AD198=1,"Low",AD198=2,"Good",AD198=3,"Excellent",AD198=4,"Outstanding")</f>
        <v>Excellent</v>
      </c>
      <c r="AF198">
        <v>4</v>
      </c>
      <c r="AG198" t="str" cm="1">
        <f t="array" ref="AG198">_xlfn.IFS(AF198=1,"Low",AF198=2,"Medium",AF198=3,"High",AF198=4,"Very High")</f>
        <v>Very High</v>
      </c>
      <c r="AH198">
        <v>0</v>
      </c>
      <c r="AI198">
        <v>10</v>
      </c>
      <c r="AJ198">
        <v>5</v>
      </c>
      <c r="AK198">
        <v>3</v>
      </c>
      <c r="AL198" t="str" cm="1">
        <f t="array" ref="AL198">_xlfn.IFS(AK198=1,"Low",AK198=2,"Medium",AK198=3,"High",AK198=4,"Very High")</f>
        <v>High</v>
      </c>
      <c r="AM198">
        <v>6</v>
      </c>
      <c r="AN198">
        <v>2</v>
      </c>
      <c r="AO198">
        <v>1</v>
      </c>
      <c r="AP198">
        <v>2</v>
      </c>
    </row>
    <row r="199" spans="1:42">
      <c r="A199">
        <v>42</v>
      </c>
      <c r="B199" t="str" cm="1">
        <f t="array" ref="B199">_xlfn.IFS(A199&lt;=25,"18-25",A199&lt;=35,"26-35",A199&lt;=45,"36-45",A199&lt;=55,"46-55",A199&gt;55,"56+")</f>
        <v>36-45</v>
      </c>
      <c r="C199" t="s">
        <v>39</v>
      </c>
      <c r="D199" t="s">
        <v>51</v>
      </c>
      <c r="E199" s="2">
        <v>926</v>
      </c>
      <c r="F199" t="s">
        <v>41</v>
      </c>
      <c r="G199">
        <v>21</v>
      </c>
      <c r="H199" t="str">
        <f t="shared" si="3"/>
        <v>21-30 km</v>
      </c>
      <c r="I199">
        <v>2</v>
      </c>
      <c r="J199" t="str" cm="1">
        <f t="array" ref="J199">_xlfn.IFS(I199=1,"Below College",I199=2,"College",I199=3,"Bachelor",I199=4,"Master",I199=5,"Doctor")</f>
        <v>College</v>
      </c>
      <c r="K199" t="s">
        <v>47</v>
      </c>
      <c r="L199">
        <v>270</v>
      </c>
      <c r="M199">
        <v>3</v>
      </c>
      <c r="N199" t="str" cm="1">
        <f t="array" ref="N199">_xlfn.IFS(M199=1,"Low",M199=2,"Medium",M199=3,"High",M199=4,"Very High")</f>
        <v>High</v>
      </c>
      <c r="O199" t="s">
        <v>36</v>
      </c>
      <c r="P199" s="2">
        <v>36</v>
      </c>
      <c r="Q199">
        <v>3</v>
      </c>
      <c r="R199" t="str" cm="1">
        <f t="array" ref="R199">_xlfn.IFS(Q199=1,"Low",Q199=2,"Medium",Q199=3,"High",Q199=4,"Very High")</f>
        <v>High</v>
      </c>
      <c r="S199">
        <v>2</v>
      </c>
      <c r="T199" t="str" cm="1">
        <f t="array" ref="T199">_xlfn.IFS(S199=1,"Entry Level",S199=2,"Junior",S199=3,"Mid-Level",S199=4,"Senior",S199=5,"Executive")</f>
        <v>Junior</v>
      </c>
      <c r="U199" t="s">
        <v>49</v>
      </c>
      <c r="V199">
        <v>3</v>
      </c>
      <c r="W199" t="str" cm="1">
        <f t="array" ref="W199">_xlfn.IFS(V199=1,"Low",V199=2,"Medium",V199=3,"High",V199=4,"Very High")</f>
        <v>High</v>
      </c>
      <c r="X199" t="s">
        <v>48</v>
      </c>
      <c r="Y199" s="2">
        <v>5265</v>
      </c>
      <c r="Z199" s="2">
        <v>16439</v>
      </c>
      <c r="AA199">
        <v>2</v>
      </c>
      <c r="AB199" t="s">
        <v>39</v>
      </c>
      <c r="AC199">
        <v>16</v>
      </c>
      <c r="AD199">
        <v>3</v>
      </c>
      <c r="AE199" t="str" cm="1">
        <f t="array" ref="AE199">_xlfn.IFS(AD199=1,"Low",AD199=2,"Good",AD199=3,"Excellent",AD199=4,"Outstanding")</f>
        <v>Excellent</v>
      </c>
      <c r="AF199">
        <v>2</v>
      </c>
      <c r="AG199" t="str" cm="1">
        <f t="array" ref="AG199">_xlfn.IFS(AF199=1,"Low",AF199=2,"Medium",AF199=3,"High",AF199=4,"Very High")</f>
        <v>Medium</v>
      </c>
      <c r="AH199">
        <v>1</v>
      </c>
      <c r="AI199">
        <v>11</v>
      </c>
      <c r="AJ199">
        <v>5</v>
      </c>
      <c r="AK199">
        <v>3</v>
      </c>
      <c r="AL199" t="str" cm="1">
        <f t="array" ref="AL199">_xlfn.IFS(AK199=1,"Low",AK199=2,"Medium",AK199=3,"High",AK199=4,"Very High")</f>
        <v>High</v>
      </c>
      <c r="AM199">
        <v>5</v>
      </c>
      <c r="AN199">
        <v>3</v>
      </c>
      <c r="AO199">
        <v>0</v>
      </c>
      <c r="AP199">
        <v>2</v>
      </c>
    </row>
    <row r="200" spans="1:42">
      <c r="A200">
        <v>38</v>
      </c>
      <c r="B200" t="str" cm="1">
        <f t="array" ref="B200">_xlfn.IFS(A200&lt;=25,"18-25",A200&lt;=35,"26-35",A200&lt;=45,"36-45",A200&lt;=55,"46-55",A200&gt;55,"56+")</f>
        <v>36-45</v>
      </c>
      <c r="C200" t="s">
        <v>39</v>
      </c>
      <c r="D200" t="s">
        <v>33</v>
      </c>
      <c r="E200" s="2">
        <v>1261</v>
      </c>
      <c r="F200" t="s">
        <v>41</v>
      </c>
      <c r="G200">
        <v>2</v>
      </c>
      <c r="H200" t="str">
        <f t="shared" si="3"/>
        <v>1-10 km</v>
      </c>
      <c r="I200">
        <v>4</v>
      </c>
      <c r="J200" t="str" cm="1">
        <f t="array" ref="J200">_xlfn.IFS(I200=1,"Below College",I200=2,"College",I200=3,"Bachelor",I200=4,"Master",I200=5,"Doctor")</f>
        <v>Master</v>
      </c>
      <c r="K200" t="s">
        <v>35</v>
      </c>
      <c r="L200">
        <v>271</v>
      </c>
      <c r="M200">
        <v>4</v>
      </c>
      <c r="N200" t="str" cm="1">
        <f t="array" ref="N200">_xlfn.IFS(M200=1,"Low",M200=2,"Medium",M200=3,"High",M200=4,"Very High")</f>
        <v>Very High</v>
      </c>
      <c r="O200" t="s">
        <v>42</v>
      </c>
      <c r="P200" s="2">
        <v>88</v>
      </c>
      <c r="Q200">
        <v>3</v>
      </c>
      <c r="R200" t="str" cm="1">
        <f t="array" ref="R200">_xlfn.IFS(Q200=1,"Low",Q200=2,"Medium",Q200=3,"High",Q200=4,"Very High")</f>
        <v>High</v>
      </c>
      <c r="S200">
        <v>2</v>
      </c>
      <c r="T200" t="str" cm="1">
        <f t="array" ref="T200">_xlfn.IFS(S200=1,"Entry Level",S200=2,"Junior",S200=3,"Mid-Level",S200=4,"Senior",S200=5,"Executive")</f>
        <v>Junior</v>
      </c>
      <c r="U200" t="s">
        <v>49</v>
      </c>
      <c r="V200">
        <v>3</v>
      </c>
      <c r="W200" t="str" cm="1">
        <f t="array" ref="W200">_xlfn.IFS(V200=1,"Low",V200=2,"Medium",V200=3,"High",V200=4,"Very High")</f>
        <v>High</v>
      </c>
      <c r="X200" t="s">
        <v>44</v>
      </c>
      <c r="Y200" s="2">
        <v>6553</v>
      </c>
      <c r="Z200" s="2">
        <v>7259</v>
      </c>
      <c r="AA200">
        <v>9</v>
      </c>
      <c r="AB200" t="s">
        <v>39</v>
      </c>
      <c r="AC200">
        <v>14</v>
      </c>
      <c r="AD200">
        <v>3</v>
      </c>
      <c r="AE200" t="str" cm="1">
        <f t="array" ref="AE200">_xlfn.IFS(AD200=1,"Low",AD200=2,"Good",AD200=3,"Excellent",AD200=4,"Outstanding")</f>
        <v>Excellent</v>
      </c>
      <c r="AF200">
        <v>2</v>
      </c>
      <c r="AG200" t="str" cm="1">
        <f t="array" ref="AG200">_xlfn.IFS(AF200=1,"Low",AF200=2,"Medium",AF200=3,"High",AF200=4,"Very High")</f>
        <v>Medium</v>
      </c>
      <c r="AH200">
        <v>0</v>
      </c>
      <c r="AI200">
        <v>14</v>
      </c>
      <c r="AJ200">
        <v>3</v>
      </c>
      <c r="AK200">
        <v>3</v>
      </c>
      <c r="AL200" t="str" cm="1">
        <f t="array" ref="AL200">_xlfn.IFS(AK200=1,"Low",AK200=2,"Medium",AK200=3,"High",AK200=4,"Very High")</f>
        <v>High</v>
      </c>
      <c r="AM200">
        <v>1</v>
      </c>
      <c r="AN200">
        <v>0</v>
      </c>
      <c r="AO200">
        <v>0</v>
      </c>
      <c r="AP200">
        <v>0</v>
      </c>
    </row>
    <row r="201" spans="1:42">
      <c r="A201">
        <v>38</v>
      </c>
      <c r="B201" t="str" cm="1">
        <f t="array" ref="B201">_xlfn.IFS(A201&lt;=25,"18-25",A201&lt;=35,"26-35",A201&lt;=45,"36-45",A201&lt;=55,"46-55",A201&gt;55,"56+")</f>
        <v>36-45</v>
      </c>
      <c r="C201" t="s">
        <v>39</v>
      </c>
      <c r="D201" t="s">
        <v>33</v>
      </c>
      <c r="E201" s="2">
        <v>1084</v>
      </c>
      <c r="F201" t="s">
        <v>41</v>
      </c>
      <c r="G201">
        <v>29</v>
      </c>
      <c r="H201" t="str">
        <f t="shared" si="3"/>
        <v>21-30 km</v>
      </c>
      <c r="I201">
        <v>3</v>
      </c>
      <c r="J201" t="str" cm="1">
        <f t="array" ref="J201">_xlfn.IFS(I201=1,"Below College",I201=2,"College",I201=3,"Bachelor",I201=4,"Master",I201=5,"Doctor")</f>
        <v>Bachelor</v>
      </c>
      <c r="K201" t="s">
        <v>56</v>
      </c>
      <c r="L201">
        <v>273</v>
      </c>
      <c r="M201">
        <v>4</v>
      </c>
      <c r="N201" t="str" cm="1">
        <f t="array" ref="N201">_xlfn.IFS(M201=1,"Low",M201=2,"Medium",M201=3,"High",M201=4,"Very High")</f>
        <v>Very High</v>
      </c>
      <c r="O201" t="s">
        <v>42</v>
      </c>
      <c r="P201" s="2">
        <v>54</v>
      </c>
      <c r="Q201">
        <v>3</v>
      </c>
      <c r="R201" t="str" cm="1">
        <f t="array" ref="R201">_xlfn.IFS(Q201=1,"Low",Q201=2,"Medium",Q201=3,"High",Q201=4,"Very High")</f>
        <v>High</v>
      </c>
      <c r="S201">
        <v>2</v>
      </c>
      <c r="T201" t="str" cm="1">
        <f t="array" ref="T201">_xlfn.IFS(S201=1,"Entry Level",S201=2,"Junior",S201=3,"Mid-Level",S201=4,"Senior",S201=5,"Executive")</f>
        <v>Junior</v>
      </c>
      <c r="U201" t="s">
        <v>49</v>
      </c>
      <c r="V201">
        <v>4</v>
      </c>
      <c r="W201" t="str" cm="1">
        <f t="array" ref="W201">_xlfn.IFS(V201=1,"Low",V201=2,"Medium",V201=3,"High",V201=4,"Very High")</f>
        <v>Very High</v>
      </c>
      <c r="X201" t="s">
        <v>44</v>
      </c>
      <c r="Y201" s="2">
        <v>6261</v>
      </c>
      <c r="Z201" s="2">
        <v>4185</v>
      </c>
      <c r="AA201">
        <v>3</v>
      </c>
      <c r="AB201" t="s">
        <v>39</v>
      </c>
      <c r="AC201">
        <v>18</v>
      </c>
      <c r="AD201">
        <v>3</v>
      </c>
      <c r="AE201" t="str" cm="1">
        <f t="array" ref="AE201">_xlfn.IFS(AD201=1,"Low",AD201=2,"Good",AD201=3,"Excellent",AD201=4,"Outstanding")</f>
        <v>Excellent</v>
      </c>
      <c r="AF201">
        <v>1</v>
      </c>
      <c r="AG201" t="str" cm="1">
        <f t="array" ref="AG201">_xlfn.IFS(AF201=1,"Low",AF201=2,"Medium",AF201=3,"High",AF201=4,"Very High")</f>
        <v>Low</v>
      </c>
      <c r="AH201">
        <v>1</v>
      </c>
      <c r="AI201">
        <v>9</v>
      </c>
      <c r="AJ201">
        <v>3</v>
      </c>
      <c r="AK201">
        <v>1</v>
      </c>
      <c r="AL201" t="str" cm="1">
        <f t="array" ref="AL201">_xlfn.IFS(AK201=1,"Low",AK201=2,"Medium",AK201=3,"High",AK201=4,"Very High")</f>
        <v>Low</v>
      </c>
      <c r="AM201">
        <v>7</v>
      </c>
      <c r="AN201">
        <v>7</v>
      </c>
      <c r="AO201">
        <v>1</v>
      </c>
      <c r="AP201">
        <v>7</v>
      </c>
    </row>
    <row r="202" spans="1:42">
      <c r="A202">
        <v>27</v>
      </c>
      <c r="B202" t="str" cm="1">
        <f t="array" ref="B202">_xlfn.IFS(A202&lt;=25,"18-25",A202&lt;=35,"26-35",A202&lt;=45,"36-45",A202&lt;=55,"46-55",A202&gt;55,"56+")</f>
        <v>26-35</v>
      </c>
      <c r="C202" t="s">
        <v>39</v>
      </c>
      <c r="D202" t="s">
        <v>40</v>
      </c>
      <c r="E202" s="2">
        <v>472</v>
      </c>
      <c r="F202" t="s">
        <v>41</v>
      </c>
      <c r="G202">
        <v>1</v>
      </c>
      <c r="H202" t="str">
        <f t="shared" si="3"/>
        <v>1-10 km</v>
      </c>
      <c r="I202">
        <v>1</v>
      </c>
      <c r="J202" t="str" cm="1">
        <f t="array" ref="J202">_xlfn.IFS(I202=1,"Below College",I202=2,"College",I202=3,"Bachelor",I202=4,"Master",I202=5,"Doctor")</f>
        <v>Below College</v>
      </c>
      <c r="K202" t="s">
        <v>56</v>
      </c>
      <c r="L202">
        <v>274</v>
      </c>
      <c r="M202">
        <v>3</v>
      </c>
      <c r="N202" t="str" cm="1">
        <f t="array" ref="N202">_xlfn.IFS(M202=1,"Low",M202=2,"Medium",M202=3,"High",M202=4,"Very High")</f>
        <v>High</v>
      </c>
      <c r="O202" t="s">
        <v>42</v>
      </c>
      <c r="P202" s="2">
        <v>60</v>
      </c>
      <c r="Q202">
        <v>2</v>
      </c>
      <c r="R202" t="str" cm="1">
        <f t="array" ref="R202">_xlfn.IFS(Q202=1,"Low",Q202=2,"Medium",Q202=3,"High",Q202=4,"Very High")</f>
        <v>Medium</v>
      </c>
      <c r="S202">
        <v>2</v>
      </c>
      <c r="T202" t="str" cm="1">
        <f t="array" ref="T202">_xlfn.IFS(S202=1,"Entry Level",S202=2,"Junior",S202=3,"Mid-Level",S202=4,"Senior",S202=5,"Executive")</f>
        <v>Junior</v>
      </c>
      <c r="U202" t="s">
        <v>49</v>
      </c>
      <c r="V202">
        <v>1</v>
      </c>
      <c r="W202" t="str" cm="1">
        <f t="array" ref="W202">_xlfn.IFS(V202=1,"Low",V202=2,"Medium",V202=3,"High",V202=4,"Very High")</f>
        <v>Low</v>
      </c>
      <c r="X202" t="s">
        <v>44</v>
      </c>
      <c r="Y202" s="2">
        <v>4298</v>
      </c>
      <c r="Z202" s="2">
        <v>9679</v>
      </c>
      <c r="AA202">
        <v>5</v>
      </c>
      <c r="AB202" t="s">
        <v>39</v>
      </c>
      <c r="AC202">
        <v>19</v>
      </c>
      <c r="AD202">
        <v>3</v>
      </c>
      <c r="AE202" t="str" cm="1">
        <f t="array" ref="AE202">_xlfn.IFS(AD202=1,"Low",AD202=2,"Good",AD202=3,"Excellent",AD202=4,"Outstanding")</f>
        <v>Excellent</v>
      </c>
      <c r="AF202">
        <v>3</v>
      </c>
      <c r="AG202" t="str" cm="1">
        <f t="array" ref="AG202">_xlfn.IFS(AF202=1,"Low",AF202=2,"Medium",AF202=3,"High",AF202=4,"Very High")</f>
        <v>High</v>
      </c>
      <c r="AH202">
        <v>1</v>
      </c>
      <c r="AI202">
        <v>6</v>
      </c>
      <c r="AJ202">
        <v>1</v>
      </c>
      <c r="AK202">
        <v>3</v>
      </c>
      <c r="AL202" t="str" cm="1">
        <f t="array" ref="AL202">_xlfn.IFS(AK202=1,"Low",AK202=2,"Medium",AK202=3,"High",AK202=4,"Very High")</f>
        <v>High</v>
      </c>
      <c r="AM202">
        <v>2</v>
      </c>
      <c r="AN202">
        <v>2</v>
      </c>
      <c r="AO202">
        <v>2</v>
      </c>
      <c r="AP202">
        <v>0</v>
      </c>
    </row>
    <row r="203" spans="1:42">
      <c r="A203">
        <v>49</v>
      </c>
      <c r="B203" t="str" cm="1">
        <f t="array" ref="B203">_xlfn.IFS(A203&lt;=25,"18-25",A203&lt;=35,"26-35",A203&lt;=45,"36-45",A203&lt;=55,"46-55",A203&gt;55,"56+")</f>
        <v>46-55</v>
      </c>
      <c r="C203" t="s">
        <v>39</v>
      </c>
      <c r="D203" t="s">
        <v>51</v>
      </c>
      <c r="E203" s="2">
        <v>1002</v>
      </c>
      <c r="F203" t="s">
        <v>41</v>
      </c>
      <c r="G203">
        <v>18</v>
      </c>
      <c r="H203" t="str">
        <f t="shared" si="3"/>
        <v>11-20 km</v>
      </c>
      <c r="I203">
        <v>4</v>
      </c>
      <c r="J203" t="str" cm="1">
        <f t="array" ref="J203">_xlfn.IFS(I203=1,"Below College",I203=2,"College",I203=3,"Bachelor",I203=4,"Master",I203=5,"Doctor")</f>
        <v>Master</v>
      </c>
      <c r="K203" t="s">
        <v>35</v>
      </c>
      <c r="L203">
        <v>275</v>
      </c>
      <c r="M203">
        <v>4</v>
      </c>
      <c r="N203" t="str" cm="1">
        <f t="array" ref="N203">_xlfn.IFS(M203=1,"Low",M203=2,"Medium",M203=3,"High",M203=4,"Very High")</f>
        <v>Very High</v>
      </c>
      <c r="O203" t="s">
        <v>42</v>
      </c>
      <c r="P203" s="2">
        <v>92</v>
      </c>
      <c r="Q203">
        <v>3</v>
      </c>
      <c r="R203" t="str" cm="1">
        <f t="array" ref="R203">_xlfn.IFS(Q203=1,"Low",Q203=2,"Medium",Q203=3,"High",Q203=4,"Very High")</f>
        <v>High</v>
      </c>
      <c r="S203">
        <v>2</v>
      </c>
      <c r="T203" t="str" cm="1">
        <f t="array" ref="T203">_xlfn.IFS(S203=1,"Entry Level",S203=2,"Junior",S203=3,"Mid-Level",S203=4,"Senior",S203=5,"Executive")</f>
        <v>Junior</v>
      </c>
      <c r="U203" t="s">
        <v>49</v>
      </c>
      <c r="V203">
        <v>4</v>
      </c>
      <c r="W203" t="str" cm="1">
        <f t="array" ref="W203">_xlfn.IFS(V203=1,"Low",V203=2,"Medium",V203=3,"High",V203=4,"Very High")</f>
        <v>Very High</v>
      </c>
      <c r="X203" t="s">
        <v>48</v>
      </c>
      <c r="Y203" s="2">
        <v>6804</v>
      </c>
      <c r="Z203" s="2">
        <v>23793</v>
      </c>
      <c r="AA203">
        <v>1</v>
      </c>
      <c r="AB203" t="s">
        <v>32</v>
      </c>
      <c r="AC203">
        <v>15</v>
      </c>
      <c r="AD203">
        <v>3</v>
      </c>
      <c r="AE203" t="str" cm="1">
        <f t="array" ref="AE203">_xlfn.IFS(AD203=1,"Low",AD203=2,"Good",AD203=3,"Excellent",AD203=4,"Outstanding")</f>
        <v>Excellent</v>
      </c>
      <c r="AF203">
        <v>1</v>
      </c>
      <c r="AG203" t="str" cm="1">
        <f t="array" ref="AG203">_xlfn.IFS(AF203=1,"Low",AF203=2,"Medium",AF203=3,"High",AF203=4,"Very High")</f>
        <v>Low</v>
      </c>
      <c r="AH203">
        <v>2</v>
      </c>
      <c r="AI203">
        <v>7</v>
      </c>
      <c r="AJ203">
        <v>0</v>
      </c>
      <c r="AK203">
        <v>3</v>
      </c>
      <c r="AL203" t="str" cm="1">
        <f t="array" ref="AL203">_xlfn.IFS(AK203=1,"Low",AK203=2,"Medium",AK203=3,"High",AK203=4,"Very High")</f>
        <v>High</v>
      </c>
      <c r="AM203">
        <v>7</v>
      </c>
      <c r="AN203">
        <v>7</v>
      </c>
      <c r="AO203">
        <v>1</v>
      </c>
      <c r="AP203">
        <v>7</v>
      </c>
    </row>
    <row r="204" spans="1:42">
      <c r="A204">
        <v>34</v>
      </c>
      <c r="B204" t="str" cm="1">
        <f t="array" ref="B204">_xlfn.IFS(A204&lt;=25,"18-25",A204&lt;=35,"26-35",A204&lt;=45,"36-45",A204&lt;=55,"46-55",A204&gt;55,"56+")</f>
        <v>26-35</v>
      </c>
      <c r="C204" t="s">
        <v>39</v>
      </c>
      <c r="D204" t="s">
        <v>40</v>
      </c>
      <c r="E204" s="2">
        <v>878</v>
      </c>
      <c r="F204" t="s">
        <v>41</v>
      </c>
      <c r="G204">
        <v>10</v>
      </c>
      <c r="H204" t="str">
        <f t="shared" si="3"/>
        <v>1-10 km</v>
      </c>
      <c r="I204">
        <v>4</v>
      </c>
      <c r="J204" t="str" cm="1">
        <f t="array" ref="J204">_xlfn.IFS(I204=1,"Below College",I204=2,"College",I204=3,"Bachelor",I204=4,"Master",I204=5,"Doctor")</f>
        <v>Master</v>
      </c>
      <c r="K204" t="s">
        <v>47</v>
      </c>
      <c r="L204">
        <v>277</v>
      </c>
      <c r="M204">
        <v>4</v>
      </c>
      <c r="N204" t="str" cm="1">
        <f t="array" ref="N204">_xlfn.IFS(M204=1,"Low",M204=2,"Medium",M204=3,"High",M204=4,"Very High")</f>
        <v>Very High</v>
      </c>
      <c r="O204" t="s">
        <v>42</v>
      </c>
      <c r="P204" s="2">
        <v>43</v>
      </c>
      <c r="Q204">
        <v>3</v>
      </c>
      <c r="R204" t="str" cm="1">
        <f t="array" ref="R204">_xlfn.IFS(Q204=1,"Low",Q204=2,"Medium",Q204=3,"High",Q204=4,"Very High")</f>
        <v>High</v>
      </c>
      <c r="S204">
        <v>1</v>
      </c>
      <c r="T204" t="str" cm="1">
        <f t="array" ref="T204">_xlfn.IFS(S204=1,"Entry Level",S204=2,"Junior",S204=3,"Mid-Level",S204=4,"Senior",S204=5,"Executive")</f>
        <v>Entry Level</v>
      </c>
      <c r="U204" t="s">
        <v>43</v>
      </c>
      <c r="V204">
        <v>3</v>
      </c>
      <c r="W204" t="str" cm="1">
        <f t="array" ref="W204">_xlfn.IFS(V204=1,"Low",V204=2,"Medium",V204=3,"High",V204=4,"Very High")</f>
        <v>High</v>
      </c>
      <c r="X204" t="s">
        <v>48</v>
      </c>
      <c r="Y204" s="2">
        <v>3815</v>
      </c>
      <c r="Z204" s="2">
        <v>5972</v>
      </c>
      <c r="AA204">
        <v>1</v>
      </c>
      <c r="AB204" t="s">
        <v>32</v>
      </c>
      <c r="AC204">
        <v>17</v>
      </c>
      <c r="AD204">
        <v>3</v>
      </c>
      <c r="AE204" t="str" cm="1">
        <f t="array" ref="AE204">_xlfn.IFS(AD204=1,"Low",AD204=2,"Good",AD204=3,"Excellent",AD204=4,"Outstanding")</f>
        <v>Excellent</v>
      </c>
      <c r="AF204">
        <v>4</v>
      </c>
      <c r="AG204" t="str" cm="1">
        <f t="array" ref="AG204">_xlfn.IFS(AF204=1,"Low",AF204=2,"Medium",AF204=3,"High",AF204=4,"Very High")</f>
        <v>Very High</v>
      </c>
      <c r="AH204">
        <v>1</v>
      </c>
      <c r="AI204">
        <v>5</v>
      </c>
      <c r="AJ204">
        <v>4</v>
      </c>
      <c r="AK204">
        <v>4</v>
      </c>
      <c r="AL204" t="str" cm="1">
        <f t="array" ref="AL204">_xlfn.IFS(AK204=1,"Low",AK204=2,"Medium",AK204=3,"High",AK204=4,"Very High")</f>
        <v>Very High</v>
      </c>
      <c r="AM204">
        <v>5</v>
      </c>
      <c r="AN204">
        <v>3</v>
      </c>
      <c r="AO204">
        <v>2</v>
      </c>
      <c r="AP204">
        <v>0</v>
      </c>
    </row>
    <row r="205" spans="1:42">
      <c r="A205">
        <v>40</v>
      </c>
      <c r="B205" t="str" cm="1">
        <f t="array" ref="B205">_xlfn.IFS(A205&lt;=25,"18-25",A205&lt;=35,"26-35",A205&lt;=45,"36-45",A205&lt;=55,"46-55",A205&gt;55,"56+")</f>
        <v>36-45</v>
      </c>
      <c r="C205" t="s">
        <v>39</v>
      </c>
      <c r="D205" t="s">
        <v>33</v>
      </c>
      <c r="E205" s="2">
        <v>905</v>
      </c>
      <c r="F205" t="s">
        <v>41</v>
      </c>
      <c r="G205">
        <v>19</v>
      </c>
      <c r="H205" t="str">
        <f t="shared" si="3"/>
        <v>11-20 km</v>
      </c>
      <c r="I205">
        <v>2</v>
      </c>
      <c r="J205" t="str" cm="1">
        <f t="array" ref="J205">_xlfn.IFS(I205=1,"Below College",I205=2,"College",I205=3,"Bachelor",I205=4,"Master",I205=5,"Doctor")</f>
        <v>College</v>
      </c>
      <c r="K205" t="s">
        <v>47</v>
      </c>
      <c r="L205">
        <v>281</v>
      </c>
      <c r="M205">
        <v>3</v>
      </c>
      <c r="N205" t="str" cm="1">
        <f t="array" ref="N205">_xlfn.IFS(M205=1,"Low",M205=2,"Medium",M205=3,"High",M205=4,"Very High")</f>
        <v>High</v>
      </c>
      <c r="O205" t="s">
        <v>42</v>
      </c>
      <c r="P205" s="2">
        <v>99</v>
      </c>
      <c r="Q205">
        <v>3</v>
      </c>
      <c r="R205" t="str" cm="1">
        <f t="array" ref="R205">_xlfn.IFS(Q205=1,"Low",Q205=2,"Medium",Q205=3,"High",Q205=4,"Very High")</f>
        <v>High</v>
      </c>
      <c r="S205">
        <v>2</v>
      </c>
      <c r="T205" t="str" cm="1">
        <f t="array" ref="T205">_xlfn.IFS(S205=1,"Entry Level",S205=2,"Junior",S205=3,"Mid-Level",S205=4,"Senior",S205=5,"Executive")</f>
        <v>Junior</v>
      </c>
      <c r="U205" t="s">
        <v>46</v>
      </c>
      <c r="V205">
        <v>4</v>
      </c>
      <c r="W205" t="str" cm="1">
        <f t="array" ref="W205">_xlfn.IFS(V205=1,"Low",V205=2,"Medium",V205=3,"High",V205=4,"Very High")</f>
        <v>Very High</v>
      </c>
      <c r="X205" t="s">
        <v>44</v>
      </c>
      <c r="Y205" s="2">
        <v>2741</v>
      </c>
      <c r="Z205" s="2">
        <v>16523</v>
      </c>
      <c r="AA205">
        <v>8</v>
      </c>
      <c r="AB205" t="s">
        <v>32</v>
      </c>
      <c r="AC205">
        <v>15</v>
      </c>
      <c r="AD205">
        <v>3</v>
      </c>
      <c r="AE205" t="str" cm="1">
        <f t="array" ref="AE205">_xlfn.IFS(AD205=1,"Low",AD205=2,"Good",AD205=3,"Excellent",AD205=4,"Outstanding")</f>
        <v>Excellent</v>
      </c>
      <c r="AF205">
        <v>3</v>
      </c>
      <c r="AG205" t="str" cm="1">
        <f t="array" ref="AG205">_xlfn.IFS(AF205=1,"Low",AF205=2,"Medium",AF205=3,"High",AF205=4,"Very High")</f>
        <v>High</v>
      </c>
      <c r="AH205">
        <v>1</v>
      </c>
      <c r="AI205">
        <v>15</v>
      </c>
      <c r="AJ205">
        <v>2</v>
      </c>
      <c r="AK205">
        <v>4</v>
      </c>
      <c r="AL205" t="str" cm="1">
        <f t="array" ref="AL205">_xlfn.IFS(AK205=1,"Low",AK205=2,"Medium",AK205=3,"High",AK205=4,"Very High")</f>
        <v>Very High</v>
      </c>
      <c r="AM205">
        <v>7</v>
      </c>
      <c r="AN205">
        <v>2</v>
      </c>
      <c r="AO205">
        <v>3</v>
      </c>
      <c r="AP205">
        <v>7</v>
      </c>
    </row>
    <row r="206" spans="1:42">
      <c r="A206">
        <v>38</v>
      </c>
      <c r="B206" t="str" cm="1">
        <f t="array" ref="B206">_xlfn.IFS(A206&lt;=25,"18-25",A206&lt;=35,"26-35",A206&lt;=45,"36-45",A206&lt;=55,"46-55",A206&gt;55,"56+")</f>
        <v>36-45</v>
      </c>
      <c r="C206" t="s">
        <v>32</v>
      </c>
      <c r="D206" t="s">
        <v>33</v>
      </c>
      <c r="E206" s="2">
        <v>1180</v>
      </c>
      <c r="F206" t="s">
        <v>41</v>
      </c>
      <c r="G206">
        <v>29</v>
      </c>
      <c r="H206" t="str">
        <f t="shared" si="3"/>
        <v>21-30 km</v>
      </c>
      <c r="I206">
        <v>1</v>
      </c>
      <c r="J206" t="str" cm="1">
        <f t="array" ref="J206">_xlfn.IFS(I206=1,"Below College",I206=2,"College",I206=3,"Bachelor",I206=4,"Master",I206=5,"Doctor")</f>
        <v>Below College</v>
      </c>
      <c r="K206" t="s">
        <v>47</v>
      </c>
      <c r="L206">
        <v>282</v>
      </c>
      <c r="M206">
        <v>2</v>
      </c>
      <c r="N206" t="str" cm="1">
        <f t="array" ref="N206">_xlfn.IFS(M206=1,"Low",M206=2,"Medium",M206=3,"High",M206=4,"Very High")</f>
        <v>Medium</v>
      </c>
      <c r="O206" t="s">
        <v>42</v>
      </c>
      <c r="P206" s="2">
        <v>70</v>
      </c>
      <c r="Q206">
        <v>3</v>
      </c>
      <c r="R206" t="str" cm="1">
        <f t="array" ref="R206">_xlfn.IFS(Q206=1,"Low",Q206=2,"Medium",Q206=3,"High",Q206=4,"Very High")</f>
        <v>High</v>
      </c>
      <c r="S206">
        <v>2</v>
      </c>
      <c r="T206" t="str" cm="1">
        <f t="array" ref="T206">_xlfn.IFS(S206=1,"Entry Level",S206=2,"Junior",S206=3,"Mid-Level",S206=4,"Senior",S206=5,"Executive")</f>
        <v>Junior</v>
      </c>
      <c r="U206" t="s">
        <v>50</v>
      </c>
      <c r="V206">
        <v>1</v>
      </c>
      <c r="W206" t="str" cm="1">
        <f t="array" ref="W206">_xlfn.IFS(V206=1,"Low",V206=2,"Medium",V206=3,"High",V206=4,"Very High")</f>
        <v>Low</v>
      </c>
      <c r="X206" t="s">
        <v>44</v>
      </c>
      <c r="Y206" s="2">
        <v>6673</v>
      </c>
      <c r="Z206" s="2">
        <v>11354</v>
      </c>
      <c r="AA206">
        <v>7</v>
      </c>
      <c r="AB206" t="s">
        <v>32</v>
      </c>
      <c r="AC206">
        <v>19</v>
      </c>
      <c r="AD206">
        <v>3</v>
      </c>
      <c r="AE206" t="str" cm="1">
        <f t="array" ref="AE206">_xlfn.IFS(AD206=1,"Low",AD206=2,"Good",AD206=3,"Excellent",AD206=4,"Outstanding")</f>
        <v>Excellent</v>
      </c>
      <c r="AF206">
        <v>2</v>
      </c>
      <c r="AG206" t="str" cm="1">
        <f t="array" ref="AG206">_xlfn.IFS(AF206=1,"Low",AF206=2,"Medium",AF206=3,"High",AF206=4,"Very High")</f>
        <v>Medium</v>
      </c>
      <c r="AH206">
        <v>0</v>
      </c>
      <c r="AI206">
        <v>17</v>
      </c>
      <c r="AJ206">
        <v>2</v>
      </c>
      <c r="AK206">
        <v>3</v>
      </c>
      <c r="AL206" t="str" cm="1">
        <f t="array" ref="AL206">_xlfn.IFS(AK206=1,"Low",AK206=2,"Medium",AK206=3,"High",AK206=4,"Very High")</f>
        <v>High</v>
      </c>
      <c r="AM206">
        <v>1</v>
      </c>
      <c r="AN206">
        <v>0</v>
      </c>
      <c r="AO206">
        <v>0</v>
      </c>
      <c r="AP206">
        <v>0</v>
      </c>
    </row>
    <row r="207" spans="1:42">
      <c r="A207">
        <v>29</v>
      </c>
      <c r="B207" t="str" cm="1">
        <f t="array" ref="B207">_xlfn.IFS(A207&lt;=25,"18-25",A207&lt;=35,"26-35",A207&lt;=45,"36-45",A207&lt;=55,"46-55",A207&gt;55,"56+")</f>
        <v>26-35</v>
      </c>
      <c r="C207" t="s">
        <v>32</v>
      </c>
      <c r="D207" t="s">
        <v>33</v>
      </c>
      <c r="E207" s="2">
        <v>121</v>
      </c>
      <c r="F207" t="s">
        <v>34</v>
      </c>
      <c r="G207">
        <v>27</v>
      </c>
      <c r="H207" t="str">
        <f t="shared" si="3"/>
        <v>21-30 km</v>
      </c>
      <c r="I207">
        <v>3</v>
      </c>
      <c r="J207" t="str" cm="1">
        <f t="array" ref="J207">_xlfn.IFS(I207=1,"Below College",I207=2,"College",I207=3,"Bachelor",I207=4,"Master",I207=5,"Doctor")</f>
        <v>Bachelor</v>
      </c>
      <c r="K207" t="s">
        <v>55</v>
      </c>
      <c r="L207">
        <v>283</v>
      </c>
      <c r="M207">
        <v>2</v>
      </c>
      <c r="N207" t="str" cm="1">
        <f t="array" ref="N207">_xlfn.IFS(M207=1,"Low",M207=2,"Medium",M207=3,"High",M207=4,"Very High")</f>
        <v>Medium</v>
      </c>
      <c r="O207" t="s">
        <v>36</v>
      </c>
      <c r="P207" s="2">
        <v>35</v>
      </c>
      <c r="Q207">
        <v>3</v>
      </c>
      <c r="R207" t="str" cm="1">
        <f t="array" ref="R207">_xlfn.IFS(Q207=1,"Low",Q207=2,"Medium",Q207=3,"High",Q207=4,"Very High")</f>
        <v>High</v>
      </c>
      <c r="S207">
        <v>3</v>
      </c>
      <c r="T207" t="str" cm="1">
        <f t="array" ref="T207">_xlfn.IFS(S207=1,"Entry Level",S207=2,"Junior",S207=3,"Mid-Level",S207=4,"Senior",S207=5,"Executive")</f>
        <v>Mid-Level</v>
      </c>
      <c r="U207" t="s">
        <v>37</v>
      </c>
      <c r="V207">
        <v>4</v>
      </c>
      <c r="W207" t="str" cm="1">
        <f t="array" ref="W207">_xlfn.IFS(V207=1,"Low",V207=2,"Medium",V207=3,"High",V207=4,"Very High")</f>
        <v>Very High</v>
      </c>
      <c r="X207" t="s">
        <v>44</v>
      </c>
      <c r="Y207" s="2">
        <v>7639</v>
      </c>
      <c r="Z207" s="2">
        <v>24525</v>
      </c>
      <c r="AA207">
        <v>1</v>
      </c>
      <c r="AB207" t="s">
        <v>39</v>
      </c>
      <c r="AC207">
        <v>22</v>
      </c>
      <c r="AD207">
        <v>4</v>
      </c>
      <c r="AE207" t="str" cm="1">
        <f t="array" ref="AE207">_xlfn.IFS(AD207=1,"Low",AD207=2,"Good",AD207=3,"Excellent",AD207=4,"Outstanding")</f>
        <v>Outstanding</v>
      </c>
      <c r="AF207">
        <v>4</v>
      </c>
      <c r="AG207" t="str" cm="1">
        <f t="array" ref="AG207">_xlfn.IFS(AF207=1,"Low",AF207=2,"Medium",AF207=3,"High",AF207=4,"Very High")</f>
        <v>Very High</v>
      </c>
      <c r="AH207">
        <v>3</v>
      </c>
      <c r="AI207">
        <v>10</v>
      </c>
      <c r="AJ207">
        <v>3</v>
      </c>
      <c r="AK207">
        <v>2</v>
      </c>
      <c r="AL207" t="str" cm="1">
        <f t="array" ref="AL207">_xlfn.IFS(AK207=1,"Low",AK207=2,"Medium",AK207=3,"High",AK207=4,"Very High")</f>
        <v>Medium</v>
      </c>
      <c r="AM207">
        <v>10</v>
      </c>
      <c r="AN207">
        <v>4</v>
      </c>
      <c r="AO207">
        <v>1</v>
      </c>
      <c r="AP207">
        <v>9</v>
      </c>
    </row>
    <row r="208" spans="1:42">
      <c r="A208">
        <v>22</v>
      </c>
      <c r="B208" t="str" cm="1">
        <f t="array" ref="B208">_xlfn.IFS(A208&lt;=25,"18-25",A208&lt;=35,"26-35",A208&lt;=45,"36-45",A208&lt;=55,"46-55",A208&gt;55,"56+")</f>
        <v>18-25</v>
      </c>
      <c r="C208" t="s">
        <v>39</v>
      </c>
      <c r="D208" t="s">
        <v>33</v>
      </c>
      <c r="E208" s="2">
        <v>1136</v>
      </c>
      <c r="F208" t="s">
        <v>41</v>
      </c>
      <c r="G208">
        <v>5</v>
      </c>
      <c r="H208" t="str">
        <f t="shared" si="3"/>
        <v>1-10 km</v>
      </c>
      <c r="I208">
        <v>3</v>
      </c>
      <c r="J208" t="str" cm="1">
        <f t="array" ref="J208">_xlfn.IFS(I208=1,"Below College",I208=2,"College",I208=3,"Bachelor",I208=4,"Master",I208=5,"Doctor")</f>
        <v>Bachelor</v>
      </c>
      <c r="K208" t="s">
        <v>35</v>
      </c>
      <c r="L208">
        <v>284</v>
      </c>
      <c r="M208">
        <v>4</v>
      </c>
      <c r="N208" t="str" cm="1">
        <f t="array" ref="N208">_xlfn.IFS(M208=1,"Low",M208=2,"Medium",M208=3,"High",M208=4,"Very High")</f>
        <v>Very High</v>
      </c>
      <c r="O208" t="s">
        <v>42</v>
      </c>
      <c r="P208" s="2">
        <v>60</v>
      </c>
      <c r="Q208">
        <v>4</v>
      </c>
      <c r="R208" t="str" cm="1">
        <f t="array" ref="R208">_xlfn.IFS(Q208=1,"Low",Q208=2,"Medium",Q208=3,"High",Q208=4,"Very High")</f>
        <v>Very High</v>
      </c>
      <c r="S208">
        <v>1</v>
      </c>
      <c r="T208" t="str" cm="1">
        <f t="array" ref="T208">_xlfn.IFS(S208=1,"Entry Level",S208=2,"Junior",S208=3,"Mid-Level",S208=4,"Senior",S208=5,"Executive")</f>
        <v>Entry Level</v>
      </c>
      <c r="U208" t="s">
        <v>43</v>
      </c>
      <c r="V208">
        <v>2</v>
      </c>
      <c r="W208" t="str" cm="1">
        <f t="array" ref="W208">_xlfn.IFS(V208=1,"Low",V208=2,"Medium",V208=3,"High",V208=4,"Very High")</f>
        <v>Medium</v>
      </c>
      <c r="X208" t="s">
        <v>48</v>
      </c>
      <c r="Y208" s="2">
        <v>2328</v>
      </c>
      <c r="Z208" s="2">
        <v>12392</v>
      </c>
      <c r="AA208">
        <v>1</v>
      </c>
      <c r="AB208" t="s">
        <v>32</v>
      </c>
      <c r="AC208">
        <v>16</v>
      </c>
      <c r="AD208">
        <v>3</v>
      </c>
      <c r="AE208" t="str" cm="1">
        <f t="array" ref="AE208">_xlfn.IFS(AD208=1,"Low",AD208=2,"Good",AD208=3,"Excellent",AD208=4,"Outstanding")</f>
        <v>Excellent</v>
      </c>
      <c r="AF208">
        <v>1</v>
      </c>
      <c r="AG208" t="str" cm="1">
        <f t="array" ref="AG208">_xlfn.IFS(AF208=1,"Low",AF208=2,"Medium",AF208=3,"High",AF208=4,"Very High")</f>
        <v>Low</v>
      </c>
      <c r="AH208">
        <v>1</v>
      </c>
      <c r="AI208">
        <v>4</v>
      </c>
      <c r="AJ208">
        <v>2</v>
      </c>
      <c r="AK208">
        <v>2</v>
      </c>
      <c r="AL208" t="str" cm="1">
        <f t="array" ref="AL208">_xlfn.IFS(AK208=1,"Low",AK208=2,"Medium",AK208=3,"High",AK208=4,"Very High")</f>
        <v>Medium</v>
      </c>
      <c r="AM208">
        <v>4</v>
      </c>
      <c r="AN208">
        <v>2</v>
      </c>
      <c r="AO208">
        <v>2</v>
      </c>
      <c r="AP208">
        <v>2</v>
      </c>
    </row>
    <row r="209" spans="1:42">
      <c r="A209">
        <v>36</v>
      </c>
      <c r="B209" t="str" cm="1">
        <f t="array" ref="B209">_xlfn.IFS(A209&lt;=25,"18-25",A209&lt;=35,"26-35",A209&lt;=45,"36-45",A209&lt;=55,"46-55",A209&gt;55,"56+")</f>
        <v>36-45</v>
      </c>
      <c r="C209" t="s">
        <v>39</v>
      </c>
      <c r="D209" t="s">
        <v>40</v>
      </c>
      <c r="E209" s="2">
        <v>635</v>
      </c>
      <c r="F209" t="s">
        <v>41</v>
      </c>
      <c r="G209">
        <v>18</v>
      </c>
      <c r="H209" t="str">
        <f t="shared" si="3"/>
        <v>11-20 km</v>
      </c>
      <c r="I209">
        <v>1</v>
      </c>
      <c r="J209" t="str" cm="1">
        <f t="array" ref="J209">_xlfn.IFS(I209=1,"Below College",I209=2,"College",I209=3,"Bachelor",I209=4,"Master",I209=5,"Doctor")</f>
        <v>Below College</v>
      </c>
      <c r="K209" t="s">
        <v>47</v>
      </c>
      <c r="L209">
        <v>286</v>
      </c>
      <c r="M209">
        <v>2</v>
      </c>
      <c r="N209" t="str" cm="1">
        <f t="array" ref="N209">_xlfn.IFS(M209=1,"Low",M209=2,"Medium",M209=3,"High",M209=4,"Very High")</f>
        <v>Medium</v>
      </c>
      <c r="O209" t="s">
        <v>36</v>
      </c>
      <c r="P209" s="2">
        <v>73</v>
      </c>
      <c r="Q209">
        <v>3</v>
      </c>
      <c r="R209" t="str" cm="1">
        <f t="array" ref="R209">_xlfn.IFS(Q209=1,"Low",Q209=2,"Medium",Q209=3,"High",Q209=4,"Very High")</f>
        <v>High</v>
      </c>
      <c r="S209">
        <v>1</v>
      </c>
      <c r="T209" t="str" cm="1">
        <f t="array" ref="T209">_xlfn.IFS(S209=1,"Entry Level",S209=2,"Junior",S209=3,"Mid-Level",S209=4,"Senior",S209=5,"Executive")</f>
        <v>Entry Level</v>
      </c>
      <c r="U209" t="s">
        <v>46</v>
      </c>
      <c r="V209">
        <v>4</v>
      </c>
      <c r="W209" t="str" cm="1">
        <f t="array" ref="W209">_xlfn.IFS(V209=1,"Low",V209=2,"Medium",V209=3,"High",V209=4,"Very High")</f>
        <v>Very High</v>
      </c>
      <c r="X209" t="s">
        <v>38</v>
      </c>
      <c r="Y209" s="2">
        <v>2153</v>
      </c>
      <c r="Z209" s="2">
        <v>7703</v>
      </c>
      <c r="AA209">
        <v>1</v>
      </c>
      <c r="AB209" t="s">
        <v>39</v>
      </c>
      <c r="AC209">
        <v>13</v>
      </c>
      <c r="AD209">
        <v>3</v>
      </c>
      <c r="AE209" t="str" cm="1">
        <f t="array" ref="AE209">_xlfn.IFS(AD209=1,"Low",AD209=2,"Good",AD209=3,"Excellent",AD209=4,"Outstanding")</f>
        <v>Excellent</v>
      </c>
      <c r="AF209">
        <v>1</v>
      </c>
      <c r="AG209" t="str" cm="1">
        <f t="array" ref="AG209">_xlfn.IFS(AF209=1,"Low",AF209=2,"Medium",AF209=3,"High",AF209=4,"Very High")</f>
        <v>Low</v>
      </c>
      <c r="AH209">
        <v>0</v>
      </c>
      <c r="AI209">
        <v>8</v>
      </c>
      <c r="AJ209">
        <v>2</v>
      </c>
      <c r="AK209">
        <v>3</v>
      </c>
      <c r="AL209" t="str" cm="1">
        <f t="array" ref="AL209">_xlfn.IFS(AK209=1,"Low",AK209=2,"Medium",AK209=3,"High",AK209=4,"Very High")</f>
        <v>High</v>
      </c>
      <c r="AM209">
        <v>8</v>
      </c>
      <c r="AN209">
        <v>1</v>
      </c>
      <c r="AO209">
        <v>1</v>
      </c>
      <c r="AP209">
        <v>7</v>
      </c>
    </row>
    <row r="210" spans="1:42">
      <c r="A210">
        <v>40</v>
      </c>
      <c r="B210" t="str" cm="1">
        <f t="array" ref="B210">_xlfn.IFS(A210&lt;=25,"18-25",A210&lt;=35,"26-35",A210&lt;=45,"36-45",A210&lt;=55,"46-55",A210&gt;55,"56+")</f>
        <v>36-45</v>
      </c>
      <c r="C210" t="s">
        <v>39</v>
      </c>
      <c r="D210" t="s">
        <v>51</v>
      </c>
      <c r="E210" s="2">
        <v>1151</v>
      </c>
      <c r="F210" t="s">
        <v>41</v>
      </c>
      <c r="G210">
        <v>9</v>
      </c>
      <c r="H210" t="str">
        <f t="shared" si="3"/>
        <v>1-10 km</v>
      </c>
      <c r="I210">
        <v>5</v>
      </c>
      <c r="J210" t="str" cm="1">
        <f t="array" ref="J210">_xlfn.IFS(I210=1,"Below College",I210=2,"College",I210=3,"Bachelor",I210=4,"Master",I210=5,"Doctor")</f>
        <v>Doctor</v>
      </c>
      <c r="K210" t="s">
        <v>35</v>
      </c>
      <c r="L210">
        <v>287</v>
      </c>
      <c r="M210">
        <v>4</v>
      </c>
      <c r="N210" t="str" cm="1">
        <f t="array" ref="N210">_xlfn.IFS(M210=1,"Low",M210=2,"Medium",M210=3,"High",M210=4,"Very High")</f>
        <v>Very High</v>
      </c>
      <c r="O210" t="s">
        <v>42</v>
      </c>
      <c r="P210" s="2">
        <v>63</v>
      </c>
      <c r="Q210">
        <v>2</v>
      </c>
      <c r="R210" t="str" cm="1">
        <f t="array" ref="R210">_xlfn.IFS(Q210=1,"Low",Q210=2,"Medium",Q210=3,"High",Q210=4,"Very High")</f>
        <v>Medium</v>
      </c>
      <c r="S210">
        <v>2</v>
      </c>
      <c r="T210" t="str" cm="1">
        <f t="array" ref="T210">_xlfn.IFS(S210=1,"Entry Level",S210=2,"Junior",S210=3,"Mid-Level",S210=4,"Senior",S210=5,"Executive")</f>
        <v>Junior</v>
      </c>
      <c r="U210" t="s">
        <v>50</v>
      </c>
      <c r="V210">
        <v>4</v>
      </c>
      <c r="W210" t="str" cm="1">
        <f t="array" ref="W210">_xlfn.IFS(V210=1,"Low",V210=2,"Medium",V210=3,"High",V210=4,"Very High")</f>
        <v>Very High</v>
      </c>
      <c r="X210" t="s">
        <v>44</v>
      </c>
      <c r="Y210" s="2">
        <v>4876</v>
      </c>
      <c r="Z210" s="2">
        <v>14242</v>
      </c>
      <c r="AA210">
        <v>9</v>
      </c>
      <c r="AB210" t="s">
        <v>39</v>
      </c>
      <c r="AC210">
        <v>14</v>
      </c>
      <c r="AD210">
        <v>3</v>
      </c>
      <c r="AE210" t="str" cm="1">
        <f t="array" ref="AE210">_xlfn.IFS(AD210=1,"Low",AD210=2,"Good",AD210=3,"Excellent",AD210=4,"Outstanding")</f>
        <v>Excellent</v>
      </c>
      <c r="AF210">
        <v>4</v>
      </c>
      <c r="AG210" t="str" cm="1">
        <f t="array" ref="AG210">_xlfn.IFS(AF210=1,"Low",AF210=2,"Medium",AF210=3,"High",AF210=4,"Very High")</f>
        <v>Very High</v>
      </c>
      <c r="AH210">
        <v>1</v>
      </c>
      <c r="AI210">
        <v>5</v>
      </c>
      <c r="AJ210">
        <v>5</v>
      </c>
      <c r="AK210">
        <v>1</v>
      </c>
      <c r="AL210" t="str" cm="1">
        <f t="array" ref="AL210">_xlfn.IFS(AK210=1,"Low",AK210=2,"Medium",AK210=3,"High",AK210=4,"Very High")</f>
        <v>Low</v>
      </c>
      <c r="AM210">
        <v>3</v>
      </c>
      <c r="AN210">
        <v>2</v>
      </c>
      <c r="AO210">
        <v>0</v>
      </c>
      <c r="AP210">
        <v>2</v>
      </c>
    </row>
    <row r="211" spans="1:42">
      <c r="A211">
        <v>46</v>
      </c>
      <c r="B211" t="str" cm="1">
        <f t="array" ref="B211">_xlfn.IFS(A211&lt;=25,"18-25",A211&lt;=35,"26-35",A211&lt;=45,"36-45",A211&lt;=55,"46-55",A211&gt;55,"56+")</f>
        <v>46-55</v>
      </c>
      <c r="C211" t="s">
        <v>39</v>
      </c>
      <c r="D211" t="s">
        <v>33</v>
      </c>
      <c r="E211" s="2">
        <v>644</v>
      </c>
      <c r="F211" t="s">
        <v>41</v>
      </c>
      <c r="G211">
        <v>1</v>
      </c>
      <c r="H211" t="str">
        <f t="shared" si="3"/>
        <v>1-10 km</v>
      </c>
      <c r="I211">
        <v>4</v>
      </c>
      <c r="J211" t="str" cm="1">
        <f t="array" ref="J211">_xlfn.IFS(I211=1,"Below College",I211=2,"College",I211=3,"Bachelor",I211=4,"Master",I211=5,"Doctor")</f>
        <v>Master</v>
      </c>
      <c r="K211" t="s">
        <v>47</v>
      </c>
      <c r="L211">
        <v>288</v>
      </c>
      <c r="M211">
        <v>4</v>
      </c>
      <c r="N211" t="str" cm="1">
        <f t="array" ref="N211">_xlfn.IFS(M211=1,"Low",M211=2,"Medium",M211=3,"High",M211=4,"Very High")</f>
        <v>Very High</v>
      </c>
      <c r="O211" t="s">
        <v>42</v>
      </c>
      <c r="P211" s="2">
        <v>97</v>
      </c>
      <c r="Q211">
        <v>3</v>
      </c>
      <c r="R211" t="str" cm="1">
        <f t="array" ref="R211">_xlfn.IFS(Q211=1,"Low",Q211=2,"Medium",Q211=3,"High",Q211=4,"Very High")</f>
        <v>High</v>
      </c>
      <c r="S211">
        <v>3</v>
      </c>
      <c r="T211" t="str" cm="1">
        <f t="array" ref="T211">_xlfn.IFS(S211=1,"Entry Level",S211=2,"Junior",S211=3,"Mid-Level",S211=4,"Senior",S211=5,"Executive")</f>
        <v>Mid-Level</v>
      </c>
      <c r="U211" t="s">
        <v>50</v>
      </c>
      <c r="V211">
        <v>1</v>
      </c>
      <c r="W211" t="str" cm="1">
        <f t="array" ref="W211">_xlfn.IFS(V211=1,"Low",V211=2,"Medium",V211=3,"High",V211=4,"Very High")</f>
        <v>Low</v>
      </c>
      <c r="X211" t="s">
        <v>48</v>
      </c>
      <c r="Y211" s="2">
        <v>9396</v>
      </c>
      <c r="Z211" s="2">
        <v>12368</v>
      </c>
      <c r="AA211">
        <v>7</v>
      </c>
      <c r="AB211" t="s">
        <v>39</v>
      </c>
      <c r="AC211">
        <v>16</v>
      </c>
      <c r="AD211">
        <v>3</v>
      </c>
      <c r="AE211" t="str" cm="1">
        <f t="array" ref="AE211">_xlfn.IFS(AD211=1,"Low",AD211=2,"Good",AD211=3,"Excellent",AD211=4,"Outstanding")</f>
        <v>Excellent</v>
      </c>
      <c r="AF211">
        <v>3</v>
      </c>
      <c r="AG211" t="str" cm="1">
        <f t="array" ref="AG211">_xlfn.IFS(AF211=1,"Low",AF211=2,"Medium",AF211=3,"High",AF211=4,"Very High")</f>
        <v>High</v>
      </c>
      <c r="AH211">
        <v>1</v>
      </c>
      <c r="AI211">
        <v>17</v>
      </c>
      <c r="AJ211">
        <v>3</v>
      </c>
      <c r="AK211">
        <v>3</v>
      </c>
      <c r="AL211" t="str" cm="1">
        <f t="array" ref="AL211">_xlfn.IFS(AK211=1,"Low",AK211=2,"Medium",AK211=3,"High",AK211=4,"Very High")</f>
        <v>High</v>
      </c>
      <c r="AM211">
        <v>4</v>
      </c>
      <c r="AN211">
        <v>2</v>
      </c>
      <c r="AO211">
        <v>0</v>
      </c>
      <c r="AP211">
        <v>3</v>
      </c>
    </row>
    <row r="212" spans="1:42">
      <c r="A212">
        <v>32</v>
      </c>
      <c r="B212" t="str" cm="1">
        <f t="array" ref="B212">_xlfn.IFS(A212&lt;=25,"18-25",A212&lt;=35,"26-35",A212&lt;=45,"36-45",A212&lt;=55,"46-55",A212&gt;55,"56+")</f>
        <v>26-35</v>
      </c>
      <c r="C212" t="s">
        <v>32</v>
      </c>
      <c r="D212" t="s">
        <v>33</v>
      </c>
      <c r="E212" s="2">
        <v>1045</v>
      </c>
      <c r="F212" t="s">
        <v>34</v>
      </c>
      <c r="G212">
        <v>4</v>
      </c>
      <c r="H212" t="str">
        <f t="shared" si="3"/>
        <v>1-10 km</v>
      </c>
      <c r="I212">
        <v>4</v>
      </c>
      <c r="J212" t="str" cm="1">
        <f t="array" ref="J212">_xlfn.IFS(I212=1,"Below College",I212=2,"College",I212=3,"Bachelor",I212=4,"Master",I212=5,"Doctor")</f>
        <v>Master</v>
      </c>
      <c r="K212" t="s">
        <v>47</v>
      </c>
      <c r="L212">
        <v>291</v>
      </c>
      <c r="M212">
        <v>4</v>
      </c>
      <c r="N212" t="str" cm="1">
        <f t="array" ref="N212">_xlfn.IFS(M212=1,"Low",M212=2,"Medium",M212=3,"High",M212=4,"Very High")</f>
        <v>Very High</v>
      </c>
      <c r="O212" t="s">
        <v>42</v>
      </c>
      <c r="P212" s="2">
        <v>32</v>
      </c>
      <c r="Q212">
        <v>1</v>
      </c>
      <c r="R212" t="str" cm="1">
        <f t="array" ref="R212">_xlfn.IFS(Q212=1,"Low",Q212=2,"Medium",Q212=3,"High",Q212=4,"Very High")</f>
        <v>Low</v>
      </c>
      <c r="S212">
        <v>3</v>
      </c>
      <c r="T212" t="str" cm="1">
        <f t="array" ref="T212">_xlfn.IFS(S212=1,"Entry Level",S212=2,"Junior",S212=3,"Mid-Level",S212=4,"Senior",S212=5,"Executive")</f>
        <v>Mid-Level</v>
      </c>
      <c r="U212" t="s">
        <v>37</v>
      </c>
      <c r="V212">
        <v>4</v>
      </c>
      <c r="W212" t="str" cm="1">
        <f t="array" ref="W212">_xlfn.IFS(V212=1,"Low",V212=2,"Medium",V212=3,"High",V212=4,"Very High")</f>
        <v>Very High</v>
      </c>
      <c r="X212" t="s">
        <v>44</v>
      </c>
      <c r="Y212" s="2">
        <v>10400</v>
      </c>
      <c r="Z212" s="2">
        <v>25812</v>
      </c>
      <c r="AA212">
        <v>1</v>
      </c>
      <c r="AB212" t="s">
        <v>39</v>
      </c>
      <c r="AC212">
        <v>11</v>
      </c>
      <c r="AD212">
        <v>3</v>
      </c>
      <c r="AE212" t="str" cm="1">
        <f t="array" ref="AE212">_xlfn.IFS(AD212=1,"Low",AD212=2,"Good",AD212=3,"Excellent",AD212=4,"Outstanding")</f>
        <v>Excellent</v>
      </c>
      <c r="AF212">
        <v>3</v>
      </c>
      <c r="AG212" t="str" cm="1">
        <f t="array" ref="AG212">_xlfn.IFS(AF212=1,"Low",AF212=2,"Medium",AF212=3,"High",AF212=4,"Very High")</f>
        <v>High</v>
      </c>
      <c r="AH212">
        <v>0</v>
      </c>
      <c r="AI212">
        <v>14</v>
      </c>
      <c r="AJ212">
        <v>2</v>
      </c>
      <c r="AK212">
        <v>2</v>
      </c>
      <c r="AL212" t="str" cm="1">
        <f t="array" ref="AL212">_xlfn.IFS(AK212=1,"Low",AK212=2,"Medium",AK212=3,"High",AK212=4,"Very High")</f>
        <v>Medium</v>
      </c>
      <c r="AM212">
        <v>14</v>
      </c>
      <c r="AN212">
        <v>8</v>
      </c>
      <c r="AO212">
        <v>9</v>
      </c>
      <c r="AP212">
        <v>8</v>
      </c>
    </row>
    <row r="213" spans="1:42">
      <c r="A213">
        <v>30</v>
      </c>
      <c r="B213" t="str" cm="1">
        <f t="array" ref="B213">_xlfn.IFS(A213&lt;=25,"18-25",A213&lt;=35,"26-35",A213&lt;=45,"36-45",A213&lt;=55,"46-55",A213&gt;55,"56+")</f>
        <v>26-35</v>
      </c>
      <c r="C213" t="s">
        <v>39</v>
      </c>
      <c r="D213" t="s">
        <v>51</v>
      </c>
      <c r="E213" s="2">
        <v>829</v>
      </c>
      <c r="F213" t="s">
        <v>41</v>
      </c>
      <c r="G213">
        <v>1</v>
      </c>
      <c r="H213" t="str">
        <f t="shared" si="3"/>
        <v>1-10 km</v>
      </c>
      <c r="I213">
        <v>1</v>
      </c>
      <c r="J213" t="str" cm="1">
        <f t="array" ref="J213">_xlfn.IFS(I213=1,"Below College",I213=2,"College",I213=3,"Bachelor",I213=4,"Master",I213=5,"Doctor")</f>
        <v>Below College</v>
      </c>
      <c r="K213" t="s">
        <v>35</v>
      </c>
      <c r="L213">
        <v>292</v>
      </c>
      <c r="M213">
        <v>3</v>
      </c>
      <c r="N213" t="str" cm="1">
        <f t="array" ref="N213">_xlfn.IFS(M213=1,"Low",M213=2,"Medium",M213=3,"High",M213=4,"Very High")</f>
        <v>High</v>
      </c>
      <c r="O213" t="s">
        <v>42</v>
      </c>
      <c r="P213" s="2">
        <v>88</v>
      </c>
      <c r="Q213">
        <v>2</v>
      </c>
      <c r="R213" t="str" cm="1">
        <f t="array" ref="R213">_xlfn.IFS(Q213=1,"Low",Q213=2,"Medium",Q213=3,"High",Q213=4,"Very High")</f>
        <v>Medium</v>
      </c>
      <c r="S213">
        <v>3</v>
      </c>
      <c r="T213" t="str" cm="1">
        <f t="array" ref="T213">_xlfn.IFS(S213=1,"Entry Level",S213=2,"Junior",S213=3,"Mid-Level",S213=4,"Senior",S213=5,"Executive")</f>
        <v>Mid-Level</v>
      </c>
      <c r="U213" t="s">
        <v>49</v>
      </c>
      <c r="V213">
        <v>3</v>
      </c>
      <c r="W213" t="str" cm="1">
        <f t="array" ref="W213">_xlfn.IFS(V213=1,"Low",V213=2,"Medium",V213=3,"High",V213=4,"Very High")</f>
        <v>High</v>
      </c>
      <c r="X213" t="s">
        <v>38</v>
      </c>
      <c r="Y213" s="2">
        <v>8474</v>
      </c>
      <c r="Z213" s="2">
        <v>20925</v>
      </c>
      <c r="AA213">
        <v>1</v>
      </c>
      <c r="AB213" t="s">
        <v>39</v>
      </c>
      <c r="AC213">
        <v>22</v>
      </c>
      <c r="AD213">
        <v>4</v>
      </c>
      <c r="AE213" t="str" cm="1">
        <f t="array" ref="AE213">_xlfn.IFS(AD213=1,"Low",AD213=2,"Good",AD213=3,"Excellent",AD213=4,"Outstanding")</f>
        <v>Outstanding</v>
      </c>
      <c r="AF213">
        <v>3</v>
      </c>
      <c r="AG213" t="str" cm="1">
        <f t="array" ref="AG213">_xlfn.IFS(AF213=1,"Low",AF213=2,"Medium",AF213=3,"High",AF213=4,"Very High")</f>
        <v>High</v>
      </c>
      <c r="AH213">
        <v>0</v>
      </c>
      <c r="AI213">
        <v>12</v>
      </c>
      <c r="AJ213">
        <v>2</v>
      </c>
      <c r="AK213">
        <v>3</v>
      </c>
      <c r="AL213" t="str" cm="1">
        <f t="array" ref="AL213">_xlfn.IFS(AK213=1,"Low",AK213=2,"Medium",AK213=3,"High",AK213=4,"Very High")</f>
        <v>High</v>
      </c>
      <c r="AM213">
        <v>11</v>
      </c>
      <c r="AN213">
        <v>8</v>
      </c>
      <c r="AO213">
        <v>5</v>
      </c>
      <c r="AP213">
        <v>8</v>
      </c>
    </row>
    <row r="214" spans="1:42">
      <c r="A214">
        <v>27</v>
      </c>
      <c r="B214" t="str" cm="1">
        <f t="array" ref="B214">_xlfn.IFS(A214&lt;=25,"18-25",A214&lt;=35,"26-35",A214&lt;=45,"36-45",A214&lt;=55,"46-55",A214&gt;55,"56+")</f>
        <v>26-35</v>
      </c>
      <c r="C214" t="s">
        <v>39</v>
      </c>
      <c r="D214" t="s">
        <v>40</v>
      </c>
      <c r="E214" s="2">
        <v>1242</v>
      </c>
      <c r="F214" t="s">
        <v>34</v>
      </c>
      <c r="G214">
        <v>20</v>
      </c>
      <c r="H214" t="str">
        <f t="shared" si="3"/>
        <v>11-20 km</v>
      </c>
      <c r="I214">
        <v>3</v>
      </c>
      <c r="J214" t="str" cm="1">
        <f t="array" ref="J214">_xlfn.IFS(I214=1,"Below College",I214=2,"College",I214=3,"Bachelor",I214=4,"Master",I214=5,"Doctor")</f>
        <v>Bachelor</v>
      </c>
      <c r="K214" t="s">
        <v>35</v>
      </c>
      <c r="L214">
        <v>293</v>
      </c>
      <c r="M214">
        <v>4</v>
      </c>
      <c r="N214" t="str" cm="1">
        <f t="array" ref="N214">_xlfn.IFS(M214=1,"Low",M214=2,"Medium",M214=3,"High",M214=4,"Very High")</f>
        <v>Very High</v>
      </c>
      <c r="O214" t="s">
        <v>36</v>
      </c>
      <c r="P214" s="2">
        <v>90</v>
      </c>
      <c r="Q214">
        <v>3</v>
      </c>
      <c r="R214" t="str" cm="1">
        <f t="array" ref="R214">_xlfn.IFS(Q214=1,"Low",Q214=2,"Medium",Q214=3,"High",Q214=4,"Very High")</f>
        <v>High</v>
      </c>
      <c r="S214">
        <v>2</v>
      </c>
      <c r="T214" t="str" cm="1">
        <f t="array" ref="T214">_xlfn.IFS(S214=1,"Entry Level",S214=2,"Junior",S214=3,"Mid-Level",S214=4,"Senior",S214=5,"Executive")</f>
        <v>Junior</v>
      </c>
      <c r="U214" t="s">
        <v>37</v>
      </c>
      <c r="V214">
        <v>3</v>
      </c>
      <c r="W214" t="str" cm="1">
        <f t="array" ref="W214">_xlfn.IFS(V214=1,"Low",V214=2,"Medium",V214=3,"High",V214=4,"Very High")</f>
        <v>High</v>
      </c>
      <c r="X214" t="s">
        <v>38</v>
      </c>
      <c r="Y214" s="2">
        <v>9981</v>
      </c>
      <c r="Z214" s="2">
        <v>12916</v>
      </c>
      <c r="AA214">
        <v>1</v>
      </c>
      <c r="AB214" t="s">
        <v>39</v>
      </c>
      <c r="AC214">
        <v>14</v>
      </c>
      <c r="AD214">
        <v>3</v>
      </c>
      <c r="AE214" t="str" cm="1">
        <f t="array" ref="AE214">_xlfn.IFS(AD214=1,"Low",AD214=2,"Good",AD214=3,"Excellent",AD214=4,"Outstanding")</f>
        <v>Excellent</v>
      </c>
      <c r="AF214">
        <v>4</v>
      </c>
      <c r="AG214" t="str" cm="1">
        <f t="array" ref="AG214">_xlfn.IFS(AF214=1,"Low",AF214=2,"Medium",AF214=3,"High",AF214=4,"Very High")</f>
        <v>Very High</v>
      </c>
      <c r="AH214">
        <v>0</v>
      </c>
      <c r="AI214">
        <v>7</v>
      </c>
      <c r="AJ214">
        <v>2</v>
      </c>
      <c r="AK214">
        <v>3</v>
      </c>
      <c r="AL214" t="str" cm="1">
        <f t="array" ref="AL214">_xlfn.IFS(AK214=1,"Low",AK214=2,"Medium",AK214=3,"High",AK214=4,"Very High")</f>
        <v>High</v>
      </c>
      <c r="AM214">
        <v>7</v>
      </c>
      <c r="AN214">
        <v>7</v>
      </c>
      <c r="AO214">
        <v>0</v>
      </c>
      <c r="AP214">
        <v>7</v>
      </c>
    </row>
    <row r="215" spans="1:42">
      <c r="A215">
        <v>51</v>
      </c>
      <c r="B215" t="str" cm="1">
        <f t="array" ref="B215">_xlfn.IFS(A215&lt;=25,"18-25",A215&lt;=35,"26-35",A215&lt;=45,"36-45",A215&lt;=55,"46-55",A215&gt;55,"56+")</f>
        <v>46-55</v>
      </c>
      <c r="C215" t="s">
        <v>39</v>
      </c>
      <c r="D215" t="s">
        <v>33</v>
      </c>
      <c r="E215" s="2">
        <v>1469</v>
      </c>
      <c r="F215" t="s">
        <v>41</v>
      </c>
      <c r="G215">
        <v>8</v>
      </c>
      <c r="H215" t="str">
        <f t="shared" si="3"/>
        <v>1-10 km</v>
      </c>
      <c r="I215">
        <v>4</v>
      </c>
      <c r="J215" t="str" cm="1">
        <f t="array" ref="J215">_xlfn.IFS(I215=1,"Below College",I215=2,"College",I215=3,"Bachelor",I215=4,"Master",I215=5,"Doctor")</f>
        <v>Master</v>
      </c>
      <c r="K215" t="s">
        <v>35</v>
      </c>
      <c r="L215">
        <v>296</v>
      </c>
      <c r="M215">
        <v>2</v>
      </c>
      <c r="N215" t="str" cm="1">
        <f t="array" ref="N215">_xlfn.IFS(M215=1,"Low",M215=2,"Medium",M215=3,"High",M215=4,"Very High")</f>
        <v>Medium</v>
      </c>
      <c r="O215" t="s">
        <v>42</v>
      </c>
      <c r="P215" s="2">
        <v>81</v>
      </c>
      <c r="Q215">
        <v>2</v>
      </c>
      <c r="R215" t="str" cm="1">
        <f t="array" ref="R215">_xlfn.IFS(Q215=1,"Low",Q215=2,"Medium",Q215=3,"High",Q215=4,"Very High")</f>
        <v>Medium</v>
      </c>
      <c r="S215">
        <v>3</v>
      </c>
      <c r="T215" t="str" cm="1">
        <f t="array" ref="T215">_xlfn.IFS(S215=1,"Entry Level",S215=2,"Junior",S215=3,"Mid-Level",S215=4,"Senior",S215=5,"Executive")</f>
        <v>Mid-Level</v>
      </c>
      <c r="U215" t="s">
        <v>54</v>
      </c>
      <c r="V215">
        <v>2</v>
      </c>
      <c r="W215" t="str" cm="1">
        <f t="array" ref="W215">_xlfn.IFS(V215=1,"Low",V215=2,"Medium",V215=3,"High",V215=4,"Very High")</f>
        <v>Medium</v>
      </c>
      <c r="X215" t="s">
        <v>44</v>
      </c>
      <c r="Y215" s="2">
        <v>12490</v>
      </c>
      <c r="Z215" s="2">
        <v>15736</v>
      </c>
      <c r="AA215">
        <v>5</v>
      </c>
      <c r="AB215" t="s">
        <v>39</v>
      </c>
      <c r="AC215">
        <v>16</v>
      </c>
      <c r="AD215">
        <v>3</v>
      </c>
      <c r="AE215" t="str" cm="1">
        <f t="array" ref="AE215">_xlfn.IFS(AD215=1,"Low",AD215=2,"Good",AD215=3,"Excellent",AD215=4,"Outstanding")</f>
        <v>Excellent</v>
      </c>
      <c r="AF215">
        <v>4</v>
      </c>
      <c r="AG215" t="str" cm="1">
        <f t="array" ref="AG215">_xlfn.IFS(AF215=1,"Low",AF215=2,"Medium",AF215=3,"High",AF215=4,"Very High")</f>
        <v>Very High</v>
      </c>
      <c r="AH215">
        <v>2</v>
      </c>
      <c r="AI215">
        <v>16</v>
      </c>
      <c r="AJ215">
        <v>5</v>
      </c>
      <c r="AK215">
        <v>1</v>
      </c>
      <c r="AL215" t="str" cm="1">
        <f t="array" ref="AL215">_xlfn.IFS(AK215=1,"Low",AK215=2,"Medium",AK215=3,"High",AK215=4,"Very High")</f>
        <v>Low</v>
      </c>
      <c r="AM215">
        <v>10</v>
      </c>
      <c r="AN215">
        <v>9</v>
      </c>
      <c r="AO215">
        <v>4</v>
      </c>
      <c r="AP215">
        <v>7</v>
      </c>
    </row>
    <row r="216" spans="1:42">
      <c r="A216">
        <v>30</v>
      </c>
      <c r="B216" t="str" cm="1">
        <f t="array" ref="B216">_xlfn.IFS(A216&lt;=25,"18-25",A216&lt;=35,"26-35",A216&lt;=45,"36-45",A216&lt;=55,"46-55",A216&gt;55,"56+")</f>
        <v>26-35</v>
      </c>
      <c r="C216" t="s">
        <v>32</v>
      </c>
      <c r="D216" t="s">
        <v>33</v>
      </c>
      <c r="E216" s="2">
        <v>1005</v>
      </c>
      <c r="F216" t="s">
        <v>41</v>
      </c>
      <c r="G216">
        <v>3</v>
      </c>
      <c r="H216" t="str">
        <f t="shared" si="3"/>
        <v>1-10 km</v>
      </c>
      <c r="I216">
        <v>3</v>
      </c>
      <c r="J216" t="str" cm="1">
        <f t="array" ref="J216">_xlfn.IFS(I216=1,"Below College",I216=2,"College",I216=3,"Bachelor",I216=4,"Master",I216=5,"Doctor")</f>
        <v>Bachelor</v>
      </c>
      <c r="K216" t="s">
        <v>56</v>
      </c>
      <c r="L216">
        <v>297</v>
      </c>
      <c r="M216">
        <v>4</v>
      </c>
      <c r="N216" t="str" cm="1">
        <f t="array" ref="N216">_xlfn.IFS(M216=1,"Low",M216=2,"Medium",M216=3,"High",M216=4,"Very High")</f>
        <v>Very High</v>
      </c>
      <c r="O216" t="s">
        <v>36</v>
      </c>
      <c r="P216" s="2">
        <v>88</v>
      </c>
      <c r="Q216">
        <v>3</v>
      </c>
      <c r="R216" t="str" cm="1">
        <f t="array" ref="R216">_xlfn.IFS(Q216=1,"Low",Q216=2,"Medium",Q216=3,"High",Q216=4,"Very High")</f>
        <v>High</v>
      </c>
      <c r="S216">
        <v>1</v>
      </c>
      <c r="T216" t="str" cm="1">
        <f t="array" ref="T216">_xlfn.IFS(S216=1,"Entry Level",S216=2,"Junior",S216=3,"Mid-Level",S216=4,"Senior",S216=5,"Executive")</f>
        <v>Entry Level</v>
      </c>
      <c r="U216" t="s">
        <v>43</v>
      </c>
      <c r="V216">
        <v>1</v>
      </c>
      <c r="W216" t="str" cm="1">
        <f t="array" ref="W216">_xlfn.IFS(V216=1,"Low",V216=2,"Medium",V216=3,"High",V216=4,"Very High")</f>
        <v>Low</v>
      </c>
      <c r="X216" t="s">
        <v>38</v>
      </c>
      <c r="Y216" s="2">
        <v>2657</v>
      </c>
      <c r="Z216" s="2">
        <v>8556</v>
      </c>
      <c r="AA216">
        <v>5</v>
      </c>
      <c r="AB216" t="s">
        <v>32</v>
      </c>
      <c r="AC216">
        <v>11</v>
      </c>
      <c r="AD216">
        <v>3</v>
      </c>
      <c r="AE216" t="str" cm="1">
        <f t="array" ref="AE216">_xlfn.IFS(AD216=1,"Low",AD216=2,"Good",AD216=3,"Excellent",AD216=4,"Outstanding")</f>
        <v>Excellent</v>
      </c>
      <c r="AF216">
        <v>3</v>
      </c>
      <c r="AG216" t="str" cm="1">
        <f t="array" ref="AG216">_xlfn.IFS(AF216=1,"Low",AF216=2,"Medium",AF216=3,"High",AF216=4,"Very High")</f>
        <v>High</v>
      </c>
      <c r="AH216">
        <v>0</v>
      </c>
      <c r="AI216">
        <v>8</v>
      </c>
      <c r="AJ216">
        <v>5</v>
      </c>
      <c r="AK216">
        <v>3</v>
      </c>
      <c r="AL216" t="str" cm="1">
        <f t="array" ref="AL216">_xlfn.IFS(AK216=1,"Low",AK216=2,"Medium",AK216=3,"High",AK216=4,"Very High")</f>
        <v>High</v>
      </c>
      <c r="AM216">
        <v>5</v>
      </c>
      <c r="AN216">
        <v>2</v>
      </c>
      <c r="AO216">
        <v>0</v>
      </c>
      <c r="AP216">
        <v>4</v>
      </c>
    </row>
    <row r="217" spans="1:42">
      <c r="A217">
        <v>41</v>
      </c>
      <c r="B217" t="str" cm="1">
        <f t="array" ref="B217">_xlfn.IFS(A217&lt;=25,"18-25",A217&lt;=35,"26-35",A217&lt;=45,"36-45",A217&lt;=55,"46-55",A217&gt;55,"56+")</f>
        <v>36-45</v>
      </c>
      <c r="C217" t="s">
        <v>39</v>
      </c>
      <c r="D217" t="s">
        <v>33</v>
      </c>
      <c r="E217" s="2">
        <v>896</v>
      </c>
      <c r="F217" t="s">
        <v>34</v>
      </c>
      <c r="G217">
        <v>6</v>
      </c>
      <c r="H217" t="str">
        <f t="shared" si="3"/>
        <v>1-10 km</v>
      </c>
      <c r="I217">
        <v>3</v>
      </c>
      <c r="J217" t="str" cm="1">
        <f t="array" ref="J217">_xlfn.IFS(I217=1,"Below College",I217=2,"College",I217=3,"Bachelor",I217=4,"Master",I217=5,"Doctor")</f>
        <v>Bachelor</v>
      </c>
      <c r="K217" t="s">
        <v>35</v>
      </c>
      <c r="L217">
        <v>298</v>
      </c>
      <c r="M217">
        <v>4</v>
      </c>
      <c r="N217" t="str" cm="1">
        <f t="array" ref="N217">_xlfn.IFS(M217=1,"Low",M217=2,"Medium",M217=3,"High",M217=4,"Very High")</f>
        <v>Very High</v>
      </c>
      <c r="O217" t="s">
        <v>36</v>
      </c>
      <c r="P217" s="2">
        <v>75</v>
      </c>
      <c r="Q217">
        <v>3</v>
      </c>
      <c r="R217" t="str" cm="1">
        <f t="array" ref="R217">_xlfn.IFS(Q217=1,"Low",Q217=2,"Medium",Q217=3,"High",Q217=4,"Very High")</f>
        <v>High</v>
      </c>
      <c r="S217">
        <v>3</v>
      </c>
      <c r="T217" t="str" cm="1">
        <f t="array" ref="T217">_xlfn.IFS(S217=1,"Entry Level",S217=2,"Junior",S217=3,"Mid-Level",S217=4,"Senior",S217=5,"Executive")</f>
        <v>Mid-Level</v>
      </c>
      <c r="U217" t="s">
        <v>52</v>
      </c>
      <c r="V217">
        <v>4</v>
      </c>
      <c r="W217" t="str" cm="1">
        <f t="array" ref="W217">_xlfn.IFS(V217=1,"Low",V217=2,"Medium",V217=3,"High",V217=4,"Very High")</f>
        <v>Very High</v>
      </c>
      <c r="X217" t="s">
        <v>38</v>
      </c>
      <c r="Y217" s="2">
        <v>13591</v>
      </c>
      <c r="Z217" s="2">
        <v>14674</v>
      </c>
      <c r="AA217">
        <v>3</v>
      </c>
      <c r="AB217" t="s">
        <v>32</v>
      </c>
      <c r="AC217">
        <v>18</v>
      </c>
      <c r="AD217">
        <v>3</v>
      </c>
      <c r="AE217" t="str" cm="1">
        <f t="array" ref="AE217">_xlfn.IFS(AD217=1,"Low",AD217=2,"Good",AD217=3,"Excellent",AD217=4,"Outstanding")</f>
        <v>Excellent</v>
      </c>
      <c r="AF217">
        <v>3</v>
      </c>
      <c r="AG217" t="str" cm="1">
        <f t="array" ref="AG217">_xlfn.IFS(AF217=1,"Low",AF217=2,"Medium",AF217=3,"High",AF217=4,"Very High")</f>
        <v>High</v>
      </c>
      <c r="AH217">
        <v>0</v>
      </c>
      <c r="AI217">
        <v>16</v>
      </c>
      <c r="AJ217">
        <v>3</v>
      </c>
      <c r="AK217">
        <v>3</v>
      </c>
      <c r="AL217" t="str" cm="1">
        <f t="array" ref="AL217">_xlfn.IFS(AK217=1,"Low",AK217=2,"Medium",AK217=3,"High",AK217=4,"Very High")</f>
        <v>High</v>
      </c>
      <c r="AM217">
        <v>1</v>
      </c>
      <c r="AN217">
        <v>0</v>
      </c>
      <c r="AO217">
        <v>0</v>
      </c>
      <c r="AP217">
        <v>0</v>
      </c>
    </row>
    <row r="218" spans="1:42">
      <c r="A218">
        <v>30</v>
      </c>
      <c r="B218" t="str" cm="1">
        <f t="array" ref="B218">_xlfn.IFS(A218&lt;=25,"18-25",A218&lt;=35,"26-35",A218&lt;=45,"36-45",A218&lt;=55,"46-55",A218&gt;55,"56+")</f>
        <v>26-35</v>
      </c>
      <c r="C218" t="s">
        <v>32</v>
      </c>
      <c r="D218" t="s">
        <v>40</v>
      </c>
      <c r="E218" s="2">
        <v>334</v>
      </c>
      <c r="F218" t="s">
        <v>34</v>
      </c>
      <c r="G218">
        <v>26</v>
      </c>
      <c r="H218" t="str">
        <f t="shared" si="3"/>
        <v>21-30 km</v>
      </c>
      <c r="I218">
        <v>4</v>
      </c>
      <c r="J218" t="str" cm="1">
        <f t="array" ref="J218">_xlfn.IFS(I218=1,"Below College",I218=2,"College",I218=3,"Bachelor",I218=4,"Master",I218=5,"Doctor")</f>
        <v>Master</v>
      </c>
      <c r="K218" t="s">
        <v>55</v>
      </c>
      <c r="L218">
        <v>299</v>
      </c>
      <c r="M218">
        <v>3</v>
      </c>
      <c r="N218" t="str" cm="1">
        <f t="array" ref="N218">_xlfn.IFS(M218=1,"Low",M218=2,"Medium",M218=3,"High",M218=4,"Very High")</f>
        <v>High</v>
      </c>
      <c r="O218" t="s">
        <v>36</v>
      </c>
      <c r="P218" s="2">
        <v>52</v>
      </c>
      <c r="Q218">
        <v>2</v>
      </c>
      <c r="R218" t="str" cm="1">
        <f t="array" ref="R218">_xlfn.IFS(Q218=1,"Low",Q218=2,"Medium",Q218=3,"High",Q218=4,"Very High")</f>
        <v>Medium</v>
      </c>
      <c r="S218">
        <v>2</v>
      </c>
      <c r="T218" t="str" cm="1">
        <f t="array" ref="T218">_xlfn.IFS(S218=1,"Entry Level",S218=2,"Junior",S218=3,"Mid-Level",S218=4,"Senior",S218=5,"Executive")</f>
        <v>Junior</v>
      </c>
      <c r="U218" t="s">
        <v>37</v>
      </c>
      <c r="V218">
        <v>1</v>
      </c>
      <c r="W218" t="str" cm="1">
        <f t="array" ref="W218">_xlfn.IFS(V218=1,"Low",V218=2,"Medium",V218=3,"High",V218=4,"Very High")</f>
        <v>Low</v>
      </c>
      <c r="X218" t="s">
        <v>38</v>
      </c>
      <c r="Y218" s="2">
        <v>6696</v>
      </c>
      <c r="Z218" s="2">
        <v>22967</v>
      </c>
      <c r="AA218">
        <v>5</v>
      </c>
      <c r="AB218" t="s">
        <v>39</v>
      </c>
      <c r="AC218">
        <v>15</v>
      </c>
      <c r="AD218">
        <v>3</v>
      </c>
      <c r="AE218" t="str" cm="1">
        <f t="array" ref="AE218">_xlfn.IFS(AD218=1,"Low",AD218=2,"Good",AD218=3,"Excellent",AD218=4,"Outstanding")</f>
        <v>Excellent</v>
      </c>
      <c r="AF218">
        <v>3</v>
      </c>
      <c r="AG218" t="str" cm="1">
        <f t="array" ref="AG218">_xlfn.IFS(AF218=1,"Low",AF218=2,"Medium",AF218=3,"High",AF218=4,"Very High")</f>
        <v>High</v>
      </c>
      <c r="AH218">
        <v>0</v>
      </c>
      <c r="AI218">
        <v>9</v>
      </c>
      <c r="AJ218">
        <v>5</v>
      </c>
      <c r="AK218">
        <v>2</v>
      </c>
      <c r="AL218" t="str" cm="1">
        <f t="array" ref="AL218">_xlfn.IFS(AK218=1,"Low",AK218=2,"Medium",AK218=3,"High",AK218=4,"Very High")</f>
        <v>Medium</v>
      </c>
      <c r="AM218">
        <v>6</v>
      </c>
      <c r="AN218">
        <v>3</v>
      </c>
      <c r="AO218">
        <v>0</v>
      </c>
      <c r="AP218">
        <v>1</v>
      </c>
    </row>
    <row r="219" spans="1:42">
      <c r="A219">
        <v>29</v>
      </c>
      <c r="B219" t="str" cm="1">
        <f t="array" ref="B219">_xlfn.IFS(A219&lt;=25,"18-25",A219&lt;=35,"26-35",A219&lt;=45,"36-45",A219&lt;=55,"46-55",A219&gt;55,"56+")</f>
        <v>26-35</v>
      </c>
      <c r="C219" t="s">
        <v>32</v>
      </c>
      <c r="D219" t="s">
        <v>33</v>
      </c>
      <c r="E219" s="2">
        <v>992</v>
      </c>
      <c r="F219" t="s">
        <v>41</v>
      </c>
      <c r="G219">
        <v>1</v>
      </c>
      <c r="H219" t="str">
        <f t="shared" si="3"/>
        <v>1-10 km</v>
      </c>
      <c r="I219">
        <v>3</v>
      </c>
      <c r="J219" t="str" cm="1">
        <f t="array" ref="J219">_xlfn.IFS(I219=1,"Below College",I219=2,"College",I219=3,"Bachelor",I219=4,"Master",I219=5,"Doctor")</f>
        <v>Bachelor</v>
      </c>
      <c r="K219" t="s">
        <v>56</v>
      </c>
      <c r="L219">
        <v>300</v>
      </c>
      <c r="M219">
        <v>3</v>
      </c>
      <c r="N219" t="str" cm="1">
        <f t="array" ref="N219">_xlfn.IFS(M219=1,"Low",M219=2,"Medium",M219=3,"High",M219=4,"Very High")</f>
        <v>High</v>
      </c>
      <c r="O219" t="s">
        <v>42</v>
      </c>
      <c r="P219" s="2">
        <v>85</v>
      </c>
      <c r="Q219">
        <v>3</v>
      </c>
      <c r="R219" t="str" cm="1">
        <f t="array" ref="R219">_xlfn.IFS(Q219=1,"Low",Q219=2,"Medium",Q219=3,"High",Q219=4,"Very High")</f>
        <v>High</v>
      </c>
      <c r="S219">
        <v>1</v>
      </c>
      <c r="T219" t="str" cm="1">
        <f t="array" ref="T219">_xlfn.IFS(S219=1,"Entry Level",S219=2,"Junior",S219=3,"Mid-Level",S219=4,"Senior",S219=5,"Executive")</f>
        <v>Entry Level</v>
      </c>
      <c r="U219" t="s">
        <v>43</v>
      </c>
      <c r="V219">
        <v>3</v>
      </c>
      <c r="W219" t="str" cm="1">
        <f t="array" ref="W219">_xlfn.IFS(V219=1,"Low",V219=2,"Medium",V219=3,"High",V219=4,"Very High")</f>
        <v>High</v>
      </c>
      <c r="X219" t="s">
        <v>38</v>
      </c>
      <c r="Y219" s="2">
        <v>2058</v>
      </c>
      <c r="Z219" s="2">
        <v>19757</v>
      </c>
      <c r="AA219">
        <v>0</v>
      </c>
      <c r="AB219" t="s">
        <v>39</v>
      </c>
      <c r="AC219">
        <v>14</v>
      </c>
      <c r="AD219">
        <v>3</v>
      </c>
      <c r="AE219" t="str" cm="1">
        <f t="array" ref="AE219">_xlfn.IFS(AD219=1,"Low",AD219=2,"Good",AD219=3,"Excellent",AD219=4,"Outstanding")</f>
        <v>Excellent</v>
      </c>
      <c r="AF219">
        <v>4</v>
      </c>
      <c r="AG219" t="str" cm="1">
        <f t="array" ref="AG219">_xlfn.IFS(AF219=1,"Low",AF219=2,"Medium",AF219=3,"High",AF219=4,"Very High")</f>
        <v>Very High</v>
      </c>
      <c r="AH219">
        <v>0</v>
      </c>
      <c r="AI219">
        <v>7</v>
      </c>
      <c r="AJ219">
        <v>1</v>
      </c>
      <c r="AK219">
        <v>2</v>
      </c>
      <c r="AL219" t="str" cm="1">
        <f t="array" ref="AL219">_xlfn.IFS(AK219=1,"Low",AK219=2,"Medium",AK219=3,"High",AK219=4,"Very High")</f>
        <v>Medium</v>
      </c>
      <c r="AM219">
        <v>6</v>
      </c>
      <c r="AN219">
        <v>2</v>
      </c>
      <c r="AO219">
        <v>1</v>
      </c>
      <c r="AP219">
        <v>5</v>
      </c>
    </row>
    <row r="220" spans="1:42">
      <c r="A220">
        <v>45</v>
      </c>
      <c r="B220" t="str" cm="1">
        <f t="array" ref="B220">_xlfn.IFS(A220&lt;=25,"18-25",A220&lt;=35,"26-35",A220&lt;=45,"36-45",A220&lt;=55,"46-55",A220&gt;55,"56+")</f>
        <v>36-45</v>
      </c>
      <c r="C220" t="s">
        <v>39</v>
      </c>
      <c r="D220" t="s">
        <v>51</v>
      </c>
      <c r="E220" s="2">
        <v>1052</v>
      </c>
      <c r="F220" t="s">
        <v>34</v>
      </c>
      <c r="G220">
        <v>6</v>
      </c>
      <c r="H220" t="str">
        <f t="shared" si="3"/>
        <v>1-10 km</v>
      </c>
      <c r="I220">
        <v>3</v>
      </c>
      <c r="J220" t="str" cm="1">
        <f t="array" ref="J220">_xlfn.IFS(I220=1,"Below College",I220=2,"College",I220=3,"Bachelor",I220=4,"Master",I220=5,"Doctor")</f>
        <v>Bachelor</v>
      </c>
      <c r="K220" t="s">
        <v>47</v>
      </c>
      <c r="L220">
        <v>302</v>
      </c>
      <c r="M220">
        <v>4</v>
      </c>
      <c r="N220" t="str" cm="1">
        <f t="array" ref="N220">_xlfn.IFS(M220=1,"Low",M220=2,"Medium",M220=3,"High",M220=4,"Very High")</f>
        <v>Very High</v>
      </c>
      <c r="O220" t="s">
        <v>36</v>
      </c>
      <c r="P220" s="2">
        <v>57</v>
      </c>
      <c r="Q220">
        <v>2</v>
      </c>
      <c r="R220" t="str" cm="1">
        <f t="array" ref="R220">_xlfn.IFS(Q220=1,"Low",Q220=2,"Medium",Q220=3,"High",Q220=4,"Very High")</f>
        <v>Medium</v>
      </c>
      <c r="S220">
        <v>3</v>
      </c>
      <c r="T220" t="str" cm="1">
        <f t="array" ref="T220">_xlfn.IFS(S220=1,"Entry Level",S220=2,"Junior",S220=3,"Mid-Level",S220=4,"Senior",S220=5,"Executive")</f>
        <v>Mid-Level</v>
      </c>
      <c r="U220" t="s">
        <v>37</v>
      </c>
      <c r="V220">
        <v>4</v>
      </c>
      <c r="W220" t="str" cm="1">
        <f t="array" ref="W220">_xlfn.IFS(V220=1,"Low",V220=2,"Medium",V220=3,"High",V220=4,"Very High")</f>
        <v>Very High</v>
      </c>
      <c r="X220" t="s">
        <v>38</v>
      </c>
      <c r="Y220" s="2">
        <v>8865</v>
      </c>
      <c r="Z220" s="2">
        <v>16840</v>
      </c>
      <c r="AA220">
        <v>6</v>
      </c>
      <c r="AB220" t="s">
        <v>39</v>
      </c>
      <c r="AC220">
        <v>12</v>
      </c>
      <c r="AD220">
        <v>3</v>
      </c>
      <c r="AE220" t="str" cm="1">
        <f t="array" ref="AE220">_xlfn.IFS(AD220=1,"Low",AD220=2,"Good",AD220=3,"Excellent",AD220=4,"Outstanding")</f>
        <v>Excellent</v>
      </c>
      <c r="AF220">
        <v>4</v>
      </c>
      <c r="AG220" t="str" cm="1">
        <f t="array" ref="AG220">_xlfn.IFS(AF220=1,"Low",AF220=2,"Medium",AF220=3,"High",AF220=4,"Very High")</f>
        <v>Very High</v>
      </c>
      <c r="AH220">
        <v>0</v>
      </c>
      <c r="AI220">
        <v>23</v>
      </c>
      <c r="AJ220">
        <v>2</v>
      </c>
      <c r="AK220">
        <v>3</v>
      </c>
      <c r="AL220" t="str" cm="1">
        <f t="array" ref="AL220">_xlfn.IFS(AK220=1,"Low",AK220=2,"Medium",AK220=3,"High",AK220=4,"Very High")</f>
        <v>High</v>
      </c>
      <c r="AM220">
        <v>19</v>
      </c>
      <c r="AN220">
        <v>7</v>
      </c>
      <c r="AO220">
        <v>12</v>
      </c>
      <c r="AP220">
        <v>8</v>
      </c>
    </row>
    <row r="221" spans="1:42">
      <c r="A221">
        <v>54</v>
      </c>
      <c r="B221" t="str" cm="1">
        <f t="array" ref="B221">_xlfn.IFS(A221&lt;=25,"18-25",A221&lt;=35,"26-35",A221&lt;=45,"36-45",A221&lt;=55,"46-55",A221&gt;55,"56+")</f>
        <v>46-55</v>
      </c>
      <c r="C221" t="s">
        <v>39</v>
      </c>
      <c r="D221" t="s">
        <v>33</v>
      </c>
      <c r="E221" s="2">
        <v>1147</v>
      </c>
      <c r="F221" t="s">
        <v>34</v>
      </c>
      <c r="G221">
        <v>3</v>
      </c>
      <c r="H221" t="str">
        <f t="shared" si="3"/>
        <v>1-10 km</v>
      </c>
      <c r="I221">
        <v>3</v>
      </c>
      <c r="J221" t="str" cm="1">
        <f t="array" ref="J221">_xlfn.IFS(I221=1,"Below College",I221=2,"College",I221=3,"Bachelor",I221=4,"Master",I221=5,"Doctor")</f>
        <v>Bachelor</v>
      </c>
      <c r="K221" t="s">
        <v>55</v>
      </c>
      <c r="L221">
        <v>303</v>
      </c>
      <c r="M221">
        <v>4</v>
      </c>
      <c r="N221" t="str" cm="1">
        <f t="array" ref="N221">_xlfn.IFS(M221=1,"Low",M221=2,"Medium",M221=3,"High",M221=4,"Very High")</f>
        <v>Very High</v>
      </c>
      <c r="O221" t="s">
        <v>36</v>
      </c>
      <c r="P221" s="2">
        <v>52</v>
      </c>
      <c r="Q221">
        <v>3</v>
      </c>
      <c r="R221" t="str" cm="1">
        <f t="array" ref="R221">_xlfn.IFS(Q221=1,"Low",Q221=2,"Medium",Q221=3,"High",Q221=4,"Very High")</f>
        <v>High</v>
      </c>
      <c r="S221">
        <v>2</v>
      </c>
      <c r="T221" t="str" cm="1">
        <f t="array" ref="T221">_xlfn.IFS(S221=1,"Entry Level",S221=2,"Junior",S221=3,"Mid-Level",S221=4,"Senior",S221=5,"Executive")</f>
        <v>Junior</v>
      </c>
      <c r="U221" t="s">
        <v>37</v>
      </c>
      <c r="V221">
        <v>1</v>
      </c>
      <c r="W221" t="str" cm="1">
        <f t="array" ref="W221">_xlfn.IFS(V221=1,"Low",V221=2,"Medium",V221=3,"High",V221=4,"Very High")</f>
        <v>Low</v>
      </c>
      <c r="X221" t="s">
        <v>44</v>
      </c>
      <c r="Y221" s="2">
        <v>5940</v>
      </c>
      <c r="Z221" s="2">
        <v>17011</v>
      </c>
      <c r="AA221">
        <v>2</v>
      </c>
      <c r="AB221" t="s">
        <v>39</v>
      </c>
      <c r="AC221">
        <v>14</v>
      </c>
      <c r="AD221">
        <v>3</v>
      </c>
      <c r="AE221" t="str" cm="1">
        <f t="array" ref="AE221">_xlfn.IFS(AD221=1,"Low",AD221=2,"Good",AD221=3,"Excellent",AD221=4,"Outstanding")</f>
        <v>Excellent</v>
      </c>
      <c r="AF221">
        <v>4</v>
      </c>
      <c r="AG221" t="str" cm="1">
        <f t="array" ref="AG221">_xlfn.IFS(AF221=1,"Low",AF221=2,"Medium",AF221=3,"High",AF221=4,"Very High")</f>
        <v>Very High</v>
      </c>
      <c r="AH221">
        <v>1</v>
      </c>
      <c r="AI221">
        <v>16</v>
      </c>
      <c r="AJ221">
        <v>4</v>
      </c>
      <c r="AK221">
        <v>3</v>
      </c>
      <c r="AL221" t="str" cm="1">
        <f t="array" ref="AL221">_xlfn.IFS(AK221=1,"Low",AK221=2,"Medium",AK221=3,"High",AK221=4,"Very High")</f>
        <v>High</v>
      </c>
      <c r="AM221">
        <v>6</v>
      </c>
      <c r="AN221">
        <v>2</v>
      </c>
      <c r="AO221">
        <v>0</v>
      </c>
      <c r="AP221">
        <v>5</v>
      </c>
    </row>
    <row r="222" spans="1:42">
      <c r="A222">
        <v>36</v>
      </c>
      <c r="B222" t="str" cm="1">
        <f t="array" ref="B222">_xlfn.IFS(A222&lt;=25,"18-25",A222&lt;=35,"26-35",A222&lt;=45,"36-45",A222&lt;=55,"46-55",A222&gt;55,"56+")</f>
        <v>36-45</v>
      </c>
      <c r="C222" t="s">
        <v>39</v>
      </c>
      <c r="D222" t="s">
        <v>33</v>
      </c>
      <c r="E222" s="2">
        <v>1396</v>
      </c>
      <c r="F222" t="s">
        <v>41</v>
      </c>
      <c r="G222">
        <v>5</v>
      </c>
      <c r="H222" t="str">
        <f t="shared" si="3"/>
        <v>1-10 km</v>
      </c>
      <c r="I222">
        <v>2</v>
      </c>
      <c r="J222" t="str" cm="1">
        <f t="array" ref="J222">_xlfn.IFS(I222=1,"Below College",I222=2,"College",I222=3,"Bachelor",I222=4,"Master",I222=5,"Doctor")</f>
        <v>College</v>
      </c>
      <c r="K222" t="s">
        <v>35</v>
      </c>
      <c r="L222">
        <v>304</v>
      </c>
      <c r="M222">
        <v>4</v>
      </c>
      <c r="N222" t="str" cm="1">
        <f t="array" ref="N222">_xlfn.IFS(M222=1,"Low",M222=2,"Medium",M222=3,"High",M222=4,"Very High")</f>
        <v>Very High</v>
      </c>
      <c r="O222" t="s">
        <v>42</v>
      </c>
      <c r="P222" s="2">
        <v>62</v>
      </c>
      <c r="Q222">
        <v>3</v>
      </c>
      <c r="R222" t="str" cm="1">
        <f t="array" ref="R222">_xlfn.IFS(Q222=1,"Low",Q222=2,"Medium",Q222=3,"High",Q222=4,"Very High")</f>
        <v>High</v>
      </c>
      <c r="S222">
        <v>2</v>
      </c>
      <c r="T222" t="str" cm="1">
        <f t="array" ref="T222">_xlfn.IFS(S222=1,"Entry Level",S222=2,"Junior",S222=3,"Mid-Level",S222=4,"Senior",S222=5,"Executive")</f>
        <v>Junior</v>
      </c>
      <c r="U222" t="s">
        <v>46</v>
      </c>
      <c r="V222">
        <v>2</v>
      </c>
      <c r="W222" t="str" cm="1">
        <f t="array" ref="W222">_xlfn.IFS(V222=1,"Low",V222=2,"Medium",V222=3,"High",V222=4,"Very High")</f>
        <v>Medium</v>
      </c>
      <c r="X222" t="s">
        <v>38</v>
      </c>
      <c r="Y222" s="2">
        <v>5914</v>
      </c>
      <c r="Z222" s="2">
        <v>9945</v>
      </c>
      <c r="AA222">
        <v>8</v>
      </c>
      <c r="AB222" t="s">
        <v>39</v>
      </c>
      <c r="AC222">
        <v>16</v>
      </c>
      <c r="AD222">
        <v>3</v>
      </c>
      <c r="AE222" t="str" cm="1">
        <f t="array" ref="AE222">_xlfn.IFS(AD222=1,"Low",AD222=2,"Good",AD222=3,"Excellent",AD222=4,"Outstanding")</f>
        <v>Excellent</v>
      </c>
      <c r="AF222">
        <v>4</v>
      </c>
      <c r="AG222" t="str" cm="1">
        <f t="array" ref="AG222">_xlfn.IFS(AF222=1,"Low",AF222=2,"Medium",AF222=3,"High",AF222=4,"Very High")</f>
        <v>Very High</v>
      </c>
      <c r="AH222">
        <v>0</v>
      </c>
      <c r="AI222">
        <v>16</v>
      </c>
      <c r="AJ222">
        <v>3</v>
      </c>
      <c r="AK222">
        <v>4</v>
      </c>
      <c r="AL222" t="str" cm="1">
        <f t="array" ref="AL222">_xlfn.IFS(AK222=1,"Low",AK222=2,"Medium",AK222=3,"High",AK222=4,"Very High")</f>
        <v>Very High</v>
      </c>
      <c r="AM222">
        <v>13</v>
      </c>
      <c r="AN222">
        <v>11</v>
      </c>
      <c r="AO222">
        <v>3</v>
      </c>
      <c r="AP222">
        <v>7</v>
      </c>
    </row>
    <row r="223" spans="1:42">
      <c r="A223">
        <v>33</v>
      </c>
      <c r="B223" t="str" cm="1">
        <f t="array" ref="B223">_xlfn.IFS(A223&lt;=25,"18-25",A223&lt;=35,"26-35",A223&lt;=45,"36-45",A223&lt;=55,"46-55",A223&gt;55,"56+")</f>
        <v>26-35</v>
      </c>
      <c r="C223" t="s">
        <v>39</v>
      </c>
      <c r="D223" t="s">
        <v>33</v>
      </c>
      <c r="E223" s="2">
        <v>147</v>
      </c>
      <c r="F223" t="s">
        <v>41</v>
      </c>
      <c r="G223">
        <v>4</v>
      </c>
      <c r="H223" t="str">
        <f t="shared" si="3"/>
        <v>1-10 km</v>
      </c>
      <c r="I223">
        <v>4</v>
      </c>
      <c r="J223" t="str" cm="1">
        <f t="array" ref="J223">_xlfn.IFS(I223=1,"Below College",I223=2,"College",I223=3,"Bachelor",I223=4,"Master",I223=5,"Doctor")</f>
        <v>Master</v>
      </c>
      <c r="K223" t="s">
        <v>47</v>
      </c>
      <c r="L223">
        <v>305</v>
      </c>
      <c r="M223">
        <v>3</v>
      </c>
      <c r="N223" t="str" cm="1">
        <f t="array" ref="N223">_xlfn.IFS(M223=1,"Low",M223=2,"Medium",M223=3,"High",M223=4,"Very High")</f>
        <v>High</v>
      </c>
      <c r="O223" t="s">
        <v>36</v>
      </c>
      <c r="P223" s="2">
        <v>47</v>
      </c>
      <c r="Q223">
        <v>2</v>
      </c>
      <c r="R223" t="str" cm="1">
        <f t="array" ref="R223">_xlfn.IFS(Q223=1,"Low",Q223=2,"Medium",Q223=3,"High",Q223=4,"Very High")</f>
        <v>Medium</v>
      </c>
      <c r="S223">
        <v>1</v>
      </c>
      <c r="T223" t="str" cm="1">
        <f t="array" ref="T223">_xlfn.IFS(S223=1,"Entry Level",S223=2,"Junior",S223=3,"Mid-Level",S223=4,"Senior",S223=5,"Executive")</f>
        <v>Entry Level</v>
      </c>
      <c r="U223" t="s">
        <v>43</v>
      </c>
      <c r="V223">
        <v>2</v>
      </c>
      <c r="W223" t="str" cm="1">
        <f t="array" ref="W223">_xlfn.IFS(V223=1,"Low",V223=2,"Medium",V223=3,"High",V223=4,"Very High")</f>
        <v>Medium</v>
      </c>
      <c r="X223" t="s">
        <v>44</v>
      </c>
      <c r="Y223" s="2">
        <v>2622</v>
      </c>
      <c r="Z223" s="2">
        <v>13248</v>
      </c>
      <c r="AA223">
        <v>6</v>
      </c>
      <c r="AB223" t="s">
        <v>39</v>
      </c>
      <c r="AC223">
        <v>21</v>
      </c>
      <c r="AD223">
        <v>4</v>
      </c>
      <c r="AE223" t="str" cm="1">
        <f t="array" ref="AE223">_xlfn.IFS(AD223=1,"Low",AD223=2,"Good",AD223=3,"Excellent",AD223=4,"Outstanding")</f>
        <v>Outstanding</v>
      </c>
      <c r="AF223">
        <v>4</v>
      </c>
      <c r="AG223" t="str" cm="1">
        <f t="array" ref="AG223">_xlfn.IFS(AF223=1,"Low",AF223=2,"Medium",AF223=3,"High",AF223=4,"Very High")</f>
        <v>Very High</v>
      </c>
      <c r="AH223">
        <v>0</v>
      </c>
      <c r="AI223">
        <v>7</v>
      </c>
      <c r="AJ223">
        <v>3</v>
      </c>
      <c r="AK223">
        <v>3</v>
      </c>
      <c r="AL223" t="str" cm="1">
        <f t="array" ref="AL223">_xlfn.IFS(AK223=1,"Low",AK223=2,"Medium",AK223=3,"High",AK223=4,"Very High")</f>
        <v>High</v>
      </c>
      <c r="AM223">
        <v>3</v>
      </c>
      <c r="AN223">
        <v>2</v>
      </c>
      <c r="AO223">
        <v>1</v>
      </c>
      <c r="AP223">
        <v>1</v>
      </c>
    </row>
    <row r="224" spans="1:42">
      <c r="A224">
        <v>37</v>
      </c>
      <c r="B224" t="str" cm="1">
        <f t="array" ref="B224">_xlfn.IFS(A224&lt;=25,"18-25",A224&lt;=35,"26-35",A224&lt;=45,"36-45",A224&lt;=55,"46-55",A224&gt;55,"56+")</f>
        <v>36-45</v>
      </c>
      <c r="C224" t="s">
        <v>39</v>
      </c>
      <c r="D224" t="s">
        <v>40</v>
      </c>
      <c r="E224" s="2">
        <v>663</v>
      </c>
      <c r="F224" t="s">
        <v>41</v>
      </c>
      <c r="G224">
        <v>11</v>
      </c>
      <c r="H224" t="str">
        <f t="shared" si="3"/>
        <v>11-20 km</v>
      </c>
      <c r="I224">
        <v>3</v>
      </c>
      <c r="J224" t="str" cm="1">
        <f t="array" ref="J224">_xlfn.IFS(I224=1,"Below College",I224=2,"College",I224=3,"Bachelor",I224=4,"Master",I224=5,"Doctor")</f>
        <v>Bachelor</v>
      </c>
      <c r="K224" t="s">
        <v>45</v>
      </c>
      <c r="L224">
        <v>306</v>
      </c>
      <c r="M224">
        <v>2</v>
      </c>
      <c r="N224" t="str" cm="1">
        <f t="array" ref="N224">_xlfn.IFS(M224=1,"Low",M224=2,"Medium",M224=3,"High",M224=4,"Very High")</f>
        <v>Medium</v>
      </c>
      <c r="O224" t="s">
        <v>42</v>
      </c>
      <c r="P224" s="2">
        <v>47</v>
      </c>
      <c r="Q224">
        <v>3</v>
      </c>
      <c r="R224" t="str" cm="1">
        <f t="array" ref="R224">_xlfn.IFS(Q224=1,"Low",Q224=2,"Medium",Q224=3,"High",Q224=4,"Very High")</f>
        <v>High</v>
      </c>
      <c r="S224">
        <v>3</v>
      </c>
      <c r="T224" t="str" cm="1">
        <f t="array" ref="T224">_xlfn.IFS(S224=1,"Entry Level",S224=2,"Junior",S224=3,"Mid-Level",S224=4,"Senior",S224=5,"Executive")</f>
        <v>Mid-Level</v>
      </c>
      <c r="U224" t="s">
        <v>54</v>
      </c>
      <c r="V224">
        <v>4</v>
      </c>
      <c r="W224" t="str" cm="1">
        <f t="array" ref="W224">_xlfn.IFS(V224=1,"Low",V224=2,"Medium",V224=3,"High",V224=4,"Very High")</f>
        <v>Very High</v>
      </c>
      <c r="X224" t="s">
        <v>48</v>
      </c>
      <c r="Y224" s="2">
        <v>12185</v>
      </c>
      <c r="Z224" s="2">
        <v>10056</v>
      </c>
      <c r="AA224">
        <v>1</v>
      </c>
      <c r="AB224" t="s">
        <v>32</v>
      </c>
      <c r="AC224">
        <v>14</v>
      </c>
      <c r="AD224">
        <v>3</v>
      </c>
      <c r="AE224" t="str" cm="1">
        <f t="array" ref="AE224">_xlfn.IFS(AD224=1,"Low",AD224=2,"Good",AD224=3,"Excellent",AD224=4,"Outstanding")</f>
        <v>Excellent</v>
      </c>
      <c r="AF224">
        <v>3</v>
      </c>
      <c r="AG224" t="str" cm="1">
        <f t="array" ref="AG224">_xlfn.IFS(AF224=1,"Low",AF224=2,"Medium",AF224=3,"High",AF224=4,"Very High")</f>
        <v>High</v>
      </c>
      <c r="AH224">
        <v>3</v>
      </c>
      <c r="AI224">
        <v>10</v>
      </c>
      <c r="AJ224">
        <v>1</v>
      </c>
      <c r="AK224">
        <v>3</v>
      </c>
      <c r="AL224" t="str" cm="1">
        <f t="array" ref="AL224">_xlfn.IFS(AK224=1,"Low",AK224=2,"Medium",AK224=3,"High",AK224=4,"Very High")</f>
        <v>High</v>
      </c>
      <c r="AM224">
        <v>10</v>
      </c>
      <c r="AN224">
        <v>8</v>
      </c>
      <c r="AO224">
        <v>0</v>
      </c>
      <c r="AP224">
        <v>7</v>
      </c>
    </row>
    <row r="225" spans="1:42">
      <c r="A225">
        <v>38</v>
      </c>
      <c r="B225" t="str" cm="1">
        <f t="array" ref="B225">_xlfn.IFS(A225&lt;=25,"18-25",A225&lt;=35,"26-35",A225&lt;=45,"36-45",A225&lt;=55,"46-55",A225&gt;55,"56+")</f>
        <v>36-45</v>
      </c>
      <c r="C225" t="s">
        <v>39</v>
      </c>
      <c r="D225" t="s">
        <v>33</v>
      </c>
      <c r="E225" s="2">
        <v>119</v>
      </c>
      <c r="F225" t="s">
        <v>34</v>
      </c>
      <c r="G225">
        <v>3</v>
      </c>
      <c r="H225" t="str">
        <f t="shared" si="3"/>
        <v>1-10 km</v>
      </c>
      <c r="I225">
        <v>3</v>
      </c>
      <c r="J225" t="str" cm="1">
        <f t="array" ref="J225">_xlfn.IFS(I225=1,"Below College",I225=2,"College",I225=3,"Bachelor",I225=4,"Master",I225=5,"Doctor")</f>
        <v>Bachelor</v>
      </c>
      <c r="K225" t="s">
        <v>35</v>
      </c>
      <c r="L225">
        <v>307</v>
      </c>
      <c r="M225">
        <v>1</v>
      </c>
      <c r="N225" t="str" cm="1">
        <f t="array" ref="N225">_xlfn.IFS(M225=1,"Low",M225=2,"Medium",M225=3,"High",M225=4,"Very High")</f>
        <v>Low</v>
      </c>
      <c r="O225" t="s">
        <v>42</v>
      </c>
      <c r="P225" s="2">
        <v>76</v>
      </c>
      <c r="Q225">
        <v>3</v>
      </c>
      <c r="R225" t="str" cm="1">
        <f t="array" ref="R225">_xlfn.IFS(Q225=1,"Low",Q225=2,"Medium",Q225=3,"High",Q225=4,"Very High")</f>
        <v>High</v>
      </c>
      <c r="S225">
        <v>3</v>
      </c>
      <c r="T225" t="str" cm="1">
        <f t="array" ref="T225">_xlfn.IFS(S225=1,"Entry Level",S225=2,"Junior",S225=3,"Mid-Level",S225=4,"Senior",S225=5,"Executive")</f>
        <v>Mid-Level</v>
      </c>
      <c r="U225" t="s">
        <v>37</v>
      </c>
      <c r="V225">
        <v>3</v>
      </c>
      <c r="W225" t="str" cm="1">
        <f t="array" ref="W225">_xlfn.IFS(V225=1,"Low",V225=2,"Medium",V225=3,"High",V225=4,"Very High")</f>
        <v>High</v>
      </c>
      <c r="X225" t="s">
        <v>48</v>
      </c>
      <c r="Y225" s="2">
        <v>10609</v>
      </c>
      <c r="Z225" s="2">
        <v>9647</v>
      </c>
      <c r="AA225">
        <v>0</v>
      </c>
      <c r="AB225" t="s">
        <v>39</v>
      </c>
      <c r="AC225">
        <v>12</v>
      </c>
      <c r="AD225">
        <v>3</v>
      </c>
      <c r="AE225" t="str" cm="1">
        <f t="array" ref="AE225">_xlfn.IFS(AD225=1,"Low",AD225=2,"Good",AD225=3,"Excellent",AD225=4,"Outstanding")</f>
        <v>Excellent</v>
      </c>
      <c r="AF225">
        <v>3</v>
      </c>
      <c r="AG225" t="str" cm="1">
        <f t="array" ref="AG225">_xlfn.IFS(AF225=1,"Low",AF225=2,"Medium",AF225=3,"High",AF225=4,"Very High")</f>
        <v>High</v>
      </c>
      <c r="AH225">
        <v>2</v>
      </c>
      <c r="AI225">
        <v>17</v>
      </c>
      <c r="AJ225">
        <v>6</v>
      </c>
      <c r="AK225">
        <v>2</v>
      </c>
      <c r="AL225" t="str" cm="1">
        <f t="array" ref="AL225">_xlfn.IFS(AK225=1,"Low",AK225=2,"Medium",AK225=3,"High",AK225=4,"Very High")</f>
        <v>Medium</v>
      </c>
      <c r="AM225">
        <v>16</v>
      </c>
      <c r="AN225">
        <v>10</v>
      </c>
      <c r="AO225">
        <v>5</v>
      </c>
      <c r="AP225">
        <v>13</v>
      </c>
    </row>
    <row r="226" spans="1:42">
      <c r="A226">
        <v>31</v>
      </c>
      <c r="B226" t="str" cm="1">
        <f t="array" ref="B226">_xlfn.IFS(A226&lt;=25,"18-25",A226&lt;=35,"26-35",A226&lt;=45,"36-45",A226&lt;=55,"46-55",A226&gt;55,"56+")</f>
        <v>26-35</v>
      </c>
      <c r="C226" t="s">
        <v>39</v>
      </c>
      <c r="D226" t="s">
        <v>51</v>
      </c>
      <c r="E226" s="2">
        <v>979</v>
      </c>
      <c r="F226" t="s">
        <v>41</v>
      </c>
      <c r="G226">
        <v>1</v>
      </c>
      <c r="H226" t="str">
        <f t="shared" si="3"/>
        <v>1-10 km</v>
      </c>
      <c r="I226">
        <v>4</v>
      </c>
      <c r="J226" t="str" cm="1">
        <f t="array" ref="J226">_xlfn.IFS(I226=1,"Below College",I226=2,"College",I226=3,"Bachelor",I226=4,"Master",I226=5,"Doctor")</f>
        <v>Master</v>
      </c>
      <c r="K226" t="s">
        <v>47</v>
      </c>
      <c r="L226">
        <v>308</v>
      </c>
      <c r="M226">
        <v>3</v>
      </c>
      <c r="N226" t="str" cm="1">
        <f t="array" ref="N226">_xlfn.IFS(M226=1,"Low",M226=2,"Medium",M226=3,"High",M226=4,"Very High")</f>
        <v>High</v>
      </c>
      <c r="O226" t="s">
        <v>42</v>
      </c>
      <c r="P226" s="2">
        <v>90</v>
      </c>
      <c r="Q226">
        <v>1</v>
      </c>
      <c r="R226" t="str" cm="1">
        <f t="array" ref="R226">_xlfn.IFS(Q226=1,"Low",Q226=2,"Medium",Q226=3,"High",Q226=4,"Very High")</f>
        <v>Low</v>
      </c>
      <c r="S226">
        <v>2</v>
      </c>
      <c r="T226" t="str" cm="1">
        <f t="array" ref="T226">_xlfn.IFS(S226=1,"Entry Level",S226=2,"Junior",S226=3,"Mid-Level",S226=4,"Senior",S226=5,"Executive")</f>
        <v>Junior</v>
      </c>
      <c r="U226" t="s">
        <v>49</v>
      </c>
      <c r="V226">
        <v>3</v>
      </c>
      <c r="W226" t="str" cm="1">
        <f t="array" ref="W226">_xlfn.IFS(V226=1,"Low",V226=2,"Medium",V226=3,"High",V226=4,"Very High")</f>
        <v>High</v>
      </c>
      <c r="X226" t="s">
        <v>44</v>
      </c>
      <c r="Y226" s="2">
        <v>4345</v>
      </c>
      <c r="Z226" s="2">
        <v>4381</v>
      </c>
      <c r="AA226">
        <v>0</v>
      </c>
      <c r="AB226" t="s">
        <v>39</v>
      </c>
      <c r="AC226">
        <v>12</v>
      </c>
      <c r="AD226">
        <v>3</v>
      </c>
      <c r="AE226" t="str" cm="1">
        <f t="array" ref="AE226">_xlfn.IFS(AD226=1,"Low",AD226=2,"Good",AD226=3,"Excellent",AD226=4,"Outstanding")</f>
        <v>Excellent</v>
      </c>
      <c r="AF226">
        <v>4</v>
      </c>
      <c r="AG226" t="str" cm="1">
        <f t="array" ref="AG226">_xlfn.IFS(AF226=1,"Low",AF226=2,"Medium",AF226=3,"High",AF226=4,"Very High")</f>
        <v>Very High</v>
      </c>
      <c r="AH226">
        <v>1</v>
      </c>
      <c r="AI226">
        <v>6</v>
      </c>
      <c r="AJ226">
        <v>2</v>
      </c>
      <c r="AK226">
        <v>3</v>
      </c>
      <c r="AL226" t="str" cm="1">
        <f t="array" ref="AL226">_xlfn.IFS(AK226=1,"Low",AK226=2,"Medium",AK226=3,"High",AK226=4,"Very High")</f>
        <v>High</v>
      </c>
      <c r="AM226">
        <v>5</v>
      </c>
      <c r="AN226">
        <v>4</v>
      </c>
      <c r="AO226">
        <v>1</v>
      </c>
      <c r="AP226">
        <v>4</v>
      </c>
    </row>
    <row r="227" spans="1:42">
      <c r="A227">
        <v>59</v>
      </c>
      <c r="B227" t="str" cm="1">
        <f t="array" ref="B227">_xlfn.IFS(A227&lt;=25,"18-25",A227&lt;=35,"26-35",A227&lt;=45,"36-45",A227&lt;=55,"46-55",A227&gt;55,"56+")</f>
        <v>56+</v>
      </c>
      <c r="C227" t="s">
        <v>39</v>
      </c>
      <c r="D227" t="s">
        <v>33</v>
      </c>
      <c r="E227" s="2">
        <v>142</v>
      </c>
      <c r="F227" t="s">
        <v>41</v>
      </c>
      <c r="G227">
        <v>3</v>
      </c>
      <c r="H227" t="str">
        <f t="shared" si="3"/>
        <v>1-10 km</v>
      </c>
      <c r="I227">
        <v>3</v>
      </c>
      <c r="J227" t="str" cm="1">
        <f t="array" ref="J227">_xlfn.IFS(I227=1,"Below College",I227=2,"College",I227=3,"Bachelor",I227=4,"Master",I227=5,"Doctor")</f>
        <v>Bachelor</v>
      </c>
      <c r="K227" t="s">
        <v>35</v>
      </c>
      <c r="L227">
        <v>309</v>
      </c>
      <c r="M227">
        <v>3</v>
      </c>
      <c r="N227" t="str" cm="1">
        <f t="array" ref="N227">_xlfn.IFS(M227=1,"Low",M227=2,"Medium",M227=3,"High",M227=4,"Very High")</f>
        <v>High</v>
      </c>
      <c r="O227" t="s">
        <v>42</v>
      </c>
      <c r="P227" s="2">
        <v>70</v>
      </c>
      <c r="Q227">
        <v>2</v>
      </c>
      <c r="R227" t="str" cm="1">
        <f t="array" ref="R227">_xlfn.IFS(Q227=1,"Low",Q227=2,"Medium",Q227=3,"High",Q227=4,"Very High")</f>
        <v>Medium</v>
      </c>
      <c r="S227">
        <v>1</v>
      </c>
      <c r="T227" t="str" cm="1">
        <f t="array" ref="T227">_xlfn.IFS(S227=1,"Entry Level",S227=2,"Junior",S227=3,"Mid-Level",S227=4,"Senior",S227=5,"Executive")</f>
        <v>Entry Level</v>
      </c>
      <c r="U227" t="s">
        <v>43</v>
      </c>
      <c r="V227">
        <v>4</v>
      </c>
      <c r="W227" t="str" cm="1">
        <f t="array" ref="W227">_xlfn.IFS(V227=1,"Low",V227=2,"Medium",V227=3,"High",V227=4,"Very High")</f>
        <v>Very High</v>
      </c>
      <c r="X227" t="s">
        <v>44</v>
      </c>
      <c r="Y227" s="2">
        <v>2177</v>
      </c>
      <c r="Z227" s="2">
        <v>8456</v>
      </c>
      <c r="AA227">
        <v>3</v>
      </c>
      <c r="AB227" t="s">
        <v>39</v>
      </c>
      <c r="AC227">
        <v>17</v>
      </c>
      <c r="AD227">
        <v>3</v>
      </c>
      <c r="AE227" t="str" cm="1">
        <f t="array" ref="AE227">_xlfn.IFS(AD227=1,"Low",AD227=2,"Good",AD227=3,"Excellent",AD227=4,"Outstanding")</f>
        <v>Excellent</v>
      </c>
      <c r="AF227">
        <v>1</v>
      </c>
      <c r="AG227" t="str" cm="1">
        <f t="array" ref="AG227">_xlfn.IFS(AF227=1,"Low",AF227=2,"Medium",AF227=3,"High",AF227=4,"Very High")</f>
        <v>Low</v>
      </c>
      <c r="AH227">
        <v>1</v>
      </c>
      <c r="AI227">
        <v>7</v>
      </c>
      <c r="AJ227">
        <v>6</v>
      </c>
      <c r="AK227">
        <v>3</v>
      </c>
      <c r="AL227" t="str" cm="1">
        <f t="array" ref="AL227">_xlfn.IFS(AK227=1,"Low",AK227=2,"Medium",AK227=3,"High",AK227=4,"Very High")</f>
        <v>High</v>
      </c>
      <c r="AM227">
        <v>1</v>
      </c>
      <c r="AN227">
        <v>0</v>
      </c>
      <c r="AO227">
        <v>0</v>
      </c>
      <c r="AP227">
        <v>0</v>
      </c>
    </row>
    <row r="228" spans="1:42">
      <c r="A228">
        <v>37</v>
      </c>
      <c r="B228" t="str" cm="1">
        <f t="array" ref="B228">_xlfn.IFS(A228&lt;=25,"18-25",A228&lt;=35,"26-35",A228&lt;=45,"36-45",A228&lt;=55,"46-55",A228&gt;55,"56+")</f>
        <v>36-45</v>
      </c>
      <c r="C228" t="s">
        <v>39</v>
      </c>
      <c r="D228" t="s">
        <v>40</v>
      </c>
      <c r="E228" s="2">
        <v>319</v>
      </c>
      <c r="F228" t="s">
        <v>34</v>
      </c>
      <c r="G228">
        <v>4</v>
      </c>
      <c r="H228" t="str">
        <f t="shared" si="3"/>
        <v>1-10 km</v>
      </c>
      <c r="I228">
        <v>4</v>
      </c>
      <c r="J228" t="str" cm="1">
        <f t="array" ref="J228">_xlfn.IFS(I228=1,"Below College",I228=2,"College",I228=3,"Bachelor",I228=4,"Master",I228=5,"Doctor")</f>
        <v>Master</v>
      </c>
      <c r="K228" t="s">
        <v>55</v>
      </c>
      <c r="L228">
        <v>311</v>
      </c>
      <c r="M228">
        <v>1</v>
      </c>
      <c r="N228" t="str" cm="1">
        <f t="array" ref="N228">_xlfn.IFS(M228=1,"Low",M228=2,"Medium",M228=3,"High",M228=4,"Very High")</f>
        <v>Low</v>
      </c>
      <c r="O228" t="s">
        <v>42</v>
      </c>
      <c r="P228" s="2">
        <v>41</v>
      </c>
      <c r="Q228">
        <v>3</v>
      </c>
      <c r="R228" t="str" cm="1">
        <f t="array" ref="R228">_xlfn.IFS(Q228=1,"Low",Q228=2,"Medium",Q228=3,"High",Q228=4,"Very High")</f>
        <v>High</v>
      </c>
      <c r="S228">
        <v>1</v>
      </c>
      <c r="T228" t="str" cm="1">
        <f t="array" ref="T228">_xlfn.IFS(S228=1,"Entry Level",S228=2,"Junior",S228=3,"Mid-Level",S228=4,"Senior",S228=5,"Executive")</f>
        <v>Entry Level</v>
      </c>
      <c r="U228" t="s">
        <v>53</v>
      </c>
      <c r="V228">
        <v>4</v>
      </c>
      <c r="W228" t="str" cm="1">
        <f t="array" ref="W228">_xlfn.IFS(V228=1,"Low",V228=2,"Medium",V228=3,"High",V228=4,"Very High")</f>
        <v>Very High</v>
      </c>
      <c r="X228" t="s">
        <v>48</v>
      </c>
      <c r="Y228" s="2">
        <v>2793</v>
      </c>
      <c r="Z228" s="2">
        <v>2539</v>
      </c>
      <c r="AA228">
        <v>4</v>
      </c>
      <c r="AB228" t="s">
        <v>39</v>
      </c>
      <c r="AC228">
        <v>17</v>
      </c>
      <c r="AD228">
        <v>3</v>
      </c>
      <c r="AE228" t="str" cm="1">
        <f t="array" ref="AE228">_xlfn.IFS(AD228=1,"Low",AD228=2,"Good",AD228=3,"Excellent",AD228=4,"Outstanding")</f>
        <v>Excellent</v>
      </c>
      <c r="AF228">
        <v>3</v>
      </c>
      <c r="AG228" t="str" cm="1">
        <f t="array" ref="AG228">_xlfn.IFS(AF228=1,"Low",AF228=2,"Medium",AF228=3,"High",AF228=4,"Very High")</f>
        <v>High</v>
      </c>
      <c r="AH228">
        <v>1</v>
      </c>
      <c r="AI228">
        <v>13</v>
      </c>
      <c r="AJ228">
        <v>2</v>
      </c>
      <c r="AK228">
        <v>3</v>
      </c>
      <c r="AL228" t="str" cm="1">
        <f t="array" ref="AL228">_xlfn.IFS(AK228=1,"Low",AK228=2,"Medium",AK228=3,"High",AK228=4,"Very High")</f>
        <v>High</v>
      </c>
      <c r="AM228">
        <v>9</v>
      </c>
      <c r="AN228">
        <v>8</v>
      </c>
      <c r="AO228">
        <v>5</v>
      </c>
      <c r="AP228">
        <v>8</v>
      </c>
    </row>
    <row r="229" spans="1:42">
      <c r="A229">
        <v>29</v>
      </c>
      <c r="B229" t="str" cm="1">
        <f t="array" ref="B229">_xlfn.IFS(A229&lt;=25,"18-25",A229&lt;=35,"26-35",A229&lt;=45,"36-45",A229&lt;=55,"46-55",A229&gt;55,"56+")</f>
        <v>26-35</v>
      </c>
      <c r="C229" t="s">
        <v>39</v>
      </c>
      <c r="D229" t="s">
        <v>40</v>
      </c>
      <c r="E229" s="2">
        <v>1413</v>
      </c>
      <c r="F229" t="s">
        <v>34</v>
      </c>
      <c r="G229">
        <v>1</v>
      </c>
      <c r="H229" t="str">
        <f t="shared" si="3"/>
        <v>1-10 km</v>
      </c>
      <c r="I229">
        <v>1</v>
      </c>
      <c r="J229" t="str" cm="1">
        <f t="array" ref="J229">_xlfn.IFS(I229=1,"Below College",I229=2,"College",I229=3,"Bachelor",I229=4,"Master",I229=5,"Doctor")</f>
        <v>Below College</v>
      </c>
      <c r="K229" t="s">
        <v>47</v>
      </c>
      <c r="L229">
        <v>312</v>
      </c>
      <c r="M229">
        <v>2</v>
      </c>
      <c r="N229" t="str" cm="1">
        <f t="array" ref="N229">_xlfn.IFS(M229=1,"Low",M229=2,"Medium",M229=3,"High",M229=4,"Very High")</f>
        <v>Medium</v>
      </c>
      <c r="O229" t="s">
        <v>36</v>
      </c>
      <c r="P229" s="2">
        <v>42</v>
      </c>
      <c r="Q229">
        <v>3</v>
      </c>
      <c r="R229" t="str" cm="1">
        <f t="array" ref="R229">_xlfn.IFS(Q229=1,"Low",Q229=2,"Medium",Q229=3,"High",Q229=4,"Very High")</f>
        <v>High</v>
      </c>
      <c r="S229">
        <v>3</v>
      </c>
      <c r="T229" t="str" cm="1">
        <f t="array" ref="T229">_xlfn.IFS(S229=1,"Entry Level",S229=2,"Junior",S229=3,"Mid-Level",S229=4,"Senior",S229=5,"Executive")</f>
        <v>Mid-Level</v>
      </c>
      <c r="U229" t="s">
        <v>37</v>
      </c>
      <c r="V229">
        <v>4</v>
      </c>
      <c r="W229" t="str" cm="1">
        <f t="array" ref="W229">_xlfn.IFS(V229=1,"Low",V229=2,"Medium",V229=3,"High",V229=4,"Very High")</f>
        <v>Very High</v>
      </c>
      <c r="X229" t="s">
        <v>44</v>
      </c>
      <c r="Y229" s="2">
        <v>7918</v>
      </c>
      <c r="Z229" s="2">
        <v>6599</v>
      </c>
      <c r="AA229">
        <v>1</v>
      </c>
      <c r="AB229" t="s">
        <v>39</v>
      </c>
      <c r="AC229">
        <v>14</v>
      </c>
      <c r="AD229">
        <v>3</v>
      </c>
      <c r="AE229" t="str" cm="1">
        <f t="array" ref="AE229">_xlfn.IFS(AD229=1,"Low",AD229=2,"Good",AD229=3,"Excellent",AD229=4,"Outstanding")</f>
        <v>Excellent</v>
      </c>
      <c r="AF229">
        <v>4</v>
      </c>
      <c r="AG229" t="str" cm="1">
        <f t="array" ref="AG229">_xlfn.IFS(AF229=1,"Low",AF229=2,"Medium",AF229=3,"High",AF229=4,"Very High")</f>
        <v>Very High</v>
      </c>
      <c r="AH229">
        <v>1</v>
      </c>
      <c r="AI229">
        <v>11</v>
      </c>
      <c r="AJ229">
        <v>5</v>
      </c>
      <c r="AK229">
        <v>3</v>
      </c>
      <c r="AL229" t="str" cm="1">
        <f t="array" ref="AL229">_xlfn.IFS(AK229=1,"Low",AK229=2,"Medium",AK229=3,"High",AK229=4,"Very High")</f>
        <v>High</v>
      </c>
      <c r="AM229">
        <v>11</v>
      </c>
      <c r="AN229">
        <v>10</v>
      </c>
      <c r="AO229">
        <v>4</v>
      </c>
      <c r="AP229">
        <v>1</v>
      </c>
    </row>
    <row r="230" spans="1:42">
      <c r="A230">
        <v>35</v>
      </c>
      <c r="B230" t="str" cm="1">
        <f t="array" ref="B230">_xlfn.IFS(A230&lt;=25,"18-25",A230&lt;=35,"26-35",A230&lt;=45,"36-45",A230&lt;=55,"46-55",A230&gt;55,"56+")</f>
        <v>26-35</v>
      </c>
      <c r="C230" t="s">
        <v>39</v>
      </c>
      <c r="D230" t="s">
        <v>40</v>
      </c>
      <c r="E230" s="2">
        <v>944</v>
      </c>
      <c r="F230" t="s">
        <v>34</v>
      </c>
      <c r="G230">
        <v>1</v>
      </c>
      <c r="H230" t="str">
        <f t="shared" si="3"/>
        <v>1-10 km</v>
      </c>
      <c r="I230">
        <v>3</v>
      </c>
      <c r="J230" t="str" cm="1">
        <f t="array" ref="J230">_xlfn.IFS(I230=1,"Below College",I230=2,"College",I230=3,"Bachelor",I230=4,"Master",I230=5,"Doctor")</f>
        <v>Bachelor</v>
      </c>
      <c r="K230" t="s">
        <v>55</v>
      </c>
      <c r="L230">
        <v>314</v>
      </c>
      <c r="M230">
        <v>3</v>
      </c>
      <c r="N230" t="str" cm="1">
        <f t="array" ref="N230">_xlfn.IFS(M230=1,"Low",M230=2,"Medium",M230=3,"High",M230=4,"Very High")</f>
        <v>High</v>
      </c>
      <c r="O230" t="s">
        <v>36</v>
      </c>
      <c r="P230" s="2">
        <v>92</v>
      </c>
      <c r="Q230">
        <v>3</v>
      </c>
      <c r="R230" t="str" cm="1">
        <f t="array" ref="R230">_xlfn.IFS(Q230=1,"Low",Q230=2,"Medium",Q230=3,"High",Q230=4,"Very High")</f>
        <v>High</v>
      </c>
      <c r="S230">
        <v>3</v>
      </c>
      <c r="T230" t="str" cm="1">
        <f t="array" ref="T230">_xlfn.IFS(S230=1,"Entry Level",S230=2,"Junior",S230=3,"Mid-Level",S230=4,"Senior",S230=5,"Executive")</f>
        <v>Mid-Level</v>
      </c>
      <c r="U230" t="s">
        <v>37</v>
      </c>
      <c r="V230">
        <v>3</v>
      </c>
      <c r="W230" t="str" cm="1">
        <f t="array" ref="W230">_xlfn.IFS(V230=1,"Low",V230=2,"Medium",V230=3,"High",V230=4,"Very High")</f>
        <v>High</v>
      </c>
      <c r="X230" t="s">
        <v>38</v>
      </c>
      <c r="Y230" s="2">
        <v>8789</v>
      </c>
      <c r="Z230" s="2">
        <v>9096</v>
      </c>
      <c r="AA230">
        <v>1</v>
      </c>
      <c r="AB230" t="s">
        <v>39</v>
      </c>
      <c r="AC230">
        <v>14</v>
      </c>
      <c r="AD230">
        <v>3</v>
      </c>
      <c r="AE230" t="str" cm="1">
        <f t="array" ref="AE230">_xlfn.IFS(AD230=1,"Low",AD230=2,"Good",AD230=3,"Excellent",AD230=4,"Outstanding")</f>
        <v>Excellent</v>
      </c>
      <c r="AF230">
        <v>1</v>
      </c>
      <c r="AG230" t="str" cm="1">
        <f t="array" ref="AG230">_xlfn.IFS(AF230=1,"Low",AF230=2,"Medium",AF230=3,"High",AF230=4,"Very High")</f>
        <v>Low</v>
      </c>
      <c r="AH230">
        <v>0</v>
      </c>
      <c r="AI230">
        <v>10</v>
      </c>
      <c r="AJ230">
        <v>3</v>
      </c>
      <c r="AK230">
        <v>4</v>
      </c>
      <c r="AL230" t="str" cm="1">
        <f t="array" ref="AL230">_xlfn.IFS(AK230=1,"Low",AK230=2,"Medium",AK230=3,"High",AK230=4,"Very High")</f>
        <v>Very High</v>
      </c>
      <c r="AM230">
        <v>10</v>
      </c>
      <c r="AN230">
        <v>7</v>
      </c>
      <c r="AO230">
        <v>0</v>
      </c>
      <c r="AP230">
        <v>8</v>
      </c>
    </row>
    <row r="231" spans="1:42">
      <c r="A231">
        <v>29</v>
      </c>
      <c r="B231" t="str" cm="1">
        <f t="array" ref="B231">_xlfn.IFS(A231&lt;=25,"18-25",A231&lt;=35,"26-35",A231&lt;=45,"36-45",A231&lt;=55,"46-55",A231&gt;55,"56+")</f>
        <v>26-35</v>
      </c>
      <c r="C231" t="s">
        <v>32</v>
      </c>
      <c r="D231" t="s">
        <v>33</v>
      </c>
      <c r="E231" s="2">
        <v>896</v>
      </c>
      <c r="F231" t="s">
        <v>41</v>
      </c>
      <c r="G231">
        <v>18</v>
      </c>
      <c r="H231" t="str">
        <f t="shared" si="3"/>
        <v>11-20 km</v>
      </c>
      <c r="I231">
        <v>1</v>
      </c>
      <c r="J231" t="str" cm="1">
        <f t="array" ref="J231">_xlfn.IFS(I231=1,"Below College",I231=2,"College",I231=3,"Bachelor",I231=4,"Master",I231=5,"Doctor")</f>
        <v>Below College</v>
      </c>
      <c r="K231" t="s">
        <v>47</v>
      </c>
      <c r="L231">
        <v>315</v>
      </c>
      <c r="M231">
        <v>3</v>
      </c>
      <c r="N231" t="str" cm="1">
        <f t="array" ref="N231">_xlfn.IFS(M231=1,"Low",M231=2,"Medium",M231=3,"High",M231=4,"Very High")</f>
        <v>High</v>
      </c>
      <c r="O231" t="s">
        <v>42</v>
      </c>
      <c r="P231" s="2">
        <v>86</v>
      </c>
      <c r="Q231">
        <v>2</v>
      </c>
      <c r="R231" t="str" cm="1">
        <f t="array" ref="R231">_xlfn.IFS(Q231=1,"Low",Q231=2,"Medium",Q231=3,"High",Q231=4,"Very High")</f>
        <v>Medium</v>
      </c>
      <c r="S231">
        <v>1</v>
      </c>
      <c r="T231" t="str" cm="1">
        <f t="array" ref="T231">_xlfn.IFS(S231=1,"Entry Level",S231=2,"Junior",S231=3,"Mid-Level",S231=4,"Senior",S231=5,"Executive")</f>
        <v>Entry Level</v>
      </c>
      <c r="U231" t="s">
        <v>43</v>
      </c>
      <c r="V231">
        <v>4</v>
      </c>
      <c r="W231" t="str" cm="1">
        <f t="array" ref="W231">_xlfn.IFS(V231=1,"Low",V231=2,"Medium",V231=3,"High",V231=4,"Very High")</f>
        <v>Very High</v>
      </c>
      <c r="X231" t="s">
        <v>38</v>
      </c>
      <c r="Y231" s="2">
        <v>2389</v>
      </c>
      <c r="Z231" s="2">
        <v>14961</v>
      </c>
      <c r="AA231">
        <v>1</v>
      </c>
      <c r="AB231" t="s">
        <v>32</v>
      </c>
      <c r="AC231">
        <v>13</v>
      </c>
      <c r="AD231">
        <v>3</v>
      </c>
      <c r="AE231" t="str" cm="1">
        <f t="array" ref="AE231">_xlfn.IFS(AD231=1,"Low",AD231=2,"Good",AD231=3,"Excellent",AD231=4,"Outstanding")</f>
        <v>Excellent</v>
      </c>
      <c r="AF231">
        <v>3</v>
      </c>
      <c r="AG231" t="str" cm="1">
        <f t="array" ref="AG231">_xlfn.IFS(AF231=1,"Low",AF231=2,"Medium",AF231=3,"High",AF231=4,"Very High")</f>
        <v>High</v>
      </c>
      <c r="AH231">
        <v>0</v>
      </c>
      <c r="AI231">
        <v>4</v>
      </c>
      <c r="AJ231">
        <v>3</v>
      </c>
      <c r="AK231">
        <v>2</v>
      </c>
      <c r="AL231" t="str" cm="1">
        <f t="array" ref="AL231">_xlfn.IFS(AK231=1,"Low",AK231=2,"Medium",AK231=3,"High",AK231=4,"Very High")</f>
        <v>Medium</v>
      </c>
      <c r="AM231">
        <v>4</v>
      </c>
      <c r="AN231">
        <v>3</v>
      </c>
      <c r="AO231">
        <v>0</v>
      </c>
      <c r="AP231">
        <v>1</v>
      </c>
    </row>
    <row r="232" spans="1:42">
      <c r="A232">
        <v>52</v>
      </c>
      <c r="B232" t="str" cm="1">
        <f t="array" ref="B232">_xlfn.IFS(A232&lt;=25,"18-25",A232&lt;=35,"26-35",A232&lt;=45,"36-45",A232&lt;=55,"46-55",A232&gt;55,"56+")</f>
        <v>46-55</v>
      </c>
      <c r="C232" t="s">
        <v>39</v>
      </c>
      <c r="D232" t="s">
        <v>33</v>
      </c>
      <c r="E232" s="2">
        <v>1323</v>
      </c>
      <c r="F232" t="s">
        <v>41</v>
      </c>
      <c r="G232">
        <v>2</v>
      </c>
      <c r="H232" t="str">
        <f t="shared" si="3"/>
        <v>1-10 km</v>
      </c>
      <c r="I232">
        <v>3</v>
      </c>
      <c r="J232" t="str" cm="1">
        <f t="array" ref="J232">_xlfn.IFS(I232=1,"Below College",I232=2,"College",I232=3,"Bachelor",I232=4,"Master",I232=5,"Doctor")</f>
        <v>Bachelor</v>
      </c>
      <c r="K232" t="s">
        <v>35</v>
      </c>
      <c r="L232">
        <v>316</v>
      </c>
      <c r="M232">
        <v>3</v>
      </c>
      <c r="N232" t="str" cm="1">
        <f t="array" ref="N232">_xlfn.IFS(M232=1,"Low",M232=2,"Medium",M232=3,"High",M232=4,"Very High")</f>
        <v>High</v>
      </c>
      <c r="O232" t="s">
        <v>36</v>
      </c>
      <c r="P232" s="2">
        <v>89</v>
      </c>
      <c r="Q232">
        <v>2</v>
      </c>
      <c r="R232" t="str" cm="1">
        <f t="array" ref="R232">_xlfn.IFS(Q232=1,"Low",Q232=2,"Medium",Q232=3,"High",Q232=4,"Very High")</f>
        <v>Medium</v>
      </c>
      <c r="S232">
        <v>1</v>
      </c>
      <c r="T232" t="str" cm="1">
        <f t="array" ref="T232">_xlfn.IFS(S232=1,"Entry Level",S232=2,"Junior",S232=3,"Mid-Level",S232=4,"Senior",S232=5,"Executive")</f>
        <v>Entry Level</v>
      </c>
      <c r="U232" t="s">
        <v>46</v>
      </c>
      <c r="V232">
        <v>4</v>
      </c>
      <c r="W232" t="str" cm="1">
        <f t="array" ref="W232">_xlfn.IFS(V232=1,"Low",V232=2,"Medium",V232=3,"High",V232=4,"Very High")</f>
        <v>Very High</v>
      </c>
      <c r="X232" t="s">
        <v>38</v>
      </c>
      <c r="Y232" s="2">
        <v>3212</v>
      </c>
      <c r="Z232" s="2">
        <v>3300</v>
      </c>
      <c r="AA232">
        <v>7</v>
      </c>
      <c r="AB232" t="s">
        <v>39</v>
      </c>
      <c r="AC232">
        <v>15</v>
      </c>
      <c r="AD232">
        <v>3</v>
      </c>
      <c r="AE232" t="str" cm="1">
        <f t="array" ref="AE232">_xlfn.IFS(AD232=1,"Low",AD232=2,"Good",AD232=3,"Excellent",AD232=4,"Outstanding")</f>
        <v>Excellent</v>
      </c>
      <c r="AF232">
        <v>2</v>
      </c>
      <c r="AG232" t="str" cm="1">
        <f t="array" ref="AG232">_xlfn.IFS(AF232=1,"Low",AF232=2,"Medium",AF232=3,"High",AF232=4,"Very High")</f>
        <v>Medium</v>
      </c>
      <c r="AH232">
        <v>0</v>
      </c>
      <c r="AI232">
        <v>6</v>
      </c>
      <c r="AJ232">
        <v>3</v>
      </c>
      <c r="AK232">
        <v>2</v>
      </c>
      <c r="AL232" t="str" cm="1">
        <f t="array" ref="AL232">_xlfn.IFS(AK232=1,"Low",AK232=2,"Medium",AK232=3,"High",AK232=4,"Very High")</f>
        <v>Medium</v>
      </c>
      <c r="AM232">
        <v>2</v>
      </c>
      <c r="AN232">
        <v>2</v>
      </c>
      <c r="AO232">
        <v>2</v>
      </c>
      <c r="AP232">
        <v>2</v>
      </c>
    </row>
    <row r="233" spans="1:42">
      <c r="A233">
        <v>42</v>
      </c>
      <c r="B233" t="str" cm="1">
        <f t="array" ref="B233">_xlfn.IFS(A233&lt;=25,"18-25",A233&lt;=35,"26-35",A233&lt;=45,"36-45",A233&lt;=55,"46-55",A233&gt;55,"56+")</f>
        <v>36-45</v>
      </c>
      <c r="C233" t="s">
        <v>39</v>
      </c>
      <c r="D233" t="s">
        <v>33</v>
      </c>
      <c r="E233" s="2">
        <v>532</v>
      </c>
      <c r="F233" t="s">
        <v>41</v>
      </c>
      <c r="G233">
        <v>4</v>
      </c>
      <c r="H233" t="str">
        <f t="shared" si="3"/>
        <v>1-10 km</v>
      </c>
      <c r="I233">
        <v>2</v>
      </c>
      <c r="J233" t="str" cm="1">
        <f t="array" ref="J233">_xlfn.IFS(I233=1,"Below College",I233=2,"College",I233=3,"Bachelor",I233=4,"Master",I233=5,"Doctor")</f>
        <v>College</v>
      </c>
      <c r="K233" t="s">
        <v>56</v>
      </c>
      <c r="L233">
        <v>319</v>
      </c>
      <c r="M233">
        <v>3</v>
      </c>
      <c r="N233" t="str" cm="1">
        <f t="array" ref="N233">_xlfn.IFS(M233=1,"Low",M233=2,"Medium",M233=3,"High",M233=4,"Very High")</f>
        <v>High</v>
      </c>
      <c r="O233" t="s">
        <v>42</v>
      </c>
      <c r="P233" s="2">
        <v>58</v>
      </c>
      <c r="Q233">
        <v>3</v>
      </c>
      <c r="R233" t="str" cm="1">
        <f t="array" ref="R233">_xlfn.IFS(Q233=1,"Low",Q233=2,"Medium",Q233=3,"High",Q233=4,"Very High")</f>
        <v>High</v>
      </c>
      <c r="S233">
        <v>5</v>
      </c>
      <c r="T233" t="str" cm="1">
        <f t="array" ref="T233">_xlfn.IFS(S233=1,"Entry Level",S233=2,"Junior",S233=3,"Mid-Level",S233=4,"Senior",S233=5,"Executive")</f>
        <v>Executive</v>
      </c>
      <c r="U233" t="s">
        <v>52</v>
      </c>
      <c r="V233">
        <v>4</v>
      </c>
      <c r="W233" t="str" cm="1">
        <f t="array" ref="W233">_xlfn.IFS(V233=1,"Low",V233=2,"Medium",V233=3,"High",V233=4,"Very High")</f>
        <v>Very High</v>
      </c>
      <c r="X233" t="s">
        <v>44</v>
      </c>
      <c r="Y233" s="2">
        <v>19232</v>
      </c>
      <c r="Z233" s="2">
        <v>4933</v>
      </c>
      <c r="AA233">
        <v>1</v>
      </c>
      <c r="AB233" t="s">
        <v>39</v>
      </c>
      <c r="AC233">
        <v>11</v>
      </c>
      <c r="AD233">
        <v>3</v>
      </c>
      <c r="AE233" t="str" cm="1">
        <f t="array" ref="AE233">_xlfn.IFS(AD233=1,"Low",AD233=2,"Good",AD233=3,"Excellent",AD233=4,"Outstanding")</f>
        <v>Excellent</v>
      </c>
      <c r="AF233">
        <v>4</v>
      </c>
      <c r="AG233" t="str" cm="1">
        <f t="array" ref="AG233">_xlfn.IFS(AF233=1,"Low",AF233=2,"Medium",AF233=3,"High",AF233=4,"Very High")</f>
        <v>Very High</v>
      </c>
      <c r="AH233">
        <v>0</v>
      </c>
      <c r="AI233">
        <v>22</v>
      </c>
      <c r="AJ233">
        <v>3</v>
      </c>
      <c r="AK233">
        <v>3</v>
      </c>
      <c r="AL233" t="str" cm="1">
        <f t="array" ref="AL233">_xlfn.IFS(AK233=1,"Low",AK233=2,"Medium",AK233=3,"High",AK233=4,"Very High")</f>
        <v>High</v>
      </c>
      <c r="AM233">
        <v>22</v>
      </c>
      <c r="AN233">
        <v>17</v>
      </c>
      <c r="AO233">
        <v>11</v>
      </c>
      <c r="AP233">
        <v>15</v>
      </c>
    </row>
    <row r="234" spans="1:42">
      <c r="A234">
        <v>59</v>
      </c>
      <c r="B234" t="str" cm="1">
        <f t="array" ref="B234">_xlfn.IFS(A234&lt;=25,"18-25",A234&lt;=35,"26-35",A234&lt;=45,"36-45",A234&lt;=55,"46-55",A234&gt;55,"56+")</f>
        <v>56+</v>
      </c>
      <c r="C234" t="s">
        <v>39</v>
      </c>
      <c r="D234" t="s">
        <v>33</v>
      </c>
      <c r="E234" s="2">
        <v>818</v>
      </c>
      <c r="F234" t="s">
        <v>57</v>
      </c>
      <c r="G234">
        <v>6</v>
      </c>
      <c r="H234" t="str">
        <f t="shared" si="3"/>
        <v>1-10 km</v>
      </c>
      <c r="I234">
        <v>2</v>
      </c>
      <c r="J234" t="str" cm="1">
        <f t="array" ref="J234">_xlfn.IFS(I234=1,"Below College",I234=2,"College",I234=3,"Bachelor",I234=4,"Master",I234=5,"Doctor")</f>
        <v>College</v>
      </c>
      <c r="K234" t="s">
        <v>47</v>
      </c>
      <c r="L234">
        <v>321</v>
      </c>
      <c r="M234">
        <v>2</v>
      </c>
      <c r="N234" t="str" cm="1">
        <f t="array" ref="N234">_xlfn.IFS(M234=1,"Low",M234=2,"Medium",M234=3,"High",M234=4,"Very High")</f>
        <v>Medium</v>
      </c>
      <c r="O234" t="s">
        <v>42</v>
      </c>
      <c r="P234" s="2">
        <v>52</v>
      </c>
      <c r="Q234">
        <v>3</v>
      </c>
      <c r="R234" t="str" cm="1">
        <f t="array" ref="R234">_xlfn.IFS(Q234=1,"Low",Q234=2,"Medium",Q234=3,"High",Q234=4,"Very High")</f>
        <v>High</v>
      </c>
      <c r="S234">
        <v>1</v>
      </c>
      <c r="T234" t="str" cm="1">
        <f t="array" ref="T234">_xlfn.IFS(S234=1,"Entry Level",S234=2,"Junior",S234=3,"Mid-Level",S234=4,"Senior",S234=5,"Executive")</f>
        <v>Entry Level</v>
      </c>
      <c r="U234" t="s">
        <v>57</v>
      </c>
      <c r="V234">
        <v>3</v>
      </c>
      <c r="W234" t="str" cm="1">
        <f t="array" ref="W234">_xlfn.IFS(V234=1,"Low",V234=2,"Medium",V234=3,"High",V234=4,"Very High")</f>
        <v>High</v>
      </c>
      <c r="X234" t="s">
        <v>44</v>
      </c>
      <c r="Y234" s="2">
        <v>2267</v>
      </c>
      <c r="Z234" s="2">
        <v>25657</v>
      </c>
      <c r="AA234">
        <v>8</v>
      </c>
      <c r="AB234" t="s">
        <v>39</v>
      </c>
      <c r="AC234">
        <v>17</v>
      </c>
      <c r="AD234">
        <v>3</v>
      </c>
      <c r="AE234" t="str" cm="1">
        <f t="array" ref="AE234">_xlfn.IFS(AD234=1,"Low",AD234=2,"Good",AD234=3,"Excellent",AD234=4,"Outstanding")</f>
        <v>Excellent</v>
      </c>
      <c r="AF234">
        <v>4</v>
      </c>
      <c r="AG234" t="str" cm="1">
        <f t="array" ref="AG234">_xlfn.IFS(AF234=1,"Low",AF234=2,"Medium",AF234=3,"High",AF234=4,"Very High")</f>
        <v>Very High</v>
      </c>
      <c r="AH234">
        <v>0</v>
      </c>
      <c r="AI234">
        <v>7</v>
      </c>
      <c r="AJ234">
        <v>2</v>
      </c>
      <c r="AK234">
        <v>2</v>
      </c>
      <c r="AL234" t="str" cm="1">
        <f t="array" ref="AL234">_xlfn.IFS(AK234=1,"Low",AK234=2,"Medium",AK234=3,"High",AK234=4,"Very High")</f>
        <v>Medium</v>
      </c>
      <c r="AM234">
        <v>2</v>
      </c>
      <c r="AN234">
        <v>2</v>
      </c>
      <c r="AO234">
        <v>2</v>
      </c>
      <c r="AP234">
        <v>2</v>
      </c>
    </row>
    <row r="235" spans="1:42">
      <c r="A235">
        <v>50</v>
      </c>
      <c r="B235" t="str" cm="1">
        <f t="array" ref="B235">_xlfn.IFS(A235&lt;=25,"18-25",A235&lt;=35,"26-35",A235&lt;=45,"36-45",A235&lt;=55,"46-55",A235&gt;55,"56+")</f>
        <v>46-55</v>
      </c>
      <c r="C235" t="s">
        <v>39</v>
      </c>
      <c r="D235" t="s">
        <v>33</v>
      </c>
      <c r="E235" s="2">
        <v>854</v>
      </c>
      <c r="F235" t="s">
        <v>34</v>
      </c>
      <c r="G235">
        <v>1</v>
      </c>
      <c r="H235" t="str">
        <f t="shared" si="3"/>
        <v>1-10 km</v>
      </c>
      <c r="I235">
        <v>4</v>
      </c>
      <c r="J235" t="str" cm="1">
        <f t="array" ref="J235">_xlfn.IFS(I235=1,"Below College",I235=2,"College",I235=3,"Bachelor",I235=4,"Master",I235=5,"Doctor")</f>
        <v>Master</v>
      </c>
      <c r="K235" t="s">
        <v>47</v>
      </c>
      <c r="L235">
        <v>323</v>
      </c>
      <c r="M235">
        <v>4</v>
      </c>
      <c r="N235" t="str" cm="1">
        <f t="array" ref="N235">_xlfn.IFS(M235=1,"Low",M235=2,"Medium",M235=3,"High",M235=4,"Very High")</f>
        <v>Very High</v>
      </c>
      <c r="O235" t="s">
        <v>36</v>
      </c>
      <c r="P235" s="2">
        <v>68</v>
      </c>
      <c r="Q235">
        <v>3</v>
      </c>
      <c r="R235" t="str" cm="1">
        <f t="array" ref="R235">_xlfn.IFS(Q235=1,"Low",Q235=2,"Medium",Q235=3,"High",Q235=4,"Very High")</f>
        <v>High</v>
      </c>
      <c r="S235">
        <v>5</v>
      </c>
      <c r="T235" t="str" cm="1">
        <f t="array" ref="T235">_xlfn.IFS(S235=1,"Entry Level",S235=2,"Junior",S235=3,"Mid-Level",S235=4,"Senior",S235=5,"Executive")</f>
        <v>Executive</v>
      </c>
      <c r="U235" t="s">
        <v>52</v>
      </c>
      <c r="V235">
        <v>4</v>
      </c>
      <c r="W235" t="str" cm="1">
        <f t="array" ref="W235">_xlfn.IFS(V235=1,"Low",V235=2,"Medium",V235=3,"High",V235=4,"Very High")</f>
        <v>Very High</v>
      </c>
      <c r="X235" t="s">
        <v>48</v>
      </c>
      <c r="Y235" s="2">
        <v>19517</v>
      </c>
      <c r="Z235" s="2">
        <v>24118</v>
      </c>
      <c r="AA235">
        <v>3</v>
      </c>
      <c r="AB235" t="s">
        <v>39</v>
      </c>
      <c r="AC235">
        <v>11</v>
      </c>
      <c r="AD235">
        <v>3</v>
      </c>
      <c r="AE235" t="str" cm="1">
        <f t="array" ref="AE235">_xlfn.IFS(AD235=1,"Low",AD235=2,"Good",AD235=3,"Excellent",AD235=4,"Outstanding")</f>
        <v>Excellent</v>
      </c>
      <c r="AF235">
        <v>3</v>
      </c>
      <c r="AG235" t="str" cm="1">
        <f t="array" ref="AG235">_xlfn.IFS(AF235=1,"Low",AF235=2,"Medium",AF235=3,"High",AF235=4,"Very High")</f>
        <v>High</v>
      </c>
      <c r="AH235">
        <v>1</v>
      </c>
      <c r="AI235">
        <v>32</v>
      </c>
      <c r="AJ235">
        <v>3</v>
      </c>
      <c r="AK235">
        <v>2</v>
      </c>
      <c r="AL235" t="str" cm="1">
        <f t="array" ref="AL235">_xlfn.IFS(AK235=1,"Low",AK235=2,"Medium",AK235=3,"High",AK235=4,"Very High")</f>
        <v>Medium</v>
      </c>
      <c r="AM235">
        <v>7</v>
      </c>
      <c r="AN235">
        <v>0</v>
      </c>
      <c r="AO235">
        <v>0</v>
      </c>
      <c r="AP235">
        <v>6</v>
      </c>
    </row>
    <row r="236" spans="1:42">
      <c r="A236">
        <v>33</v>
      </c>
      <c r="B236" t="str" cm="1">
        <f t="array" ref="B236">_xlfn.IFS(A236&lt;=25,"18-25",A236&lt;=35,"26-35",A236&lt;=45,"36-45",A236&lt;=55,"46-55",A236&gt;55,"56+")</f>
        <v>26-35</v>
      </c>
      <c r="C236" t="s">
        <v>32</v>
      </c>
      <c r="D236" t="s">
        <v>33</v>
      </c>
      <c r="E236" s="2">
        <v>813</v>
      </c>
      <c r="F236" t="s">
        <v>41</v>
      </c>
      <c r="G236">
        <v>14</v>
      </c>
      <c r="H236" t="str">
        <f t="shared" si="3"/>
        <v>11-20 km</v>
      </c>
      <c r="I236">
        <v>3</v>
      </c>
      <c r="J236" t="str" cm="1">
        <f t="array" ref="J236">_xlfn.IFS(I236=1,"Below College",I236=2,"College",I236=3,"Bachelor",I236=4,"Master",I236=5,"Doctor")</f>
        <v>Bachelor</v>
      </c>
      <c r="K236" t="s">
        <v>47</v>
      </c>
      <c r="L236">
        <v>325</v>
      </c>
      <c r="M236">
        <v>3</v>
      </c>
      <c r="N236" t="str" cm="1">
        <f t="array" ref="N236">_xlfn.IFS(M236=1,"Low",M236=2,"Medium",M236=3,"High",M236=4,"Very High")</f>
        <v>High</v>
      </c>
      <c r="O236" t="s">
        <v>42</v>
      </c>
      <c r="P236" s="2">
        <v>58</v>
      </c>
      <c r="Q236">
        <v>3</v>
      </c>
      <c r="R236" t="str" cm="1">
        <f t="array" ref="R236">_xlfn.IFS(Q236=1,"Low",Q236=2,"Medium",Q236=3,"High",Q236=4,"Very High")</f>
        <v>High</v>
      </c>
      <c r="S236">
        <v>1</v>
      </c>
      <c r="T236" t="str" cm="1">
        <f t="array" ref="T236">_xlfn.IFS(S236=1,"Entry Level",S236=2,"Junior",S236=3,"Mid-Level",S236=4,"Senior",S236=5,"Executive")</f>
        <v>Entry Level</v>
      </c>
      <c r="U236" t="s">
        <v>46</v>
      </c>
      <c r="V236">
        <v>4</v>
      </c>
      <c r="W236" t="str" cm="1">
        <f t="array" ref="W236">_xlfn.IFS(V236=1,"Low",V236=2,"Medium",V236=3,"High",V236=4,"Very High")</f>
        <v>Very High</v>
      </c>
      <c r="X236" t="s">
        <v>44</v>
      </c>
      <c r="Y236" s="2">
        <v>2436</v>
      </c>
      <c r="Z236" s="2">
        <v>22149</v>
      </c>
      <c r="AA236">
        <v>5</v>
      </c>
      <c r="AB236" t="s">
        <v>32</v>
      </c>
      <c r="AC236">
        <v>13</v>
      </c>
      <c r="AD236">
        <v>3</v>
      </c>
      <c r="AE236" t="str" cm="1">
        <f t="array" ref="AE236">_xlfn.IFS(AD236=1,"Low",AD236=2,"Good",AD236=3,"Excellent",AD236=4,"Outstanding")</f>
        <v>Excellent</v>
      </c>
      <c r="AF236">
        <v>3</v>
      </c>
      <c r="AG236" t="str" cm="1">
        <f t="array" ref="AG236">_xlfn.IFS(AF236=1,"Low",AF236=2,"Medium",AF236=3,"High",AF236=4,"Very High")</f>
        <v>High</v>
      </c>
      <c r="AH236">
        <v>1</v>
      </c>
      <c r="AI236">
        <v>8</v>
      </c>
      <c r="AJ236">
        <v>2</v>
      </c>
      <c r="AK236">
        <v>1</v>
      </c>
      <c r="AL236" t="str" cm="1">
        <f t="array" ref="AL236">_xlfn.IFS(AK236=1,"Low",AK236=2,"Medium",AK236=3,"High",AK236=4,"Very High")</f>
        <v>Low</v>
      </c>
      <c r="AM236">
        <v>5</v>
      </c>
      <c r="AN236">
        <v>4</v>
      </c>
      <c r="AO236">
        <v>0</v>
      </c>
      <c r="AP236">
        <v>4</v>
      </c>
    </row>
    <row r="237" spans="1:42">
      <c r="A237">
        <v>43</v>
      </c>
      <c r="B237" t="str" cm="1">
        <f t="array" ref="B237">_xlfn.IFS(A237&lt;=25,"18-25",A237&lt;=35,"26-35",A237&lt;=45,"36-45",A237&lt;=55,"46-55",A237&gt;55,"56+")</f>
        <v>36-45</v>
      </c>
      <c r="C237" t="s">
        <v>39</v>
      </c>
      <c r="D237" t="s">
        <v>33</v>
      </c>
      <c r="E237" s="2">
        <v>1034</v>
      </c>
      <c r="F237" t="s">
        <v>34</v>
      </c>
      <c r="G237">
        <v>16</v>
      </c>
      <c r="H237" t="str">
        <f t="shared" si="3"/>
        <v>11-20 km</v>
      </c>
      <c r="I237">
        <v>3</v>
      </c>
      <c r="J237" t="str" cm="1">
        <f t="array" ref="J237">_xlfn.IFS(I237=1,"Below College",I237=2,"College",I237=3,"Bachelor",I237=4,"Master",I237=5,"Doctor")</f>
        <v>Bachelor</v>
      </c>
      <c r="K237" t="s">
        <v>55</v>
      </c>
      <c r="L237">
        <v>327</v>
      </c>
      <c r="M237">
        <v>4</v>
      </c>
      <c r="N237" t="str" cm="1">
        <f t="array" ref="N237">_xlfn.IFS(M237=1,"Low",M237=2,"Medium",M237=3,"High",M237=4,"Very High")</f>
        <v>Very High</v>
      </c>
      <c r="O237" t="s">
        <v>36</v>
      </c>
      <c r="P237" s="2">
        <v>80</v>
      </c>
      <c r="Q237">
        <v>3</v>
      </c>
      <c r="R237" t="str" cm="1">
        <f t="array" ref="R237">_xlfn.IFS(Q237=1,"Low",Q237=2,"Medium",Q237=3,"High",Q237=4,"Very High")</f>
        <v>High</v>
      </c>
      <c r="S237">
        <v>4</v>
      </c>
      <c r="T237" t="str" cm="1">
        <f t="array" ref="T237">_xlfn.IFS(S237=1,"Entry Level",S237=2,"Junior",S237=3,"Mid-Level",S237=4,"Senior",S237=5,"Executive")</f>
        <v>Senior</v>
      </c>
      <c r="U237" t="s">
        <v>52</v>
      </c>
      <c r="V237">
        <v>4</v>
      </c>
      <c r="W237" t="str" cm="1">
        <f t="array" ref="W237">_xlfn.IFS(V237=1,"Low",V237=2,"Medium",V237=3,"High",V237=4,"Very High")</f>
        <v>Very High</v>
      </c>
      <c r="X237" t="s">
        <v>44</v>
      </c>
      <c r="Y237" s="2">
        <v>16064</v>
      </c>
      <c r="Z237" s="2">
        <v>7744</v>
      </c>
      <c r="AA237">
        <v>5</v>
      </c>
      <c r="AB237" t="s">
        <v>32</v>
      </c>
      <c r="AC237">
        <v>22</v>
      </c>
      <c r="AD237">
        <v>4</v>
      </c>
      <c r="AE237" t="str" cm="1">
        <f t="array" ref="AE237">_xlfn.IFS(AD237=1,"Low",AD237=2,"Good",AD237=3,"Excellent",AD237=4,"Outstanding")</f>
        <v>Outstanding</v>
      </c>
      <c r="AF237">
        <v>3</v>
      </c>
      <c r="AG237" t="str" cm="1">
        <f t="array" ref="AG237">_xlfn.IFS(AF237=1,"Low",AF237=2,"Medium",AF237=3,"High",AF237=4,"Very High")</f>
        <v>High</v>
      </c>
      <c r="AH237">
        <v>1</v>
      </c>
      <c r="AI237">
        <v>22</v>
      </c>
      <c r="AJ237">
        <v>3</v>
      </c>
      <c r="AK237">
        <v>3</v>
      </c>
      <c r="AL237" t="str" cm="1">
        <f t="array" ref="AL237">_xlfn.IFS(AK237=1,"Low",AK237=2,"Medium",AK237=3,"High",AK237=4,"Very High")</f>
        <v>High</v>
      </c>
      <c r="AM237">
        <v>17</v>
      </c>
      <c r="AN237">
        <v>13</v>
      </c>
      <c r="AO237">
        <v>1</v>
      </c>
      <c r="AP237">
        <v>9</v>
      </c>
    </row>
    <row r="238" spans="1:42">
      <c r="A238">
        <v>33</v>
      </c>
      <c r="B238" t="str" cm="1">
        <f t="array" ref="B238">_xlfn.IFS(A238&lt;=25,"18-25",A238&lt;=35,"26-35",A238&lt;=45,"36-45",A238&lt;=55,"46-55",A238&gt;55,"56+")</f>
        <v>26-35</v>
      </c>
      <c r="C238" t="s">
        <v>32</v>
      </c>
      <c r="D238" t="s">
        <v>33</v>
      </c>
      <c r="E238" s="2">
        <v>465</v>
      </c>
      <c r="F238" t="s">
        <v>41</v>
      </c>
      <c r="G238">
        <v>2</v>
      </c>
      <c r="H238" t="str">
        <f t="shared" si="3"/>
        <v>1-10 km</v>
      </c>
      <c r="I238">
        <v>2</v>
      </c>
      <c r="J238" t="str" cm="1">
        <f t="array" ref="J238">_xlfn.IFS(I238=1,"Below College",I238=2,"College",I238=3,"Bachelor",I238=4,"Master",I238=5,"Doctor")</f>
        <v>College</v>
      </c>
      <c r="K238" t="s">
        <v>35</v>
      </c>
      <c r="L238">
        <v>328</v>
      </c>
      <c r="M238">
        <v>1</v>
      </c>
      <c r="N238" t="str" cm="1">
        <f t="array" ref="N238">_xlfn.IFS(M238=1,"Low",M238=2,"Medium",M238=3,"High",M238=4,"Very High")</f>
        <v>Low</v>
      </c>
      <c r="O238" t="s">
        <v>36</v>
      </c>
      <c r="P238" s="2">
        <v>39</v>
      </c>
      <c r="Q238">
        <v>3</v>
      </c>
      <c r="R238" t="str" cm="1">
        <f t="array" ref="R238">_xlfn.IFS(Q238=1,"Low",Q238=2,"Medium",Q238=3,"High",Q238=4,"Very High")</f>
        <v>High</v>
      </c>
      <c r="S238">
        <v>1</v>
      </c>
      <c r="T238" t="str" cm="1">
        <f t="array" ref="T238">_xlfn.IFS(S238=1,"Entry Level",S238=2,"Junior",S238=3,"Mid-Level",S238=4,"Senior",S238=5,"Executive")</f>
        <v>Entry Level</v>
      </c>
      <c r="U238" t="s">
        <v>46</v>
      </c>
      <c r="V238">
        <v>1</v>
      </c>
      <c r="W238" t="str" cm="1">
        <f t="array" ref="W238">_xlfn.IFS(V238=1,"Low",V238=2,"Medium",V238=3,"High",V238=4,"Very High")</f>
        <v>Low</v>
      </c>
      <c r="X238" t="s">
        <v>44</v>
      </c>
      <c r="Y238" s="2">
        <v>2707</v>
      </c>
      <c r="Z238" s="2">
        <v>21509</v>
      </c>
      <c r="AA238">
        <v>7</v>
      </c>
      <c r="AB238" t="s">
        <v>39</v>
      </c>
      <c r="AC238">
        <v>20</v>
      </c>
      <c r="AD238">
        <v>4</v>
      </c>
      <c r="AE238" t="str" cm="1">
        <f t="array" ref="AE238">_xlfn.IFS(AD238=1,"Low",AD238=2,"Good",AD238=3,"Excellent",AD238=4,"Outstanding")</f>
        <v>Outstanding</v>
      </c>
      <c r="AF238">
        <v>1</v>
      </c>
      <c r="AG238" t="str" cm="1">
        <f t="array" ref="AG238">_xlfn.IFS(AF238=1,"Low",AF238=2,"Medium",AF238=3,"High",AF238=4,"Very High")</f>
        <v>Low</v>
      </c>
      <c r="AH238">
        <v>0</v>
      </c>
      <c r="AI238">
        <v>13</v>
      </c>
      <c r="AJ238">
        <v>3</v>
      </c>
      <c r="AK238">
        <v>4</v>
      </c>
      <c r="AL238" t="str" cm="1">
        <f t="array" ref="AL238">_xlfn.IFS(AK238=1,"Low",AK238=2,"Medium",AK238=3,"High",AK238=4,"Very High")</f>
        <v>Very High</v>
      </c>
      <c r="AM238">
        <v>9</v>
      </c>
      <c r="AN238">
        <v>7</v>
      </c>
      <c r="AO238">
        <v>1</v>
      </c>
      <c r="AP238">
        <v>7</v>
      </c>
    </row>
    <row r="239" spans="1:42">
      <c r="A239">
        <v>52</v>
      </c>
      <c r="B239" t="str" cm="1">
        <f t="array" ref="B239">_xlfn.IFS(A239&lt;=25,"18-25",A239&lt;=35,"26-35",A239&lt;=45,"36-45",A239&lt;=55,"46-55",A239&gt;55,"56+")</f>
        <v>46-55</v>
      </c>
      <c r="C239" t="s">
        <v>39</v>
      </c>
      <c r="D239" t="s">
        <v>51</v>
      </c>
      <c r="E239" s="2">
        <v>771</v>
      </c>
      <c r="F239" t="s">
        <v>34</v>
      </c>
      <c r="G239">
        <v>2</v>
      </c>
      <c r="H239" t="str">
        <f t="shared" si="3"/>
        <v>1-10 km</v>
      </c>
      <c r="I239">
        <v>4</v>
      </c>
      <c r="J239" t="str" cm="1">
        <f t="array" ref="J239">_xlfn.IFS(I239=1,"Below College",I239=2,"College",I239=3,"Bachelor",I239=4,"Master",I239=5,"Doctor")</f>
        <v>Master</v>
      </c>
      <c r="K239" t="s">
        <v>35</v>
      </c>
      <c r="L239">
        <v>329</v>
      </c>
      <c r="M239">
        <v>1</v>
      </c>
      <c r="N239" t="str" cm="1">
        <f t="array" ref="N239">_xlfn.IFS(M239=1,"Low",M239=2,"Medium",M239=3,"High",M239=4,"Very High")</f>
        <v>Low</v>
      </c>
      <c r="O239" t="s">
        <v>42</v>
      </c>
      <c r="P239" s="2">
        <v>79</v>
      </c>
      <c r="Q239">
        <v>2</v>
      </c>
      <c r="R239" t="str" cm="1">
        <f t="array" ref="R239">_xlfn.IFS(Q239=1,"Low",Q239=2,"Medium",Q239=3,"High",Q239=4,"Very High")</f>
        <v>Medium</v>
      </c>
      <c r="S239">
        <v>5</v>
      </c>
      <c r="T239" t="str" cm="1">
        <f t="array" ref="T239">_xlfn.IFS(S239=1,"Entry Level",S239=2,"Junior",S239=3,"Mid-Level",S239=4,"Senior",S239=5,"Executive")</f>
        <v>Executive</v>
      </c>
      <c r="U239" t="s">
        <v>52</v>
      </c>
      <c r="V239">
        <v>3</v>
      </c>
      <c r="W239" t="str" cm="1">
        <f t="array" ref="W239">_xlfn.IFS(V239=1,"Low",V239=2,"Medium",V239=3,"High",V239=4,"Very High")</f>
        <v>High</v>
      </c>
      <c r="X239" t="s">
        <v>38</v>
      </c>
      <c r="Y239" s="2">
        <v>19068</v>
      </c>
      <c r="Z239" s="2">
        <v>21030</v>
      </c>
      <c r="AA239">
        <v>1</v>
      </c>
      <c r="AB239" t="s">
        <v>32</v>
      </c>
      <c r="AC239">
        <v>18</v>
      </c>
      <c r="AD239">
        <v>3</v>
      </c>
      <c r="AE239" t="str" cm="1">
        <f t="array" ref="AE239">_xlfn.IFS(AD239=1,"Low",AD239=2,"Good",AD239=3,"Excellent",AD239=4,"Outstanding")</f>
        <v>Excellent</v>
      </c>
      <c r="AF239">
        <v>4</v>
      </c>
      <c r="AG239" t="str" cm="1">
        <f t="array" ref="AG239">_xlfn.IFS(AF239=1,"Low",AF239=2,"Medium",AF239=3,"High",AF239=4,"Very High")</f>
        <v>Very High</v>
      </c>
      <c r="AH239">
        <v>0</v>
      </c>
      <c r="AI239">
        <v>33</v>
      </c>
      <c r="AJ239">
        <v>2</v>
      </c>
      <c r="AK239">
        <v>4</v>
      </c>
      <c r="AL239" t="str" cm="1">
        <f t="array" ref="AL239">_xlfn.IFS(AK239=1,"Low",AK239=2,"Medium",AK239=3,"High",AK239=4,"Very High")</f>
        <v>Very High</v>
      </c>
      <c r="AM239">
        <v>33</v>
      </c>
      <c r="AN239">
        <v>7</v>
      </c>
      <c r="AO239">
        <v>15</v>
      </c>
      <c r="AP239">
        <v>12</v>
      </c>
    </row>
    <row r="240" spans="1:42">
      <c r="A240">
        <v>32</v>
      </c>
      <c r="B240" t="str" cm="1">
        <f t="array" ref="B240">_xlfn.IFS(A240&lt;=25,"18-25",A240&lt;=35,"26-35",A240&lt;=45,"36-45",A240&lt;=55,"46-55",A240&gt;55,"56+")</f>
        <v>26-35</v>
      </c>
      <c r="C240" t="s">
        <v>39</v>
      </c>
      <c r="D240" t="s">
        <v>33</v>
      </c>
      <c r="E240" s="2">
        <v>1401</v>
      </c>
      <c r="F240" t="s">
        <v>34</v>
      </c>
      <c r="G240">
        <v>4</v>
      </c>
      <c r="H240" t="str">
        <f t="shared" si="3"/>
        <v>1-10 km</v>
      </c>
      <c r="I240">
        <v>2</v>
      </c>
      <c r="J240" t="str" cm="1">
        <f t="array" ref="J240">_xlfn.IFS(I240=1,"Below College",I240=2,"College",I240=3,"Bachelor",I240=4,"Master",I240=5,"Doctor")</f>
        <v>College</v>
      </c>
      <c r="K240" t="s">
        <v>35</v>
      </c>
      <c r="L240">
        <v>330</v>
      </c>
      <c r="M240">
        <v>3</v>
      </c>
      <c r="N240" t="str" cm="1">
        <f t="array" ref="N240">_xlfn.IFS(M240=1,"Low",M240=2,"Medium",M240=3,"High",M240=4,"Very High")</f>
        <v>High</v>
      </c>
      <c r="O240" t="s">
        <v>36</v>
      </c>
      <c r="P240" s="2">
        <v>56</v>
      </c>
      <c r="Q240">
        <v>3</v>
      </c>
      <c r="R240" t="str" cm="1">
        <f t="array" ref="R240">_xlfn.IFS(Q240=1,"Low",Q240=2,"Medium",Q240=3,"High",Q240=4,"Very High")</f>
        <v>High</v>
      </c>
      <c r="S240">
        <v>1</v>
      </c>
      <c r="T240" t="str" cm="1">
        <f t="array" ref="T240">_xlfn.IFS(S240=1,"Entry Level",S240=2,"Junior",S240=3,"Mid-Level",S240=4,"Senior",S240=5,"Executive")</f>
        <v>Entry Level</v>
      </c>
      <c r="U240" t="s">
        <v>53</v>
      </c>
      <c r="V240">
        <v>2</v>
      </c>
      <c r="W240" t="str" cm="1">
        <f t="array" ref="W240">_xlfn.IFS(V240=1,"Low",V240=2,"Medium",V240=3,"High",V240=4,"Very High")</f>
        <v>Medium</v>
      </c>
      <c r="X240" t="s">
        <v>44</v>
      </c>
      <c r="Y240" s="2">
        <v>3931</v>
      </c>
      <c r="Z240" s="2">
        <v>20990</v>
      </c>
      <c r="AA240">
        <v>2</v>
      </c>
      <c r="AB240" t="s">
        <v>39</v>
      </c>
      <c r="AC240">
        <v>11</v>
      </c>
      <c r="AD240">
        <v>3</v>
      </c>
      <c r="AE240" t="str" cm="1">
        <f t="array" ref="AE240">_xlfn.IFS(AD240=1,"Low",AD240=2,"Good",AD240=3,"Excellent",AD240=4,"Outstanding")</f>
        <v>Excellent</v>
      </c>
      <c r="AF240">
        <v>1</v>
      </c>
      <c r="AG240" t="str" cm="1">
        <f t="array" ref="AG240">_xlfn.IFS(AF240=1,"Low",AF240=2,"Medium",AF240=3,"High",AF240=4,"Very High")</f>
        <v>Low</v>
      </c>
      <c r="AH240">
        <v>1</v>
      </c>
      <c r="AI240">
        <v>6</v>
      </c>
      <c r="AJ240">
        <v>5</v>
      </c>
      <c r="AK240">
        <v>3</v>
      </c>
      <c r="AL240" t="str" cm="1">
        <f t="array" ref="AL240">_xlfn.IFS(AK240=1,"Low",AK240=2,"Medium",AK240=3,"High",AK240=4,"Very High")</f>
        <v>High</v>
      </c>
      <c r="AM240">
        <v>4</v>
      </c>
      <c r="AN240">
        <v>3</v>
      </c>
      <c r="AO240">
        <v>1</v>
      </c>
      <c r="AP240">
        <v>2</v>
      </c>
    </row>
    <row r="241" spans="1:42">
      <c r="A241">
        <v>32</v>
      </c>
      <c r="B241" t="str" cm="1">
        <f t="array" ref="B241">_xlfn.IFS(A241&lt;=25,"18-25",A241&lt;=35,"26-35",A241&lt;=45,"36-45",A241&lt;=55,"46-55",A241&gt;55,"56+")</f>
        <v>26-35</v>
      </c>
      <c r="C241" t="s">
        <v>32</v>
      </c>
      <c r="D241" t="s">
        <v>33</v>
      </c>
      <c r="E241" s="2">
        <v>515</v>
      </c>
      <c r="F241" t="s">
        <v>41</v>
      </c>
      <c r="G241">
        <v>1</v>
      </c>
      <c r="H241" t="str">
        <f t="shared" si="3"/>
        <v>1-10 km</v>
      </c>
      <c r="I241">
        <v>3</v>
      </c>
      <c r="J241" t="str" cm="1">
        <f t="array" ref="J241">_xlfn.IFS(I241=1,"Below College",I241=2,"College",I241=3,"Bachelor",I241=4,"Master",I241=5,"Doctor")</f>
        <v>Bachelor</v>
      </c>
      <c r="K241" t="s">
        <v>35</v>
      </c>
      <c r="L241">
        <v>331</v>
      </c>
      <c r="M241">
        <v>4</v>
      </c>
      <c r="N241" t="str" cm="1">
        <f t="array" ref="N241">_xlfn.IFS(M241=1,"Low",M241=2,"Medium",M241=3,"High",M241=4,"Very High")</f>
        <v>Very High</v>
      </c>
      <c r="O241" t="s">
        <v>42</v>
      </c>
      <c r="P241" s="2">
        <v>62</v>
      </c>
      <c r="Q241">
        <v>2</v>
      </c>
      <c r="R241" t="str" cm="1">
        <f t="array" ref="R241">_xlfn.IFS(Q241=1,"Low",Q241=2,"Medium",Q241=3,"High",Q241=4,"Very High")</f>
        <v>Medium</v>
      </c>
      <c r="S241">
        <v>1</v>
      </c>
      <c r="T241" t="str" cm="1">
        <f t="array" ref="T241">_xlfn.IFS(S241=1,"Entry Level",S241=2,"Junior",S241=3,"Mid-Level",S241=4,"Senior",S241=5,"Executive")</f>
        <v>Entry Level</v>
      </c>
      <c r="U241" t="s">
        <v>46</v>
      </c>
      <c r="V241">
        <v>3</v>
      </c>
      <c r="W241" t="str" cm="1">
        <f t="array" ref="W241">_xlfn.IFS(V241=1,"Low",V241=2,"Medium",V241=3,"High",V241=4,"Very High")</f>
        <v>High</v>
      </c>
      <c r="X241" t="s">
        <v>38</v>
      </c>
      <c r="Y241" s="2">
        <v>3730</v>
      </c>
      <c r="Z241" s="2">
        <v>9571</v>
      </c>
      <c r="AA241">
        <v>0</v>
      </c>
      <c r="AB241" t="s">
        <v>32</v>
      </c>
      <c r="AC241">
        <v>14</v>
      </c>
      <c r="AD241">
        <v>3</v>
      </c>
      <c r="AE241" t="str" cm="1">
        <f t="array" ref="AE241">_xlfn.IFS(AD241=1,"Low",AD241=2,"Good",AD241=3,"Excellent",AD241=4,"Outstanding")</f>
        <v>Excellent</v>
      </c>
      <c r="AF241">
        <v>4</v>
      </c>
      <c r="AG241" t="str" cm="1">
        <f t="array" ref="AG241">_xlfn.IFS(AF241=1,"Low",AF241=2,"Medium",AF241=3,"High",AF241=4,"Very High")</f>
        <v>Very High</v>
      </c>
      <c r="AH241">
        <v>0</v>
      </c>
      <c r="AI241">
        <v>4</v>
      </c>
      <c r="AJ241">
        <v>2</v>
      </c>
      <c r="AK241">
        <v>1</v>
      </c>
      <c r="AL241" t="str" cm="1">
        <f t="array" ref="AL241">_xlfn.IFS(AK241=1,"Low",AK241=2,"Medium",AK241=3,"High",AK241=4,"Very High")</f>
        <v>Low</v>
      </c>
      <c r="AM241">
        <v>3</v>
      </c>
      <c r="AN241">
        <v>2</v>
      </c>
      <c r="AO241">
        <v>1</v>
      </c>
      <c r="AP241">
        <v>2</v>
      </c>
    </row>
    <row r="242" spans="1:42">
      <c r="A242">
        <v>39</v>
      </c>
      <c r="B242" t="str" cm="1">
        <f t="array" ref="B242">_xlfn.IFS(A242&lt;=25,"18-25",A242&lt;=35,"26-35",A242&lt;=45,"36-45",A242&lt;=55,"46-55",A242&gt;55,"56+")</f>
        <v>36-45</v>
      </c>
      <c r="C242" t="s">
        <v>39</v>
      </c>
      <c r="D242" t="s">
        <v>33</v>
      </c>
      <c r="E242" s="2">
        <v>1431</v>
      </c>
      <c r="F242" t="s">
        <v>41</v>
      </c>
      <c r="G242">
        <v>1</v>
      </c>
      <c r="H242" t="str">
        <f t="shared" si="3"/>
        <v>1-10 km</v>
      </c>
      <c r="I242">
        <v>4</v>
      </c>
      <c r="J242" t="str" cm="1">
        <f t="array" ref="J242">_xlfn.IFS(I242=1,"Below College",I242=2,"College",I242=3,"Bachelor",I242=4,"Master",I242=5,"Doctor")</f>
        <v>Master</v>
      </c>
      <c r="K242" t="s">
        <v>47</v>
      </c>
      <c r="L242">
        <v>332</v>
      </c>
      <c r="M242">
        <v>3</v>
      </c>
      <c r="N242" t="str" cm="1">
        <f t="array" ref="N242">_xlfn.IFS(M242=1,"Low",M242=2,"Medium",M242=3,"High",M242=4,"Very High")</f>
        <v>High</v>
      </c>
      <c r="O242" t="s">
        <v>36</v>
      </c>
      <c r="P242" s="2">
        <v>96</v>
      </c>
      <c r="Q242">
        <v>3</v>
      </c>
      <c r="R242" t="str" cm="1">
        <f t="array" ref="R242">_xlfn.IFS(Q242=1,"Low",Q242=2,"Medium",Q242=3,"High",Q242=4,"Very High")</f>
        <v>High</v>
      </c>
      <c r="S242">
        <v>1</v>
      </c>
      <c r="T242" t="str" cm="1">
        <f t="array" ref="T242">_xlfn.IFS(S242=1,"Entry Level",S242=2,"Junior",S242=3,"Mid-Level",S242=4,"Senior",S242=5,"Executive")</f>
        <v>Entry Level</v>
      </c>
      <c r="U242" t="s">
        <v>46</v>
      </c>
      <c r="V242">
        <v>3</v>
      </c>
      <c r="W242" t="str" cm="1">
        <f t="array" ref="W242">_xlfn.IFS(V242=1,"Low",V242=2,"Medium",V242=3,"High",V242=4,"Very High")</f>
        <v>High</v>
      </c>
      <c r="X242" t="s">
        <v>48</v>
      </c>
      <c r="Y242" s="2">
        <v>2232</v>
      </c>
      <c r="Z242" s="2">
        <v>15417</v>
      </c>
      <c r="AA242">
        <v>7</v>
      </c>
      <c r="AB242" t="s">
        <v>39</v>
      </c>
      <c r="AC242">
        <v>14</v>
      </c>
      <c r="AD242">
        <v>3</v>
      </c>
      <c r="AE242" t="str" cm="1">
        <f t="array" ref="AE242">_xlfn.IFS(AD242=1,"Low",AD242=2,"Good",AD242=3,"Excellent",AD242=4,"Outstanding")</f>
        <v>Excellent</v>
      </c>
      <c r="AF242">
        <v>3</v>
      </c>
      <c r="AG242" t="str" cm="1">
        <f t="array" ref="AG242">_xlfn.IFS(AF242=1,"Low",AF242=2,"Medium",AF242=3,"High",AF242=4,"Very High")</f>
        <v>High</v>
      </c>
      <c r="AH242">
        <v>3</v>
      </c>
      <c r="AI242">
        <v>7</v>
      </c>
      <c r="AJ242">
        <v>1</v>
      </c>
      <c r="AK242">
        <v>3</v>
      </c>
      <c r="AL242" t="str" cm="1">
        <f t="array" ref="AL242">_xlfn.IFS(AK242=1,"Low",AK242=2,"Medium",AK242=3,"High",AK242=4,"Very High")</f>
        <v>High</v>
      </c>
      <c r="AM242">
        <v>3</v>
      </c>
      <c r="AN242">
        <v>2</v>
      </c>
      <c r="AO242">
        <v>1</v>
      </c>
      <c r="AP242">
        <v>2</v>
      </c>
    </row>
    <row r="243" spans="1:42">
      <c r="A243">
        <v>32</v>
      </c>
      <c r="B243" t="str" cm="1">
        <f t="array" ref="B243">_xlfn.IFS(A243&lt;=25,"18-25",A243&lt;=35,"26-35",A243&lt;=45,"36-45",A243&lt;=55,"46-55",A243&gt;55,"56+")</f>
        <v>26-35</v>
      </c>
      <c r="C243" t="s">
        <v>39</v>
      </c>
      <c r="D243" t="s">
        <v>51</v>
      </c>
      <c r="E243" s="2">
        <v>976</v>
      </c>
      <c r="F243" t="s">
        <v>34</v>
      </c>
      <c r="G243">
        <v>26</v>
      </c>
      <c r="H243" t="str">
        <f t="shared" si="3"/>
        <v>21-30 km</v>
      </c>
      <c r="I243">
        <v>4</v>
      </c>
      <c r="J243" t="str" cm="1">
        <f t="array" ref="J243">_xlfn.IFS(I243=1,"Below College",I243=2,"College",I243=3,"Bachelor",I243=4,"Master",I243=5,"Doctor")</f>
        <v>Master</v>
      </c>
      <c r="K243" t="s">
        <v>55</v>
      </c>
      <c r="L243">
        <v>333</v>
      </c>
      <c r="M243">
        <v>3</v>
      </c>
      <c r="N243" t="str" cm="1">
        <f t="array" ref="N243">_xlfn.IFS(M243=1,"Low",M243=2,"Medium",M243=3,"High",M243=4,"Very High")</f>
        <v>High</v>
      </c>
      <c r="O243" t="s">
        <v>42</v>
      </c>
      <c r="P243" s="2">
        <v>100</v>
      </c>
      <c r="Q243">
        <v>3</v>
      </c>
      <c r="R243" t="str" cm="1">
        <f t="array" ref="R243">_xlfn.IFS(Q243=1,"Low",Q243=2,"Medium",Q243=3,"High",Q243=4,"Very High")</f>
        <v>High</v>
      </c>
      <c r="S243">
        <v>2</v>
      </c>
      <c r="T243" t="str" cm="1">
        <f t="array" ref="T243">_xlfn.IFS(S243=1,"Entry Level",S243=2,"Junior",S243=3,"Mid-Level",S243=4,"Senior",S243=5,"Executive")</f>
        <v>Junior</v>
      </c>
      <c r="U243" t="s">
        <v>37</v>
      </c>
      <c r="V243">
        <v>4</v>
      </c>
      <c r="W243" t="str" cm="1">
        <f t="array" ref="W243">_xlfn.IFS(V243=1,"Low",V243=2,"Medium",V243=3,"High",V243=4,"Very High")</f>
        <v>Very High</v>
      </c>
      <c r="X243" t="s">
        <v>44</v>
      </c>
      <c r="Y243" s="2">
        <v>4465</v>
      </c>
      <c r="Z243" s="2">
        <v>12069</v>
      </c>
      <c r="AA243">
        <v>0</v>
      </c>
      <c r="AB243" t="s">
        <v>39</v>
      </c>
      <c r="AC243">
        <v>18</v>
      </c>
      <c r="AD243">
        <v>3</v>
      </c>
      <c r="AE243" t="str" cm="1">
        <f t="array" ref="AE243">_xlfn.IFS(AD243=1,"Low",AD243=2,"Good",AD243=3,"Excellent",AD243=4,"Outstanding")</f>
        <v>Excellent</v>
      </c>
      <c r="AF243">
        <v>1</v>
      </c>
      <c r="AG243" t="str" cm="1">
        <f t="array" ref="AG243">_xlfn.IFS(AF243=1,"Low",AF243=2,"Medium",AF243=3,"High",AF243=4,"Very High")</f>
        <v>Low</v>
      </c>
      <c r="AH243">
        <v>0</v>
      </c>
      <c r="AI243">
        <v>4</v>
      </c>
      <c r="AJ243">
        <v>2</v>
      </c>
      <c r="AK243">
        <v>3</v>
      </c>
      <c r="AL243" t="str" cm="1">
        <f t="array" ref="AL243">_xlfn.IFS(AK243=1,"Low",AK243=2,"Medium",AK243=3,"High",AK243=4,"Very High")</f>
        <v>High</v>
      </c>
      <c r="AM243">
        <v>3</v>
      </c>
      <c r="AN243">
        <v>2</v>
      </c>
      <c r="AO243">
        <v>2</v>
      </c>
      <c r="AP243">
        <v>2</v>
      </c>
    </row>
    <row r="244" spans="1:42">
      <c r="A244">
        <v>41</v>
      </c>
      <c r="B244" t="str" cm="1">
        <f t="array" ref="B244">_xlfn.IFS(A244&lt;=25,"18-25",A244&lt;=35,"26-35",A244&lt;=45,"36-45",A244&lt;=55,"46-55",A244&gt;55,"56+")</f>
        <v>36-45</v>
      </c>
      <c r="C244" t="s">
        <v>39</v>
      </c>
      <c r="D244" t="s">
        <v>33</v>
      </c>
      <c r="E244" s="2">
        <v>1411</v>
      </c>
      <c r="F244" t="s">
        <v>41</v>
      </c>
      <c r="G244">
        <v>19</v>
      </c>
      <c r="H244" t="str">
        <f t="shared" si="3"/>
        <v>11-20 km</v>
      </c>
      <c r="I244">
        <v>2</v>
      </c>
      <c r="J244" t="str" cm="1">
        <f t="array" ref="J244">_xlfn.IFS(I244=1,"Below College",I244=2,"College",I244=3,"Bachelor",I244=4,"Master",I244=5,"Doctor")</f>
        <v>College</v>
      </c>
      <c r="K244" t="s">
        <v>35</v>
      </c>
      <c r="L244">
        <v>334</v>
      </c>
      <c r="M244">
        <v>3</v>
      </c>
      <c r="N244" t="str" cm="1">
        <f t="array" ref="N244">_xlfn.IFS(M244=1,"Low",M244=2,"Medium",M244=3,"High",M244=4,"Very High")</f>
        <v>High</v>
      </c>
      <c r="O244" t="s">
        <v>42</v>
      </c>
      <c r="P244" s="2">
        <v>36</v>
      </c>
      <c r="Q244">
        <v>3</v>
      </c>
      <c r="R244" t="str" cm="1">
        <f t="array" ref="R244">_xlfn.IFS(Q244=1,"Low",Q244=2,"Medium",Q244=3,"High",Q244=4,"Very High")</f>
        <v>High</v>
      </c>
      <c r="S244">
        <v>2</v>
      </c>
      <c r="T244" t="str" cm="1">
        <f t="array" ref="T244">_xlfn.IFS(S244=1,"Entry Level",S244=2,"Junior",S244=3,"Mid-Level",S244=4,"Senior",S244=5,"Executive")</f>
        <v>Junior</v>
      </c>
      <c r="U244" t="s">
        <v>43</v>
      </c>
      <c r="V244">
        <v>1</v>
      </c>
      <c r="W244" t="str" cm="1">
        <f t="array" ref="W244">_xlfn.IFS(V244=1,"Low",V244=2,"Medium",V244=3,"High",V244=4,"Very High")</f>
        <v>Low</v>
      </c>
      <c r="X244" t="s">
        <v>48</v>
      </c>
      <c r="Y244" s="2">
        <v>3072</v>
      </c>
      <c r="Z244" s="2">
        <v>19877</v>
      </c>
      <c r="AA244">
        <v>2</v>
      </c>
      <c r="AB244" t="s">
        <v>39</v>
      </c>
      <c r="AC244">
        <v>16</v>
      </c>
      <c r="AD244">
        <v>3</v>
      </c>
      <c r="AE244" t="str" cm="1">
        <f t="array" ref="AE244">_xlfn.IFS(AD244=1,"Low",AD244=2,"Good",AD244=3,"Excellent",AD244=4,"Outstanding")</f>
        <v>Excellent</v>
      </c>
      <c r="AF244">
        <v>1</v>
      </c>
      <c r="AG244" t="str" cm="1">
        <f t="array" ref="AG244">_xlfn.IFS(AF244=1,"Low",AF244=2,"Medium",AF244=3,"High",AF244=4,"Very High")</f>
        <v>Low</v>
      </c>
      <c r="AH244">
        <v>2</v>
      </c>
      <c r="AI244">
        <v>17</v>
      </c>
      <c r="AJ244">
        <v>2</v>
      </c>
      <c r="AK244">
        <v>2</v>
      </c>
      <c r="AL244" t="str" cm="1">
        <f t="array" ref="AL244">_xlfn.IFS(AK244=1,"Low",AK244=2,"Medium",AK244=3,"High",AK244=4,"Very High")</f>
        <v>Medium</v>
      </c>
      <c r="AM244">
        <v>1</v>
      </c>
      <c r="AN244">
        <v>0</v>
      </c>
      <c r="AO244">
        <v>0</v>
      </c>
      <c r="AP244">
        <v>0</v>
      </c>
    </row>
    <row r="245" spans="1:42">
      <c r="A245">
        <v>40</v>
      </c>
      <c r="B245" t="str" cm="1">
        <f t="array" ref="B245">_xlfn.IFS(A245&lt;=25,"18-25",A245&lt;=35,"26-35",A245&lt;=45,"36-45",A245&lt;=55,"46-55",A245&gt;55,"56+")</f>
        <v>36-45</v>
      </c>
      <c r="C245" t="s">
        <v>39</v>
      </c>
      <c r="D245" t="s">
        <v>33</v>
      </c>
      <c r="E245" s="2">
        <v>1300</v>
      </c>
      <c r="F245" t="s">
        <v>41</v>
      </c>
      <c r="G245">
        <v>24</v>
      </c>
      <c r="H245" t="str">
        <f t="shared" si="3"/>
        <v>21-30 km</v>
      </c>
      <c r="I245">
        <v>2</v>
      </c>
      <c r="J245" t="str" cm="1">
        <f t="array" ref="J245">_xlfn.IFS(I245=1,"Below College",I245=2,"College",I245=3,"Bachelor",I245=4,"Master",I245=5,"Doctor")</f>
        <v>College</v>
      </c>
      <c r="K245" t="s">
        <v>56</v>
      </c>
      <c r="L245">
        <v>335</v>
      </c>
      <c r="M245">
        <v>1</v>
      </c>
      <c r="N245" t="str" cm="1">
        <f t="array" ref="N245">_xlfn.IFS(M245=1,"Low",M245=2,"Medium",M245=3,"High",M245=4,"Very High")</f>
        <v>Low</v>
      </c>
      <c r="O245" t="s">
        <v>42</v>
      </c>
      <c r="P245" s="2">
        <v>62</v>
      </c>
      <c r="Q245">
        <v>3</v>
      </c>
      <c r="R245" t="str" cm="1">
        <f t="array" ref="R245">_xlfn.IFS(Q245=1,"Low",Q245=2,"Medium",Q245=3,"High",Q245=4,"Very High")</f>
        <v>High</v>
      </c>
      <c r="S245">
        <v>2</v>
      </c>
      <c r="T245" t="str" cm="1">
        <f t="array" ref="T245">_xlfn.IFS(S245=1,"Entry Level",S245=2,"Junior",S245=3,"Mid-Level",S245=4,"Senior",S245=5,"Executive")</f>
        <v>Junior</v>
      </c>
      <c r="U245" t="s">
        <v>43</v>
      </c>
      <c r="V245">
        <v>4</v>
      </c>
      <c r="W245" t="str" cm="1">
        <f t="array" ref="W245">_xlfn.IFS(V245=1,"Low",V245=2,"Medium",V245=3,"High",V245=4,"Very High")</f>
        <v>Very High</v>
      </c>
      <c r="X245" t="s">
        <v>48</v>
      </c>
      <c r="Y245" s="2">
        <v>3319</v>
      </c>
      <c r="Z245" s="2">
        <v>24447</v>
      </c>
      <c r="AA245">
        <v>1</v>
      </c>
      <c r="AB245" t="s">
        <v>39</v>
      </c>
      <c r="AC245">
        <v>17</v>
      </c>
      <c r="AD245">
        <v>3</v>
      </c>
      <c r="AE245" t="str" cm="1">
        <f t="array" ref="AE245">_xlfn.IFS(AD245=1,"Low",AD245=2,"Good",AD245=3,"Excellent",AD245=4,"Outstanding")</f>
        <v>Excellent</v>
      </c>
      <c r="AF245">
        <v>1</v>
      </c>
      <c r="AG245" t="str" cm="1">
        <f t="array" ref="AG245">_xlfn.IFS(AF245=1,"Low",AF245=2,"Medium",AF245=3,"High",AF245=4,"Very High")</f>
        <v>Low</v>
      </c>
      <c r="AH245">
        <v>2</v>
      </c>
      <c r="AI245">
        <v>9</v>
      </c>
      <c r="AJ245">
        <v>3</v>
      </c>
      <c r="AK245">
        <v>3</v>
      </c>
      <c r="AL245" t="str" cm="1">
        <f t="array" ref="AL245">_xlfn.IFS(AK245=1,"Low",AK245=2,"Medium",AK245=3,"High",AK245=4,"Very High")</f>
        <v>High</v>
      </c>
      <c r="AM245">
        <v>9</v>
      </c>
      <c r="AN245">
        <v>8</v>
      </c>
      <c r="AO245">
        <v>4</v>
      </c>
      <c r="AP245">
        <v>7</v>
      </c>
    </row>
    <row r="246" spans="1:42">
      <c r="A246">
        <v>45</v>
      </c>
      <c r="B246" t="str" cm="1">
        <f t="array" ref="B246">_xlfn.IFS(A246&lt;=25,"18-25",A246&lt;=35,"26-35",A246&lt;=45,"36-45",A246&lt;=55,"46-55",A246&gt;55,"56+")</f>
        <v>36-45</v>
      </c>
      <c r="C246" t="s">
        <v>39</v>
      </c>
      <c r="D246" t="s">
        <v>33</v>
      </c>
      <c r="E246" s="2">
        <v>252</v>
      </c>
      <c r="F246" t="s">
        <v>41</v>
      </c>
      <c r="G246">
        <v>1</v>
      </c>
      <c r="H246" t="str">
        <f t="shared" si="3"/>
        <v>1-10 km</v>
      </c>
      <c r="I246">
        <v>3</v>
      </c>
      <c r="J246" t="str" cm="1">
        <f t="array" ref="J246">_xlfn.IFS(I246=1,"Below College",I246=2,"College",I246=3,"Bachelor",I246=4,"Master",I246=5,"Doctor")</f>
        <v>Bachelor</v>
      </c>
      <c r="K246" t="s">
        <v>45</v>
      </c>
      <c r="L246">
        <v>336</v>
      </c>
      <c r="M246">
        <v>3</v>
      </c>
      <c r="N246" t="str" cm="1">
        <f t="array" ref="N246">_xlfn.IFS(M246=1,"Low",M246=2,"Medium",M246=3,"High",M246=4,"Very High")</f>
        <v>High</v>
      </c>
      <c r="O246" t="s">
        <v>42</v>
      </c>
      <c r="P246" s="2">
        <v>70</v>
      </c>
      <c r="Q246">
        <v>4</v>
      </c>
      <c r="R246" t="str" cm="1">
        <f t="array" ref="R246">_xlfn.IFS(Q246=1,"Low",Q246=2,"Medium",Q246=3,"High",Q246=4,"Very High")</f>
        <v>Very High</v>
      </c>
      <c r="S246">
        <v>5</v>
      </c>
      <c r="T246" t="str" cm="1">
        <f t="array" ref="T246">_xlfn.IFS(S246=1,"Entry Level",S246=2,"Junior",S246=3,"Mid-Level",S246=4,"Senior",S246=5,"Executive")</f>
        <v>Executive</v>
      </c>
      <c r="U246" t="s">
        <v>52</v>
      </c>
      <c r="V246">
        <v>4</v>
      </c>
      <c r="W246" t="str" cm="1">
        <f t="array" ref="W246">_xlfn.IFS(V246=1,"Low",V246=2,"Medium",V246=3,"High",V246=4,"Very High")</f>
        <v>Very High</v>
      </c>
      <c r="X246" t="s">
        <v>44</v>
      </c>
      <c r="Y246" s="2">
        <v>19202</v>
      </c>
      <c r="Z246" s="2">
        <v>15970</v>
      </c>
      <c r="AA246">
        <v>0</v>
      </c>
      <c r="AB246" t="s">
        <v>39</v>
      </c>
      <c r="AC246">
        <v>11</v>
      </c>
      <c r="AD246">
        <v>3</v>
      </c>
      <c r="AE246" t="str" cm="1">
        <f t="array" ref="AE246">_xlfn.IFS(AD246=1,"Low",AD246=2,"Good",AD246=3,"Excellent",AD246=4,"Outstanding")</f>
        <v>Excellent</v>
      </c>
      <c r="AF246">
        <v>3</v>
      </c>
      <c r="AG246" t="str" cm="1">
        <f t="array" ref="AG246">_xlfn.IFS(AF246=1,"Low",AF246=2,"Medium",AF246=3,"High",AF246=4,"Very High")</f>
        <v>High</v>
      </c>
      <c r="AH246">
        <v>1</v>
      </c>
      <c r="AI246">
        <v>25</v>
      </c>
      <c r="AJ246">
        <v>2</v>
      </c>
      <c r="AK246">
        <v>3</v>
      </c>
      <c r="AL246" t="str" cm="1">
        <f t="array" ref="AL246">_xlfn.IFS(AK246=1,"Low",AK246=2,"Medium",AK246=3,"High",AK246=4,"Very High")</f>
        <v>High</v>
      </c>
      <c r="AM246">
        <v>24</v>
      </c>
      <c r="AN246">
        <v>0</v>
      </c>
      <c r="AO246">
        <v>1</v>
      </c>
      <c r="AP246">
        <v>7</v>
      </c>
    </row>
    <row r="247" spans="1:42">
      <c r="A247">
        <v>31</v>
      </c>
      <c r="B247" t="str" cm="1">
        <f t="array" ref="B247">_xlfn.IFS(A247&lt;=25,"18-25",A247&lt;=35,"26-35",A247&lt;=45,"36-45",A247&lt;=55,"46-55",A247&gt;55,"56+")</f>
        <v>26-35</v>
      </c>
      <c r="C247" t="s">
        <v>39</v>
      </c>
      <c r="D247" t="s">
        <v>40</v>
      </c>
      <c r="E247" s="2">
        <v>1327</v>
      </c>
      <c r="F247" t="s">
        <v>41</v>
      </c>
      <c r="G247">
        <v>3</v>
      </c>
      <c r="H247" t="str">
        <f t="shared" si="3"/>
        <v>1-10 km</v>
      </c>
      <c r="I247">
        <v>4</v>
      </c>
      <c r="J247" t="str" cm="1">
        <f t="array" ref="J247">_xlfn.IFS(I247=1,"Below College",I247=2,"College",I247=3,"Bachelor",I247=4,"Master",I247=5,"Doctor")</f>
        <v>Master</v>
      </c>
      <c r="K247" t="s">
        <v>47</v>
      </c>
      <c r="L247">
        <v>337</v>
      </c>
      <c r="M247">
        <v>2</v>
      </c>
      <c r="N247" t="str" cm="1">
        <f t="array" ref="N247">_xlfn.IFS(M247=1,"Low",M247=2,"Medium",M247=3,"High",M247=4,"Very High")</f>
        <v>Medium</v>
      </c>
      <c r="O247" t="s">
        <v>42</v>
      </c>
      <c r="P247" s="2">
        <v>73</v>
      </c>
      <c r="Q247">
        <v>3</v>
      </c>
      <c r="R247" t="str" cm="1">
        <f t="array" ref="R247">_xlfn.IFS(Q247=1,"Low",Q247=2,"Medium",Q247=3,"High",Q247=4,"Very High")</f>
        <v>High</v>
      </c>
      <c r="S247">
        <v>3</v>
      </c>
      <c r="T247" t="str" cm="1">
        <f t="array" ref="T247">_xlfn.IFS(S247=1,"Entry Level",S247=2,"Junior",S247=3,"Mid-Level",S247=4,"Senior",S247=5,"Executive")</f>
        <v>Mid-Level</v>
      </c>
      <c r="U247" t="s">
        <v>54</v>
      </c>
      <c r="V247">
        <v>3</v>
      </c>
      <c r="W247" t="str" cm="1">
        <f t="array" ref="W247">_xlfn.IFS(V247=1,"Low",V247=2,"Medium",V247=3,"High",V247=4,"Very High")</f>
        <v>High</v>
      </c>
      <c r="X247" t="s">
        <v>48</v>
      </c>
      <c r="Y247" s="2">
        <v>13675</v>
      </c>
      <c r="Z247" s="2">
        <v>13523</v>
      </c>
      <c r="AA247">
        <v>9</v>
      </c>
      <c r="AB247" t="s">
        <v>39</v>
      </c>
      <c r="AC247">
        <v>12</v>
      </c>
      <c r="AD247">
        <v>3</v>
      </c>
      <c r="AE247" t="str" cm="1">
        <f t="array" ref="AE247">_xlfn.IFS(AD247=1,"Low",AD247=2,"Good",AD247=3,"Excellent",AD247=4,"Outstanding")</f>
        <v>Excellent</v>
      </c>
      <c r="AF247">
        <v>1</v>
      </c>
      <c r="AG247" t="str" cm="1">
        <f t="array" ref="AG247">_xlfn.IFS(AF247=1,"Low",AF247=2,"Medium",AF247=3,"High",AF247=4,"Very High")</f>
        <v>Low</v>
      </c>
      <c r="AH247">
        <v>1</v>
      </c>
      <c r="AI247">
        <v>9</v>
      </c>
      <c r="AJ247">
        <v>3</v>
      </c>
      <c r="AK247">
        <v>3</v>
      </c>
      <c r="AL247" t="str" cm="1">
        <f t="array" ref="AL247">_xlfn.IFS(AK247=1,"Low",AK247=2,"Medium",AK247=3,"High",AK247=4,"Very High")</f>
        <v>High</v>
      </c>
      <c r="AM247">
        <v>2</v>
      </c>
      <c r="AN247">
        <v>2</v>
      </c>
      <c r="AO247">
        <v>2</v>
      </c>
      <c r="AP247">
        <v>2</v>
      </c>
    </row>
    <row r="248" spans="1:42">
      <c r="A248">
        <v>33</v>
      </c>
      <c r="B248" t="str" cm="1">
        <f t="array" ref="B248">_xlfn.IFS(A248&lt;=25,"18-25",A248&lt;=35,"26-35",A248&lt;=45,"36-45",A248&lt;=55,"46-55",A248&gt;55,"56+")</f>
        <v>26-35</v>
      </c>
      <c r="C248" t="s">
        <v>39</v>
      </c>
      <c r="D248" t="s">
        <v>33</v>
      </c>
      <c r="E248" s="2">
        <v>832</v>
      </c>
      <c r="F248" t="s">
        <v>41</v>
      </c>
      <c r="G248">
        <v>5</v>
      </c>
      <c r="H248" t="str">
        <f t="shared" si="3"/>
        <v>1-10 km</v>
      </c>
      <c r="I248">
        <v>4</v>
      </c>
      <c r="J248" t="str" cm="1">
        <f t="array" ref="J248">_xlfn.IFS(I248=1,"Below College",I248=2,"College",I248=3,"Bachelor",I248=4,"Master",I248=5,"Doctor")</f>
        <v>Master</v>
      </c>
      <c r="K248" t="s">
        <v>35</v>
      </c>
      <c r="L248">
        <v>338</v>
      </c>
      <c r="M248">
        <v>3</v>
      </c>
      <c r="N248" t="str" cm="1">
        <f t="array" ref="N248">_xlfn.IFS(M248=1,"Low",M248=2,"Medium",M248=3,"High",M248=4,"Very High")</f>
        <v>High</v>
      </c>
      <c r="O248" t="s">
        <v>36</v>
      </c>
      <c r="P248" s="2">
        <v>63</v>
      </c>
      <c r="Q248">
        <v>2</v>
      </c>
      <c r="R248" t="str" cm="1">
        <f t="array" ref="R248">_xlfn.IFS(Q248=1,"Low",Q248=2,"Medium",Q248=3,"High",Q248=4,"Very High")</f>
        <v>Medium</v>
      </c>
      <c r="S248">
        <v>1</v>
      </c>
      <c r="T248" t="str" cm="1">
        <f t="array" ref="T248">_xlfn.IFS(S248=1,"Entry Level",S248=2,"Junior",S248=3,"Mid-Level",S248=4,"Senior",S248=5,"Executive")</f>
        <v>Entry Level</v>
      </c>
      <c r="U248" t="s">
        <v>43</v>
      </c>
      <c r="V248">
        <v>4</v>
      </c>
      <c r="W248" t="str" cm="1">
        <f t="array" ref="W248">_xlfn.IFS(V248=1,"Low",V248=2,"Medium",V248=3,"High",V248=4,"Very High")</f>
        <v>Very High</v>
      </c>
      <c r="X248" t="s">
        <v>44</v>
      </c>
      <c r="Y248" s="2">
        <v>2911</v>
      </c>
      <c r="Z248" s="2">
        <v>14776</v>
      </c>
      <c r="AA248">
        <v>1</v>
      </c>
      <c r="AB248" t="s">
        <v>39</v>
      </c>
      <c r="AC248">
        <v>13</v>
      </c>
      <c r="AD248">
        <v>3</v>
      </c>
      <c r="AE248" t="str" cm="1">
        <f t="array" ref="AE248">_xlfn.IFS(AD248=1,"Low",AD248=2,"Good",AD248=3,"Excellent",AD248=4,"Outstanding")</f>
        <v>Excellent</v>
      </c>
      <c r="AF248">
        <v>3</v>
      </c>
      <c r="AG248" t="str" cm="1">
        <f t="array" ref="AG248">_xlfn.IFS(AF248=1,"Low",AF248=2,"Medium",AF248=3,"High",AF248=4,"Very High")</f>
        <v>High</v>
      </c>
      <c r="AH248">
        <v>1</v>
      </c>
      <c r="AI248">
        <v>2</v>
      </c>
      <c r="AJ248">
        <v>2</v>
      </c>
      <c r="AK248">
        <v>2</v>
      </c>
      <c r="AL248" t="str" cm="1">
        <f t="array" ref="AL248">_xlfn.IFS(AK248=1,"Low",AK248=2,"Medium",AK248=3,"High",AK248=4,"Very High")</f>
        <v>Medium</v>
      </c>
      <c r="AM248">
        <v>2</v>
      </c>
      <c r="AN248">
        <v>2</v>
      </c>
      <c r="AO248">
        <v>0</v>
      </c>
      <c r="AP248">
        <v>2</v>
      </c>
    </row>
    <row r="249" spans="1:42">
      <c r="A249">
        <v>34</v>
      </c>
      <c r="B249" t="str" cm="1">
        <f t="array" ref="B249">_xlfn.IFS(A249&lt;=25,"18-25",A249&lt;=35,"26-35",A249&lt;=45,"36-45",A249&lt;=55,"46-55",A249&gt;55,"56+")</f>
        <v>26-35</v>
      </c>
      <c r="C249" t="s">
        <v>39</v>
      </c>
      <c r="D249" t="s">
        <v>33</v>
      </c>
      <c r="E249" s="2">
        <v>470</v>
      </c>
      <c r="F249" t="s">
        <v>41</v>
      </c>
      <c r="G249">
        <v>2</v>
      </c>
      <c r="H249" t="str">
        <f t="shared" si="3"/>
        <v>1-10 km</v>
      </c>
      <c r="I249">
        <v>4</v>
      </c>
      <c r="J249" t="str" cm="1">
        <f t="array" ref="J249">_xlfn.IFS(I249=1,"Below College",I249=2,"College",I249=3,"Bachelor",I249=4,"Master",I249=5,"Doctor")</f>
        <v>Master</v>
      </c>
      <c r="K249" t="s">
        <v>35</v>
      </c>
      <c r="L249">
        <v>339</v>
      </c>
      <c r="M249">
        <v>4</v>
      </c>
      <c r="N249" t="str" cm="1">
        <f t="array" ref="N249">_xlfn.IFS(M249=1,"Low",M249=2,"Medium",M249=3,"High",M249=4,"Very High")</f>
        <v>Very High</v>
      </c>
      <c r="O249" t="s">
        <v>42</v>
      </c>
      <c r="P249" s="2">
        <v>84</v>
      </c>
      <c r="Q249">
        <v>2</v>
      </c>
      <c r="R249" t="str" cm="1">
        <f t="array" ref="R249">_xlfn.IFS(Q249=1,"Low",Q249=2,"Medium",Q249=3,"High",Q249=4,"Very High")</f>
        <v>Medium</v>
      </c>
      <c r="S249">
        <v>2</v>
      </c>
      <c r="T249" t="str" cm="1">
        <f t="array" ref="T249">_xlfn.IFS(S249=1,"Entry Level",S249=2,"Junior",S249=3,"Mid-Level",S249=4,"Senior",S249=5,"Executive")</f>
        <v>Junior</v>
      </c>
      <c r="U249" t="s">
        <v>49</v>
      </c>
      <c r="V249">
        <v>1</v>
      </c>
      <c r="W249" t="str" cm="1">
        <f t="array" ref="W249">_xlfn.IFS(V249=1,"Low",V249=2,"Medium",V249=3,"High",V249=4,"Very High")</f>
        <v>Low</v>
      </c>
      <c r="X249" t="s">
        <v>44</v>
      </c>
      <c r="Y249" s="2">
        <v>5957</v>
      </c>
      <c r="Z249" s="2">
        <v>23687</v>
      </c>
      <c r="AA249">
        <v>6</v>
      </c>
      <c r="AB249" t="s">
        <v>39</v>
      </c>
      <c r="AC249">
        <v>13</v>
      </c>
      <c r="AD249">
        <v>3</v>
      </c>
      <c r="AE249" t="str" cm="1">
        <f t="array" ref="AE249">_xlfn.IFS(AD249=1,"Low",AD249=2,"Good",AD249=3,"Excellent",AD249=4,"Outstanding")</f>
        <v>Excellent</v>
      </c>
      <c r="AF249">
        <v>2</v>
      </c>
      <c r="AG249" t="str" cm="1">
        <f t="array" ref="AG249">_xlfn.IFS(AF249=1,"Low",AF249=2,"Medium",AF249=3,"High",AF249=4,"Very High")</f>
        <v>Medium</v>
      </c>
      <c r="AH249">
        <v>1</v>
      </c>
      <c r="AI249">
        <v>13</v>
      </c>
      <c r="AJ249">
        <v>3</v>
      </c>
      <c r="AK249">
        <v>3</v>
      </c>
      <c r="AL249" t="str" cm="1">
        <f t="array" ref="AL249">_xlfn.IFS(AK249=1,"Low",AK249=2,"Medium",AK249=3,"High",AK249=4,"Very High")</f>
        <v>High</v>
      </c>
      <c r="AM249">
        <v>11</v>
      </c>
      <c r="AN249">
        <v>9</v>
      </c>
      <c r="AO249">
        <v>5</v>
      </c>
      <c r="AP249">
        <v>9</v>
      </c>
    </row>
    <row r="250" spans="1:42">
      <c r="A250">
        <v>37</v>
      </c>
      <c r="B250" t="str" cm="1">
        <f t="array" ref="B250">_xlfn.IFS(A250&lt;=25,"18-25",A250&lt;=35,"26-35",A250&lt;=45,"36-45",A250&lt;=55,"46-55",A250&gt;55,"56+")</f>
        <v>36-45</v>
      </c>
      <c r="C250" t="s">
        <v>39</v>
      </c>
      <c r="D250" t="s">
        <v>33</v>
      </c>
      <c r="E250" s="2">
        <v>1017</v>
      </c>
      <c r="F250" t="s">
        <v>41</v>
      </c>
      <c r="G250">
        <v>1</v>
      </c>
      <c r="H250" t="str">
        <f t="shared" si="3"/>
        <v>1-10 km</v>
      </c>
      <c r="I250">
        <v>2</v>
      </c>
      <c r="J250" t="str" cm="1">
        <f t="array" ref="J250">_xlfn.IFS(I250=1,"Below College",I250=2,"College",I250=3,"Bachelor",I250=4,"Master",I250=5,"Doctor")</f>
        <v>College</v>
      </c>
      <c r="K250" t="s">
        <v>47</v>
      </c>
      <c r="L250">
        <v>340</v>
      </c>
      <c r="M250">
        <v>3</v>
      </c>
      <c r="N250" t="str" cm="1">
        <f t="array" ref="N250">_xlfn.IFS(M250=1,"Low",M250=2,"Medium",M250=3,"High",M250=4,"Very High")</f>
        <v>High</v>
      </c>
      <c r="O250" t="s">
        <v>36</v>
      </c>
      <c r="P250" s="2">
        <v>83</v>
      </c>
      <c r="Q250">
        <v>2</v>
      </c>
      <c r="R250" t="str" cm="1">
        <f t="array" ref="R250">_xlfn.IFS(Q250=1,"Low",Q250=2,"Medium",Q250=3,"High",Q250=4,"Very High")</f>
        <v>Medium</v>
      </c>
      <c r="S250">
        <v>1</v>
      </c>
      <c r="T250" t="str" cm="1">
        <f t="array" ref="T250">_xlfn.IFS(S250=1,"Entry Level",S250=2,"Junior",S250=3,"Mid-Level",S250=4,"Senior",S250=5,"Executive")</f>
        <v>Entry Level</v>
      </c>
      <c r="U250" t="s">
        <v>43</v>
      </c>
      <c r="V250">
        <v>1</v>
      </c>
      <c r="W250" t="str" cm="1">
        <f t="array" ref="W250">_xlfn.IFS(V250=1,"Low",V250=2,"Medium",V250=3,"High",V250=4,"Very High")</f>
        <v>Low</v>
      </c>
      <c r="X250" t="s">
        <v>44</v>
      </c>
      <c r="Y250" s="2">
        <v>3920</v>
      </c>
      <c r="Z250" s="2">
        <v>18697</v>
      </c>
      <c r="AA250">
        <v>2</v>
      </c>
      <c r="AB250" t="s">
        <v>39</v>
      </c>
      <c r="AC250">
        <v>14</v>
      </c>
      <c r="AD250">
        <v>3</v>
      </c>
      <c r="AE250" t="str" cm="1">
        <f t="array" ref="AE250">_xlfn.IFS(AD250=1,"Low",AD250=2,"Good",AD250=3,"Excellent",AD250=4,"Outstanding")</f>
        <v>Excellent</v>
      </c>
      <c r="AF250">
        <v>1</v>
      </c>
      <c r="AG250" t="str" cm="1">
        <f t="array" ref="AG250">_xlfn.IFS(AF250=1,"Low",AF250=2,"Medium",AF250=3,"High",AF250=4,"Very High")</f>
        <v>Low</v>
      </c>
      <c r="AH250">
        <v>1</v>
      </c>
      <c r="AI250">
        <v>17</v>
      </c>
      <c r="AJ250">
        <v>2</v>
      </c>
      <c r="AK250">
        <v>2</v>
      </c>
      <c r="AL250" t="str" cm="1">
        <f t="array" ref="AL250">_xlfn.IFS(AK250=1,"Low",AK250=2,"Medium",AK250=3,"High",AK250=4,"Very High")</f>
        <v>Medium</v>
      </c>
      <c r="AM250">
        <v>3</v>
      </c>
      <c r="AN250">
        <v>1</v>
      </c>
      <c r="AO250">
        <v>0</v>
      </c>
      <c r="AP250">
        <v>2</v>
      </c>
    </row>
    <row r="251" spans="1:42">
      <c r="A251">
        <v>45</v>
      </c>
      <c r="B251" t="str" cm="1">
        <f t="array" ref="B251">_xlfn.IFS(A251&lt;=25,"18-25",A251&lt;=35,"26-35",A251&lt;=45,"36-45",A251&lt;=55,"46-55",A251&gt;55,"56+")</f>
        <v>36-45</v>
      </c>
      <c r="C251" t="s">
        <v>39</v>
      </c>
      <c r="D251" t="s">
        <v>40</v>
      </c>
      <c r="E251" s="2">
        <v>1199</v>
      </c>
      <c r="F251" t="s">
        <v>41</v>
      </c>
      <c r="G251">
        <v>7</v>
      </c>
      <c r="H251" t="str">
        <f t="shared" si="3"/>
        <v>1-10 km</v>
      </c>
      <c r="I251">
        <v>4</v>
      </c>
      <c r="J251" t="str" cm="1">
        <f t="array" ref="J251">_xlfn.IFS(I251=1,"Below College",I251=2,"College",I251=3,"Bachelor",I251=4,"Master",I251=5,"Doctor")</f>
        <v>Master</v>
      </c>
      <c r="K251" t="s">
        <v>35</v>
      </c>
      <c r="L251">
        <v>341</v>
      </c>
      <c r="M251">
        <v>1</v>
      </c>
      <c r="N251" t="str" cm="1">
        <f t="array" ref="N251">_xlfn.IFS(M251=1,"Low",M251=2,"Medium",M251=3,"High",M251=4,"Very High")</f>
        <v>Low</v>
      </c>
      <c r="O251" t="s">
        <v>42</v>
      </c>
      <c r="P251" s="2">
        <v>77</v>
      </c>
      <c r="Q251">
        <v>4</v>
      </c>
      <c r="R251" t="str" cm="1">
        <f t="array" ref="R251">_xlfn.IFS(Q251=1,"Low",Q251=2,"Medium",Q251=3,"High",Q251=4,"Very High")</f>
        <v>Very High</v>
      </c>
      <c r="S251">
        <v>2</v>
      </c>
      <c r="T251" t="str" cm="1">
        <f t="array" ref="T251">_xlfn.IFS(S251=1,"Entry Level",S251=2,"Junior",S251=3,"Mid-Level",S251=4,"Senior",S251=5,"Executive")</f>
        <v>Junior</v>
      </c>
      <c r="U251" t="s">
        <v>49</v>
      </c>
      <c r="V251">
        <v>3</v>
      </c>
      <c r="W251" t="str" cm="1">
        <f t="array" ref="W251">_xlfn.IFS(V251=1,"Low",V251=2,"Medium",V251=3,"High",V251=4,"Very High")</f>
        <v>High</v>
      </c>
      <c r="X251" t="s">
        <v>44</v>
      </c>
      <c r="Y251" s="2">
        <v>6434</v>
      </c>
      <c r="Z251" s="2">
        <v>5118</v>
      </c>
      <c r="AA251">
        <v>4</v>
      </c>
      <c r="AB251" t="s">
        <v>39</v>
      </c>
      <c r="AC251">
        <v>17</v>
      </c>
      <c r="AD251">
        <v>3</v>
      </c>
      <c r="AE251" t="str" cm="1">
        <f t="array" ref="AE251">_xlfn.IFS(AD251=1,"Low",AD251=2,"Good",AD251=3,"Excellent",AD251=4,"Outstanding")</f>
        <v>Excellent</v>
      </c>
      <c r="AF251">
        <v>4</v>
      </c>
      <c r="AG251" t="str" cm="1">
        <f t="array" ref="AG251">_xlfn.IFS(AF251=1,"Low",AF251=2,"Medium",AF251=3,"High",AF251=4,"Very High")</f>
        <v>Very High</v>
      </c>
      <c r="AH251">
        <v>1</v>
      </c>
      <c r="AI251">
        <v>9</v>
      </c>
      <c r="AJ251">
        <v>1</v>
      </c>
      <c r="AK251">
        <v>3</v>
      </c>
      <c r="AL251" t="str" cm="1">
        <f t="array" ref="AL251">_xlfn.IFS(AK251=1,"Low",AK251=2,"Medium",AK251=3,"High",AK251=4,"Very High")</f>
        <v>High</v>
      </c>
      <c r="AM251">
        <v>3</v>
      </c>
      <c r="AN251">
        <v>2</v>
      </c>
      <c r="AO251">
        <v>0</v>
      </c>
      <c r="AP251">
        <v>2</v>
      </c>
    </row>
    <row r="252" spans="1:42">
      <c r="A252">
        <v>37</v>
      </c>
      <c r="B252" t="str" cm="1">
        <f t="array" ref="B252">_xlfn.IFS(A252&lt;=25,"18-25",A252&lt;=35,"26-35",A252&lt;=45,"36-45",A252&lt;=55,"46-55",A252&gt;55,"56+")</f>
        <v>36-45</v>
      </c>
      <c r="C252" t="s">
        <v>32</v>
      </c>
      <c r="D252" t="s">
        <v>40</v>
      </c>
      <c r="E252" s="2">
        <v>504</v>
      </c>
      <c r="F252" t="s">
        <v>41</v>
      </c>
      <c r="G252">
        <v>10</v>
      </c>
      <c r="H252" t="str">
        <f t="shared" si="3"/>
        <v>1-10 km</v>
      </c>
      <c r="I252">
        <v>3</v>
      </c>
      <c r="J252" t="str" cm="1">
        <f t="array" ref="J252">_xlfn.IFS(I252=1,"Below College",I252=2,"College",I252=3,"Bachelor",I252=4,"Master",I252=5,"Doctor")</f>
        <v>Bachelor</v>
      </c>
      <c r="K252" t="s">
        <v>47</v>
      </c>
      <c r="L252">
        <v>342</v>
      </c>
      <c r="M252">
        <v>1</v>
      </c>
      <c r="N252" t="str" cm="1">
        <f t="array" ref="N252">_xlfn.IFS(M252=1,"Low",M252=2,"Medium",M252=3,"High",M252=4,"Very High")</f>
        <v>Low</v>
      </c>
      <c r="O252" t="s">
        <v>42</v>
      </c>
      <c r="P252" s="2">
        <v>61</v>
      </c>
      <c r="Q252">
        <v>3</v>
      </c>
      <c r="R252" t="str" cm="1">
        <f t="array" ref="R252">_xlfn.IFS(Q252=1,"Low",Q252=2,"Medium",Q252=3,"High",Q252=4,"Very High")</f>
        <v>High</v>
      </c>
      <c r="S252">
        <v>3</v>
      </c>
      <c r="T252" t="str" cm="1">
        <f t="array" ref="T252">_xlfn.IFS(S252=1,"Entry Level",S252=2,"Junior",S252=3,"Mid-Level",S252=4,"Senior",S252=5,"Executive")</f>
        <v>Mid-Level</v>
      </c>
      <c r="U252" t="s">
        <v>49</v>
      </c>
      <c r="V252">
        <v>3</v>
      </c>
      <c r="W252" t="str" cm="1">
        <f t="array" ref="W252">_xlfn.IFS(V252=1,"Low",V252=2,"Medium",V252=3,"High",V252=4,"Very High")</f>
        <v>High</v>
      </c>
      <c r="X252" t="s">
        <v>48</v>
      </c>
      <c r="Y252" s="2">
        <v>10048</v>
      </c>
      <c r="Z252" s="2">
        <v>22573</v>
      </c>
      <c r="AA252">
        <v>6</v>
      </c>
      <c r="AB252" t="s">
        <v>39</v>
      </c>
      <c r="AC252">
        <v>11</v>
      </c>
      <c r="AD252">
        <v>3</v>
      </c>
      <c r="AE252" t="str" cm="1">
        <f t="array" ref="AE252">_xlfn.IFS(AD252=1,"Low",AD252=2,"Good",AD252=3,"Excellent",AD252=4,"Outstanding")</f>
        <v>Excellent</v>
      </c>
      <c r="AF252">
        <v>2</v>
      </c>
      <c r="AG252" t="str" cm="1">
        <f t="array" ref="AG252">_xlfn.IFS(AF252=1,"Low",AF252=2,"Medium",AF252=3,"High",AF252=4,"Very High")</f>
        <v>Medium</v>
      </c>
      <c r="AH252">
        <v>2</v>
      </c>
      <c r="AI252">
        <v>17</v>
      </c>
      <c r="AJ252">
        <v>5</v>
      </c>
      <c r="AK252">
        <v>3</v>
      </c>
      <c r="AL252" t="str" cm="1">
        <f t="array" ref="AL252">_xlfn.IFS(AK252=1,"Low",AK252=2,"Medium",AK252=3,"High",AK252=4,"Very High")</f>
        <v>High</v>
      </c>
      <c r="AM252">
        <v>1</v>
      </c>
      <c r="AN252">
        <v>0</v>
      </c>
      <c r="AO252">
        <v>0</v>
      </c>
      <c r="AP252">
        <v>0</v>
      </c>
    </row>
    <row r="253" spans="1:42">
      <c r="A253">
        <v>39</v>
      </c>
      <c r="B253" t="str" cm="1">
        <f t="array" ref="B253">_xlfn.IFS(A253&lt;=25,"18-25",A253&lt;=35,"26-35",A253&lt;=45,"36-45",A253&lt;=55,"46-55",A253&gt;55,"56+")</f>
        <v>36-45</v>
      </c>
      <c r="C253" t="s">
        <v>39</v>
      </c>
      <c r="D253" t="s">
        <v>40</v>
      </c>
      <c r="E253" s="2">
        <v>505</v>
      </c>
      <c r="F253" t="s">
        <v>41</v>
      </c>
      <c r="G253">
        <v>2</v>
      </c>
      <c r="H253" t="str">
        <f t="shared" si="3"/>
        <v>1-10 km</v>
      </c>
      <c r="I253">
        <v>4</v>
      </c>
      <c r="J253" t="str" cm="1">
        <f t="array" ref="J253">_xlfn.IFS(I253=1,"Below College",I253=2,"College",I253=3,"Bachelor",I253=4,"Master",I253=5,"Doctor")</f>
        <v>Master</v>
      </c>
      <c r="K253" t="s">
        <v>56</v>
      </c>
      <c r="L253">
        <v>343</v>
      </c>
      <c r="M253">
        <v>3</v>
      </c>
      <c r="N253" t="str" cm="1">
        <f t="array" ref="N253">_xlfn.IFS(M253=1,"Low",M253=2,"Medium",M253=3,"High",M253=4,"Very High")</f>
        <v>High</v>
      </c>
      <c r="O253" t="s">
        <v>36</v>
      </c>
      <c r="P253" s="2">
        <v>64</v>
      </c>
      <c r="Q253">
        <v>3</v>
      </c>
      <c r="R253" t="str" cm="1">
        <f t="array" ref="R253">_xlfn.IFS(Q253=1,"Low",Q253=2,"Medium",Q253=3,"High",Q253=4,"Very High")</f>
        <v>High</v>
      </c>
      <c r="S253">
        <v>3</v>
      </c>
      <c r="T253" t="str" cm="1">
        <f t="array" ref="T253">_xlfn.IFS(S253=1,"Entry Level",S253=2,"Junior",S253=3,"Mid-Level",S253=4,"Senior",S253=5,"Executive")</f>
        <v>Mid-Level</v>
      </c>
      <c r="U253" t="s">
        <v>50</v>
      </c>
      <c r="V253">
        <v>3</v>
      </c>
      <c r="W253" t="str" cm="1">
        <f t="array" ref="W253">_xlfn.IFS(V253=1,"Low",V253=2,"Medium",V253=3,"High",V253=4,"Very High")</f>
        <v>High</v>
      </c>
      <c r="X253" t="s">
        <v>38</v>
      </c>
      <c r="Y253" s="2">
        <v>10938</v>
      </c>
      <c r="Z253" s="2">
        <v>6420</v>
      </c>
      <c r="AA253">
        <v>0</v>
      </c>
      <c r="AB253" t="s">
        <v>39</v>
      </c>
      <c r="AC253">
        <v>25</v>
      </c>
      <c r="AD253">
        <v>4</v>
      </c>
      <c r="AE253" t="str" cm="1">
        <f t="array" ref="AE253">_xlfn.IFS(AD253=1,"Low",AD253=2,"Good",AD253=3,"Excellent",AD253=4,"Outstanding")</f>
        <v>Outstanding</v>
      </c>
      <c r="AF253">
        <v>4</v>
      </c>
      <c r="AG253" t="str" cm="1">
        <f t="array" ref="AG253">_xlfn.IFS(AF253=1,"Low",AF253=2,"Medium",AF253=3,"High",AF253=4,"Very High")</f>
        <v>Very High</v>
      </c>
      <c r="AH253">
        <v>0</v>
      </c>
      <c r="AI253">
        <v>20</v>
      </c>
      <c r="AJ253">
        <v>1</v>
      </c>
      <c r="AK253">
        <v>3</v>
      </c>
      <c r="AL253" t="str" cm="1">
        <f t="array" ref="AL253">_xlfn.IFS(AK253=1,"Low",AK253=2,"Medium",AK253=3,"High",AK253=4,"Very High")</f>
        <v>High</v>
      </c>
      <c r="AM253">
        <v>19</v>
      </c>
      <c r="AN253">
        <v>6</v>
      </c>
      <c r="AO253">
        <v>11</v>
      </c>
      <c r="AP253">
        <v>8</v>
      </c>
    </row>
    <row r="254" spans="1:42">
      <c r="A254">
        <v>29</v>
      </c>
      <c r="B254" t="str" cm="1">
        <f t="array" ref="B254">_xlfn.IFS(A254&lt;=25,"18-25",A254&lt;=35,"26-35",A254&lt;=45,"36-45",A254&lt;=55,"46-55",A254&gt;55,"56+")</f>
        <v>26-35</v>
      </c>
      <c r="C254" t="s">
        <v>39</v>
      </c>
      <c r="D254" t="s">
        <v>33</v>
      </c>
      <c r="E254" s="2">
        <v>665</v>
      </c>
      <c r="F254" t="s">
        <v>41</v>
      </c>
      <c r="G254">
        <v>15</v>
      </c>
      <c r="H254" t="str">
        <f t="shared" si="3"/>
        <v>11-20 km</v>
      </c>
      <c r="I254">
        <v>3</v>
      </c>
      <c r="J254" t="str" cm="1">
        <f t="array" ref="J254">_xlfn.IFS(I254=1,"Below College",I254=2,"College",I254=3,"Bachelor",I254=4,"Master",I254=5,"Doctor")</f>
        <v>Bachelor</v>
      </c>
      <c r="K254" t="s">
        <v>35</v>
      </c>
      <c r="L254">
        <v>346</v>
      </c>
      <c r="M254">
        <v>3</v>
      </c>
      <c r="N254" t="str" cm="1">
        <f t="array" ref="N254">_xlfn.IFS(M254=1,"Low",M254=2,"Medium",M254=3,"High",M254=4,"Very High")</f>
        <v>High</v>
      </c>
      <c r="O254" t="s">
        <v>42</v>
      </c>
      <c r="P254" s="2">
        <v>60</v>
      </c>
      <c r="Q254">
        <v>3</v>
      </c>
      <c r="R254" t="str" cm="1">
        <f t="array" ref="R254">_xlfn.IFS(Q254=1,"Low",Q254=2,"Medium",Q254=3,"High",Q254=4,"Very High")</f>
        <v>High</v>
      </c>
      <c r="S254">
        <v>1</v>
      </c>
      <c r="T254" t="str" cm="1">
        <f t="array" ref="T254">_xlfn.IFS(S254=1,"Entry Level",S254=2,"Junior",S254=3,"Mid-Level",S254=4,"Senior",S254=5,"Executive")</f>
        <v>Entry Level</v>
      </c>
      <c r="U254" t="s">
        <v>43</v>
      </c>
      <c r="V254">
        <v>4</v>
      </c>
      <c r="W254" t="str" cm="1">
        <f t="array" ref="W254">_xlfn.IFS(V254=1,"Low",V254=2,"Medium",V254=3,"High",V254=4,"Very High")</f>
        <v>Very High</v>
      </c>
      <c r="X254" t="s">
        <v>38</v>
      </c>
      <c r="Y254" s="2">
        <v>2340</v>
      </c>
      <c r="Z254" s="2">
        <v>22673</v>
      </c>
      <c r="AA254">
        <v>1</v>
      </c>
      <c r="AB254" t="s">
        <v>39</v>
      </c>
      <c r="AC254">
        <v>19</v>
      </c>
      <c r="AD254">
        <v>3</v>
      </c>
      <c r="AE254" t="str" cm="1">
        <f t="array" ref="AE254">_xlfn.IFS(AD254=1,"Low",AD254=2,"Good",AD254=3,"Excellent",AD254=4,"Outstanding")</f>
        <v>Excellent</v>
      </c>
      <c r="AF254">
        <v>1</v>
      </c>
      <c r="AG254" t="str" cm="1">
        <f t="array" ref="AG254">_xlfn.IFS(AF254=1,"Low",AF254=2,"Medium",AF254=3,"High",AF254=4,"Very High")</f>
        <v>Low</v>
      </c>
      <c r="AH254">
        <v>0</v>
      </c>
      <c r="AI254">
        <v>6</v>
      </c>
      <c r="AJ254">
        <v>1</v>
      </c>
      <c r="AK254">
        <v>3</v>
      </c>
      <c r="AL254" t="str" cm="1">
        <f t="array" ref="AL254">_xlfn.IFS(AK254=1,"Low",AK254=2,"Medium",AK254=3,"High",AK254=4,"Very High")</f>
        <v>High</v>
      </c>
      <c r="AM254">
        <v>6</v>
      </c>
      <c r="AN254">
        <v>5</v>
      </c>
      <c r="AO254">
        <v>1</v>
      </c>
      <c r="AP254">
        <v>5</v>
      </c>
    </row>
    <row r="255" spans="1:42">
      <c r="A255">
        <v>42</v>
      </c>
      <c r="B255" t="str" cm="1">
        <f t="array" ref="B255">_xlfn.IFS(A255&lt;=25,"18-25",A255&lt;=35,"26-35",A255&lt;=45,"36-45",A255&lt;=55,"46-55",A255&gt;55,"56+")</f>
        <v>36-45</v>
      </c>
      <c r="C255" t="s">
        <v>39</v>
      </c>
      <c r="D255" t="s">
        <v>33</v>
      </c>
      <c r="E255" s="2">
        <v>916</v>
      </c>
      <c r="F255" t="s">
        <v>41</v>
      </c>
      <c r="G255">
        <v>17</v>
      </c>
      <c r="H255" t="str">
        <f t="shared" si="3"/>
        <v>11-20 km</v>
      </c>
      <c r="I255">
        <v>2</v>
      </c>
      <c r="J255" t="str" cm="1">
        <f t="array" ref="J255">_xlfn.IFS(I255=1,"Below College",I255=2,"College",I255=3,"Bachelor",I255=4,"Master",I255=5,"Doctor")</f>
        <v>College</v>
      </c>
      <c r="K255" t="s">
        <v>35</v>
      </c>
      <c r="L255">
        <v>347</v>
      </c>
      <c r="M255">
        <v>4</v>
      </c>
      <c r="N255" t="str" cm="1">
        <f t="array" ref="N255">_xlfn.IFS(M255=1,"Low",M255=2,"Medium",M255=3,"High",M255=4,"Very High")</f>
        <v>Very High</v>
      </c>
      <c r="O255" t="s">
        <v>36</v>
      </c>
      <c r="P255" s="2">
        <v>82</v>
      </c>
      <c r="Q255">
        <v>4</v>
      </c>
      <c r="R255" t="str" cm="1">
        <f t="array" ref="R255">_xlfn.IFS(Q255=1,"Low",Q255=2,"Medium",Q255=3,"High",Q255=4,"Very High")</f>
        <v>Very High</v>
      </c>
      <c r="S255">
        <v>2</v>
      </c>
      <c r="T255" t="str" cm="1">
        <f t="array" ref="T255">_xlfn.IFS(S255=1,"Entry Level",S255=2,"Junior",S255=3,"Mid-Level",S255=4,"Senior",S255=5,"Executive")</f>
        <v>Junior</v>
      </c>
      <c r="U255" t="s">
        <v>43</v>
      </c>
      <c r="V255">
        <v>1</v>
      </c>
      <c r="W255" t="str" cm="1">
        <f t="array" ref="W255">_xlfn.IFS(V255=1,"Low",V255=2,"Medium",V255=3,"High",V255=4,"Very High")</f>
        <v>Low</v>
      </c>
      <c r="X255" t="s">
        <v>38</v>
      </c>
      <c r="Y255" s="2">
        <v>6545</v>
      </c>
      <c r="Z255" s="2">
        <v>23016</v>
      </c>
      <c r="AA255">
        <v>3</v>
      </c>
      <c r="AB255" t="s">
        <v>32</v>
      </c>
      <c r="AC255">
        <v>13</v>
      </c>
      <c r="AD255">
        <v>3</v>
      </c>
      <c r="AE255" t="str" cm="1">
        <f t="array" ref="AE255">_xlfn.IFS(AD255=1,"Low",AD255=2,"Good",AD255=3,"Excellent",AD255=4,"Outstanding")</f>
        <v>Excellent</v>
      </c>
      <c r="AF255">
        <v>3</v>
      </c>
      <c r="AG255" t="str" cm="1">
        <f t="array" ref="AG255">_xlfn.IFS(AF255=1,"Low",AF255=2,"Medium",AF255=3,"High",AF255=4,"Very High")</f>
        <v>High</v>
      </c>
      <c r="AH255">
        <v>0</v>
      </c>
      <c r="AI255">
        <v>10</v>
      </c>
      <c r="AJ255">
        <v>1</v>
      </c>
      <c r="AK255">
        <v>3</v>
      </c>
      <c r="AL255" t="str" cm="1">
        <f t="array" ref="AL255">_xlfn.IFS(AK255=1,"Low",AK255=2,"Medium",AK255=3,"High",AK255=4,"Very High")</f>
        <v>High</v>
      </c>
      <c r="AM255">
        <v>3</v>
      </c>
      <c r="AN255">
        <v>2</v>
      </c>
      <c r="AO255">
        <v>0</v>
      </c>
      <c r="AP255">
        <v>2</v>
      </c>
    </row>
    <row r="256" spans="1:42">
      <c r="A256">
        <v>29</v>
      </c>
      <c r="B256" t="str" cm="1">
        <f t="array" ref="B256">_xlfn.IFS(A256&lt;=25,"18-25",A256&lt;=35,"26-35",A256&lt;=45,"36-45",A256&lt;=55,"46-55",A256&gt;55,"56+")</f>
        <v>26-35</v>
      </c>
      <c r="C256" t="s">
        <v>39</v>
      </c>
      <c r="D256" t="s">
        <v>33</v>
      </c>
      <c r="E256" s="2">
        <v>1247</v>
      </c>
      <c r="F256" t="s">
        <v>34</v>
      </c>
      <c r="G256">
        <v>20</v>
      </c>
      <c r="H256" t="str">
        <f t="shared" si="3"/>
        <v>11-20 km</v>
      </c>
      <c r="I256">
        <v>2</v>
      </c>
      <c r="J256" t="str" cm="1">
        <f t="array" ref="J256">_xlfn.IFS(I256=1,"Below College",I256=2,"College",I256=3,"Bachelor",I256=4,"Master",I256=5,"Doctor")</f>
        <v>College</v>
      </c>
      <c r="K256" t="s">
        <v>55</v>
      </c>
      <c r="L256">
        <v>349</v>
      </c>
      <c r="M256">
        <v>4</v>
      </c>
      <c r="N256" t="str" cm="1">
        <f t="array" ref="N256">_xlfn.IFS(M256=1,"Low",M256=2,"Medium",M256=3,"High",M256=4,"Very High")</f>
        <v>Very High</v>
      </c>
      <c r="O256" t="s">
        <v>42</v>
      </c>
      <c r="P256" s="2">
        <v>45</v>
      </c>
      <c r="Q256">
        <v>3</v>
      </c>
      <c r="R256" t="str" cm="1">
        <f t="array" ref="R256">_xlfn.IFS(Q256=1,"Low",Q256=2,"Medium",Q256=3,"High",Q256=4,"Very High")</f>
        <v>High</v>
      </c>
      <c r="S256">
        <v>2</v>
      </c>
      <c r="T256" t="str" cm="1">
        <f t="array" ref="T256">_xlfn.IFS(S256=1,"Entry Level",S256=2,"Junior",S256=3,"Mid-Level",S256=4,"Senior",S256=5,"Executive")</f>
        <v>Junior</v>
      </c>
      <c r="U256" t="s">
        <v>37</v>
      </c>
      <c r="V256">
        <v>4</v>
      </c>
      <c r="W256" t="str" cm="1">
        <f t="array" ref="W256">_xlfn.IFS(V256=1,"Low",V256=2,"Medium",V256=3,"High",V256=4,"Very High")</f>
        <v>Very High</v>
      </c>
      <c r="X256" t="s">
        <v>48</v>
      </c>
      <c r="Y256" s="2">
        <v>6931</v>
      </c>
      <c r="Z256" s="2">
        <v>10732</v>
      </c>
      <c r="AA256">
        <v>2</v>
      </c>
      <c r="AB256" t="s">
        <v>39</v>
      </c>
      <c r="AC256">
        <v>14</v>
      </c>
      <c r="AD256">
        <v>3</v>
      </c>
      <c r="AE256" t="str" cm="1">
        <f t="array" ref="AE256">_xlfn.IFS(AD256=1,"Low",AD256=2,"Good",AD256=3,"Excellent",AD256=4,"Outstanding")</f>
        <v>Excellent</v>
      </c>
      <c r="AF256">
        <v>4</v>
      </c>
      <c r="AG256" t="str" cm="1">
        <f t="array" ref="AG256">_xlfn.IFS(AF256=1,"Low",AF256=2,"Medium",AF256=3,"High",AF256=4,"Very High")</f>
        <v>Very High</v>
      </c>
      <c r="AH256">
        <v>1</v>
      </c>
      <c r="AI256">
        <v>10</v>
      </c>
      <c r="AJ256">
        <v>2</v>
      </c>
      <c r="AK256">
        <v>3</v>
      </c>
      <c r="AL256" t="str" cm="1">
        <f t="array" ref="AL256">_xlfn.IFS(AK256=1,"Low",AK256=2,"Medium",AK256=3,"High",AK256=4,"Very High")</f>
        <v>High</v>
      </c>
      <c r="AM256">
        <v>3</v>
      </c>
      <c r="AN256">
        <v>2</v>
      </c>
      <c r="AO256">
        <v>0</v>
      </c>
      <c r="AP256">
        <v>2</v>
      </c>
    </row>
    <row r="257" spans="1:42">
      <c r="A257">
        <v>25</v>
      </c>
      <c r="B257" t="str" cm="1">
        <f t="array" ref="B257">_xlfn.IFS(A257&lt;=25,"18-25",A257&lt;=35,"26-35",A257&lt;=45,"36-45",A257&lt;=55,"46-55",A257&gt;55,"56+")</f>
        <v>18-25</v>
      </c>
      <c r="C257" t="s">
        <v>39</v>
      </c>
      <c r="D257" t="s">
        <v>33</v>
      </c>
      <c r="E257" s="2">
        <v>685</v>
      </c>
      <c r="F257" t="s">
        <v>41</v>
      </c>
      <c r="G257">
        <v>1</v>
      </c>
      <c r="H257" t="str">
        <f t="shared" si="3"/>
        <v>1-10 km</v>
      </c>
      <c r="I257">
        <v>3</v>
      </c>
      <c r="J257" t="str" cm="1">
        <f t="array" ref="J257">_xlfn.IFS(I257=1,"Below College",I257=2,"College",I257=3,"Bachelor",I257=4,"Master",I257=5,"Doctor")</f>
        <v>Bachelor</v>
      </c>
      <c r="K257" t="s">
        <v>35</v>
      </c>
      <c r="L257">
        <v>350</v>
      </c>
      <c r="M257">
        <v>1</v>
      </c>
      <c r="N257" t="str" cm="1">
        <f t="array" ref="N257">_xlfn.IFS(M257=1,"Low",M257=2,"Medium",M257=3,"High",M257=4,"Very High")</f>
        <v>Low</v>
      </c>
      <c r="O257" t="s">
        <v>36</v>
      </c>
      <c r="P257" s="2">
        <v>62</v>
      </c>
      <c r="Q257">
        <v>3</v>
      </c>
      <c r="R257" t="str" cm="1">
        <f t="array" ref="R257">_xlfn.IFS(Q257=1,"Low",Q257=2,"Medium",Q257=3,"High",Q257=4,"Very High")</f>
        <v>High</v>
      </c>
      <c r="S257">
        <v>2</v>
      </c>
      <c r="T257" t="str" cm="1">
        <f t="array" ref="T257">_xlfn.IFS(S257=1,"Entry Level",S257=2,"Junior",S257=3,"Mid-Level",S257=4,"Senior",S257=5,"Executive")</f>
        <v>Junior</v>
      </c>
      <c r="U257" t="s">
        <v>49</v>
      </c>
      <c r="V257">
        <v>3</v>
      </c>
      <c r="W257" t="str" cm="1">
        <f t="array" ref="W257">_xlfn.IFS(V257=1,"Low",V257=2,"Medium",V257=3,"High",V257=4,"Very High")</f>
        <v>High</v>
      </c>
      <c r="X257" t="s">
        <v>44</v>
      </c>
      <c r="Y257" s="2">
        <v>4898</v>
      </c>
      <c r="Z257" s="2">
        <v>7505</v>
      </c>
      <c r="AA257">
        <v>0</v>
      </c>
      <c r="AB257" t="s">
        <v>39</v>
      </c>
      <c r="AC257">
        <v>12</v>
      </c>
      <c r="AD257">
        <v>3</v>
      </c>
      <c r="AE257" t="str" cm="1">
        <f t="array" ref="AE257">_xlfn.IFS(AD257=1,"Low",AD257=2,"Good",AD257=3,"Excellent",AD257=4,"Outstanding")</f>
        <v>Excellent</v>
      </c>
      <c r="AF257">
        <v>4</v>
      </c>
      <c r="AG257" t="str" cm="1">
        <f t="array" ref="AG257">_xlfn.IFS(AF257=1,"Low",AF257=2,"Medium",AF257=3,"High",AF257=4,"Very High")</f>
        <v>Very High</v>
      </c>
      <c r="AH257">
        <v>2</v>
      </c>
      <c r="AI257">
        <v>5</v>
      </c>
      <c r="AJ257">
        <v>3</v>
      </c>
      <c r="AK257">
        <v>3</v>
      </c>
      <c r="AL257" t="str" cm="1">
        <f t="array" ref="AL257">_xlfn.IFS(AK257=1,"Low",AK257=2,"Medium",AK257=3,"High",AK257=4,"Very High")</f>
        <v>High</v>
      </c>
      <c r="AM257">
        <v>4</v>
      </c>
      <c r="AN257">
        <v>2</v>
      </c>
      <c r="AO257">
        <v>1</v>
      </c>
      <c r="AP257">
        <v>2</v>
      </c>
    </row>
    <row r="258" spans="1:42">
      <c r="A258">
        <v>42</v>
      </c>
      <c r="B258" t="str" cm="1">
        <f t="array" ref="B258">_xlfn.IFS(A258&lt;=25,"18-25",A258&lt;=35,"26-35",A258&lt;=45,"36-45",A258&lt;=55,"46-55",A258&gt;55,"56+")</f>
        <v>36-45</v>
      </c>
      <c r="C258" t="s">
        <v>39</v>
      </c>
      <c r="D258" t="s">
        <v>33</v>
      </c>
      <c r="E258" s="2">
        <v>269</v>
      </c>
      <c r="F258" t="s">
        <v>41</v>
      </c>
      <c r="G258">
        <v>2</v>
      </c>
      <c r="H258" t="str">
        <f t="shared" si="3"/>
        <v>1-10 km</v>
      </c>
      <c r="I258">
        <v>3</v>
      </c>
      <c r="J258" t="str" cm="1">
        <f t="array" ref="J258">_xlfn.IFS(I258=1,"Below College",I258=2,"College",I258=3,"Bachelor",I258=4,"Master",I258=5,"Doctor")</f>
        <v>Bachelor</v>
      </c>
      <c r="K258" t="s">
        <v>47</v>
      </c>
      <c r="L258">
        <v>351</v>
      </c>
      <c r="M258">
        <v>4</v>
      </c>
      <c r="N258" t="str" cm="1">
        <f t="array" ref="N258">_xlfn.IFS(M258=1,"Low",M258=2,"Medium",M258=3,"High",M258=4,"Very High")</f>
        <v>Very High</v>
      </c>
      <c r="O258" t="s">
        <v>36</v>
      </c>
      <c r="P258" s="2">
        <v>56</v>
      </c>
      <c r="Q258">
        <v>2</v>
      </c>
      <c r="R258" t="str" cm="1">
        <f t="array" ref="R258">_xlfn.IFS(Q258=1,"Low",Q258=2,"Medium",Q258=3,"High",Q258=4,"Very High")</f>
        <v>Medium</v>
      </c>
      <c r="S258">
        <v>1</v>
      </c>
      <c r="T258" t="str" cm="1">
        <f t="array" ref="T258">_xlfn.IFS(S258=1,"Entry Level",S258=2,"Junior",S258=3,"Mid-Level",S258=4,"Senior",S258=5,"Executive")</f>
        <v>Entry Level</v>
      </c>
      <c r="U258" t="s">
        <v>46</v>
      </c>
      <c r="V258">
        <v>1</v>
      </c>
      <c r="W258" t="str" cm="1">
        <f t="array" ref="W258">_xlfn.IFS(V258=1,"Low",V258=2,"Medium",V258=3,"High",V258=4,"Very High")</f>
        <v>Low</v>
      </c>
      <c r="X258" t="s">
        <v>48</v>
      </c>
      <c r="Y258" s="2">
        <v>2593</v>
      </c>
      <c r="Z258" s="2">
        <v>8007</v>
      </c>
      <c r="AA258">
        <v>0</v>
      </c>
      <c r="AB258" t="s">
        <v>32</v>
      </c>
      <c r="AC258">
        <v>11</v>
      </c>
      <c r="AD258">
        <v>3</v>
      </c>
      <c r="AE258" t="str" cm="1">
        <f t="array" ref="AE258">_xlfn.IFS(AD258=1,"Low",AD258=2,"Good",AD258=3,"Excellent",AD258=4,"Outstanding")</f>
        <v>Excellent</v>
      </c>
      <c r="AF258">
        <v>3</v>
      </c>
      <c r="AG258" t="str" cm="1">
        <f t="array" ref="AG258">_xlfn.IFS(AF258=1,"Low",AF258=2,"Medium",AF258=3,"High",AF258=4,"Very High")</f>
        <v>High</v>
      </c>
      <c r="AH258">
        <v>1</v>
      </c>
      <c r="AI258">
        <v>10</v>
      </c>
      <c r="AJ258">
        <v>4</v>
      </c>
      <c r="AK258">
        <v>3</v>
      </c>
      <c r="AL258" t="str" cm="1">
        <f t="array" ref="AL258">_xlfn.IFS(AK258=1,"Low",AK258=2,"Medium",AK258=3,"High",AK258=4,"Very High")</f>
        <v>High</v>
      </c>
      <c r="AM258">
        <v>9</v>
      </c>
      <c r="AN258">
        <v>6</v>
      </c>
      <c r="AO258">
        <v>7</v>
      </c>
      <c r="AP258">
        <v>8</v>
      </c>
    </row>
    <row r="259" spans="1:42">
      <c r="A259">
        <v>40</v>
      </c>
      <c r="B259" t="str" cm="1">
        <f t="array" ref="B259">_xlfn.IFS(A259&lt;=25,"18-25",A259&lt;=35,"26-35",A259&lt;=45,"36-45",A259&lt;=55,"46-55",A259&gt;55,"56+")</f>
        <v>36-45</v>
      </c>
      <c r="C259" t="s">
        <v>39</v>
      </c>
      <c r="D259" t="s">
        <v>33</v>
      </c>
      <c r="E259" s="2">
        <v>1416</v>
      </c>
      <c r="F259" t="s">
        <v>41</v>
      </c>
      <c r="G259">
        <v>2</v>
      </c>
      <c r="H259" t="str">
        <f t="shared" ref="H259:H322" si="4">IF(G259&lt;=10,"1-10 km",IF(G259&lt;=20,"11-20 km",IF(G259&lt;=30,"21-30 km","31+ km")))</f>
        <v>1-10 km</v>
      </c>
      <c r="I259">
        <v>2</v>
      </c>
      <c r="J259" t="str" cm="1">
        <f t="array" ref="J259">_xlfn.IFS(I259=1,"Below College",I259=2,"College",I259=3,"Bachelor",I259=4,"Master",I259=5,"Doctor")</f>
        <v>College</v>
      </c>
      <c r="K259" t="s">
        <v>47</v>
      </c>
      <c r="L259">
        <v>352</v>
      </c>
      <c r="M259">
        <v>1</v>
      </c>
      <c r="N259" t="str" cm="1">
        <f t="array" ref="N259">_xlfn.IFS(M259=1,"Low",M259=2,"Medium",M259=3,"High",M259=4,"Very High")</f>
        <v>Low</v>
      </c>
      <c r="O259" t="s">
        <v>42</v>
      </c>
      <c r="P259" s="2">
        <v>49</v>
      </c>
      <c r="Q259">
        <v>3</v>
      </c>
      <c r="R259" t="str" cm="1">
        <f t="array" ref="R259">_xlfn.IFS(Q259=1,"Low",Q259=2,"Medium",Q259=3,"High",Q259=4,"Very High")</f>
        <v>High</v>
      </c>
      <c r="S259">
        <v>5</v>
      </c>
      <c r="T259" t="str" cm="1">
        <f t="array" ref="T259">_xlfn.IFS(S259=1,"Entry Level",S259=2,"Junior",S259=3,"Mid-Level",S259=4,"Senior",S259=5,"Executive")</f>
        <v>Executive</v>
      </c>
      <c r="U259" t="s">
        <v>54</v>
      </c>
      <c r="V259">
        <v>3</v>
      </c>
      <c r="W259" t="str" cm="1">
        <f t="array" ref="W259">_xlfn.IFS(V259=1,"Low",V259=2,"Medium",V259=3,"High",V259=4,"Very High")</f>
        <v>High</v>
      </c>
      <c r="X259" t="s">
        <v>48</v>
      </c>
      <c r="Y259" s="2">
        <v>19436</v>
      </c>
      <c r="Z259" s="2">
        <v>5949</v>
      </c>
      <c r="AA259">
        <v>0</v>
      </c>
      <c r="AB259" t="s">
        <v>39</v>
      </c>
      <c r="AC259">
        <v>19</v>
      </c>
      <c r="AD259">
        <v>3</v>
      </c>
      <c r="AE259" t="str" cm="1">
        <f t="array" ref="AE259">_xlfn.IFS(AD259=1,"Low",AD259=2,"Good",AD259=3,"Excellent",AD259=4,"Outstanding")</f>
        <v>Excellent</v>
      </c>
      <c r="AF259">
        <v>4</v>
      </c>
      <c r="AG259" t="str" cm="1">
        <f t="array" ref="AG259">_xlfn.IFS(AF259=1,"Low",AF259=2,"Medium",AF259=3,"High",AF259=4,"Very High")</f>
        <v>Very High</v>
      </c>
      <c r="AH259">
        <v>1</v>
      </c>
      <c r="AI259">
        <v>22</v>
      </c>
      <c r="AJ259">
        <v>5</v>
      </c>
      <c r="AK259">
        <v>3</v>
      </c>
      <c r="AL259" t="str" cm="1">
        <f t="array" ref="AL259">_xlfn.IFS(AK259=1,"Low",AK259=2,"Medium",AK259=3,"High",AK259=4,"Very High")</f>
        <v>High</v>
      </c>
      <c r="AM259">
        <v>21</v>
      </c>
      <c r="AN259">
        <v>7</v>
      </c>
      <c r="AO259">
        <v>3</v>
      </c>
      <c r="AP259">
        <v>9</v>
      </c>
    </row>
    <row r="260" spans="1:42">
      <c r="A260">
        <v>51</v>
      </c>
      <c r="B260" t="str" cm="1">
        <f t="array" ref="B260">_xlfn.IFS(A260&lt;=25,"18-25",A260&lt;=35,"26-35",A260&lt;=45,"36-45",A260&lt;=55,"46-55",A260&gt;55,"56+")</f>
        <v>46-55</v>
      </c>
      <c r="C260" t="s">
        <v>39</v>
      </c>
      <c r="D260" t="s">
        <v>33</v>
      </c>
      <c r="E260" s="2">
        <v>833</v>
      </c>
      <c r="F260" t="s">
        <v>41</v>
      </c>
      <c r="G260">
        <v>1</v>
      </c>
      <c r="H260" t="str">
        <f t="shared" si="4"/>
        <v>1-10 km</v>
      </c>
      <c r="I260">
        <v>3</v>
      </c>
      <c r="J260" t="str" cm="1">
        <f t="array" ref="J260">_xlfn.IFS(I260=1,"Below College",I260=2,"College",I260=3,"Bachelor",I260=4,"Master",I260=5,"Doctor")</f>
        <v>Bachelor</v>
      </c>
      <c r="K260" t="s">
        <v>35</v>
      </c>
      <c r="L260">
        <v>353</v>
      </c>
      <c r="M260">
        <v>3</v>
      </c>
      <c r="N260" t="str" cm="1">
        <f t="array" ref="N260">_xlfn.IFS(M260=1,"Low",M260=2,"Medium",M260=3,"High",M260=4,"Very High")</f>
        <v>High</v>
      </c>
      <c r="O260" t="s">
        <v>42</v>
      </c>
      <c r="P260" s="2">
        <v>96</v>
      </c>
      <c r="Q260">
        <v>3</v>
      </c>
      <c r="R260" t="str" cm="1">
        <f t="array" ref="R260">_xlfn.IFS(Q260=1,"Low",Q260=2,"Medium",Q260=3,"High",Q260=4,"Very High")</f>
        <v>High</v>
      </c>
      <c r="S260">
        <v>1</v>
      </c>
      <c r="T260" t="str" cm="1">
        <f t="array" ref="T260">_xlfn.IFS(S260=1,"Entry Level",S260=2,"Junior",S260=3,"Mid-Level",S260=4,"Senior",S260=5,"Executive")</f>
        <v>Entry Level</v>
      </c>
      <c r="U260" t="s">
        <v>43</v>
      </c>
      <c r="V260">
        <v>4</v>
      </c>
      <c r="W260" t="str" cm="1">
        <f t="array" ref="W260">_xlfn.IFS(V260=1,"Low",V260=2,"Medium",V260=3,"High",V260=4,"Very High")</f>
        <v>Very High</v>
      </c>
      <c r="X260" t="s">
        <v>44</v>
      </c>
      <c r="Y260" s="2">
        <v>2723</v>
      </c>
      <c r="Z260" s="2">
        <v>23231</v>
      </c>
      <c r="AA260">
        <v>1</v>
      </c>
      <c r="AB260" t="s">
        <v>39</v>
      </c>
      <c r="AC260">
        <v>11</v>
      </c>
      <c r="AD260">
        <v>3</v>
      </c>
      <c r="AE260" t="str" cm="1">
        <f t="array" ref="AE260">_xlfn.IFS(AD260=1,"Low",AD260=2,"Good",AD260=3,"Excellent",AD260=4,"Outstanding")</f>
        <v>Excellent</v>
      </c>
      <c r="AF260">
        <v>2</v>
      </c>
      <c r="AG260" t="str" cm="1">
        <f t="array" ref="AG260">_xlfn.IFS(AF260=1,"Low",AF260=2,"Medium",AF260=3,"High",AF260=4,"Very High")</f>
        <v>Medium</v>
      </c>
      <c r="AH260">
        <v>0</v>
      </c>
      <c r="AI260">
        <v>1</v>
      </c>
      <c r="AJ260">
        <v>0</v>
      </c>
      <c r="AK260">
        <v>2</v>
      </c>
      <c r="AL260" t="str" cm="1">
        <f t="array" ref="AL260">_xlfn.IFS(AK260=1,"Low",AK260=2,"Medium",AK260=3,"High",AK260=4,"Very High")</f>
        <v>Medium</v>
      </c>
      <c r="AM260">
        <v>1</v>
      </c>
      <c r="AN260">
        <v>0</v>
      </c>
      <c r="AO260">
        <v>0</v>
      </c>
      <c r="AP260">
        <v>0</v>
      </c>
    </row>
    <row r="261" spans="1:42">
      <c r="A261">
        <v>31</v>
      </c>
      <c r="B261" t="str" cm="1">
        <f t="array" ref="B261">_xlfn.IFS(A261&lt;=25,"18-25",A261&lt;=35,"26-35",A261&lt;=45,"36-45",A261&lt;=55,"46-55",A261&gt;55,"56+")</f>
        <v>26-35</v>
      </c>
      <c r="C261" t="s">
        <v>32</v>
      </c>
      <c r="D261" t="s">
        <v>40</v>
      </c>
      <c r="E261" s="2">
        <v>307</v>
      </c>
      <c r="F261" t="s">
        <v>41</v>
      </c>
      <c r="G261">
        <v>29</v>
      </c>
      <c r="H261" t="str">
        <f t="shared" si="4"/>
        <v>21-30 km</v>
      </c>
      <c r="I261">
        <v>2</v>
      </c>
      <c r="J261" t="str" cm="1">
        <f t="array" ref="J261">_xlfn.IFS(I261=1,"Below College",I261=2,"College",I261=3,"Bachelor",I261=4,"Master",I261=5,"Doctor")</f>
        <v>College</v>
      </c>
      <c r="K261" t="s">
        <v>47</v>
      </c>
      <c r="L261">
        <v>355</v>
      </c>
      <c r="M261">
        <v>3</v>
      </c>
      <c r="N261" t="str" cm="1">
        <f t="array" ref="N261">_xlfn.IFS(M261=1,"Low",M261=2,"Medium",M261=3,"High",M261=4,"Very High")</f>
        <v>High</v>
      </c>
      <c r="O261" t="s">
        <v>42</v>
      </c>
      <c r="P261" s="2">
        <v>71</v>
      </c>
      <c r="Q261">
        <v>2</v>
      </c>
      <c r="R261" t="str" cm="1">
        <f t="array" ref="R261">_xlfn.IFS(Q261=1,"Low",Q261=2,"Medium",Q261=3,"High",Q261=4,"Very High")</f>
        <v>Medium</v>
      </c>
      <c r="S261">
        <v>1</v>
      </c>
      <c r="T261" t="str" cm="1">
        <f t="array" ref="T261">_xlfn.IFS(S261=1,"Entry Level",S261=2,"Junior",S261=3,"Mid-Level",S261=4,"Senior",S261=5,"Executive")</f>
        <v>Entry Level</v>
      </c>
      <c r="U261" t="s">
        <v>46</v>
      </c>
      <c r="V261">
        <v>2</v>
      </c>
      <c r="W261" t="str" cm="1">
        <f t="array" ref="W261">_xlfn.IFS(V261=1,"Low",V261=2,"Medium",V261=3,"High",V261=4,"Very High")</f>
        <v>Medium</v>
      </c>
      <c r="X261" t="s">
        <v>38</v>
      </c>
      <c r="Y261" s="2">
        <v>3479</v>
      </c>
      <c r="Z261" s="2">
        <v>11652</v>
      </c>
      <c r="AA261">
        <v>0</v>
      </c>
      <c r="AB261" t="s">
        <v>39</v>
      </c>
      <c r="AC261">
        <v>11</v>
      </c>
      <c r="AD261">
        <v>3</v>
      </c>
      <c r="AE261" t="str" cm="1">
        <f t="array" ref="AE261">_xlfn.IFS(AD261=1,"Low",AD261=2,"Good",AD261=3,"Excellent",AD261=4,"Outstanding")</f>
        <v>Excellent</v>
      </c>
      <c r="AF261">
        <v>2</v>
      </c>
      <c r="AG261" t="str" cm="1">
        <f t="array" ref="AG261">_xlfn.IFS(AF261=1,"Low",AF261=2,"Medium",AF261=3,"High",AF261=4,"Very High")</f>
        <v>Medium</v>
      </c>
      <c r="AH261">
        <v>0</v>
      </c>
      <c r="AI261">
        <v>6</v>
      </c>
      <c r="AJ261">
        <v>2</v>
      </c>
      <c r="AK261">
        <v>4</v>
      </c>
      <c r="AL261" t="str" cm="1">
        <f t="array" ref="AL261">_xlfn.IFS(AK261=1,"Low",AK261=2,"Medium",AK261=3,"High",AK261=4,"Very High")</f>
        <v>Very High</v>
      </c>
      <c r="AM261">
        <v>5</v>
      </c>
      <c r="AN261">
        <v>4</v>
      </c>
      <c r="AO261">
        <v>1</v>
      </c>
      <c r="AP261">
        <v>4</v>
      </c>
    </row>
    <row r="262" spans="1:42">
      <c r="A262">
        <v>32</v>
      </c>
      <c r="B262" t="str" cm="1">
        <f t="array" ref="B262">_xlfn.IFS(A262&lt;=25,"18-25",A262&lt;=35,"26-35",A262&lt;=45,"36-45",A262&lt;=55,"46-55",A262&gt;55,"56+")</f>
        <v>26-35</v>
      </c>
      <c r="C262" t="s">
        <v>39</v>
      </c>
      <c r="D262" t="s">
        <v>40</v>
      </c>
      <c r="E262" s="2">
        <v>1311</v>
      </c>
      <c r="F262" t="s">
        <v>41</v>
      </c>
      <c r="G262">
        <v>7</v>
      </c>
      <c r="H262" t="str">
        <f t="shared" si="4"/>
        <v>1-10 km</v>
      </c>
      <c r="I262">
        <v>3</v>
      </c>
      <c r="J262" t="str" cm="1">
        <f t="array" ref="J262">_xlfn.IFS(I262=1,"Below College",I262=2,"College",I262=3,"Bachelor",I262=4,"Master",I262=5,"Doctor")</f>
        <v>Bachelor</v>
      </c>
      <c r="K262" t="s">
        <v>35</v>
      </c>
      <c r="L262">
        <v>359</v>
      </c>
      <c r="M262">
        <v>2</v>
      </c>
      <c r="N262" t="str" cm="1">
        <f t="array" ref="N262">_xlfn.IFS(M262=1,"Low",M262=2,"Medium",M262=3,"High",M262=4,"Very High")</f>
        <v>Medium</v>
      </c>
      <c r="O262" t="s">
        <v>42</v>
      </c>
      <c r="P262" s="2">
        <v>100</v>
      </c>
      <c r="Q262">
        <v>4</v>
      </c>
      <c r="R262" t="str" cm="1">
        <f t="array" ref="R262">_xlfn.IFS(Q262=1,"Low",Q262=2,"Medium",Q262=3,"High",Q262=4,"Very High")</f>
        <v>Very High</v>
      </c>
      <c r="S262">
        <v>1</v>
      </c>
      <c r="T262" t="str" cm="1">
        <f t="array" ref="T262">_xlfn.IFS(S262=1,"Entry Level",S262=2,"Junior",S262=3,"Mid-Level",S262=4,"Senior",S262=5,"Executive")</f>
        <v>Entry Level</v>
      </c>
      <c r="U262" t="s">
        <v>46</v>
      </c>
      <c r="V262">
        <v>2</v>
      </c>
      <c r="W262" t="str" cm="1">
        <f t="array" ref="W262">_xlfn.IFS(V262=1,"Low",V262=2,"Medium",V262=3,"High",V262=4,"Very High")</f>
        <v>Medium</v>
      </c>
      <c r="X262" t="s">
        <v>44</v>
      </c>
      <c r="Y262" s="2">
        <v>2794</v>
      </c>
      <c r="Z262" s="2">
        <v>26062</v>
      </c>
      <c r="AA262">
        <v>1</v>
      </c>
      <c r="AB262" t="s">
        <v>39</v>
      </c>
      <c r="AC262">
        <v>20</v>
      </c>
      <c r="AD262">
        <v>4</v>
      </c>
      <c r="AE262" t="str" cm="1">
        <f t="array" ref="AE262">_xlfn.IFS(AD262=1,"Low",AD262=2,"Good",AD262=3,"Excellent",AD262=4,"Outstanding")</f>
        <v>Outstanding</v>
      </c>
      <c r="AF262">
        <v>3</v>
      </c>
      <c r="AG262" t="str" cm="1">
        <f t="array" ref="AG262">_xlfn.IFS(AF262=1,"Low",AF262=2,"Medium",AF262=3,"High",AF262=4,"Very High")</f>
        <v>High</v>
      </c>
      <c r="AH262">
        <v>0</v>
      </c>
      <c r="AI262">
        <v>5</v>
      </c>
      <c r="AJ262">
        <v>3</v>
      </c>
      <c r="AK262">
        <v>1</v>
      </c>
      <c r="AL262" t="str" cm="1">
        <f t="array" ref="AL262">_xlfn.IFS(AK262=1,"Low",AK262=2,"Medium",AK262=3,"High",AK262=4,"Very High")</f>
        <v>Low</v>
      </c>
      <c r="AM262">
        <v>5</v>
      </c>
      <c r="AN262">
        <v>1</v>
      </c>
      <c r="AO262">
        <v>0</v>
      </c>
      <c r="AP262">
        <v>3</v>
      </c>
    </row>
    <row r="263" spans="1:42">
      <c r="A263">
        <v>38</v>
      </c>
      <c r="B263" t="str" cm="1">
        <f t="array" ref="B263">_xlfn.IFS(A263&lt;=25,"18-25",A263&lt;=35,"26-35",A263&lt;=45,"36-45",A263&lt;=55,"46-55",A263&gt;55,"56+")</f>
        <v>36-45</v>
      </c>
      <c r="C263" t="s">
        <v>39</v>
      </c>
      <c r="D263" t="s">
        <v>51</v>
      </c>
      <c r="E263" s="2">
        <v>1327</v>
      </c>
      <c r="F263" t="s">
        <v>34</v>
      </c>
      <c r="G263">
        <v>2</v>
      </c>
      <c r="H263" t="str">
        <f t="shared" si="4"/>
        <v>1-10 km</v>
      </c>
      <c r="I263">
        <v>2</v>
      </c>
      <c r="J263" t="str" cm="1">
        <f t="array" ref="J263">_xlfn.IFS(I263=1,"Below College",I263=2,"College",I263=3,"Bachelor",I263=4,"Master",I263=5,"Doctor")</f>
        <v>College</v>
      </c>
      <c r="K263" t="s">
        <v>35</v>
      </c>
      <c r="L263">
        <v>361</v>
      </c>
      <c r="M263">
        <v>4</v>
      </c>
      <c r="N263" t="str" cm="1">
        <f t="array" ref="N263">_xlfn.IFS(M263=1,"Low",M263=2,"Medium",M263=3,"High",M263=4,"Very High")</f>
        <v>Very High</v>
      </c>
      <c r="O263" t="s">
        <v>42</v>
      </c>
      <c r="P263" s="2">
        <v>39</v>
      </c>
      <c r="Q263">
        <v>2</v>
      </c>
      <c r="R263" t="str" cm="1">
        <f t="array" ref="R263">_xlfn.IFS(Q263=1,"Low",Q263=2,"Medium",Q263=3,"High",Q263=4,"Very High")</f>
        <v>Medium</v>
      </c>
      <c r="S263">
        <v>2</v>
      </c>
      <c r="T263" t="str" cm="1">
        <f t="array" ref="T263">_xlfn.IFS(S263=1,"Entry Level",S263=2,"Junior",S263=3,"Mid-Level",S263=4,"Senior",S263=5,"Executive")</f>
        <v>Junior</v>
      </c>
      <c r="U263" t="s">
        <v>37</v>
      </c>
      <c r="V263">
        <v>4</v>
      </c>
      <c r="W263" t="str" cm="1">
        <f t="array" ref="W263">_xlfn.IFS(V263=1,"Low",V263=2,"Medium",V263=3,"High",V263=4,"Very High")</f>
        <v>Very High</v>
      </c>
      <c r="X263" t="s">
        <v>44</v>
      </c>
      <c r="Y263" s="2">
        <v>5249</v>
      </c>
      <c r="Z263" s="2">
        <v>19682</v>
      </c>
      <c r="AA263">
        <v>3</v>
      </c>
      <c r="AB263" t="s">
        <v>39</v>
      </c>
      <c r="AC263">
        <v>18</v>
      </c>
      <c r="AD263">
        <v>3</v>
      </c>
      <c r="AE263" t="str" cm="1">
        <f t="array" ref="AE263">_xlfn.IFS(AD263=1,"Low",AD263=2,"Good",AD263=3,"Excellent",AD263=4,"Outstanding")</f>
        <v>Excellent</v>
      </c>
      <c r="AF263">
        <v>4</v>
      </c>
      <c r="AG263" t="str" cm="1">
        <f t="array" ref="AG263">_xlfn.IFS(AF263=1,"Low",AF263=2,"Medium",AF263=3,"High",AF263=4,"Very High")</f>
        <v>Very High</v>
      </c>
      <c r="AH263">
        <v>1</v>
      </c>
      <c r="AI263">
        <v>13</v>
      </c>
      <c r="AJ263">
        <v>0</v>
      </c>
      <c r="AK263">
        <v>3</v>
      </c>
      <c r="AL263" t="str" cm="1">
        <f t="array" ref="AL263">_xlfn.IFS(AK263=1,"Low",AK263=2,"Medium",AK263=3,"High",AK263=4,"Very High")</f>
        <v>High</v>
      </c>
      <c r="AM263">
        <v>8</v>
      </c>
      <c r="AN263">
        <v>7</v>
      </c>
      <c r="AO263">
        <v>7</v>
      </c>
      <c r="AP263">
        <v>5</v>
      </c>
    </row>
    <row r="264" spans="1:42">
      <c r="A264">
        <v>32</v>
      </c>
      <c r="B264" t="str" cm="1">
        <f t="array" ref="B264">_xlfn.IFS(A264&lt;=25,"18-25",A264&lt;=35,"26-35",A264&lt;=45,"36-45",A264&lt;=55,"46-55",A264&gt;55,"56+")</f>
        <v>26-35</v>
      </c>
      <c r="C264" t="s">
        <v>39</v>
      </c>
      <c r="D264" t="s">
        <v>33</v>
      </c>
      <c r="E264" s="2">
        <v>128</v>
      </c>
      <c r="F264" t="s">
        <v>41</v>
      </c>
      <c r="G264">
        <v>2</v>
      </c>
      <c r="H264" t="str">
        <f t="shared" si="4"/>
        <v>1-10 km</v>
      </c>
      <c r="I264">
        <v>1</v>
      </c>
      <c r="J264" t="str" cm="1">
        <f t="array" ref="J264">_xlfn.IFS(I264=1,"Below College",I264=2,"College",I264=3,"Bachelor",I264=4,"Master",I264=5,"Doctor")</f>
        <v>Below College</v>
      </c>
      <c r="K264" t="s">
        <v>56</v>
      </c>
      <c r="L264">
        <v>362</v>
      </c>
      <c r="M264">
        <v>4</v>
      </c>
      <c r="N264" t="str" cm="1">
        <f t="array" ref="N264">_xlfn.IFS(M264=1,"Low",M264=2,"Medium",M264=3,"High",M264=4,"Very High")</f>
        <v>Very High</v>
      </c>
      <c r="O264" t="s">
        <v>42</v>
      </c>
      <c r="P264" s="2">
        <v>84</v>
      </c>
      <c r="Q264">
        <v>2</v>
      </c>
      <c r="R264" t="str" cm="1">
        <f t="array" ref="R264">_xlfn.IFS(Q264=1,"Low",Q264=2,"Medium",Q264=3,"High",Q264=4,"Very High")</f>
        <v>Medium</v>
      </c>
      <c r="S264">
        <v>2</v>
      </c>
      <c r="T264" t="str" cm="1">
        <f t="array" ref="T264">_xlfn.IFS(S264=1,"Entry Level",S264=2,"Junior",S264=3,"Mid-Level",S264=4,"Senior",S264=5,"Executive")</f>
        <v>Junior</v>
      </c>
      <c r="U264" t="s">
        <v>46</v>
      </c>
      <c r="V264">
        <v>1</v>
      </c>
      <c r="W264" t="str" cm="1">
        <f t="array" ref="W264">_xlfn.IFS(V264=1,"Low",V264=2,"Medium",V264=3,"High",V264=4,"Very High")</f>
        <v>Low</v>
      </c>
      <c r="X264" t="s">
        <v>38</v>
      </c>
      <c r="Y264" s="2">
        <v>2176</v>
      </c>
      <c r="Z264" s="2">
        <v>19737</v>
      </c>
      <c r="AA264">
        <v>4</v>
      </c>
      <c r="AB264" t="s">
        <v>39</v>
      </c>
      <c r="AC264">
        <v>13</v>
      </c>
      <c r="AD264">
        <v>3</v>
      </c>
      <c r="AE264" t="str" cm="1">
        <f t="array" ref="AE264">_xlfn.IFS(AD264=1,"Low",AD264=2,"Good",AD264=3,"Excellent",AD264=4,"Outstanding")</f>
        <v>Excellent</v>
      </c>
      <c r="AF264">
        <v>4</v>
      </c>
      <c r="AG264" t="str" cm="1">
        <f t="array" ref="AG264">_xlfn.IFS(AF264=1,"Low",AF264=2,"Medium",AF264=3,"High",AF264=4,"Very High")</f>
        <v>Very High</v>
      </c>
      <c r="AH264">
        <v>0</v>
      </c>
      <c r="AI264">
        <v>9</v>
      </c>
      <c r="AJ264">
        <v>5</v>
      </c>
      <c r="AK264">
        <v>3</v>
      </c>
      <c r="AL264" t="str" cm="1">
        <f t="array" ref="AL264">_xlfn.IFS(AK264=1,"Low",AK264=2,"Medium",AK264=3,"High",AK264=4,"Very High")</f>
        <v>High</v>
      </c>
      <c r="AM264">
        <v>6</v>
      </c>
      <c r="AN264">
        <v>2</v>
      </c>
      <c r="AO264">
        <v>0</v>
      </c>
      <c r="AP264">
        <v>4</v>
      </c>
    </row>
    <row r="265" spans="1:42">
      <c r="A265">
        <v>46</v>
      </c>
      <c r="B265" t="str" cm="1">
        <f t="array" ref="B265">_xlfn.IFS(A265&lt;=25,"18-25",A265&lt;=35,"26-35",A265&lt;=45,"36-45",A265&lt;=55,"46-55",A265&gt;55,"56+")</f>
        <v>46-55</v>
      </c>
      <c r="C265" t="s">
        <v>39</v>
      </c>
      <c r="D265" t="s">
        <v>33</v>
      </c>
      <c r="E265" s="2">
        <v>488</v>
      </c>
      <c r="F265" t="s">
        <v>34</v>
      </c>
      <c r="G265">
        <v>2</v>
      </c>
      <c r="H265" t="str">
        <f t="shared" si="4"/>
        <v>1-10 km</v>
      </c>
      <c r="I265">
        <v>3</v>
      </c>
      <c r="J265" t="str" cm="1">
        <f t="array" ref="J265">_xlfn.IFS(I265=1,"Below College",I265=2,"College",I265=3,"Bachelor",I265=4,"Master",I265=5,"Doctor")</f>
        <v>Bachelor</v>
      </c>
      <c r="K265" t="s">
        <v>56</v>
      </c>
      <c r="L265">
        <v>363</v>
      </c>
      <c r="M265">
        <v>3</v>
      </c>
      <c r="N265" t="str" cm="1">
        <f t="array" ref="N265">_xlfn.IFS(M265=1,"Low",M265=2,"Medium",M265=3,"High",M265=4,"Very High")</f>
        <v>High</v>
      </c>
      <c r="O265" t="s">
        <v>36</v>
      </c>
      <c r="P265" s="2">
        <v>75</v>
      </c>
      <c r="Q265">
        <v>1</v>
      </c>
      <c r="R265" t="str" cm="1">
        <f t="array" ref="R265">_xlfn.IFS(Q265=1,"Low",Q265=2,"Medium",Q265=3,"High",Q265=4,"Very High")</f>
        <v>Low</v>
      </c>
      <c r="S265">
        <v>4</v>
      </c>
      <c r="T265" t="str" cm="1">
        <f t="array" ref="T265">_xlfn.IFS(S265=1,"Entry Level",S265=2,"Junior",S265=3,"Mid-Level",S265=4,"Senior",S265=5,"Executive")</f>
        <v>Senior</v>
      </c>
      <c r="U265" t="s">
        <v>52</v>
      </c>
      <c r="V265">
        <v>2</v>
      </c>
      <c r="W265" t="str" cm="1">
        <f t="array" ref="W265">_xlfn.IFS(V265=1,"Low",V265=2,"Medium",V265=3,"High",V265=4,"Very High")</f>
        <v>Medium</v>
      </c>
      <c r="X265" t="s">
        <v>44</v>
      </c>
      <c r="Y265" s="2">
        <v>16872</v>
      </c>
      <c r="Z265" s="2">
        <v>14977</v>
      </c>
      <c r="AA265">
        <v>3</v>
      </c>
      <c r="AB265" t="s">
        <v>32</v>
      </c>
      <c r="AC265">
        <v>12</v>
      </c>
      <c r="AD265">
        <v>3</v>
      </c>
      <c r="AE265" t="str" cm="1">
        <f t="array" ref="AE265">_xlfn.IFS(AD265=1,"Low",AD265=2,"Good",AD265=3,"Excellent",AD265=4,"Outstanding")</f>
        <v>Excellent</v>
      </c>
      <c r="AF265">
        <v>2</v>
      </c>
      <c r="AG265" t="str" cm="1">
        <f t="array" ref="AG265">_xlfn.IFS(AF265=1,"Low",AF265=2,"Medium",AF265=3,"High",AF265=4,"Very High")</f>
        <v>Medium</v>
      </c>
      <c r="AH265">
        <v>1</v>
      </c>
      <c r="AI265">
        <v>28</v>
      </c>
      <c r="AJ265">
        <v>2</v>
      </c>
      <c r="AK265">
        <v>2</v>
      </c>
      <c r="AL265" t="str" cm="1">
        <f t="array" ref="AL265">_xlfn.IFS(AK265=1,"Low",AK265=2,"Medium",AK265=3,"High",AK265=4,"Very High")</f>
        <v>Medium</v>
      </c>
      <c r="AM265">
        <v>7</v>
      </c>
      <c r="AN265">
        <v>7</v>
      </c>
      <c r="AO265">
        <v>7</v>
      </c>
      <c r="AP265">
        <v>7</v>
      </c>
    </row>
    <row r="266" spans="1:42">
      <c r="A266">
        <v>28</v>
      </c>
      <c r="B266" t="str" cm="1">
        <f t="array" ref="B266">_xlfn.IFS(A266&lt;=25,"18-25",A266&lt;=35,"26-35",A266&lt;=45,"36-45",A266&lt;=55,"46-55",A266&gt;55,"56+")</f>
        <v>26-35</v>
      </c>
      <c r="C266" t="s">
        <v>32</v>
      </c>
      <c r="D266" t="s">
        <v>33</v>
      </c>
      <c r="E266" s="2">
        <v>529</v>
      </c>
      <c r="F266" t="s">
        <v>41</v>
      </c>
      <c r="G266">
        <v>2</v>
      </c>
      <c r="H266" t="str">
        <f t="shared" si="4"/>
        <v>1-10 km</v>
      </c>
      <c r="I266">
        <v>4</v>
      </c>
      <c r="J266" t="str" cm="1">
        <f t="array" ref="J266">_xlfn.IFS(I266=1,"Below College",I266=2,"College",I266=3,"Bachelor",I266=4,"Master",I266=5,"Doctor")</f>
        <v>Master</v>
      </c>
      <c r="K266" t="s">
        <v>35</v>
      </c>
      <c r="L266">
        <v>364</v>
      </c>
      <c r="M266">
        <v>1</v>
      </c>
      <c r="N266" t="str" cm="1">
        <f t="array" ref="N266">_xlfn.IFS(M266=1,"Low",M266=2,"Medium",M266=3,"High",M266=4,"Very High")</f>
        <v>Low</v>
      </c>
      <c r="O266" t="s">
        <v>42</v>
      </c>
      <c r="P266" s="2">
        <v>79</v>
      </c>
      <c r="Q266">
        <v>3</v>
      </c>
      <c r="R266" t="str" cm="1">
        <f t="array" ref="R266">_xlfn.IFS(Q266=1,"Low",Q266=2,"Medium",Q266=3,"High",Q266=4,"Very High")</f>
        <v>High</v>
      </c>
      <c r="S266">
        <v>1</v>
      </c>
      <c r="T266" t="str" cm="1">
        <f t="array" ref="T266">_xlfn.IFS(S266=1,"Entry Level",S266=2,"Junior",S266=3,"Mid-Level",S266=4,"Senior",S266=5,"Executive")</f>
        <v>Entry Level</v>
      </c>
      <c r="U266" t="s">
        <v>46</v>
      </c>
      <c r="V266">
        <v>3</v>
      </c>
      <c r="W266" t="str" cm="1">
        <f t="array" ref="W266">_xlfn.IFS(V266=1,"Low",V266=2,"Medium",V266=3,"High",V266=4,"Very High")</f>
        <v>High</v>
      </c>
      <c r="X266" t="s">
        <v>38</v>
      </c>
      <c r="Y266" s="2">
        <v>3485</v>
      </c>
      <c r="Z266" s="2">
        <v>14935</v>
      </c>
      <c r="AA266">
        <v>2</v>
      </c>
      <c r="AB266" t="s">
        <v>39</v>
      </c>
      <c r="AC266">
        <v>11</v>
      </c>
      <c r="AD266">
        <v>3</v>
      </c>
      <c r="AE266" t="str" cm="1">
        <f t="array" ref="AE266">_xlfn.IFS(AD266=1,"Low",AD266=2,"Good",AD266=3,"Excellent",AD266=4,"Outstanding")</f>
        <v>Excellent</v>
      </c>
      <c r="AF266">
        <v>3</v>
      </c>
      <c r="AG266" t="str" cm="1">
        <f t="array" ref="AG266">_xlfn.IFS(AF266=1,"Low",AF266=2,"Medium",AF266=3,"High",AF266=4,"Very High")</f>
        <v>High</v>
      </c>
      <c r="AH266">
        <v>0</v>
      </c>
      <c r="AI266">
        <v>5</v>
      </c>
      <c r="AJ266">
        <v>5</v>
      </c>
      <c r="AK266">
        <v>1</v>
      </c>
      <c r="AL266" t="str" cm="1">
        <f t="array" ref="AL266">_xlfn.IFS(AK266=1,"Low",AK266=2,"Medium",AK266=3,"High",AK266=4,"Very High")</f>
        <v>Low</v>
      </c>
      <c r="AM266">
        <v>0</v>
      </c>
      <c r="AN266">
        <v>0</v>
      </c>
      <c r="AO266">
        <v>0</v>
      </c>
      <c r="AP266">
        <v>0</v>
      </c>
    </row>
    <row r="267" spans="1:42">
      <c r="A267">
        <v>29</v>
      </c>
      <c r="B267" t="str" cm="1">
        <f t="array" ref="B267">_xlfn.IFS(A267&lt;=25,"18-25",A267&lt;=35,"26-35",A267&lt;=45,"36-45",A267&lt;=55,"46-55",A267&gt;55,"56+")</f>
        <v>26-35</v>
      </c>
      <c r="C267" t="s">
        <v>39</v>
      </c>
      <c r="D267" t="s">
        <v>33</v>
      </c>
      <c r="E267" s="2">
        <v>1210</v>
      </c>
      <c r="F267" t="s">
        <v>34</v>
      </c>
      <c r="G267">
        <v>2</v>
      </c>
      <c r="H267" t="str">
        <f t="shared" si="4"/>
        <v>1-10 km</v>
      </c>
      <c r="I267">
        <v>3</v>
      </c>
      <c r="J267" t="str" cm="1">
        <f t="array" ref="J267">_xlfn.IFS(I267=1,"Below College",I267=2,"College",I267=3,"Bachelor",I267=4,"Master",I267=5,"Doctor")</f>
        <v>Bachelor</v>
      </c>
      <c r="K267" t="s">
        <v>47</v>
      </c>
      <c r="L267">
        <v>366</v>
      </c>
      <c r="M267">
        <v>1</v>
      </c>
      <c r="N267" t="str" cm="1">
        <f t="array" ref="N267">_xlfn.IFS(M267=1,"Low",M267=2,"Medium",M267=3,"High",M267=4,"Very High")</f>
        <v>Low</v>
      </c>
      <c r="O267" t="s">
        <v>42</v>
      </c>
      <c r="P267" s="2">
        <v>78</v>
      </c>
      <c r="Q267">
        <v>2</v>
      </c>
      <c r="R267" t="str" cm="1">
        <f t="array" ref="R267">_xlfn.IFS(Q267=1,"Low",Q267=2,"Medium",Q267=3,"High",Q267=4,"Very High")</f>
        <v>Medium</v>
      </c>
      <c r="S267">
        <v>2</v>
      </c>
      <c r="T267" t="str" cm="1">
        <f t="array" ref="T267">_xlfn.IFS(S267=1,"Entry Level",S267=2,"Junior",S267=3,"Mid-Level",S267=4,"Senior",S267=5,"Executive")</f>
        <v>Junior</v>
      </c>
      <c r="U267" t="s">
        <v>37</v>
      </c>
      <c r="V267">
        <v>2</v>
      </c>
      <c r="W267" t="str" cm="1">
        <f t="array" ref="W267">_xlfn.IFS(V267=1,"Low",V267=2,"Medium",V267=3,"High",V267=4,"Very High")</f>
        <v>Medium</v>
      </c>
      <c r="X267" t="s">
        <v>44</v>
      </c>
      <c r="Y267" s="2">
        <v>6644</v>
      </c>
      <c r="Z267" s="2">
        <v>3687</v>
      </c>
      <c r="AA267">
        <v>2</v>
      </c>
      <c r="AB267" t="s">
        <v>39</v>
      </c>
      <c r="AC267">
        <v>19</v>
      </c>
      <c r="AD267">
        <v>3</v>
      </c>
      <c r="AE267" t="str" cm="1">
        <f t="array" ref="AE267">_xlfn.IFS(AD267=1,"Low",AD267=2,"Good",AD267=3,"Excellent",AD267=4,"Outstanding")</f>
        <v>Excellent</v>
      </c>
      <c r="AF267">
        <v>2</v>
      </c>
      <c r="AG267" t="str" cm="1">
        <f t="array" ref="AG267">_xlfn.IFS(AF267=1,"Low",AF267=2,"Medium",AF267=3,"High",AF267=4,"Very High")</f>
        <v>Medium</v>
      </c>
      <c r="AH267">
        <v>2</v>
      </c>
      <c r="AI267">
        <v>10</v>
      </c>
      <c r="AJ267">
        <v>2</v>
      </c>
      <c r="AK267">
        <v>3</v>
      </c>
      <c r="AL267" t="str" cm="1">
        <f t="array" ref="AL267">_xlfn.IFS(AK267=1,"Low",AK267=2,"Medium",AK267=3,"High",AK267=4,"Very High")</f>
        <v>High</v>
      </c>
      <c r="AM267">
        <v>0</v>
      </c>
      <c r="AN267">
        <v>0</v>
      </c>
      <c r="AO267">
        <v>0</v>
      </c>
      <c r="AP267">
        <v>0</v>
      </c>
    </row>
    <row r="268" spans="1:42">
      <c r="A268">
        <v>31</v>
      </c>
      <c r="B268" t="str" cm="1">
        <f t="array" ref="B268">_xlfn.IFS(A268&lt;=25,"18-25",A268&lt;=35,"26-35",A268&lt;=45,"36-45",A268&lt;=55,"46-55",A268&gt;55,"56+")</f>
        <v>26-35</v>
      </c>
      <c r="C268" t="s">
        <v>39</v>
      </c>
      <c r="D268" t="s">
        <v>33</v>
      </c>
      <c r="E268" s="2">
        <v>1463</v>
      </c>
      <c r="F268" t="s">
        <v>41</v>
      </c>
      <c r="G268">
        <v>23</v>
      </c>
      <c r="H268" t="str">
        <f t="shared" si="4"/>
        <v>21-30 km</v>
      </c>
      <c r="I268">
        <v>3</v>
      </c>
      <c r="J268" t="str" cm="1">
        <f t="array" ref="J268">_xlfn.IFS(I268=1,"Below College",I268=2,"College",I268=3,"Bachelor",I268=4,"Master",I268=5,"Doctor")</f>
        <v>Bachelor</v>
      </c>
      <c r="K268" t="s">
        <v>47</v>
      </c>
      <c r="L268">
        <v>367</v>
      </c>
      <c r="M268">
        <v>2</v>
      </c>
      <c r="N268" t="str" cm="1">
        <f t="array" ref="N268">_xlfn.IFS(M268=1,"Low",M268=2,"Medium",M268=3,"High",M268=4,"Very High")</f>
        <v>Medium</v>
      </c>
      <c r="O268" t="s">
        <v>42</v>
      </c>
      <c r="P268" s="2">
        <v>64</v>
      </c>
      <c r="Q268">
        <v>2</v>
      </c>
      <c r="R268" t="str" cm="1">
        <f t="array" ref="R268">_xlfn.IFS(Q268=1,"Low",Q268=2,"Medium",Q268=3,"High",Q268=4,"Very High")</f>
        <v>Medium</v>
      </c>
      <c r="S268">
        <v>2</v>
      </c>
      <c r="T268" t="str" cm="1">
        <f t="array" ref="T268">_xlfn.IFS(S268=1,"Entry Level",S268=2,"Junior",S268=3,"Mid-Level",S268=4,"Senior",S268=5,"Executive")</f>
        <v>Junior</v>
      </c>
      <c r="U268" t="s">
        <v>50</v>
      </c>
      <c r="V268">
        <v>4</v>
      </c>
      <c r="W268" t="str" cm="1">
        <f t="array" ref="W268">_xlfn.IFS(V268=1,"Low",V268=2,"Medium",V268=3,"High",V268=4,"Very High")</f>
        <v>Very High</v>
      </c>
      <c r="X268" t="s">
        <v>44</v>
      </c>
      <c r="Y268" s="2">
        <v>5582</v>
      </c>
      <c r="Z268" s="2">
        <v>14408</v>
      </c>
      <c r="AA268">
        <v>0</v>
      </c>
      <c r="AB268" t="s">
        <v>39</v>
      </c>
      <c r="AC268">
        <v>21</v>
      </c>
      <c r="AD268">
        <v>4</v>
      </c>
      <c r="AE268" t="str" cm="1">
        <f t="array" ref="AE268">_xlfn.IFS(AD268=1,"Low",AD268=2,"Good",AD268=3,"Excellent",AD268=4,"Outstanding")</f>
        <v>Outstanding</v>
      </c>
      <c r="AF268">
        <v>2</v>
      </c>
      <c r="AG268" t="str" cm="1">
        <f t="array" ref="AG268">_xlfn.IFS(AF268=1,"Low",AF268=2,"Medium",AF268=3,"High",AF268=4,"Very High")</f>
        <v>Medium</v>
      </c>
      <c r="AH268">
        <v>1</v>
      </c>
      <c r="AI268">
        <v>10</v>
      </c>
      <c r="AJ268">
        <v>2</v>
      </c>
      <c r="AK268">
        <v>3</v>
      </c>
      <c r="AL268" t="str" cm="1">
        <f t="array" ref="AL268">_xlfn.IFS(AK268=1,"Low",AK268=2,"Medium",AK268=3,"High",AK268=4,"Very High")</f>
        <v>High</v>
      </c>
      <c r="AM268">
        <v>9</v>
      </c>
      <c r="AN268">
        <v>0</v>
      </c>
      <c r="AO268">
        <v>7</v>
      </c>
      <c r="AP268">
        <v>8</v>
      </c>
    </row>
    <row r="269" spans="1:42">
      <c r="A269">
        <v>25</v>
      </c>
      <c r="B269" t="str" cm="1">
        <f t="array" ref="B269">_xlfn.IFS(A269&lt;=25,"18-25",A269&lt;=35,"26-35",A269&lt;=45,"36-45",A269&lt;=55,"46-55",A269&gt;55,"56+")</f>
        <v>18-25</v>
      </c>
      <c r="C269" t="s">
        <v>39</v>
      </c>
      <c r="D269" t="s">
        <v>51</v>
      </c>
      <c r="E269" s="2">
        <v>675</v>
      </c>
      <c r="F269" t="s">
        <v>41</v>
      </c>
      <c r="G269">
        <v>5</v>
      </c>
      <c r="H269" t="str">
        <f t="shared" si="4"/>
        <v>1-10 km</v>
      </c>
      <c r="I269">
        <v>2</v>
      </c>
      <c r="J269" t="str" cm="1">
        <f t="array" ref="J269">_xlfn.IFS(I269=1,"Below College",I269=2,"College",I269=3,"Bachelor",I269=4,"Master",I269=5,"Doctor")</f>
        <v>College</v>
      </c>
      <c r="K269" t="s">
        <v>35</v>
      </c>
      <c r="L269">
        <v>369</v>
      </c>
      <c r="M269">
        <v>2</v>
      </c>
      <c r="N269" t="str" cm="1">
        <f t="array" ref="N269">_xlfn.IFS(M269=1,"Low",M269=2,"Medium",M269=3,"High",M269=4,"Very High")</f>
        <v>Medium</v>
      </c>
      <c r="O269" t="s">
        <v>42</v>
      </c>
      <c r="P269" s="2">
        <v>85</v>
      </c>
      <c r="Q269">
        <v>4</v>
      </c>
      <c r="R269" t="str" cm="1">
        <f t="array" ref="R269">_xlfn.IFS(Q269=1,"Low",Q269=2,"Medium",Q269=3,"High",Q269=4,"Very High")</f>
        <v>Very High</v>
      </c>
      <c r="S269">
        <v>2</v>
      </c>
      <c r="T269" t="str" cm="1">
        <f t="array" ref="T269">_xlfn.IFS(S269=1,"Entry Level",S269=2,"Junior",S269=3,"Mid-Level",S269=4,"Senior",S269=5,"Executive")</f>
        <v>Junior</v>
      </c>
      <c r="U269" t="s">
        <v>50</v>
      </c>
      <c r="V269">
        <v>1</v>
      </c>
      <c r="W269" t="str" cm="1">
        <f t="array" ref="W269">_xlfn.IFS(V269=1,"Low",V269=2,"Medium",V269=3,"High",V269=4,"Very High")</f>
        <v>Low</v>
      </c>
      <c r="X269" t="s">
        <v>48</v>
      </c>
      <c r="Y269" s="2">
        <v>4000</v>
      </c>
      <c r="Z269" s="2">
        <v>18384</v>
      </c>
      <c r="AA269">
        <v>1</v>
      </c>
      <c r="AB269" t="s">
        <v>39</v>
      </c>
      <c r="AC269">
        <v>12</v>
      </c>
      <c r="AD269">
        <v>3</v>
      </c>
      <c r="AE269" t="str" cm="1">
        <f t="array" ref="AE269">_xlfn.IFS(AD269=1,"Low",AD269=2,"Good",AD269=3,"Excellent",AD269=4,"Outstanding")</f>
        <v>Excellent</v>
      </c>
      <c r="AF269">
        <v>4</v>
      </c>
      <c r="AG269" t="str" cm="1">
        <f t="array" ref="AG269">_xlfn.IFS(AF269=1,"Low",AF269=2,"Medium",AF269=3,"High",AF269=4,"Very High")</f>
        <v>Very High</v>
      </c>
      <c r="AH269">
        <v>2</v>
      </c>
      <c r="AI269">
        <v>6</v>
      </c>
      <c r="AJ269">
        <v>2</v>
      </c>
      <c r="AK269">
        <v>3</v>
      </c>
      <c r="AL269" t="str" cm="1">
        <f t="array" ref="AL269">_xlfn.IFS(AK269=1,"Low",AK269=2,"Medium",AK269=3,"High",AK269=4,"Very High")</f>
        <v>High</v>
      </c>
      <c r="AM269">
        <v>6</v>
      </c>
      <c r="AN269">
        <v>3</v>
      </c>
      <c r="AO269">
        <v>1</v>
      </c>
      <c r="AP269">
        <v>5</v>
      </c>
    </row>
    <row r="270" spans="1:42">
      <c r="A270">
        <v>45</v>
      </c>
      <c r="B270" t="str" cm="1">
        <f t="array" ref="B270">_xlfn.IFS(A270&lt;=25,"18-25",A270&lt;=35,"26-35",A270&lt;=45,"36-45",A270&lt;=55,"46-55",A270&gt;55,"56+")</f>
        <v>36-45</v>
      </c>
      <c r="C270" t="s">
        <v>39</v>
      </c>
      <c r="D270" t="s">
        <v>33</v>
      </c>
      <c r="E270" s="2">
        <v>1385</v>
      </c>
      <c r="F270" t="s">
        <v>41</v>
      </c>
      <c r="G270">
        <v>20</v>
      </c>
      <c r="H270" t="str">
        <f t="shared" si="4"/>
        <v>11-20 km</v>
      </c>
      <c r="I270">
        <v>2</v>
      </c>
      <c r="J270" t="str" cm="1">
        <f t="array" ref="J270">_xlfn.IFS(I270=1,"Below College",I270=2,"College",I270=3,"Bachelor",I270=4,"Master",I270=5,"Doctor")</f>
        <v>College</v>
      </c>
      <c r="K270" t="s">
        <v>47</v>
      </c>
      <c r="L270">
        <v>372</v>
      </c>
      <c r="M270">
        <v>3</v>
      </c>
      <c r="N270" t="str" cm="1">
        <f t="array" ref="N270">_xlfn.IFS(M270=1,"Low",M270=2,"Medium",M270=3,"High",M270=4,"Very High")</f>
        <v>High</v>
      </c>
      <c r="O270" t="s">
        <v>42</v>
      </c>
      <c r="P270" s="2">
        <v>79</v>
      </c>
      <c r="Q270">
        <v>3</v>
      </c>
      <c r="R270" t="str" cm="1">
        <f t="array" ref="R270">_xlfn.IFS(Q270=1,"Low",Q270=2,"Medium",Q270=3,"High",Q270=4,"Very High")</f>
        <v>High</v>
      </c>
      <c r="S270">
        <v>4</v>
      </c>
      <c r="T270" t="str" cm="1">
        <f t="array" ref="T270">_xlfn.IFS(S270=1,"Entry Level",S270=2,"Junior",S270=3,"Mid-Level",S270=4,"Senior",S270=5,"Executive")</f>
        <v>Senior</v>
      </c>
      <c r="U270" t="s">
        <v>50</v>
      </c>
      <c r="V270">
        <v>4</v>
      </c>
      <c r="W270" t="str" cm="1">
        <f t="array" ref="W270">_xlfn.IFS(V270=1,"Low",V270=2,"Medium",V270=3,"High",V270=4,"Very High")</f>
        <v>Very High</v>
      </c>
      <c r="X270" t="s">
        <v>44</v>
      </c>
      <c r="Y270" s="2">
        <v>13496</v>
      </c>
      <c r="Z270" s="2">
        <v>7501</v>
      </c>
      <c r="AA270">
        <v>0</v>
      </c>
      <c r="AB270" t="s">
        <v>32</v>
      </c>
      <c r="AC270">
        <v>14</v>
      </c>
      <c r="AD270">
        <v>3</v>
      </c>
      <c r="AE270" t="str" cm="1">
        <f t="array" ref="AE270">_xlfn.IFS(AD270=1,"Low",AD270=2,"Good",AD270=3,"Excellent",AD270=4,"Outstanding")</f>
        <v>Excellent</v>
      </c>
      <c r="AF270">
        <v>2</v>
      </c>
      <c r="AG270" t="str" cm="1">
        <f t="array" ref="AG270">_xlfn.IFS(AF270=1,"Low",AF270=2,"Medium",AF270=3,"High",AF270=4,"Very High")</f>
        <v>Medium</v>
      </c>
      <c r="AH270">
        <v>0</v>
      </c>
      <c r="AI270">
        <v>21</v>
      </c>
      <c r="AJ270">
        <v>2</v>
      </c>
      <c r="AK270">
        <v>3</v>
      </c>
      <c r="AL270" t="str" cm="1">
        <f t="array" ref="AL270">_xlfn.IFS(AK270=1,"Low",AK270=2,"Medium",AK270=3,"High",AK270=4,"Very High")</f>
        <v>High</v>
      </c>
      <c r="AM270">
        <v>20</v>
      </c>
      <c r="AN270">
        <v>7</v>
      </c>
      <c r="AO270">
        <v>4</v>
      </c>
      <c r="AP270">
        <v>10</v>
      </c>
    </row>
    <row r="271" spans="1:42">
      <c r="A271">
        <v>36</v>
      </c>
      <c r="B271" t="str" cm="1">
        <f t="array" ref="B271">_xlfn.IFS(A271&lt;=25,"18-25",A271&lt;=35,"26-35",A271&lt;=45,"36-45",A271&lt;=55,"46-55",A271&gt;55,"56+")</f>
        <v>36-45</v>
      </c>
      <c r="C271" t="s">
        <v>39</v>
      </c>
      <c r="D271" t="s">
        <v>33</v>
      </c>
      <c r="E271" s="2">
        <v>1403</v>
      </c>
      <c r="F271" t="s">
        <v>41</v>
      </c>
      <c r="G271">
        <v>6</v>
      </c>
      <c r="H271" t="str">
        <f t="shared" si="4"/>
        <v>1-10 km</v>
      </c>
      <c r="I271">
        <v>3</v>
      </c>
      <c r="J271" t="str" cm="1">
        <f t="array" ref="J271">_xlfn.IFS(I271=1,"Below College",I271=2,"College",I271=3,"Bachelor",I271=4,"Master",I271=5,"Doctor")</f>
        <v>Bachelor</v>
      </c>
      <c r="K271" t="s">
        <v>35</v>
      </c>
      <c r="L271">
        <v>373</v>
      </c>
      <c r="M271">
        <v>4</v>
      </c>
      <c r="N271" t="str" cm="1">
        <f t="array" ref="N271">_xlfn.IFS(M271=1,"Low",M271=2,"Medium",M271=3,"High",M271=4,"Very High")</f>
        <v>Very High</v>
      </c>
      <c r="O271" t="s">
        <v>42</v>
      </c>
      <c r="P271" s="2">
        <v>47</v>
      </c>
      <c r="Q271">
        <v>3</v>
      </c>
      <c r="R271" t="str" cm="1">
        <f t="array" ref="R271">_xlfn.IFS(Q271=1,"Low",Q271=2,"Medium",Q271=3,"High",Q271=4,"Very High")</f>
        <v>High</v>
      </c>
      <c r="S271">
        <v>1</v>
      </c>
      <c r="T271" t="str" cm="1">
        <f t="array" ref="T271">_xlfn.IFS(S271=1,"Entry Level",S271=2,"Junior",S271=3,"Mid-Level",S271=4,"Senior",S271=5,"Executive")</f>
        <v>Entry Level</v>
      </c>
      <c r="U271" t="s">
        <v>46</v>
      </c>
      <c r="V271">
        <v>4</v>
      </c>
      <c r="W271" t="str" cm="1">
        <f t="array" ref="W271">_xlfn.IFS(V271=1,"Low",V271=2,"Medium",V271=3,"High",V271=4,"Very High")</f>
        <v>Very High</v>
      </c>
      <c r="X271" t="s">
        <v>44</v>
      </c>
      <c r="Y271" s="2">
        <v>3210</v>
      </c>
      <c r="Z271" s="2">
        <v>20251</v>
      </c>
      <c r="AA271">
        <v>0</v>
      </c>
      <c r="AB271" t="s">
        <v>39</v>
      </c>
      <c r="AC271">
        <v>11</v>
      </c>
      <c r="AD271">
        <v>3</v>
      </c>
      <c r="AE271" t="str" cm="1">
        <f t="array" ref="AE271">_xlfn.IFS(AD271=1,"Low",AD271=2,"Good",AD271=3,"Excellent",AD271=4,"Outstanding")</f>
        <v>Excellent</v>
      </c>
      <c r="AF271">
        <v>3</v>
      </c>
      <c r="AG271" t="str" cm="1">
        <f t="array" ref="AG271">_xlfn.IFS(AF271=1,"Low",AF271=2,"Medium",AF271=3,"High",AF271=4,"Very High")</f>
        <v>High</v>
      </c>
      <c r="AH271">
        <v>1</v>
      </c>
      <c r="AI271">
        <v>16</v>
      </c>
      <c r="AJ271">
        <v>4</v>
      </c>
      <c r="AK271">
        <v>3</v>
      </c>
      <c r="AL271" t="str" cm="1">
        <f t="array" ref="AL271">_xlfn.IFS(AK271=1,"Low",AK271=2,"Medium",AK271=3,"High",AK271=4,"Very High")</f>
        <v>High</v>
      </c>
      <c r="AM271">
        <v>15</v>
      </c>
      <c r="AN271">
        <v>13</v>
      </c>
      <c r="AO271">
        <v>10</v>
      </c>
      <c r="AP271">
        <v>11</v>
      </c>
    </row>
    <row r="272" spans="1:42">
      <c r="A272">
        <v>55</v>
      </c>
      <c r="B272" t="str" cm="1">
        <f t="array" ref="B272">_xlfn.IFS(A272&lt;=25,"18-25",A272&lt;=35,"26-35",A272&lt;=45,"36-45",A272&lt;=55,"46-55",A272&gt;55,"56+")</f>
        <v>46-55</v>
      </c>
      <c r="C272" t="s">
        <v>39</v>
      </c>
      <c r="D272" t="s">
        <v>33</v>
      </c>
      <c r="E272" s="2">
        <v>452</v>
      </c>
      <c r="F272" t="s">
        <v>41</v>
      </c>
      <c r="G272">
        <v>1</v>
      </c>
      <c r="H272" t="str">
        <f t="shared" si="4"/>
        <v>1-10 km</v>
      </c>
      <c r="I272">
        <v>3</v>
      </c>
      <c r="J272" t="str" cm="1">
        <f t="array" ref="J272">_xlfn.IFS(I272=1,"Below College",I272=2,"College",I272=3,"Bachelor",I272=4,"Master",I272=5,"Doctor")</f>
        <v>Bachelor</v>
      </c>
      <c r="K272" t="s">
        <v>47</v>
      </c>
      <c r="L272">
        <v>374</v>
      </c>
      <c r="M272">
        <v>4</v>
      </c>
      <c r="N272" t="str" cm="1">
        <f t="array" ref="N272">_xlfn.IFS(M272=1,"Low",M272=2,"Medium",M272=3,"High",M272=4,"Very High")</f>
        <v>Very High</v>
      </c>
      <c r="O272" t="s">
        <v>42</v>
      </c>
      <c r="P272" s="2">
        <v>81</v>
      </c>
      <c r="Q272">
        <v>3</v>
      </c>
      <c r="R272" t="str" cm="1">
        <f t="array" ref="R272">_xlfn.IFS(Q272=1,"Low",Q272=2,"Medium",Q272=3,"High",Q272=4,"Very High")</f>
        <v>High</v>
      </c>
      <c r="S272">
        <v>5</v>
      </c>
      <c r="T272" t="str" cm="1">
        <f t="array" ref="T272">_xlfn.IFS(S272=1,"Entry Level",S272=2,"Junior",S272=3,"Mid-Level",S272=4,"Senior",S272=5,"Executive")</f>
        <v>Executive</v>
      </c>
      <c r="U272" t="s">
        <v>52</v>
      </c>
      <c r="V272">
        <v>1</v>
      </c>
      <c r="W272" t="str" cm="1">
        <f t="array" ref="W272">_xlfn.IFS(V272=1,"Low",V272=2,"Medium",V272=3,"High",V272=4,"Very High")</f>
        <v>Low</v>
      </c>
      <c r="X272" t="s">
        <v>38</v>
      </c>
      <c r="Y272" s="2">
        <v>19045</v>
      </c>
      <c r="Z272" s="2">
        <v>18938</v>
      </c>
      <c r="AA272">
        <v>0</v>
      </c>
      <c r="AB272" t="s">
        <v>32</v>
      </c>
      <c r="AC272">
        <v>14</v>
      </c>
      <c r="AD272">
        <v>3</v>
      </c>
      <c r="AE272" t="str" cm="1">
        <f t="array" ref="AE272">_xlfn.IFS(AD272=1,"Low",AD272=2,"Good",AD272=3,"Excellent",AD272=4,"Outstanding")</f>
        <v>Excellent</v>
      </c>
      <c r="AF272">
        <v>3</v>
      </c>
      <c r="AG272" t="str" cm="1">
        <f t="array" ref="AG272">_xlfn.IFS(AF272=1,"Low",AF272=2,"Medium",AF272=3,"High",AF272=4,"Very High")</f>
        <v>High</v>
      </c>
      <c r="AH272">
        <v>0</v>
      </c>
      <c r="AI272">
        <v>37</v>
      </c>
      <c r="AJ272">
        <v>2</v>
      </c>
      <c r="AK272">
        <v>3</v>
      </c>
      <c r="AL272" t="str" cm="1">
        <f t="array" ref="AL272">_xlfn.IFS(AK272=1,"Low",AK272=2,"Medium",AK272=3,"High",AK272=4,"Very High")</f>
        <v>High</v>
      </c>
      <c r="AM272">
        <v>36</v>
      </c>
      <c r="AN272">
        <v>10</v>
      </c>
      <c r="AO272">
        <v>4</v>
      </c>
      <c r="AP272">
        <v>13</v>
      </c>
    </row>
    <row r="273" spans="1:42">
      <c r="A273">
        <v>47</v>
      </c>
      <c r="B273" t="str" cm="1">
        <f t="array" ref="B273">_xlfn.IFS(A273&lt;=25,"18-25",A273&lt;=35,"26-35",A273&lt;=45,"36-45",A273&lt;=55,"46-55",A273&gt;55,"56+")</f>
        <v>46-55</v>
      </c>
      <c r="C273" t="s">
        <v>32</v>
      </c>
      <c r="D273" t="s">
        <v>51</v>
      </c>
      <c r="E273" s="2">
        <v>666</v>
      </c>
      <c r="F273" t="s">
        <v>41</v>
      </c>
      <c r="G273">
        <v>29</v>
      </c>
      <c r="H273" t="str">
        <f t="shared" si="4"/>
        <v>21-30 km</v>
      </c>
      <c r="I273">
        <v>4</v>
      </c>
      <c r="J273" t="str" cm="1">
        <f t="array" ref="J273">_xlfn.IFS(I273=1,"Below College",I273=2,"College",I273=3,"Bachelor",I273=4,"Master",I273=5,"Doctor")</f>
        <v>Master</v>
      </c>
      <c r="K273" t="s">
        <v>35</v>
      </c>
      <c r="L273">
        <v>376</v>
      </c>
      <c r="M273">
        <v>1</v>
      </c>
      <c r="N273" t="str" cm="1">
        <f t="array" ref="N273">_xlfn.IFS(M273=1,"Low",M273=2,"Medium",M273=3,"High",M273=4,"Very High")</f>
        <v>Low</v>
      </c>
      <c r="O273" t="s">
        <v>42</v>
      </c>
      <c r="P273" s="2">
        <v>88</v>
      </c>
      <c r="Q273">
        <v>3</v>
      </c>
      <c r="R273" t="str" cm="1">
        <f t="array" ref="R273">_xlfn.IFS(Q273=1,"Low",Q273=2,"Medium",Q273=3,"High",Q273=4,"Very High")</f>
        <v>High</v>
      </c>
      <c r="S273">
        <v>3</v>
      </c>
      <c r="T273" t="str" cm="1">
        <f t="array" ref="T273">_xlfn.IFS(S273=1,"Entry Level",S273=2,"Junior",S273=3,"Mid-Level",S273=4,"Senior",S273=5,"Executive")</f>
        <v>Mid-Level</v>
      </c>
      <c r="U273" t="s">
        <v>52</v>
      </c>
      <c r="V273">
        <v>2</v>
      </c>
      <c r="W273" t="str" cm="1">
        <f t="array" ref="W273">_xlfn.IFS(V273=1,"Low",V273=2,"Medium",V273=3,"High",V273=4,"Very High")</f>
        <v>Medium</v>
      </c>
      <c r="X273" t="s">
        <v>44</v>
      </c>
      <c r="Y273" s="2">
        <v>11849</v>
      </c>
      <c r="Z273" s="2">
        <v>10268</v>
      </c>
      <c r="AA273">
        <v>1</v>
      </c>
      <c r="AB273" t="s">
        <v>32</v>
      </c>
      <c r="AC273">
        <v>12</v>
      </c>
      <c r="AD273">
        <v>3</v>
      </c>
      <c r="AE273" t="str" cm="1">
        <f t="array" ref="AE273">_xlfn.IFS(AD273=1,"Low",AD273=2,"Good",AD273=3,"Excellent",AD273=4,"Outstanding")</f>
        <v>Excellent</v>
      </c>
      <c r="AF273">
        <v>4</v>
      </c>
      <c r="AG273" t="str" cm="1">
        <f t="array" ref="AG273">_xlfn.IFS(AF273=1,"Low",AF273=2,"Medium",AF273=3,"High",AF273=4,"Very High")</f>
        <v>Very High</v>
      </c>
      <c r="AH273">
        <v>1</v>
      </c>
      <c r="AI273">
        <v>10</v>
      </c>
      <c r="AJ273">
        <v>2</v>
      </c>
      <c r="AK273">
        <v>2</v>
      </c>
      <c r="AL273" t="str" cm="1">
        <f t="array" ref="AL273">_xlfn.IFS(AK273=1,"Low",AK273=2,"Medium",AK273=3,"High",AK273=4,"Very High")</f>
        <v>Medium</v>
      </c>
      <c r="AM273">
        <v>10</v>
      </c>
      <c r="AN273">
        <v>7</v>
      </c>
      <c r="AO273">
        <v>9</v>
      </c>
      <c r="AP273">
        <v>9</v>
      </c>
    </row>
    <row r="274" spans="1:42">
      <c r="A274">
        <v>28</v>
      </c>
      <c r="B274" t="str" cm="1">
        <f t="array" ref="B274">_xlfn.IFS(A274&lt;=25,"18-25",A274&lt;=35,"26-35",A274&lt;=45,"36-45",A274&lt;=55,"46-55",A274&gt;55,"56+")</f>
        <v>26-35</v>
      </c>
      <c r="C274" t="s">
        <v>39</v>
      </c>
      <c r="D274" t="s">
        <v>33</v>
      </c>
      <c r="E274" s="2">
        <v>1158</v>
      </c>
      <c r="F274" t="s">
        <v>41</v>
      </c>
      <c r="G274">
        <v>9</v>
      </c>
      <c r="H274" t="str">
        <f t="shared" si="4"/>
        <v>1-10 km</v>
      </c>
      <c r="I274">
        <v>3</v>
      </c>
      <c r="J274" t="str" cm="1">
        <f t="array" ref="J274">_xlfn.IFS(I274=1,"Below College",I274=2,"College",I274=3,"Bachelor",I274=4,"Master",I274=5,"Doctor")</f>
        <v>Bachelor</v>
      </c>
      <c r="K274" t="s">
        <v>47</v>
      </c>
      <c r="L274">
        <v>377</v>
      </c>
      <c r="M274">
        <v>4</v>
      </c>
      <c r="N274" t="str" cm="1">
        <f t="array" ref="N274">_xlfn.IFS(M274=1,"Low",M274=2,"Medium",M274=3,"High",M274=4,"Very High")</f>
        <v>Very High</v>
      </c>
      <c r="O274" t="s">
        <v>42</v>
      </c>
      <c r="P274" s="2">
        <v>94</v>
      </c>
      <c r="Q274">
        <v>3</v>
      </c>
      <c r="R274" t="str" cm="1">
        <f t="array" ref="R274">_xlfn.IFS(Q274=1,"Low",Q274=2,"Medium",Q274=3,"High",Q274=4,"Very High")</f>
        <v>High</v>
      </c>
      <c r="S274">
        <v>1</v>
      </c>
      <c r="T274" t="str" cm="1">
        <f t="array" ref="T274">_xlfn.IFS(S274=1,"Entry Level",S274=2,"Junior",S274=3,"Mid-Level",S274=4,"Senior",S274=5,"Executive")</f>
        <v>Entry Level</v>
      </c>
      <c r="U274" t="s">
        <v>43</v>
      </c>
      <c r="V274">
        <v>4</v>
      </c>
      <c r="W274" t="str" cm="1">
        <f t="array" ref="W274">_xlfn.IFS(V274=1,"Low",V274=2,"Medium",V274=3,"High",V274=4,"Very High")</f>
        <v>Very High</v>
      </c>
      <c r="X274" t="s">
        <v>44</v>
      </c>
      <c r="Y274" s="2">
        <v>2070</v>
      </c>
      <c r="Z274" s="2">
        <v>2613</v>
      </c>
      <c r="AA274">
        <v>1</v>
      </c>
      <c r="AB274" t="s">
        <v>39</v>
      </c>
      <c r="AC274">
        <v>23</v>
      </c>
      <c r="AD274">
        <v>4</v>
      </c>
      <c r="AE274" t="str" cm="1">
        <f t="array" ref="AE274">_xlfn.IFS(AD274=1,"Low",AD274=2,"Good",AD274=3,"Excellent",AD274=4,"Outstanding")</f>
        <v>Outstanding</v>
      </c>
      <c r="AF274">
        <v>4</v>
      </c>
      <c r="AG274" t="str" cm="1">
        <f t="array" ref="AG274">_xlfn.IFS(AF274=1,"Low",AF274=2,"Medium",AF274=3,"High",AF274=4,"Very High")</f>
        <v>Very High</v>
      </c>
      <c r="AH274">
        <v>1</v>
      </c>
      <c r="AI274">
        <v>5</v>
      </c>
      <c r="AJ274">
        <v>3</v>
      </c>
      <c r="AK274">
        <v>2</v>
      </c>
      <c r="AL274" t="str" cm="1">
        <f t="array" ref="AL274">_xlfn.IFS(AK274=1,"Low",AK274=2,"Medium",AK274=3,"High",AK274=4,"Very High")</f>
        <v>Medium</v>
      </c>
      <c r="AM274">
        <v>5</v>
      </c>
      <c r="AN274">
        <v>2</v>
      </c>
      <c r="AO274">
        <v>0</v>
      </c>
      <c r="AP274">
        <v>4</v>
      </c>
    </row>
    <row r="275" spans="1:42">
      <c r="A275">
        <v>37</v>
      </c>
      <c r="B275" t="str" cm="1">
        <f t="array" ref="B275">_xlfn.IFS(A275&lt;=25,"18-25",A275&lt;=35,"26-35",A275&lt;=45,"36-45",A275&lt;=55,"46-55",A275&gt;55,"56+")</f>
        <v>36-45</v>
      </c>
      <c r="C275" t="s">
        <v>39</v>
      </c>
      <c r="D275" t="s">
        <v>33</v>
      </c>
      <c r="E275" s="2">
        <v>228</v>
      </c>
      <c r="F275" t="s">
        <v>34</v>
      </c>
      <c r="G275">
        <v>6</v>
      </c>
      <c r="H275" t="str">
        <f t="shared" si="4"/>
        <v>1-10 km</v>
      </c>
      <c r="I275">
        <v>4</v>
      </c>
      <c r="J275" t="str" cm="1">
        <f t="array" ref="J275">_xlfn.IFS(I275=1,"Below College",I275=2,"College",I275=3,"Bachelor",I275=4,"Master",I275=5,"Doctor")</f>
        <v>Master</v>
      </c>
      <c r="K275" t="s">
        <v>47</v>
      </c>
      <c r="L275">
        <v>378</v>
      </c>
      <c r="M275">
        <v>3</v>
      </c>
      <c r="N275" t="str" cm="1">
        <f t="array" ref="N275">_xlfn.IFS(M275=1,"Low",M275=2,"Medium",M275=3,"High",M275=4,"Very High")</f>
        <v>High</v>
      </c>
      <c r="O275" t="s">
        <v>42</v>
      </c>
      <c r="P275" s="2">
        <v>98</v>
      </c>
      <c r="Q275">
        <v>3</v>
      </c>
      <c r="R275" t="str" cm="1">
        <f t="array" ref="R275">_xlfn.IFS(Q275=1,"Low",Q275=2,"Medium",Q275=3,"High",Q275=4,"Very High")</f>
        <v>High</v>
      </c>
      <c r="S275">
        <v>2</v>
      </c>
      <c r="T275" t="str" cm="1">
        <f t="array" ref="T275">_xlfn.IFS(S275=1,"Entry Level",S275=2,"Junior",S275=3,"Mid-Level",S275=4,"Senior",S275=5,"Executive")</f>
        <v>Junior</v>
      </c>
      <c r="U275" t="s">
        <v>37</v>
      </c>
      <c r="V275">
        <v>4</v>
      </c>
      <c r="W275" t="str" cm="1">
        <f t="array" ref="W275">_xlfn.IFS(V275=1,"Low",V275=2,"Medium",V275=3,"High",V275=4,"Very High")</f>
        <v>Very High</v>
      </c>
      <c r="X275" t="s">
        <v>44</v>
      </c>
      <c r="Y275" s="2">
        <v>6502</v>
      </c>
      <c r="Z275" s="2">
        <v>22825</v>
      </c>
      <c r="AA275">
        <v>4</v>
      </c>
      <c r="AB275" t="s">
        <v>39</v>
      </c>
      <c r="AC275">
        <v>14</v>
      </c>
      <c r="AD275">
        <v>3</v>
      </c>
      <c r="AE275" t="str" cm="1">
        <f t="array" ref="AE275">_xlfn.IFS(AD275=1,"Low",AD275=2,"Good",AD275=3,"Excellent",AD275=4,"Outstanding")</f>
        <v>Excellent</v>
      </c>
      <c r="AF275">
        <v>2</v>
      </c>
      <c r="AG275" t="str" cm="1">
        <f t="array" ref="AG275">_xlfn.IFS(AF275=1,"Low",AF275=2,"Medium",AF275=3,"High",AF275=4,"Very High")</f>
        <v>Medium</v>
      </c>
      <c r="AH275">
        <v>1</v>
      </c>
      <c r="AI275">
        <v>7</v>
      </c>
      <c r="AJ275">
        <v>5</v>
      </c>
      <c r="AK275">
        <v>4</v>
      </c>
      <c r="AL275" t="str" cm="1">
        <f t="array" ref="AL275">_xlfn.IFS(AK275=1,"Low",AK275=2,"Medium",AK275=3,"High",AK275=4,"Very High")</f>
        <v>Very High</v>
      </c>
      <c r="AM275">
        <v>5</v>
      </c>
      <c r="AN275">
        <v>4</v>
      </c>
      <c r="AO275">
        <v>0</v>
      </c>
      <c r="AP275">
        <v>1</v>
      </c>
    </row>
    <row r="276" spans="1:42">
      <c r="A276">
        <v>21</v>
      </c>
      <c r="B276" t="str" cm="1">
        <f t="array" ref="B276">_xlfn.IFS(A276&lt;=25,"18-25",A276&lt;=35,"26-35",A276&lt;=45,"36-45",A276&lt;=55,"46-55",A276&gt;55,"56+")</f>
        <v>18-25</v>
      </c>
      <c r="C276" t="s">
        <v>39</v>
      </c>
      <c r="D276" t="s">
        <v>33</v>
      </c>
      <c r="E276" s="2">
        <v>996</v>
      </c>
      <c r="F276" t="s">
        <v>41</v>
      </c>
      <c r="G276">
        <v>3</v>
      </c>
      <c r="H276" t="str">
        <f t="shared" si="4"/>
        <v>1-10 km</v>
      </c>
      <c r="I276">
        <v>2</v>
      </c>
      <c r="J276" t="str" cm="1">
        <f t="array" ref="J276">_xlfn.IFS(I276=1,"Below College",I276=2,"College",I276=3,"Bachelor",I276=4,"Master",I276=5,"Doctor")</f>
        <v>College</v>
      </c>
      <c r="K276" t="s">
        <v>47</v>
      </c>
      <c r="L276">
        <v>379</v>
      </c>
      <c r="M276">
        <v>4</v>
      </c>
      <c r="N276" t="str" cm="1">
        <f t="array" ref="N276">_xlfn.IFS(M276=1,"Low",M276=2,"Medium",M276=3,"High",M276=4,"Very High")</f>
        <v>Very High</v>
      </c>
      <c r="O276" t="s">
        <v>42</v>
      </c>
      <c r="P276" s="2">
        <v>100</v>
      </c>
      <c r="Q276">
        <v>2</v>
      </c>
      <c r="R276" t="str" cm="1">
        <f t="array" ref="R276">_xlfn.IFS(Q276=1,"Low",Q276=2,"Medium",Q276=3,"High",Q276=4,"Very High")</f>
        <v>Medium</v>
      </c>
      <c r="S276">
        <v>1</v>
      </c>
      <c r="T276" t="str" cm="1">
        <f t="array" ref="T276">_xlfn.IFS(S276=1,"Entry Level",S276=2,"Junior",S276=3,"Mid-Level",S276=4,"Senior",S276=5,"Executive")</f>
        <v>Entry Level</v>
      </c>
      <c r="U276" t="s">
        <v>43</v>
      </c>
      <c r="V276">
        <v>3</v>
      </c>
      <c r="W276" t="str" cm="1">
        <f t="array" ref="W276">_xlfn.IFS(V276=1,"Low",V276=2,"Medium",V276=3,"High",V276=4,"Very High")</f>
        <v>High</v>
      </c>
      <c r="X276" t="s">
        <v>38</v>
      </c>
      <c r="Y276" s="2">
        <v>3230</v>
      </c>
      <c r="Z276" s="2">
        <v>10531</v>
      </c>
      <c r="AA276">
        <v>1</v>
      </c>
      <c r="AB276" t="s">
        <v>39</v>
      </c>
      <c r="AC276">
        <v>17</v>
      </c>
      <c r="AD276">
        <v>3</v>
      </c>
      <c r="AE276" t="str" cm="1">
        <f t="array" ref="AE276">_xlfn.IFS(AD276=1,"Low",AD276=2,"Good",AD276=3,"Excellent",AD276=4,"Outstanding")</f>
        <v>Excellent</v>
      </c>
      <c r="AF276">
        <v>1</v>
      </c>
      <c r="AG276" t="str" cm="1">
        <f t="array" ref="AG276">_xlfn.IFS(AF276=1,"Low",AF276=2,"Medium",AF276=3,"High",AF276=4,"Very High")</f>
        <v>Low</v>
      </c>
      <c r="AH276">
        <v>0</v>
      </c>
      <c r="AI276">
        <v>3</v>
      </c>
      <c r="AJ276">
        <v>4</v>
      </c>
      <c r="AK276">
        <v>4</v>
      </c>
      <c r="AL276" t="str" cm="1">
        <f t="array" ref="AL276">_xlfn.IFS(AK276=1,"Low",AK276=2,"Medium",AK276=3,"High",AK276=4,"Very High")</f>
        <v>Very High</v>
      </c>
      <c r="AM276">
        <v>3</v>
      </c>
      <c r="AN276">
        <v>2</v>
      </c>
      <c r="AO276">
        <v>1</v>
      </c>
      <c r="AP276">
        <v>0</v>
      </c>
    </row>
    <row r="277" spans="1:42">
      <c r="A277">
        <v>37</v>
      </c>
      <c r="B277" t="str" cm="1">
        <f t="array" ref="B277">_xlfn.IFS(A277&lt;=25,"18-25",A277&lt;=35,"26-35",A277&lt;=45,"36-45",A277&lt;=55,"46-55",A277&gt;55,"56+")</f>
        <v>36-45</v>
      </c>
      <c r="C277" t="s">
        <v>39</v>
      </c>
      <c r="D277" t="s">
        <v>51</v>
      </c>
      <c r="E277" s="2">
        <v>728</v>
      </c>
      <c r="F277" t="s">
        <v>41</v>
      </c>
      <c r="G277">
        <v>1</v>
      </c>
      <c r="H277" t="str">
        <f t="shared" si="4"/>
        <v>1-10 km</v>
      </c>
      <c r="I277">
        <v>4</v>
      </c>
      <c r="J277" t="str" cm="1">
        <f t="array" ref="J277">_xlfn.IFS(I277=1,"Below College",I277=2,"College",I277=3,"Bachelor",I277=4,"Master",I277=5,"Doctor")</f>
        <v>Master</v>
      </c>
      <c r="K277" t="s">
        <v>47</v>
      </c>
      <c r="L277">
        <v>380</v>
      </c>
      <c r="M277">
        <v>1</v>
      </c>
      <c r="N277" t="str" cm="1">
        <f t="array" ref="N277">_xlfn.IFS(M277=1,"Low",M277=2,"Medium",M277=3,"High",M277=4,"Very High")</f>
        <v>Low</v>
      </c>
      <c r="O277" t="s">
        <v>36</v>
      </c>
      <c r="P277" s="2">
        <v>80</v>
      </c>
      <c r="Q277">
        <v>3</v>
      </c>
      <c r="R277" t="str" cm="1">
        <f t="array" ref="R277">_xlfn.IFS(Q277=1,"Low",Q277=2,"Medium",Q277=3,"High",Q277=4,"Very High")</f>
        <v>High</v>
      </c>
      <c r="S277">
        <v>3</v>
      </c>
      <c r="T277" t="str" cm="1">
        <f t="array" ref="T277">_xlfn.IFS(S277=1,"Entry Level",S277=2,"Junior",S277=3,"Mid-Level",S277=4,"Senior",S277=5,"Executive")</f>
        <v>Mid-Level</v>
      </c>
      <c r="U277" t="s">
        <v>54</v>
      </c>
      <c r="V277">
        <v>4</v>
      </c>
      <c r="W277" t="str" cm="1">
        <f t="array" ref="W277">_xlfn.IFS(V277=1,"Low",V277=2,"Medium",V277=3,"High",V277=4,"Very High")</f>
        <v>Very High</v>
      </c>
      <c r="X277" t="s">
        <v>48</v>
      </c>
      <c r="Y277" s="2">
        <v>13603</v>
      </c>
      <c r="Z277" s="2">
        <v>11677</v>
      </c>
      <c r="AA277">
        <v>2</v>
      </c>
      <c r="AB277" t="s">
        <v>32</v>
      </c>
      <c r="AC277">
        <v>18</v>
      </c>
      <c r="AD277">
        <v>3</v>
      </c>
      <c r="AE277" t="str" cm="1">
        <f t="array" ref="AE277">_xlfn.IFS(AD277=1,"Low",AD277=2,"Good",AD277=3,"Excellent",AD277=4,"Outstanding")</f>
        <v>Excellent</v>
      </c>
      <c r="AF277">
        <v>1</v>
      </c>
      <c r="AG277" t="str" cm="1">
        <f t="array" ref="AG277">_xlfn.IFS(AF277=1,"Low",AF277=2,"Medium",AF277=3,"High",AF277=4,"Very High")</f>
        <v>Low</v>
      </c>
      <c r="AH277">
        <v>2</v>
      </c>
      <c r="AI277">
        <v>15</v>
      </c>
      <c r="AJ277">
        <v>2</v>
      </c>
      <c r="AK277">
        <v>3</v>
      </c>
      <c r="AL277" t="str" cm="1">
        <f t="array" ref="AL277">_xlfn.IFS(AK277=1,"Low",AK277=2,"Medium",AK277=3,"High",AK277=4,"Very High")</f>
        <v>High</v>
      </c>
      <c r="AM277">
        <v>5</v>
      </c>
      <c r="AN277">
        <v>2</v>
      </c>
      <c r="AO277">
        <v>0</v>
      </c>
      <c r="AP277">
        <v>2</v>
      </c>
    </row>
    <row r="278" spans="1:42">
      <c r="A278">
        <v>35</v>
      </c>
      <c r="B278" t="str" cm="1">
        <f t="array" ref="B278">_xlfn.IFS(A278&lt;=25,"18-25",A278&lt;=35,"26-35",A278&lt;=45,"36-45",A278&lt;=55,"46-55",A278&gt;55,"56+")</f>
        <v>26-35</v>
      </c>
      <c r="C278" t="s">
        <v>39</v>
      </c>
      <c r="D278" t="s">
        <v>33</v>
      </c>
      <c r="E278" s="2">
        <v>1315</v>
      </c>
      <c r="F278" t="s">
        <v>41</v>
      </c>
      <c r="G278">
        <v>22</v>
      </c>
      <c r="H278" t="str">
        <f t="shared" si="4"/>
        <v>21-30 km</v>
      </c>
      <c r="I278">
        <v>3</v>
      </c>
      <c r="J278" t="str" cm="1">
        <f t="array" ref="J278">_xlfn.IFS(I278=1,"Below College",I278=2,"College",I278=3,"Bachelor",I278=4,"Master",I278=5,"Doctor")</f>
        <v>Bachelor</v>
      </c>
      <c r="K278" t="s">
        <v>35</v>
      </c>
      <c r="L278">
        <v>381</v>
      </c>
      <c r="M278">
        <v>2</v>
      </c>
      <c r="N278" t="str" cm="1">
        <f t="array" ref="N278">_xlfn.IFS(M278=1,"Low",M278=2,"Medium",M278=3,"High",M278=4,"Very High")</f>
        <v>Medium</v>
      </c>
      <c r="O278" t="s">
        <v>36</v>
      </c>
      <c r="P278" s="2">
        <v>71</v>
      </c>
      <c r="Q278">
        <v>4</v>
      </c>
      <c r="R278" t="str" cm="1">
        <f t="array" ref="R278">_xlfn.IFS(Q278=1,"Low",Q278=2,"Medium",Q278=3,"High",Q278=4,"Very High")</f>
        <v>Very High</v>
      </c>
      <c r="S278">
        <v>3</v>
      </c>
      <c r="T278" t="str" cm="1">
        <f t="array" ref="T278">_xlfn.IFS(S278=1,"Entry Level",S278=2,"Junior",S278=3,"Mid-Level",S278=4,"Senior",S278=5,"Executive")</f>
        <v>Mid-Level</v>
      </c>
      <c r="U278" t="s">
        <v>52</v>
      </c>
      <c r="V278">
        <v>2</v>
      </c>
      <c r="W278" t="str" cm="1">
        <f t="array" ref="W278">_xlfn.IFS(V278=1,"Low",V278=2,"Medium",V278=3,"High",V278=4,"Very High")</f>
        <v>Medium</v>
      </c>
      <c r="X278" t="s">
        <v>48</v>
      </c>
      <c r="Y278" s="2">
        <v>11996</v>
      </c>
      <c r="Z278" s="2">
        <v>19100</v>
      </c>
      <c r="AA278">
        <v>7</v>
      </c>
      <c r="AB278" t="s">
        <v>39</v>
      </c>
      <c r="AC278">
        <v>18</v>
      </c>
      <c r="AD278">
        <v>3</v>
      </c>
      <c r="AE278" t="str" cm="1">
        <f t="array" ref="AE278">_xlfn.IFS(AD278=1,"Low",AD278=2,"Good",AD278=3,"Excellent",AD278=4,"Outstanding")</f>
        <v>Excellent</v>
      </c>
      <c r="AF278">
        <v>2</v>
      </c>
      <c r="AG278" t="str" cm="1">
        <f t="array" ref="AG278">_xlfn.IFS(AF278=1,"Low",AF278=2,"Medium",AF278=3,"High",AF278=4,"Very High")</f>
        <v>Medium</v>
      </c>
      <c r="AH278">
        <v>1</v>
      </c>
      <c r="AI278">
        <v>10</v>
      </c>
      <c r="AJ278">
        <v>6</v>
      </c>
      <c r="AK278">
        <v>2</v>
      </c>
      <c r="AL278" t="str" cm="1">
        <f t="array" ref="AL278">_xlfn.IFS(AK278=1,"Low",AK278=2,"Medium",AK278=3,"High",AK278=4,"Very High")</f>
        <v>Medium</v>
      </c>
      <c r="AM278">
        <v>7</v>
      </c>
      <c r="AN278">
        <v>7</v>
      </c>
      <c r="AO278">
        <v>6</v>
      </c>
      <c r="AP278">
        <v>2</v>
      </c>
    </row>
    <row r="279" spans="1:42">
      <c r="A279">
        <v>38</v>
      </c>
      <c r="B279" t="str" cm="1">
        <f t="array" ref="B279">_xlfn.IFS(A279&lt;=25,"18-25",A279&lt;=35,"26-35",A279&lt;=45,"36-45",A279&lt;=55,"46-55",A279&gt;55,"56+")</f>
        <v>36-45</v>
      </c>
      <c r="C279" t="s">
        <v>39</v>
      </c>
      <c r="D279" t="s">
        <v>33</v>
      </c>
      <c r="E279" s="2">
        <v>322</v>
      </c>
      <c r="F279" t="s">
        <v>34</v>
      </c>
      <c r="G279">
        <v>7</v>
      </c>
      <c r="H279" t="str">
        <f t="shared" si="4"/>
        <v>1-10 km</v>
      </c>
      <c r="I279">
        <v>2</v>
      </c>
      <c r="J279" t="str" cm="1">
        <f t="array" ref="J279">_xlfn.IFS(I279=1,"Below College",I279=2,"College",I279=3,"Bachelor",I279=4,"Master",I279=5,"Doctor")</f>
        <v>College</v>
      </c>
      <c r="K279" t="s">
        <v>47</v>
      </c>
      <c r="L279">
        <v>382</v>
      </c>
      <c r="M279">
        <v>1</v>
      </c>
      <c r="N279" t="str" cm="1">
        <f t="array" ref="N279">_xlfn.IFS(M279=1,"Low",M279=2,"Medium",M279=3,"High",M279=4,"Very High")</f>
        <v>Low</v>
      </c>
      <c r="O279" t="s">
        <v>36</v>
      </c>
      <c r="P279" s="2">
        <v>44</v>
      </c>
      <c r="Q279">
        <v>4</v>
      </c>
      <c r="R279" t="str" cm="1">
        <f t="array" ref="R279">_xlfn.IFS(Q279=1,"Low",Q279=2,"Medium",Q279=3,"High",Q279=4,"Very High")</f>
        <v>Very High</v>
      </c>
      <c r="S279">
        <v>2</v>
      </c>
      <c r="T279" t="str" cm="1">
        <f t="array" ref="T279">_xlfn.IFS(S279=1,"Entry Level",S279=2,"Junior",S279=3,"Mid-Level",S279=4,"Senior",S279=5,"Executive")</f>
        <v>Junior</v>
      </c>
      <c r="U279" t="s">
        <v>37</v>
      </c>
      <c r="V279">
        <v>1</v>
      </c>
      <c r="W279" t="str" cm="1">
        <f t="array" ref="W279">_xlfn.IFS(V279=1,"Low",V279=2,"Medium",V279=3,"High",V279=4,"Very High")</f>
        <v>Low</v>
      </c>
      <c r="X279" t="s">
        <v>48</v>
      </c>
      <c r="Y279" s="2">
        <v>5605</v>
      </c>
      <c r="Z279" s="2">
        <v>19191</v>
      </c>
      <c r="AA279">
        <v>1</v>
      </c>
      <c r="AB279" t="s">
        <v>32</v>
      </c>
      <c r="AC279">
        <v>24</v>
      </c>
      <c r="AD279">
        <v>4</v>
      </c>
      <c r="AE279" t="str" cm="1">
        <f t="array" ref="AE279">_xlfn.IFS(AD279=1,"Low",AD279=2,"Good",AD279=3,"Excellent",AD279=4,"Outstanding")</f>
        <v>Outstanding</v>
      </c>
      <c r="AF279">
        <v>3</v>
      </c>
      <c r="AG279" t="str" cm="1">
        <f t="array" ref="AG279">_xlfn.IFS(AF279=1,"Low",AF279=2,"Medium",AF279=3,"High",AF279=4,"Very High")</f>
        <v>High</v>
      </c>
      <c r="AH279">
        <v>1</v>
      </c>
      <c r="AI279">
        <v>8</v>
      </c>
      <c r="AJ279">
        <v>3</v>
      </c>
      <c r="AK279">
        <v>3</v>
      </c>
      <c r="AL279" t="str" cm="1">
        <f t="array" ref="AL279">_xlfn.IFS(AK279=1,"Low",AK279=2,"Medium",AK279=3,"High",AK279=4,"Very High")</f>
        <v>High</v>
      </c>
      <c r="AM279">
        <v>8</v>
      </c>
      <c r="AN279">
        <v>0</v>
      </c>
      <c r="AO279">
        <v>7</v>
      </c>
      <c r="AP279">
        <v>7</v>
      </c>
    </row>
    <row r="280" spans="1:42">
      <c r="A280">
        <v>26</v>
      </c>
      <c r="B280" t="str" cm="1">
        <f t="array" ref="B280">_xlfn.IFS(A280&lt;=25,"18-25",A280&lt;=35,"26-35",A280&lt;=45,"36-45",A280&lt;=55,"46-55",A280&gt;55,"56+")</f>
        <v>26-35</v>
      </c>
      <c r="C280" t="s">
        <v>39</v>
      </c>
      <c r="D280" t="s">
        <v>40</v>
      </c>
      <c r="E280" s="2">
        <v>1479</v>
      </c>
      <c r="F280" t="s">
        <v>41</v>
      </c>
      <c r="G280">
        <v>1</v>
      </c>
      <c r="H280" t="str">
        <f t="shared" si="4"/>
        <v>1-10 km</v>
      </c>
      <c r="I280">
        <v>3</v>
      </c>
      <c r="J280" t="str" cm="1">
        <f t="array" ref="J280">_xlfn.IFS(I280=1,"Below College",I280=2,"College",I280=3,"Bachelor",I280=4,"Master",I280=5,"Doctor")</f>
        <v>Bachelor</v>
      </c>
      <c r="K280" t="s">
        <v>35</v>
      </c>
      <c r="L280">
        <v>384</v>
      </c>
      <c r="M280">
        <v>3</v>
      </c>
      <c r="N280" t="str" cm="1">
        <f t="array" ref="N280">_xlfn.IFS(M280=1,"Low",M280=2,"Medium",M280=3,"High",M280=4,"Very High")</f>
        <v>High</v>
      </c>
      <c r="O280" t="s">
        <v>36</v>
      </c>
      <c r="P280" s="2">
        <v>84</v>
      </c>
      <c r="Q280">
        <v>3</v>
      </c>
      <c r="R280" t="str" cm="1">
        <f t="array" ref="R280">_xlfn.IFS(Q280=1,"Low",Q280=2,"Medium",Q280=3,"High",Q280=4,"Very High")</f>
        <v>High</v>
      </c>
      <c r="S280">
        <v>2</v>
      </c>
      <c r="T280" t="str" cm="1">
        <f t="array" ref="T280">_xlfn.IFS(S280=1,"Entry Level",S280=2,"Junior",S280=3,"Mid-Level",S280=4,"Senior",S280=5,"Executive")</f>
        <v>Junior</v>
      </c>
      <c r="U280" t="s">
        <v>49</v>
      </c>
      <c r="V280">
        <v>2</v>
      </c>
      <c r="W280" t="str" cm="1">
        <f t="array" ref="W280">_xlfn.IFS(V280=1,"Low",V280=2,"Medium",V280=3,"High",V280=4,"Very High")</f>
        <v>Medium</v>
      </c>
      <c r="X280" t="s">
        <v>48</v>
      </c>
      <c r="Y280" s="2">
        <v>6397</v>
      </c>
      <c r="Z280" s="2">
        <v>26767</v>
      </c>
      <c r="AA280">
        <v>1</v>
      </c>
      <c r="AB280" t="s">
        <v>39</v>
      </c>
      <c r="AC280">
        <v>20</v>
      </c>
      <c r="AD280">
        <v>4</v>
      </c>
      <c r="AE280" t="str" cm="1">
        <f t="array" ref="AE280">_xlfn.IFS(AD280=1,"Low",AD280=2,"Good",AD280=3,"Excellent",AD280=4,"Outstanding")</f>
        <v>Outstanding</v>
      </c>
      <c r="AF280">
        <v>1</v>
      </c>
      <c r="AG280" t="str" cm="1">
        <f t="array" ref="AG280">_xlfn.IFS(AF280=1,"Low",AF280=2,"Medium",AF280=3,"High",AF280=4,"Very High")</f>
        <v>Low</v>
      </c>
      <c r="AH280">
        <v>1</v>
      </c>
      <c r="AI280">
        <v>6</v>
      </c>
      <c r="AJ280">
        <v>6</v>
      </c>
      <c r="AK280">
        <v>1</v>
      </c>
      <c r="AL280" t="str" cm="1">
        <f t="array" ref="AL280">_xlfn.IFS(AK280=1,"Low",AK280=2,"Medium",AK280=3,"High",AK280=4,"Very High")</f>
        <v>Low</v>
      </c>
      <c r="AM280">
        <v>6</v>
      </c>
      <c r="AN280">
        <v>5</v>
      </c>
      <c r="AO280">
        <v>1</v>
      </c>
      <c r="AP280">
        <v>4</v>
      </c>
    </row>
    <row r="281" spans="1:42">
      <c r="A281">
        <v>50</v>
      </c>
      <c r="B281" t="str" cm="1">
        <f t="array" ref="B281">_xlfn.IFS(A281&lt;=25,"18-25",A281&lt;=35,"26-35",A281&lt;=45,"36-45",A281&lt;=55,"46-55",A281&gt;55,"56+")</f>
        <v>46-55</v>
      </c>
      <c r="C281" t="s">
        <v>39</v>
      </c>
      <c r="D281" t="s">
        <v>33</v>
      </c>
      <c r="E281" s="2">
        <v>797</v>
      </c>
      <c r="F281" t="s">
        <v>41</v>
      </c>
      <c r="G281">
        <v>4</v>
      </c>
      <c r="H281" t="str">
        <f t="shared" si="4"/>
        <v>1-10 km</v>
      </c>
      <c r="I281">
        <v>1</v>
      </c>
      <c r="J281" t="str" cm="1">
        <f t="array" ref="J281">_xlfn.IFS(I281=1,"Below College",I281=2,"College",I281=3,"Bachelor",I281=4,"Master",I281=5,"Doctor")</f>
        <v>Below College</v>
      </c>
      <c r="K281" t="s">
        <v>35</v>
      </c>
      <c r="L281">
        <v>385</v>
      </c>
      <c r="M281">
        <v>1</v>
      </c>
      <c r="N281" t="str" cm="1">
        <f t="array" ref="N281">_xlfn.IFS(M281=1,"Low",M281=2,"Medium",M281=3,"High",M281=4,"Very High")</f>
        <v>Low</v>
      </c>
      <c r="O281" t="s">
        <v>42</v>
      </c>
      <c r="P281" s="2">
        <v>96</v>
      </c>
      <c r="Q281">
        <v>3</v>
      </c>
      <c r="R281" t="str" cm="1">
        <f t="array" ref="R281">_xlfn.IFS(Q281=1,"Low",Q281=2,"Medium",Q281=3,"High",Q281=4,"Very High")</f>
        <v>High</v>
      </c>
      <c r="S281">
        <v>5</v>
      </c>
      <c r="T281" t="str" cm="1">
        <f t="array" ref="T281">_xlfn.IFS(S281=1,"Entry Level",S281=2,"Junior",S281=3,"Mid-Level",S281=4,"Senior",S281=5,"Executive")</f>
        <v>Executive</v>
      </c>
      <c r="U281" t="s">
        <v>54</v>
      </c>
      <c r="V281">
        <v>2</v>
      </c>
      <c r="W281" t="str" cm="1">
        <f t="array" ref="W281">_xlfn.IFS(V281=1,"Low",V281=2,"Medium",V281=3,"High",V281=4,"Very High")</f>
        <v>Medium</v>
      </c>
      <c r="X281" t="s">
        <v>48</v>
      </c>
      <c r="Y281" s="2">
        <v>19144</v>
      </c>
      <c r="Z281" s="2">
        <v>15815</v>
      </c>
      <c r="AA281">
        <v>3</v>
      </c>
      <c r="AB281" t="s">
        <v>39</v>
      </c>
      <c r="AC281">
        <v>14</v>
      </c>
      <c r="AD281">
        <v>3</v>
      </c>
      <c r="AE281" t="str" cm="1">
        <f t="array" ref="AE281">_xlfn.IFS(AD281=1,"Low",AD281=2,"Good",AD281=3,"Excellent",AD281=4,"Outstanding")</f>
        <v>Excellent</v>
      </c>
      <c r="AF281">
        <v>1</v>
      </c>
      <c r="AG281" t="str" cm="1">
        <f t="array" ref="AG281">_xlfn.IFS(AF281=1,"Low",AF281=2,"Medium",AF281=3,"High",AF281=4,"Very High")</f>
        <v>Low</v>
      </c>
      <c r="AH281">
        <v>2</v>
      </c>
      <c r="AI281">
        <v>28</v>
      </c>
      <c r="AJ281">
        <v>4</v>
      </c>
      <c r="AK281">
        <v>2</v>
      </c>
      <c r="AL281" t="str" cm="1">
        <f t="array" ref="AL281">_xlfn.IFS(AK281=1,"Low",AK281=2,"Medium",AK281=3,"High",AK281=4,"Very High")</f>
        <v>Medium</v>
      </c>
      <c r="AM281">
        <v>10</v>
      </c>
      <c r="AN281">
        <v>4</v>
      </c>
      <c r="AO281">
        <v>1</v>
      </c>
      <c r="AP281">
        <v>6</v>
      </c>
    </row>
    <row r="282" spans="1:42">
      <c r="A282">
        <v>53</v>
      </c>
      <c r="B282" t="str" cm="1">
        <f t="array" ref="B282">_xlfn.IFS(A282&lt;=25,"18-25",A282&lt;=35,"26-35",A282&lt;=45,"36-45",A282&lt;=55,"46-55",A282&gt;55,"56+")</f>
        <v>46-55</v>
      </c>
      <c r="C282" t="s">
        <v>39</v>
      </c>
      <c r="D282" t="s">
        <v>33</v>
      </c>
      <c r="E282" s="2">
        <v>1070</v>
      </c>
      <c r="F282" t="s">
        <v>41</v>
      </c>
      <c r="G282">
        <v>3</v>
      </c>
      <c r="H282" t="str">
        <f t="shared" si="4"/>
        <v>1-10 km</v>
      </c>
      <c r="I282">
        <v>4</v>
      </c>
      <c r="J282" t="str" cm="1">
        <f t="array" ref="J282">_xlfn.IFS(I282=1,"Below College",I282=2,"College",I282=3,"Bachelor",I282=4,"Master",I282=5,"Doctor")</f>
        <v>Master</v>
      </c>
      <c r="K282" t="s">
        <v>47</v>
      </c>
      <c r="L282">
        <v>386</v>
      </c>
      <c r="M282">
        <v>3</v>
      </c>
      <c r="N282" t="str" cm="1">
        <f t="array" ref="N282">_xlfn.IFS(M282=1,"Low",M282=2,"Medium",M282=3,"High",M282=4,"Very High")</f>
        <v>High</v>
      </c>
      <c r="O282" t="s">
        <v>42</v>
      </c>
      <c r="P282" s="2">
        <v>45</v>
      </c>
      <c r="Q282">
        <v>3</v>
      </c>
      <c r="R282" t="str" cm="1">
        <f t="array" ref="R282">_xlfn.IFS(Q282=1,"Low",Q282=2,"Medium",Q282=3,"High",Q282=4,"Very High")</f>
        <v>High</v>
      </c>
      <c r="S282">
        <v>4</v>
      </c>
      <c r="T282" t="str" cm="1">
        <f t="array" ref="T282">_xlfn.IFS(S282=1,"Entry Level",S282=2,"Junior",S282=3,"Mid-Level",S282=4,"Senior",S282=5,"Executive")</f>
        <v>Senior</v>
      </c>
      <c r="U282" t="s">
        <v>54</v>
      </c>
      <c r="V282">
        <v>3</v>
      </c>
      <c r="W282" t="str" cm="1">
        <f t="array" ref="W282">_xlfn.IFS(V282=1,"Low",V282=2,"Medium",V282=3,"High",V282=4,"Very High")</f>
        <v>High</v>
      </c>
      <c r="X282" t="s">
        <v>44</v>
      </c>
      <c r="Y282" s="2">
        <v>17584</v>
      </c>
      <c r="Z282" s="2">
        <v>21016</v>
      </c>
      <c r="AA282">
        <v>3</v>
      </c>
      <c r="AB282" t="s">
        <v>32</v>
      </c>
      <c r="AC282">
        <v>16</v>
      </c>
      <c r="AD282">
        <v>3</v>
      </c>
      <c r="AE282" t="str" cm="1">
        <f t="array" ref="AE282">_xlfn.IFS(AD282=1,"Low",AD282=2,"Good",AD282=3,"Excellent",AD282=4,"Outstanding")</f>
        <v>Excellent</v>
      </c>
      <c r="AF282">
        <v>4</v>
      </c>
      <c r="AG282" t="str" cm="1">
        <f t="array" ref="AG282">_xlfn.IFS(AF282=1,"Low",AF282=2,"Medium",AF282=3,"High",AF282=4,"Very High")</f>
        <v>Very High</v>
      </c>
      <c r="AH282">
        <v>3</v>
      </c>
      <c r="AI282">
        <v>21</v>
      </c>
      <c r="AJ282">
        <v>5</v>
      </c>
      <c r="AK282">
        <v>2</v>
      </c>
      <c r="AL282" t="str" cm="1">
        <f t="array" ref="AL282">_xlfn.IFS(AK282=1,"Low",AK282=2,"Medium",AK282=3,"High",AK282=4,"Very High")</f>
        <v>Medium</v>
      </c>
      <c r="AM282">
        <v>5</v>
      </c>
      <c r="AN282">
        <v>3</v>
      </c>
      <c r="AO282">
        <v>1</v>
      </c>
      <c r="AP282">
        <v>3</v>
      </c>
    </row>
    <row r="283" spans="1:42">
      <c r="A283">
        <v>42</v>
      </c>
      <c r="B283" t="str" cm="1">
        <f t="array" ref="B283">_xlfn.IFS(A283&lt;=25,"18-25",A283&lt;=35,"26-35",A283&lt;=45,"36-45",A283&lt;=55,"46-55",A283&gt;55,"56+")</f>
        <v>36-45</v>
      </c>
      <c r="C283" t="s">
        <v>39</v>
      </c>
      <c r="D283" t="s">
        <v>33</v>
      </c>
      <c r="E283" s="2">
        <v>635</v>
      </c>
      <c r="F283" t="s">
        <v>34</v>
      </c>
      <c r="G283">
        <v>1</v>
      </c>
      <c r="H283" t="str">
        <f t="shared" si="4"/>
        <v>1-10 km</v>
      </c>
      <c r="I283">
        <v>1</v>
      </c>
      <c r="J283" t="str" cm="1">
        <f t="array" ref="J283">_xlfn.IFS(I283=1,"Below College",I283=2,"College",I283=3,"Bachelor",I283=4,"Master",I283=5,"Doctor")</f>
        <v>Below College</v>
      </c>
      <c r="K283" t="s">
        <v>35</v>
      </c>
      <c r="L283">
        <v>387</v>
      </c>
      <c r="M283">
        <v>2</v>
      </c>
      <c r="N283" t="str" cm="1">
        <f t="array" ref="N283">_xlfn.IFS(M283=1,"Low",M283=2,"Medium",M283=3,"High",M283=4,"Very High")</f>
        <v>Medium</v>
      </c>
      <c r="O283" t="s">
        <v>42</v>
      </c>
      <c r="P283" s="2">
        <v>99</v>
      </c>
      <c r="Q283">
        <v>3</v>
      </c>
      <c r="R283" t="str" cm="1">
        <f t="array" ref="R283">_xlfn.IFS(Q283=1,"Low",Q283=2,"Medium",Q283=3,"High",Q283=4,"Very High")</f>
        <v>High</v>
      </c>
      <c r="S283">
        <v>2</v>
      </c>
      <c r="T283" t="str" cm="1">
        <f t="array" ref="T283">_xlfn.IFS(S283=1,"Entry Level",S283=2,"Junior",S283=3,"Mid-Level",S283=4,"Senior",S283=5,"Executive")</f>
        <v>Junior</v>
      </c>
      <c r="U283" t="s">
        <v>37</v>
      </c>
      <c r="V283">
        <v>3</v>
      </c>
      <c r="W283" t="str" cm="1">
        <f t="array" ref="W283">_xlfn.IFS(V283=1,"Low",V283=2,"Medium",V283=3,"High",V283=4,"Very High")</f>
        <v>High</v>
      </c>
      <c r="X283" t="s">
        <v>44</v>
      </c>
      <c r="Y283" s="2">
        <v>4907</v>
      </c>
      <c r="Z283" s="2">
        <v>24532</v>
      </c>
      <c r="AA283">
        <v>1</v>
      </c>
      <c r="AB283" t="s">
        <v>39</v>
      </c>
      <c r="AC283">
        <v>25</v>
      </c>
      <c r="AD283">
        <v>4</v>
      </c>
      <c r="AE283" t="str" cm="1">
        <f t="array" ref="AE283">_xlfn.IFS(AD283=1,"Low",AD283=2,"Good",AD283=3,"Excellent",AD283=4,"Outstanding")</f>
        <v>Outstanding</v>
      </c>
      <c r="AF283">
        <v>3</v>
      </c>
      <c r="AG283" t="str" cm="1">
        <f t="array" ref="AG283">_xlfn.IFS(AF283=1,"Low",AF283=2,"Medium",AF283=3,"High",AF283=4,"Very High")</f>
        <v>High</v>
      </c>
      <c r="AH283">
        <v>0</v>
      </c>
      <c r="AI283">
        <v>20</v>
      </c>
      <c r="AJ283">
        <v>3</v>
      </c>
      <c r="AK283">
        <v>3</v>
      </c>
      <c r="AL283" t="str" cm="1">
        <f t="array" ref="AL283">_xlfn.IFS(AK283=1,"Low",AK283=2,"Medium",AK283=3,"High",AK283=4,"Very High")</f>
        <v>High</v>
      </c>
      <c r="AM283">
        <v>20</v>
      </c>
      <c r="AN283">
        <v>16</v>
      </c>
      <c r="AO283">
        <v>11</v>
      </c>
      <c r="AP283">
        <v>6</v>
      </c>
    </row>
    <row r="284" spans="1:42">
      <c r="A284">
        <v>29</v>
      </c>
      <c r="B284" t="str" cm="1">
        <f t="array" ref="B284">_xlfn.IFS(A284&lt;=25,"18-25",A284&lt;=35,"26-35",A284&lt;=45,"36-45",A284&lt;=55,"46-55",A284&gt;55,"56+")</f>
        <v>26-35</v>
      </c>
      <c r="C284" t="s">
        <v>39</v>
      </c>
      <c r="D284" t="s">
        <v>40</v>
      </c>
      <c r="E284" s="2">
        <v>442</v>
      </c>
      <c r="F284" t="s">
        <v>34</v>
      </c>
      <c r="G284">
        <v>2</v>
      </c>
      <c r="H284" t="str">
        <f t="shared" si="4"/>
        <v>1-10 km</v>
      </c>
      <c r="I284">
        <v>2</v>
      </c>
      <c r="J284" t="str" cm="1">
        <f t="array" ref="J284">_xlfn.IFS(I284=1,"Below College",I284=2,"College",I284=3,"Bachelor",I284=4,"Master",I284=5,"Doctor")</f>
        <v>College</v>
      </c>
      <c r="K284" t="s">
        <v>35</v>
      </c>
      <c r="L284">
        <v>388</v>
      </c>
      <c r="M284">
        <v>2</v>
      </c>
      <c r="N284" t="str" cm="1">
        <f t="array" ref="N284">_xlfn.IFS(M284=1,"Low",M284=2,"Medium",M284=3,"High",M284=4,"Very High")</f>
        <v>Medium</v>
      </c>
      <c r="O284" t="s">
        <v>42</v>
      </c>
      <c r="P284" s="2">
        <v>44</v>
      </c>
      <c r="Q284">
        <v>3</v>
      </c>
      <c r="R284" t="str" cm="1">
        <f t="array" ref="R284">_xlfn.IFS(Q284=1,"Low",Q284=2,"Medium",Q284=3,"High",Q284=4,"Very High")</f>
        <v>High</v>
      </c>
      <c r="S284">
        <v>2</v>
      </c>
      <c r="T284" t="str" cm="1">
        <f t="array" ref="T284">_xlfn.IFS(S284=1,"Entry Level",S284=2,"Junior",S284=3,"Mid-Level",S284=4,"Senior",S284=5,"Executive")</f>
        <v>Junior</v>
      </c>
      <c r="U284" t="s">
        <v>37</v>
      </c>
      <c r="V284">
        <v>4</v>
      </c>
      <c r="W284" t="str" cm="1">
        <f t="array" ref="W284">_xlfn.IFS(V284=1,"Low",V284=2,"Medium",V284=3,"High",V284=4,"Very High")</f>
        <v>Very High</v>
      </c>
      <c r="X284" t="s">
        <v>38</v>
      </c>
      <c r="Y284" s="2">
        <v>4554</v>
      </c>
      <c r="Z284" s="2">
        <v>20260</v>
      </c>
      <c r="AA284">
        <v>1</v>
      </c>
      <c r="AB284" t="s">
        <v>39</v>
      </c>
      <c r="AC284">
        <v>18</v>
      </c>
      <c r="AD284">
        <v>3</v>
      </c>
      <c r="AE284" t="str" cm="1">
        <f t="array" ref="AE284">_xlfn.IFS(AD284=1,"Low",AD284=2,"Good",AD284=3,"Excellent",AD284=4,"Outstanding")</f>
        <v>Excellent</v>
      </c>
      <c r="AF284">
        <v>1</v>
      </c>
      <c r="AG284" t="str" cm="1">
        <f t="array" ref="AG284">_xlfn.IFS(AF284=1,"Low",AF284=2,"Medium",AF284=3,"High",AF284=4,"Very High")</f>
        <v>Low</v>
      </c>
      <c r="AH284">
        <v>0</v>
      </c>
      <c r="AI284">
        <v>10</v>
      </c>
      <c r="AJ284">
        <v>3</v>
      </c>
      <c r="AK284">
        <v>2</v>
      </c>
      <c r="AL284" t="str" cm="1">
        <f t="array" ref="AL284">_xlfn.IFS(AK284=1,"Low",AK284=2,"Medium",AK284=3,"High",AK284=4,"Very High")</f>
        <v>Medium</v>
      </c>
      <c r="AM284">
        <v>10</v>
      </c>
      <c r="AN284">
        <v>7</v>
      </c>
      <c r="AO284">
        <v>0</v>
      </c>
      <c r="AP284">
        <v>9</v>
      </c>
    </row>
    <row r="285" spans="1:42">
      <c r="A285">
        <v>55</v>
      </c>
      <c r="B285" t="str" cm="1">
        <f t="array" ref="B285">_xlfn.IFS(A285&lt;=25,"18-25",A285&lt;=35,"26-35",A285&lt;=45,"36-45",A285&lt;=55,"46-55",A285&gt;55,"56+")</f>
        <v>46-55</v>
      </c>
      <c r="C285" t="s">
        <v>39</v>
      </c>
      <c r="D285" t="s">
        <v>33</v>
      </c>
      <c r="E285" s="2">
        <v>147</v>
      </c>
      <c r="F285" t="s">
        <v>41</v>
      </c>
      <c r="G285">
        <v>20</v>
      </c>
      <c r="H285" t="str">
        <f t="shared" si="4"/>
        <v>11-20 km</v>
      </c>
      <c r="I285">
        <v>2</v>
      </c>
      <c r="J285" t="str" cm="1">
        <f t="array" ref="J285">_xlfn.IFS(I285=1,"Below College",I285=2,"College",I285=3,"Bachelor",I285=4,"Master",I285=5,"Doctor")</f>
        <v>College</v>
      </c>
      <c r="K285" t="s">
        <v>56</v>
      </c>
      <c r="L285">
        <v>389</v>
      </c>
      <c r="M285">
        <v>2</v>
      </c>
      <c r="N285" t="str" cm="1">
        <f t="array" ref="N285">_xlfn.IFS(M285=1,"Low",M285=2,"Medium",M285=3,"High",M285=4,"Very High")</f>
        <v>Medium</v>
      </c>
      <c r="O285" t="s">
        <v>42</v>
      </c>
      <c r="P285" s="2">
        <v>37</v>
      </c>
      <c r="Q285">
        <v>3</v>
      </c>
      <c r="R285" t="str" cm="1">
        <f t="array" ref="R285">_xlfn.IFS(Q285=1,"Low",Q285=2,"Medium",Q285=3,"High",Q285=4,"Very High")</f>
        <v>High</v>
      </c>
      <c r="S285">
        <v>2</v>
      </c>
      <c r="T285" t="str" cm="1">
        <f t="array" ref="T285">_xlfn.IFS(S285=1,"Entry Level",S285=2,"Junior",S285=3,"Mid-Level",S285=4,"Senior",S285=5,"Executive")</f>
        <v>Junior</v>
      </c>
      <c r="U285" t="s">
        <v>46</v>
      </c>
      <c r="V285">
        <v>4</v>
      </c>
      <c r="W285" t="str" cm="1">
        <f t="array" ref="W285">_xlfn.IFS(V285=1,"Low",V285=2,"Medium",V285=3,"High",V285=4,"Very High")</f>
        <v>Very High</v>
      </c>
      <c r="X285" t="s">
        <v>44</v>
      </c>
      <c r="Y285" s="2">
        <v>5415</v>
      </c>
      <c r="Z285" s="2">
        <v>15972</v>
      </c>
      <c r="AA285">
        <v>3</v>
      </c>
      <c r="AB285" t="s">
        <v>32</v>
      </c>
      <c r="AC285">
        <v>19</v>
      </c>
      <c r="AD285">
        <v>3</v>
      </c>
      <c r="AE285" t="str" cm="1">
        <f t="array" ref="AE285">_xlfn.IFS(AD285=1,"Low",AD285=2,"Good",AD285=3,"Excellent",AD285=4,"Outstanding")</f>
        <v>Excellent</v>
      </c>
      <c r="AF285">
        <v>4</v>
      </c>
      <c r="AG285" t="str" cm="1">
        <f t="array" ref="AG285">_xlfn.IFS(AF285=1,"Low",AF285=2,"Medium",AF285=3,"High",AF285=4,"Very High")</f>
        <v>Very High</v>
      </c>
      <c r="AH285">
        <v>1</v>
      </c>
      <c r="AI285">
        <v>12</v>
      </c>
      <c r="AJ285">
        <v>4</v>
      </c>
      <c r="AK285">
        <v>3</v>
      </c>
      <c r="AL285" t="str" cm="1">
        <f t="array" ref="AL285">_xlfn.IFS(AK285=1,"Low",AK285=2,"Medium",AK285=3,"High",AK285=4,"Very High")</f>
        <v>High</v>
      </c>
      <c r="AM285">
        <v>10</v>
      </c>
      <c r="AN285">
        <v>7</v>
      </c>
      <c r="AO285">
        <v>0</v>
      </c>
      <c r="AP285">
        <v>8</v>
      </c>
    </row>
    <row r="286" spans="1:42">
      <c r="A286">
        <v>26</v>
      </c>
      <c r="B286" t="str" cm="1">
        <f t="array" ref="B286">_xlfn.IFS(A286&lt;=25,"18-25",A286&lt;=35,"26-35",A286&lt;=45,"36-45",A286&lt;=55,"46-55",A286&gt;55,"56+")</f>
        <v>26-35</v>
      </c>
      <c r="C286" t="s">
        <v>39</v>
      </c>
      <c r="D286" t="s">
        <v>40</v>
      </c>
      <c r="E286" s="2">
        <v>496</v>
      </c>
      <c r="F286" t="s">
        <v>41</v>
      </c>
      <c r="G286">
        <v>11</v>
      </c>
      <c r="H286" t="str">
        <f t="shared" si="4"/>
        <v>11-20 km</v>
      </c>
      <c r="I286">
        <v>2</v>
      </c>
      <c r="J286" t="str" cm="1">
        <f t="array" ref="J286">_xlfn.IFS(I286=1,"Below College",I286=2,"College",I286=3,"Bachelor",I286=4,"Master",I286=5,"Doctor")</f>
        <v>College</v>
      </c>
      <c r="K286" t="s">
        <v>47</v>
      </c>
      <c r="L286">
        <v>390</v>
      </c>
      <c r="M286">
        <v>1</v>
      </c>
      <c r="N286" t="str" cm="1">
        <f t="array" ref="N286">_xlfn.IFS(M286=1,"Low",M286=2,"Medium",M286=3,"High",M286=4,"Very High")</f>
        <v>Low</v>
      </c>
      <c r="O286" t="s">
        <v>42</v>
      </c>
      <c r="P286" s="2">
        <v>60</v>
      </c>
      <c r="Q286">
        <v>3</v>
      </c>
      <c r="R286" t="str" cm="1">
        <f t="array" ref="R286">_xlfn.IFS(Q286=1,"Low",Q286=2,"Medium",Q286=3,"High",Q286=4,"Very High")</f>
        <v>High</v>
      </c>
      <c r="S286">
        <v>2</v>
      </c>
      <c r="T286" t="str" cm="1">
        <f t="array" ref="T286">_xlfn.IFS(S286=1,"Entry Level",S286=2,"Junior",S286=3,"Mid-Level",S286=4,"Senior",S286=5,"Executive")</f>
        <v>Junior</v>
      </c>
      <c r="U286" t="s">
        <v>50</v>
      </c>
      <c r="V286">
        <v>1</v>
      </c>
      <c r="W286" t="str" cm="1">
        <f t="array" ref="W286">_xlfn.IFS(V286=1,"Low",V286=2,"Medium",V286=3,"High",V286=4,"Very High")</f>
        <v>Low</v>
      </c>
      <c r="X286" t="s">
        <v>44</v>
      </c>
      <c r="Y286" s="2">
        <v>4741</v>
      </c>
      <c r="Z286" s="2">
        <v>22722</v>
      </c>
      <c r="AA286">
        <v>1</v>
      </c>
      <c r="AB286" t="s">
        <v>32</v>
      </c>
      <c r="AC286">
        <v>13</v>
      </c>
      <c r="AD286">
        <v>3</v>
      </c>
      <c r="AE286" t="str" cm="1">
        <f t="array" ref="AE286">_xlfn.IFS(AD286=1,"Low",AD286=2,"Good",AD286=3,"Excellent",AD286=4,"Outstanding")</f>
        <v>Excellent</v>
      </c>
      <c r="AF286">
        <v>3</v>
      </c>
      <c r="AG286" t="str" cm="1">
        <f t="array" ref="AG286">_xlfn.IFS(AF286=1,"Low",AF286=2,"Medium",AF286=3,"High",AF286=4,"Very High")</f>
        <v>High</v>
      </c>
      <c r="AH286">
        <v>1</v>
      </c>
      <c r="AI286">
        <v>5</v>
      </c>
      <c r="AJ286">
        <v>3</v>
      </c>
      <c r="AK286">
        <v>3</v>
      </c>
      <c r="AL286" t="str" cm="1">
        <f t="array" ref="AL286">_xlfn.IFS(AK286=1,"Low",AK286=2,"Medium",AK286=3,"High",AK286=4,"Very High")</f>
        <v>High</v>
      </c>
      <c r="AM286">
        <v>5</v>
      </c>
      <c r="AN286">
        <v>3</v>
      </c>
      <c r="AO286">
        <v>3</v>
      </c>
      <c r="AP286">
        <v>3</v>
      </c>
    </row>
    <row r="287" spans="1:42">
      <c r="A287">
        <v>37</v>
      </c>
      <c r="B287" t="str" cm="1">
        <f t="array" ref="B287">_xlfn.IFS(A287&lt;=25,"18-25",A287&lt;=35,"26-35",A287&lt;=45,"36-45",A287&lt;=55,"46-55",A287&gt;55,"56+")</f>
        <v>36-45</v>
      </c>
      <c r="C287" t="s">
        <v>39</v>
      </c>
      <c r="D287" t="s">
        <v>33</v>
      </c>
      <c r="E287" s="2">
        <v>1372</v>
      </c>
      <c r="F287" t="s">
        <v>41</v>
      </c>
      <c r="G287">
        <v>1</v>
      </c>
      <c r="H287" t="str">
        <f t="shared" si="4"/>
        <v>1-10 km</v>
      </c>
      <c r="I287">
        <v>3</v>
      </c>
      <c r="J287" t="str" cm="1">
        <f t="array" ref="J287">_xlfn.IFS(I287=1,"Below College",I287=2,"College",I287=3,"Bachelor",I287=4,"Master",I287=5,"Doctor")</f>
        <v>Bachelor</v>
      </c>
      <c r="K287" t="s">
        <v>35</v>
      </c>
      <c r="L287">
        <v>391</v>
      </c>
      <c r="M287">
        <v>4</v>
      </c>
      <c r="N287" t="str" cm="1">
        <f t="array" ref="N287">_xlfn.IFS(M287=1,"Low",M287=2,"Medium",M287=3,"High",M287=4,"Very High")</f>
        <v>Very High</v>
      </c>
      <c r="O287" t="s">
        <v>36</v>
      </c>
      <c r="P287" s="2">
        <v>42</v>
      </c>
      <c r="Q287">
        <v>3</v>
      </c>
      <c r="R287" t="str" cm="1">
        <f t="array" ref="R287">_xlfn.IFS(Q287=1,"Low",Q287=2,"Medium",Q287=3,"High",Q287=4,"Very High")</f>
        <v>High</v>
      </c>
      <c r="S287">
        <v>1</v>
      </c>
      <c r="T287" t="str" cm="1">
        <f t="array" ref="T287">_xlfn.IFS(S287=1,"Entry Level",S287=2,"Junior",S287=3,"Mid-Level",S287=4,"Senior",S287=5,"Executive")</f>
        <v>Entry Level</v>
      </c>
      <c r="U287" t="s">
        <v>43</v>
      </c>
      <c r="V287">
        <v>4</v>
      </c>
      <c r="W287" t="str" cm="1">
        <f t="array" ref="W287">_xlfn.IFS(V287=1,"Low",V287=2,"Medium",V287=3,"High",V287=4,"Very High")</f>
        <v>Very High</v>
      </c>
      <c r="X287" t="s">
        <v>38</v>
      </c>
      <c r="Y287" s="2">
        <v>2115</v>
      </c>
      <c r="Z287" s="2">
        <v>15881</v>
      </c>
      <c r="AA287">
        <v>1</v>
      </c>
      <c r="AB287" t="s">
        <v>39</v>
      </c>
      <c r="AC287">
        <v>12</v>
      </c>
      <c r="AD287">
        <v>3</v>
      </c>
      <c r="AE287" t="str" cm="1">
        <f t="array" ref="AE287">_xlfn.IFS(AD287=1,"Low",AD287=2,"Good",AD287=3,"Excellent",AD287=4,"Outstanding")</f>
        <v>Excellent</v>
      </c>
      <c r="AF287">
        <v>2</v>
      </c>
      <c r="AG287" t="str" cm="1">
        <f t="array" ref="AG287">_xlfn.IFS(AF287=1,"Low",AF287=2,"Medium",AF287=3,"High",AF287=4,"Very High")</f>
        <v>Medium</v>
      </c>
      <c r="AH287">
        <v>0</v>
      </c>
      <c r="AI287">
        <v>17</v>
      </c>
      <c r="AJ287">
        <v>3</v>
      </c>
      <c r="AK287">
        <v>3</v>
      </c>
      <c r="AL287" t="str" cm="1">
        <f t="array" ref="AL287">_xlfn.IFS(AK287=1,"Low",AK287=2,"Medium",AK287=3,"High",AK287=4,"Very High")</f>
        <v>High</v>
      </c>
      <c r="AM287">
        <v>17</v>
      </c>
      <c r="AN287">
        <v>12</v>
      </c>
      <c r="AO287">
        <v>5</v>
      </c>
      <c r="AP287">
        <v>7</v>
      </c>
    </row>
    <row r="288" spans="1:42">
      <c r="A288">
        <v>44</v>
      </c>
      <c r="B288" t="str" cm="1">
        <f t="array" ref="B288">_xlfn.IFS(A288&lt;=25,"18-25",A288&lt;=35,"26-35",A288&lt;=45,"36-45",A288&lt;=55,"46-55",A288&gt;55,"56+")</f>
        <v>36-45</v>
      </c>
      <c r="C288" t="s">
        <v>32</v>
      </c>
      <c r="D288" t="s">
        <v>40</v>
      </c>
      <c r="E288" s="2">
        <v>920</v>
      </c>
      <c r="F288" t="s">
        <v>41</v>
      </c>
      <c r="G288">
        <v>24</v>
      </c>
      <c r="H288" t="str">
        <f t="shared" si="4"/>
        <v>21-30 km</v>
      </c>
      <c r="I288">
        <v>3</v>
      </c>
      <c r="J288" t="str" cm="1">
        <f t="array" ref="J288">_xlfn.IFS(I288=1,"Below College",I288=2,"College",I288=3,"Bachelor",I288=4,"Master",I288=5,"Doctor")</f>
        <v>Bachelor</v>
      </c>
      <c r="K288" t="s">
        <v>35</v>
      </c>
      <c r="L288">
        <v>392</v>
      </c>
      <c r="M288">
        <v>4</v>
      </c>
      <c r="N288" t="str" cm="1">
        <f t="array" ref="N288">_xlfn.IFS(M288=1,"Low",M288=2,"Medium",M288=3,"High",M288=4,"Very High")</f>
        <v>Very High</v>
      </c>
      <c r="O288" t="s">
        <v>42</v>
      </c>
      <c r="P288" s="2">
        <v>43</v>
      </c>
      <c r="Q288">
        <v>3</v>
      </c>
      <c r="R288" t="str" cm="1">
        <f t="array" ref="R288">_xlfn.IFS(Q288=1,"Low",Q288=2,"Medium",Q288=3,"High",Q288=4,"Very High")</f>
        <v>High</v>
      </c>
      <c r="S288">
        <v>1</v>
      </c>
      <c r="T288" t="str" cm="1">
        <f t="array" ref="T288">_xlfn.IFS(S288=1,"Entry Level",S288=2,"Junior",S288=3,"Mid-Level",S288=4,"Senior",S288=5,"Executive")</f>
        <v>Entry Level</v>
      </c>
      <c r="U288" t="s">
        <v>46</v>
      </c>
      <c r="V288">
        <v>3</v>
      </c>
      <c r="W288" t="str" cm="1">
        <f t="array" ref="W288">_xlfn.IFS(V288=1,"Low",V288=2,"Medium",V288=3,"High",V288=4,"Very High")</f>
        <v>High</v>
      </c>
      <c r="X288" t="s">
        <v>48</v>
      </c>
      <c r="Y288" s="2">
        <v>3161</v>
      </c>
      <c r="Z288" s="2">
        <v>19920</v>
      </c>
      <c r="AA288">
        <v>3</v>
      </c>
      <c r="AB288" t="s">
        <v>32</v>
      </c>
      <c r="AC288">
        <v>22</v>
      </c>
      <c r="AD288">
        <v>4</v>
      </c>
      <c r="AE288" t="str" cm="1">
        <f t="array" ref="AE288">_xlfn.IFS(AD288=1,"Low",AD288=2,"Good",AD288=3,"Excellent",AD288=4,"Outstanding")</f>
        <v>Outstanding</v>
      </c>
      <c r="AF288">
        <v>4</v>
      </c>
      <c r="AG288" t="str" cm="1">
        <f t="array" ref="AG288">_xlfn.IFS(AF288=1,"Low",AF288=2,"Medium",AF288=3,"High",AF288=4,"Very High")</f>
        <v>Very High</v>
      </c>
      <c r="AH288">
        <v>1</v>
      </c>
      <c r="AI288">
        <v>19</v>
      </c>
      <c r="AJ288">
        <v>0</v>
      </c>
      <c r="AK288">
        <v>1</v>
      </c>
      <c r="AL288" t="str" cm="1">
        <f t="array" ref="AL288">_xlfn.IFS(AK288=1,"Low",AK288=2,"Medium",AK288=3,"High",AK288=4,"Very High")</f>
        <v>Low</v>
      </c>
      <c r="AM288">
        <v>1</v>
      </c>
      <c r="AN288">
        <v>0</v>
      </c>
      <c r="AO288">
        <v>0</v>
      </c>
      <c r="AP288">
        <v>0</v>
      </c>
    </row>
    <row r="289" spans="1:42">
      <c r="A289">
        <v>38</v>
      </c>
      <c r="B289" t="str" cm="1">
        <f t="array" ref="B289">_xlfn.IFS(A289&lt;=25,"18-25",A289&lt;=35,"26-35",A289&lt;=45,"36-45",A289&lt;=55,"46-55",A289&gt;55,"56+")</f>
        <v>36-45</v>
      </c>
      <c r="C289" t="s">
        <v>39</v>
      </c>
      <c r="D289" t="s">
        <v>33</v>
      </c>
      <c r="E289" s="2">
        <v>688</v>
      </c>
      <c r="F289" t="s">
        <v>41</v>
      </c>
      <c r="G289">
        <v>23</v>
      </c>
      <c r="H289" t="str">
        <f t="shared" si="4"/>
        <v>21-30 km</v>
      </c>
      <c r="I289">
        <v>4</v>
      </c>
      <c r="J289" t="str" cm="1">
        <f t="array" ref="J289">_xlfn.IFS(I289=1,"Below College",I289=2,"College",I289=3,"Bachelor",I289=4,"Master",I289=5,"Doctor")</f>
        <v>Master</v>
      </c>
      <c r="K289" t="s">
        <v>35</v>
      </c>
      <c r="L289">
        <v>393</v>
      </c>
      <c r="M289">
        <v>4</v>
      </c>
      <c r="N289" t="str" cm="1">
        <f t="array" ref="N289">_xlfn.IFS(M289=1,"Low",M289=2,"Medium",M289=3,"High",M289=4,"Very High")</f>
        <v>Very High</v>
      </c>
      <c r="O289" t="s">
        <v>42</v>
      </c>
      <c r="P289" s="2">
        <v>82</v>
      </c>
      <c r="Q289">
        <v>3</v>
      </c>
      <c r="R289" t="str" cm="1">
        <f t="array" ref="R289">_xlfn.IFS(Q289=1,"Low",Q289=2,"Medium",Q289=3,"High",Q289=4,"Very High")</f>
        <v>High</v>
      </c>
      <c r="S289">
        <v>2</v>
      </c>
      <c r="T289" t="str" cm="1">
        <f t="array" ref="T289">_xlfn.IFS(S289=1,"Entry Level",S289=2,"Junior",S289=3,"Mid-Level",S289=4,"Senior",S289=5,"Executive")</f>
        <v>Junior</v>
      </c>
      <c r="U289" t="s">
        <v>50</v>
      </c>
      <c r="V289">
        <v>4</v>
      </c>
      <c r="W289" t="str" cm="1">
        <f t="array" ref="W289">_xlfn.IFS(V289=1,"Low",V289=2,"Medium",V289=3,"High",V289=4,"Very High")</f>
        <v>Very High</v>
      </c>
      <c r="X289" t="s">
        <v>48</v>
      </c>
      <c r="Y289" s="2">
        <v>5745</v>
      </c>
      <c r="Z289" s="2">
        <v>18899</v>
      </c>
      <c r="AA289">
        <v>9</v>
      </c>
      <c r="AB289" t="s">
        <v>39</v>
      </c>
      <c r="AC289">
        <v>14</v>
      </c>
      <c r="AD289">
        <v>3</v>
      </c>
      <c r="AE289" t="str" cm="1">
        <f t="array" ref="AE289">_xlfn.IFS(AD289=1,"Low",AD289=2,"Good",AD289=3,"Excellent",AD289=4,"Outstanding")</f>
        <v>Excellent</v>
      </c>
      <c r="AF289">
        <v>2</v>
      </c>
      <c r="AG289" t="str" cm="1">
        <f t="array" ref="AG289">_xlfn.IFS(AF289=1,"Low",AF289=2,"Medium",AF289=3,"High",AF289=4,"Very High")</f>
        <v>Medium</v>
      </c>
      <c r="AH289">
        <v>1</v>
      </c>
      <c r="AI289">
        <v>10</v>
      </c>
      <c r="AJ289">
        <v>2</v>
      </c>
      <c r="AK289">
        <v>3</v>
      </c>
      <c r="AL289" t="str" cm="1">
        <f t="array" ref="AL289">_xlfn.IFS(AK289=1,"Low",AK289=2,"Medium",AK289=3,"High",AK289=4,"Very High")</f>
        <v>High</v>
      </c>
      <c r="AM289">
        <v>2</v>
      </c>
      <c r="AN289">
        <v>2</v>
      </c>
      <c r="AO289">
        <v>1</v>
      </c>
      <c r="AP289">
        <v>2</v>
      </c>
    </row>
    <row r="290" spans="1:42">
      <c r="A290">
        <v>26</v>
      </c>
      <c r="B290" t="str" cm="1">
        <f t="array" ref="B290">_xlfn.IFS(A290&lt;=25,"18-25",A290&lt;=35,"26-35",A290&lt;=45,"36-45",A290&lt;=55,"46-55",A290&gt;55,"56+")</f>
        <v>26-35</v>
      </c>
      <c r="C290" t="s">
        <v>32</v>
      </c>
      <c r="D290" t="s">
        <v>33</v>
      </c>
      <c r="E290" s="2">
        <v>1449</v>
      </c>
      <c r="F290" t="s">
        <v>41</v>
      </c>
      <c r="G290">
        <v>16</v>
      </c>
      <c r="H290" t="str">
        <f t="shared" si="4"/>
        <v>11-20 km</v>
      </c>
      <c r="I290">
        <v>4</v>
      </c>
      <c r="J290" t="str" cm="1">
        <f t="array" ref="J290">_xlfn.IFS(I290=1,"Below College",I290=2,"College",I290=3,"Bachelor",I290=4,"Master",I290=5,"Doctor")</f>
        <v>Master</v>
      </c>
      <c r="K290" t="s">
        <v>47</v>
      </c>
      <c r="L290">
        <v>394</v>
      </c>
      <c r="M290">
        <v>1</v>
      </c>
      <c r="N290" t="str" cm="1">
        <f t="array" ref="N290">_xlfn.IFS(M290=1,"Low",M290=2,"Medium",M290=3,"High",M290=4,"Very High")</f>
        <v>Low</v>
      </c>
      <c r="O290" t="s">
        <v>42</v>
      </c>
      <c r="P290" s="2">
        <v>45</v>
      </c>
      <c r="Q290">
        <v>3</v>
      </c>
      <c r="R290" t="str" cm="1">
        <f t="array" ref="R290">_xlfn.IFS(Q290=1,"Low",Q290=2,"Medium",Q290=3,"High",Q290=4,"Very High")</f>
        <v>High</v>
      </c>
      <c r="S290">
        <v>1</v>
      </c>
      <c r="T290" t="str" cm="1">
        <f t="array" ref="T290">_xlfn.IFS(S290=1,"Entry Level",S290=2,"Junior",S290=3,"Mid-Level",S290=4,"Senior",S290=5,"Executive")</f>
        <v>Entry Level</v>
      </c>
      <c r="U290" t="s">
        <v>46</v>
      </c>
      <c r="V290">
        <v>2</v>
      </c>
      <c r="W290" t="str" cm="1">
        <f t="array" ref="W290">_xlfn.IFS(V290=1,"Low",V290=2,"Medium",V290=3,"High",V290=4,"Very High")</f>
        <v>Medium</v>
      </c>
      <c r="X290" t="s">
        <v>48</v>
      </c>
      <c r="Y290" s="2">
        <v>2373</v>
      </c>
      <c r="Z290" s="2">
        <v>14180</v>
      </c>
      <c r="AA290">
        <v>2</v>
      </c>
      <c r="AB290" t="s">
        <v>32</v>
      </c>
      <c r="AC290">
        <v>13</v>
      </c>
      <c r="AD290">
        <v>3</v>
      </c>
      <c r="AE290" t="str" cm="1">
        <f t="array" ref="AE290">_xlfn.IFS(AD290=1,"Low",AD290=2,"Good",AD290=3,"Excellent",AD290=4,"Outstanding")</f>
        <v>Excellent</v>
      </c>
      <c r="AF290">
        <v>4</v>
      </c>
      <c r="AG290" t="str" cm="1">
        <f t="array" ref="AG290">_xlfn.IFS(AF290=1,"Low",AF290=2,"Medium",AF290=3,"High",AF290=4,"Very High")</f>
        <v>Very High</v>
      </c>
      <c r="AH290">
        <v>1</v>
      </c>
      <c r="AI290">
        <v>5</v>
      </c>
      <c r="AJ290">
        <v>2</v>
      </c>
      <c r="AK290">
        <v>3</v>
      </c>
      <c r="AL290" t="str" cm="1">
        <f t="array" ref="AL290">_xlfn.IFS(AK290=1,"Low",AK290=2,"Medium",AK290=3,"High",AK290=4,"Very High")</f>
        <v>High</v>
      </c>
      <c r="AM290">
        <v>3</v>
      </c>
      <c r="AN290">
        <v>2</v>
      </c>
      <c r="AO290">
        <v>0</v>
      </c>
      <c r="AP290">
        <v>2</v>
      </c>
    </row>
    <row r="291" spans="1:42">
      <c r="A291">
        <v>28</v>
      </c>
      <c r="B291" t="str" cm="1">
        <f t="array" ref="B291">_xlfn.IFS(A291&lt;=25,"18-25",A291&lt;=35,"26-35",A291&lt;=45,"36-45",A291&lt;=55,"46-55",A291&gt;55,"56+")</f>
        <v>26-35</v>
      </c>
      <c r="C291" t="s">
        <v>39</v>
      </c>
      <c r="D291" t="s">
        <v>33</v>
      </c>
      <c r="E291" s="2">
        <v>1117</v>
      </c>
      <c r="F291" t="s">
        <v>41</v>
      </c>
      <c r="G291">
        <v>8</v>
      </c>
      <c r="H291" t="str">
        <f t="shared" si="4"/>
        <v>1-10 km</v>
      </c>
      <c r="I291">
        <v>2</v>
      </c>
      <c r="J291" t="str" cm="1">
        <f t="array" ref="J291">_xlfn.IFS(I291=1,"Below College",I291=2,"College",I291=3,"Bachelor",I291=4,"Master",I291=5,"Doctor")</f>
        <v>College</v>
      </c>
      <c r="K291" t="s">
        <v>35</v>
      </c>
      <c r="L291">
        <v>395</v>
      </c>
      <c r="M291">
        <v>4</v>
      </c>
      <c r="N291" t="str" cm="1">
        <f t="array" ref="N291">_xlfn.IFS(M291=1,"Low",M291=2,"Medium",M291=3,"High",M291=4,"Very High")</f>
        <v>Very High</v>
      </c>
      <c r="O291" t="s">
        <v>36</v>
      </c>
      <c r="P291" s="2">
        <v>66</v>
      </c>
      <c r="Q291">
        <v>3</v>
      </c>
      <c r="R291" t="str" cm="1">
        <f t="array" ref="R291">_xlfn.IFS(Q291=1,"Low",Q291=2,"Medium",Q291=3,"High",Q291=4,"Very High")</f>
        <v>High</v>
      </c>
      <c r="S291">
        <v>1</v>
      </c>
      <c r="T291" t="str" cm="1">
        <f t="array" ref="T291">_xlfn.IFS(S291=1,"Entry Level",S291=2,"Junior",S291=3,"Mid-Level",S291=4,"Senior",S291=5,"Executive")</f>
        <v>Entry Level</v>
      </c>
      <c r="U291" t="s">
        <v>43</v>
      </c>
      <c r="V291">
        <v>4</v>
      </c>
      <c r="W291" t="str" cm="1">
        <f t="array" ref="W291">_xlfn.IFS(V291=1,"Low",V291=2,"Medium",V291=3,"High",V291=4,"Very High")</f>
        <v>Very High</v>
      </c>
      <c r="X291" t="s">
        <v>38</v>
      </c>
      <c r="Y291" s="2">
        <v>3310</v>
      </c>
      <c r="Z291" s="2">
        <v>4488</v>
      </c>
      <c r="AA291">
        <v>1</v>
      </c>
      <c r="AB291" t="s">
        <v>39</v>
      </c>
      <c r="AC291">
        <v>21</v>
      </c>
      <c r="AD291">
        <v>4</v>
      </c>
      <c r="AE291" t="str" cm="1">
        <f t="array" ref="AE291">_xlfn.IFS(AD291=1,"Low",AD291=2,"Good",AD291=3,"Excellent",AD291=4,"Outstanding")</f>
        <v>Outstanding</v>
      </c>
      <c r="AF291">
        <v>4</v>
      </c>
      <c r="AG291" t="str" cm="1">
        <f t="array" ref="AG291">_xlfn.IFS(AF291=1,"Low",AF291=2,"Medium",AF291=3,"High",AF291=4,"Very High")</f>
        <v>Very High</v>
      </c>
      <c r="AH291">
        <v>0</v>
      </c>
      <c r="AI291">
        <v>5</v>
      </c>
      <c r="AJ291">
        <v>3</v>
      </c>
      <c r="AK291">
        <v>3</v>
      </c>
      <c r="AL291" t="str" cm="1">
        <f t="array" ref="AL291">_xlfn.IFS(AK291=1,"Low",AK291=2,"Medium",AK291=3,"High",AK291=4,"Very High")</f>
        <v>High</v>
      </c>
      <c r="AM291">
        <v>5</v>
      </c>
      <c r="AN291">
        <v>3</v>
      </c>
      <c r="AO291">
        <v>0</v>
      </c>
      <c r="AP291">
        <v>2</v>
      </c>
    </row>
    <row r="292" spans="1:42">
      <c r="A292">
        <v>49</v>
      </c>
      <c r="B292" t="str" cm="1">
        <f t="array" ref="B292">_xlfn.IFS(A292&lt;=25,"18-25",A292&lt;=35,"26-35",A292&lt;=45,"36-45",A292&lt;=55,"46-55",A292&gt;55,"56+")</f>
        <v>46-55</v>
      </c>
      <c r="C292" t="s">
        <v>39</v>
      </c>
      <c r="D292" t="s">
        <v>40</v>
      </c>
      <c r="E292" s="2">
        <v>636</v>
      </c>
      <c r="F292" t="s">
        <v>41</v>
      </c>
      <c r="G292">
        <v>10</v>
      </c>
      <c r="H292" t="str">
        <f t="shared" si="4"/>
        <v>1-10 km</v>
      </c>
      <c r="I292">
        <v>4</v>
      </c>
      <c r="J292" t="str" cm="1">
        <f t="array" ref="J292">_xlfn.IFS(I292=1,"Below College",I292=2,"College",I292=3,"Bachelor",I292=4,"Master",I292=5,"Doctor")</f>
        <v>Master</v>
      </c>
      <c r="K292" t="s">
        <v>35</v>
      </c>
      <c r="L292">
        <v>396</v>
      </c>
      <c r="M292">
        <v>3</v>
      </c>
      <c r="N292" t="str" cm="1">
        <f t="array" ref="N292">_xlfn.IFS(M292=1,"Low",M292=2,"Medium",M292=3,"High",M292=4,"Very High")</f>
        <v>High</v>
      </c>
      <c r="O292" t="s">
        <v>36</v>
      </c>
      <c r="P292" s="2">
        <v>35</v>
      </c>
      <c r="Q292">
        <v>3</v>
      </c>
      <c r="R292" t="str" cm="1">
        <f t="array" ref="R292">_xlfn.IFS(Q292=1,"Low",Q292=2,"Medium",Q292=3,"High",Q292=4,"Very High")</f>
        <v>High</v>
      </c>
      <c r="S292">
        <v>5</v>
      </c>
      <c r="T292" t="str" cm="1">
        <f t="array" ref="T292">_xlfn.IFS(S292=1,"Entry Level",S292=2,"Junior",S292=3,"Mid-Level",S292=4,"Senior",S292=5,"Executive")</f>
        <v>Executive</v>
      </c>
      <c r="U292" t="s">
        <v>54</v>
      </c>
      <c r="V292">
        <v>1</v>
      </c>
      <c r="W292" t="str" cm="1">
        <f t="array" ref="W292">_xlfn.IFS(V292=1,"Low",V292=2,"Medium",V292=3,"High",V292=4,"Very High")</f>
        <v>Low</v>
      </c>
      <c r="X292" t="s">
        <v>38</v>
      </c>
      <c r="Y292" s="2">
        <v>18665</v>
      </c>
      <c r="Z292" s="2">
        <v>25594</v>
      </c>
      <c r="AA292">
        <v>9</v>
      </c>
      <c r="AB292" t="s">
        <v>32</v>
      </c>
      <c r="AC292">
        <v>11</v>
      </c>
      <c r="AD292">
        <v>3</v>
      </c>
      <c r="AE292" t="str" cm="1">
        <f t="array" ref="AE292">_xlfn.IFS(AD292=1,"Low",AD292=2,"Good",AD292=3,"Excellent",AD292=4,"Outstanding")</f>
        <v>Excellent</v>
      </c>
      <c r="AF292">
        <v>4</v>
      </c>
      <c r="AG292" t="str" cm="1">
        <f t="array" ref="AG292">_xlfn.IFS(AF292=1,"Low",AF292=2,"Medium",AF292=3,"High",AF292=4,"Very High")</f>
        <v>Very High</v>
      </c>
      <c r="AH292">
        <v>0</v>
      </c>
      <c r="AI292">
        <v>22</v>
      </c>
      <c r="AJ292">
        <v>4</v>
      </c>
      <c r="AK292">
        <v>3</v>
      </c>
      <c r="AL292" t="str" cm="1">
        <f t="array" ref="AL292">_xlfn.IFS(AK292=1,"Low",AK292=2,"Medium",AK292=3,"High",AK292=4,"Very High")</f>
        <v>High</v>
      </c>
      <c r="AM292">
        <v>3</v>
      </c>
      <c r="AN292">
        <v>2</v>
      </c>
      <c r="AO292">
        <v>1</v>
      </c>
      <c r="AP292">
        <v>2</v>
      </c>
    </row>
    <row r="293" spans="1:42">
      <c r="A293">
        <v>36</v>
      </c>
      <c r="B293" t="str" cm="1">
        <f t="array" ref="B293">_xlfn.IFS(A293&lt;=25,"18-25",A293&lt;=35,"26-35",A293&lt;=45,"36-45",A293&lt;=55,"46-55",A293&gt;55,"56+")</f>
        <v>36-45</v>
      </c>
      <c r="C293" t="s">
        <v>39</v>
      </c>
      <c r="D293" t="s">
        <v>33</v>
      </c>
      <c r="E293" s="2">
        <v>506</v>
      </c>
      <c r="F293" t="s">
        <v>41</v>
      </c>
      <c r="G293">
        <v>3</v>
      </c>
      <c r="H293" t="str">
        <f t="shared" si="4"/>
        <v>1-10 km</v>
      </c>
      <c r="I293">
        <v>3</v>
      </c>
      <c r="J293" t="str" cm="1">
        <f t="array" ref="J293">_xlfn.IFS(I293=1,"Below College",I293=2,"College",I293=3,"Bachelor",I293=4,"Master",I293=5,"Doctor")</f>
        <v>Bachelor</v>
      </c>
      <c r="K293" t="s">
        <v>56</v>
      </c>
      <c r="L293">
        <v>397</v>
      </c>
      <c r="M293">
        <v>3</v>
      </c>
      <c r="N293" t="str" cm="1">
        <f t="array" ref="N293">_xlfn.IFS(M293=1,"Low",M293=2,"Medium",M293=3,"High",M293=4,"Very High")</f>
        <v>High</v>
      </c>
      <c r="O293" t="s">
        <v>42</v>
      </c>
      <c r="P293" s="2">
        <v>30</v>
      </c>
      <c r="Q293">
        <v>3</v>
      </c>
      <c r="R293" t="str" cm="1">
        <f t="array" ref="R293">_xlfn.IFS(Q293=1,"Low",Q293=2,"Medium",Q293=3,"High",Q293=4,"Very High")</f>
        <v>High</v>
      </c>
      <c r="S293">
        <v>2</v>
      </c>
      <c r="T293" t="str" cm="1">
        <f t="array" ref="T293">_xlfn.IFS(S293=1,"Entry Level",S293=2,"Junior",S293=3,"Mid-Level",S293=4,"Senior",S293=5,"Executive")</f>
        <v>Junior</v>
      </c>
      <c r="U293" t="s">
        <v>43</v>
      </c>
      <c r="V293">
        <v>2</v>
      </c>
      <c r="W293" t="str" cm="1">
        <f t="array" ref="W293">_xlfn.IFS(V293=1,"Low",V293=2,"Medium",V293=3,"High",V293=4,"Very High")</f>
        <v>Medium</v>
      </c>
      <c r="X293" t="s">
        <v>38</v>
      </c>
      <c r="Y293" s="2">
        <v>4485</v>
      </c>
      <c r="Z293" s="2">
        <v>26285</v>
      </c>
      <c r="AA293">
        <v>4</v>
      </c>
      <c r="AB293" t="s">
        <v>39</v>
      </c>
      <c r="AC293">
        <v>12</v>
      </c>
      <c r="AD293">
        <v>3</v>
      </c>
      <c r="AE293" t="str" cm="1">
        <f t="array" ref="AE293">_xlfn.IFS(AD293=1,"Low",AD293=2,"Good",AD293=3,"Excellent",AD293=4,"Outstanding")</f>
        <v>Excellent</v>
      </c>
      <c r="AF293">
        <v>4</v>
      </c>
      <c r="AG293" t="str" cm="1">
        <f t="array" ref="AG293">_xlfn.IFS(AF293=1,"Low",AF293=2,"Medium",AF293=3,"High",AF293=4,"Very High")</f>
        <v>Very High</v>
      </c>
      <c r="AH293">
        <v>0</v>
      </c>
      <c r="AI293">
        <v>10</v>
      </c>
      <c r="AJ293">
        <v>2</v>
      </c>
      <c r="AK293">
        <v>3</v>
      </c>
      <c r="AL293" t="str" cm="1">
        <f t="array" ref="AL293">_xlfn.IFS(AK293=1,"Low",AK293=2,"Medium",AK293=3,"High",AK293=4,"Very High")</f>
        <v>High</v>
      </c>
      <c r="AM293">
        <v>8</v>
      </c>
      <c r="AN293">
        <v>0</v>
      </c>
      <c r="AO293">
        <v>7</v>
      </c>
      <c r="AP293">
        <v>7</v>
      </c>
    </row>
    <row r="294" spans="1:42">
      <c r="A294">
        <v>31</v>
      </c>
      <c r="B294" t="str" cm="1">
        <f t="array" ref="B294">_xlfn.IFS(A294&lt;=25,"18-25",A294&lt;=35,"26-35",A294&lt;=45,"36-45",A294&lt;=55,"46-55",A294&gt;55,"56+")</f>
        <v>26-35</v>
      </c>
      <c r="C294" t="s">
        <v>39</v>
      </c>
      <c r="D294" t="s">
        <v>40</v>
      </c>
      <c r="E294" s="2">
        <v>444</v>
      </c>
      <c r="F294" t="s">
        <v>34</v>
      </c>
      <c r="G294">
        <v>5</v>
      </c>
      <c r="H294" t="str">
        <f t="shared" si="4"/>
        <v>1-10 km</v>
      </c>
      <c r="I294">
        <v>3</v>
      </c>
      <c r="J294" t="str" cm="1">
        <f t="array" ref="J294">_xlfn.IFS(I294=1,"Below College",I294=2,"College",I294=3,"Bachelor",I294=4,"Master",I294=5,"Doctor")</f>
        <v>Bachelor</v>
      </c>
      <c r="K294" t="s">
        <v>55</v>
      </c>
      <c r="L294">
        <v>399</v>
      </c>
      <c r="M294">
        <v>4</v>
      </c>
      <c r="N294" t="str" cm="1">
        <f t="array" ref="N294">_xlfn.IFS(M294=1,"Low",M294=2,"Medium",M294=3,"High",M294=4,"Very High")</f>
        <v>Very High</v>
      </c>
      <c r="O294" t="s">
        <v>36</v>
      </c>
      <c r="P294" s="2">
        <v>84</v>
      </c>
      <c r="Q294">
        <v>3</v>
      </c>
      <c r="R294" t="str" cm="1">
        <f t="array" ref="R294">_xlfn.IFS(Q294=1,"Low",Q294=2,"Medium",Q294=3,"High",Q294=4,"Very High")</f>
        <v>High</v>
      </c>
      <c r="S294">
        <v>1</v>
      </c>
      <c r="T294" t="str" cm="1">
        <f t="array" ref="T294">_xlfn.IFS(S294=1,"Entry Level",S294=2,"Junior",S294=3,"Mid-Level",S294=4,"Senior",S294=5,"Executive")</f>
        <v>Entry Level</v>
      </c>
      <c r="U294" t="s">
        <v>53</v>
      </c>
      <c r="V294">
        <v>2</v>
      </c>
      <c r="W294" t="str" cm="1">
        <f t="array" ref="W294">_xlfn.IFS(V294=1,"Low",V294=2,"Medium",V294=3,"High",V294=4,"Very High")</f>
        <v>Medium</v>
      </c>
      <c r="X294" t="s">
        <v>48</v>
      </c>
      <c r="Y294" s="2">
        <v>2789</v>
      </c>
      <c r="Z294" s="2">
        <v>3909</v>
      </c>
      <c r="AA294">
        <v>1</v>
      </c>
      <c r="AB294" t="s">
        <v>39</v>
      </c>
      <c r="AC294">
        <v>11</v>
      </c>
      <c r="AD294">
        <v>3</v>
      </c>
      <c r="AE294" t="str" cm="1">
        <f t="array" ref="AE294">_xlfn.IFS(AD294=1,"Low",AD294=2,"Good",AD294=3,"Excellent",AD294=4,"Outstanding")</f>
        <v>Excellent</v>
      </c>
      <c r="AF294">
        <v>3</v>
      </c>
      <c r="AG294" t="str" cm="1">
        <f t="array" ref="AG294">_xlfn.IFS(AF294=1,"Low",AF294=2,"Medium",AF294=3,"High",AF294=4,"Very High")</f>
        <v>High</v>
      </c>
      <c r="AH294">
        <v>1</v>
      </c>
      <c r="AI294">
        <v>2</v>
      </c>
      <c r="AJ294">
        <v>5</v>
      </c>
      <c r="AK294">
        <v>2</v>
      </c>
      <c r="AL294" t="str" cm="1">
        <f t="array" ref="AL294">_xlfn.IFS(AK294=1,"Low",AK294=2,"Medium",AK294=3,"High",AK294=4,"Very High")</f>
        <v>Medium</v>
      </c>
      <c r="AM294">
        <v>2</v>
      </c>
      <c r="AN294">
        <v>2</v>
      </c>
      <c r="AO294">
        <v>2</v>
      </c>
      <c r="AP294">
        <v>2</v>
      </c>
    </row>
    <row r="295" spans="1:42">
      <c r="A295">
        <v>26</v>
      </c>
      <c r="B295" t="str" cm="1">
        <f t="array" ref="B295">_xlfn.IFS(A295&lt;=25,"18-25",A295&lt;=35,"26-35",A295&lt;=45,"36-45",A295&lt;=55,"46-55",A295&gt;55,"56+")</f>
        <v>26-35</v>
      </c>
      <c r="C295" t="s">
        <v>32</v>
      </c>
      <c r="D295" t="s">
        <v>33</v>
      </c>
      <c r="E295" s="2">
        <v>950</v>
      </c>
      <c r="F295" t="s">
        <v>34</v>
      </c>
      <c r="G295">
        <v>4</v>
      </c>
      <c r="H295" t="str">
        <f t="shared" si="4"/>
        <v>1-10 km</v>
      </c>
      <c r="I295">
        <v>4</v>
      </c>
      <c r="J295" t="str" cm="1">
        <f t="array" ref="J295">_xlfn.IFS(I295=1,"Below College",I295=2,"College",I295=3,"Bachelor",I295=4,"Master",I295=5,"Doctor")</f>
        <v>Master</v>
      </c>
      <c r="K295" t="s">
        <v>55</v>
      </c>
      <c r="L295">
        <v>401</v>
      </c>
      <c r="M295">
        <v>4</v>
      </c>
      <c r="N295" t="str" cm="1">
        <f t="array" ref="N295">_xlfn.IFS(M295=1,"Low",M295=2,"Medium",M295=3,"High",M295=4,"Very High")</f>
        <v>Very High</v>
      </c>
      <c r="O295" t="s">
        <v>42</v>
      </c>
      <c r="P295" s="2">
        <v>48</v>
      </c>
      <c r="Q295">
        <v>2</v>
      </c>
      <c r="R295" t="str" cm="1">
        <f t="array" ref="R295">_xlfn.IFS(Q295=1,"Low",Q295=2,"Medium",Q295=3,"High",Q295=4,"Very High")</f>
        <v>Medium</v>
      </c>
      <c r="S295">
        <v>2</v>
      </c>
      <c r="T295" t="str" cm="1">
        <f t="array" ref="T295">_xlfn.IFS(S295=1,"Entry Level",S295=2,"Junior",S295=3,"Mid-Level",S295=4,"Senior",S295=5,"Executive")</f>
        <v>Junior</v>
      </c>
      <c r="U295" t="s">
        <v>37</v>
      </c>
      <c r="V295">
        <v>4</v>
      </c>
      <c r="W295" t="str" cm="1">
        <f t="array" ref="W295">_xlfn.IFS(V295=1,"Low",V295=2,"Medium",V295=3,"High",V295=4,"Very High")</f>
        <v>Very High</v>
      </c>
      <c r="X295" t="s">
        <v>38</v>
      </c>
      <c r="Y295" s="2">
        <v>5828</v>
      </c>
      <c r="Z295" s="2">
        <v>8450</v>
      </c>
      <c r="AA295">
        <v>1</v>
      </c>
      <c r="AB295" t="s">
        <v>32</v>
      </c>
      <c r="AC295">
        <v>12</v>
      </c>
      <c r="AD295">
        <v>3</v>
      </c>
      <c r="AE295" t="str" cm="1">
        <f t="array" ref="AE295">_xlfn.IFS(AD295=1,"Low",AD295=2,"Good",AD295=3,"Excellent",AD295=4,"Outstanding")</f>
        <v>Excellent</v>
      </c>
      <c r="AF295">
        <v>2</v>
      </c>
      <c r="AG295" t="str" cm="1">
        <f t="array" ref="AG295">_xlfn.IFS(AF295=1,"Low",AF295=2,"Medium",AF295=3,"High",AF295=4,"Very High")</f>
        <v>Medium</v>
      </c>
      <c r="AH295">
        <v>0</v>
      </c>
      <c r="AI295">
        <v>8</v>
      </c>
      <c r="AJ295">
        <v>0</v>
      </c>
      <c r="AK295">
        <v>3</v>
      </c>
      <c r="AL295" t="str" cm="1">
        <f t="array" ref="AL295">_xlfn.IFS(AK295=1,"Low",AK295=2,"Medium",AK295=3,"High",AK295=4,"Very High")</f>
        <v>High</v>
      </c>
      <c r="AM295">
        <v>8</v>
      </c>
      <c r="AN295">
        <v>7</v>
      </c>
      <c r="AO295">
        <v>7</v>
      </c>
      <c r="AP295">
        <v>4</v>
      </c>
    </row>
    <row r="296" spans="1:42">
      <c r="A296">
        <v>37</v>
      </c>
      <c r="B296" t="str" cm="1">
        <f t="array" ref="B296">_xlfn.IFS(A296&lt;=25,"18-25",A296&lt;=35,"26-35",A296&lt;=45,"36-45",A296&lt;=55,"46-55",A296&gt;55,"56+")</f>
        <v>36-45</v>
      </c>
      <c r="C296" t="s">
        <v>39</v>
      </c>
      <c r="D296" t="s">
        <v>40</v>
      </c>
      <c r="E296" s="2">
        <v>889</v>
      </c>
      <c r="F296" t="s">
        <v>41</v>
      </c>
      <c r="G296">
        <v>9</v>
      </c>
      <c r="H296" t="str">
        <f t="shared" si="4"/>
        <v>1-10 km</v>
      </c>
      <c r="I296">
        <v>3</v>
      </c>
      <c r="J296" t="str" cm="1">
        <f t="array" ref="J296">_xlfn.IFS(I296=1,"Below College",I296=2,"College",I296=3,"Bachelor",I296=4,"Master",I296=5,"Doctor")</f>
        <v>Bachelor</v>
      </c>
      <c r="K296" t="s">
        <v>47</v>
      </c>
      <c r="L296">
        <v>403</v>
      </c>
      <c r="M296">
        <v>2</v>
      </c>
      <c r="N296" t="str" cm="1">
        <f t="array" ref="N296">_xlfn.IFS(M296=1,"Low",M296=2,"Medium",M296=3,"High",M296=4,"Very High")</f>
        <v>Medium</v>
      </c>
      <c r="O296" t="s">
        <v>42</v>
      </c>
      <c r="P296" s="2">
        <v>53</v>
      </c>
      <c r="Q296">
        <v>3</v>
      </c>
      <c r="R296" t="str" cm="1">
        <f t="array" ref="R296">_xlfn.IFS(Q296=1,"Low",Q296=2,"Medium",Q296=3,"High",Q296=4,"Very High")</f>
        <v>High</v>
      </c>
      <c r="S296">
        <v>1</v>
      </c>
      <c r="T296" t="str" cm="1">
        <f t="array" ref="T296">_xlfn.IFS(S296=1,"Entry Level",S296=2,"Junior",S296=3,"Mid-Level",S296=4,"Senior",S296=5,"Executive")</f>
        <v>Entry Level</v>
      </c>
      <c r="U296" t="s">
        <v>43</v>
      </c>
      <c r="V296">
        <v>4</v>
      </c>
      <c r="W296" t="str" cm="1">
        <f t="array" ref="W296">_xlfn.IFS(V296=1,"Low",V296=2,"Medium",V296=3,"High",V296=4,"Very High")</f>
        <v>Very High</v>
      </c>
      <c r="X296" t="s">
        <v>44</v>
      </c>
      <c r="Y296" s="2">
        <v>2326</v>
      </c>
      <c r="Z296" s="2">
        <v>11411</v>
      </c>
      <c r="AA296">
        <v>1</v>
      </c>
      <c r="AB296" t="s">
        <v>32</v>
      </c>
      <c r="AC296">
        <v>12</v>
      </c>
      <c r="AD296">
        <v>3</v>
      </c>
      <c r="AE296" t="str" cm="1">
        <f t="array" ref="AE296">_xlfn.IFS(AD296=1,"Low",AD296=2,"Good",AD296=3,"Excellent",AD296=4,"Outstanding")</f>
        <v>Excellent</v>
      </c>
      <c r="AF296">
        <v>3</v>
      </c>
      <c r="AG296" t="str" cm="1">
        <f t="array" ref="AG296">_xlfn.IFS(AF296=1,"Low",AF296=2,"Medium",AF296=3,"High",AF296=4,"Very High")</f>
        <v>High</v>
      </c>
      <c r="AH296">
        <v>3</v>
      </c>
      <c r="AI296">
        <v>4</v>
      </c>
      <c r="AJ296">
        <v>3</v>
      </c>
      <c r="AK296">
        <v>2</v>
      </c>
      <c r="AL296" t="str" cm="1">
        <f t="array" ref="AL296">_xlfn.IFS(AK296=1,"Low",AK296=2,"Medium",AK296=3,"High",AK296=4,"Very High")</f>
        <v>Medium</v>
      </c>
      <c r="AM296">
        <v>4</v>
      </c>
      <c r="AN296">
        <v>2</v>
      </c>
      <c r="AO296">
        <v>1</v>
      </c>
      <c r="AP296">
        <v>2</v>
      </c>
    </row>
    <row r="297" spans="1:42">
      <c r="A297">
        <v>42</v>
      </c>
      <c r="B297" t="str" cm="1">
        <f t="array" ref="B297">_xlfn.IFS(A297&lt;=25,"18-25",A297&lt;=35,"26-35",A297&lt;=45,"36-45",A297&lt;=55,"46-55",A297&gt;55,"56+")</f>
        <v>36-45</v>
      </c>
      <c r="C297" t="s">
        <v>39</v>
      </c>
      <c r="D297" t="s">
        <v>40</v>
      </c>
      <c r="E297" s="2">
        <v>555</v>
      </c>
      <c r="F297" t="s">
        <v>34</v>
      </c>
      <c r="G297">
        <v>26</v>
      </c>
      <c r="H297" t="str">
        <f t="shared" si="4"/>
        <v>21-30 km</v>
      </c>
      <c r="I297">
        <v>3</v>
      </c>
      <c r="J297" t="str" cm="1">
        <f t="array" ref="J297">_xlfn.IFS(I297=1,"Below College",I297=2,"College",I297=3,"Bachelor",I297=4,"Master",I297=5,"Doctor")</f>
        <v>Bachelor</v>
      </c>
      <c r="K297" t="s">
        <v>55</v>
      </c>
      <c r="L297">
        <v>404</v>
      </c>
      <c r="M297">
        <v>3</v>
      </c>
      <c r="N297" t="str" cm="1">
        <f t="array" ref="N297">_xlfn.IFS(M297=1,"Low",M297=2,"Medium",M297=3,"High",M297=4,"Very High")</f>
        <v>High</v>
      </c>
      <c r="O297" t="s">
        <v>36</v>
      </c>
      <c r="P297" s="2">
        <v>77</v>
      </c>
      <c r="Q297">
        <v>3</v>
      </c>
      <c r="R297" t="str" cm="1">
        <f t="array" ref="R297">_xlfn.IFS(Q297=1,"Low",Q297=2,"Medium",Q297=3,"High",Q297=4,"Very High")</f>
        <v>High</v>
      </c>
      <c r="S297">
        <v>4</v>
      </c>
      <c r="T297" t="str" cm="1">
        <f t="array" ref="T297">_xlfn.IFS(S297=1,"Entry Level",S297=2,"Junior",S297=3,"Mid-Level",S297=4,"Senior",S297=5,"Executive")</f>
        <v>Senior</v>
      </c>
      <c r="U297" t="s">
        <v>37</v>
      </c>
      <c r="V297">
        <v>2</v>
      </c>
      <c r="W297" t="str" cm="1">
        <f t="array" ref="W297">_xlfn.IFS(V297=1,"Low",V297=2,"Medium",V297=3,"High",V297=4,"Very High")</f>
        <v>Medium</v>
      </c>
      <c r="X297" t="s">
        <v>44</v>
      </c>
      <c r="Y297" s="2">
        <v>13525</v>
      </c>
      <c r="Z297" s="2">
        <v>14864</v>
      </c>
      <c r="AA297">
        <v>5</v>
      </c>
      <c r="AB297" t="s">
        <v>39</v>
      </c>
      <c r="AC297">
        <v>14</v>
      </c>
      <c r="AD297">
        <v>3</v>
      </c>
      <c r="AE297" t="str" cm="1">
        <f t="array" ref="AE297">_xlfn.IFS(AD297=1,"Low",AD297=2,"Good",AD297=3,"Excellent",AD297=4,"Outstanding")</f>
        <v>Excellent</v>
      </c>
      <c r="AF297">
        <v>4</v>
      </c>
      <c r="AG297" t="str" cm="1">
        <f t="array" ref="AG297">_xlfn.IFS(AF297=1,"Low",AF297=2,"Medium",AF297=3,"High",AF297=4,"Very High")</f>
        <v>Very High</v>
      </c>
      <c r="AH297">
        <v>1</v>
      </c>
      <c r="AI297">
        <v>23</v>
      </c>
      <c r="AJ297">
        <v>2</v>
      </c>
      <c r="AK297">
        <v>4</v>
      </c>
      <c r="AL297" t="str" cm="1">
        <f t="array" ref="AL297">_xlfn.IFS(AK297=1,"Low",AK297=2,"Medium",AK297=3,"High",AK297=4,"Very High")</f>
        <v>Very High</v>
      </c>
      <c r="AM297">
        <v>20</v>
      </c>
      <c r="AN297">
        <v>4</v>
      </c>
      <c r="AO297">
        <v>4</v>
      </c>
      <c r="AP297">
        <v>8</v>
      </c>
    </row>
    <row r="298" spans="1:42">
      <c r="A298">
        <v>18</v>
      </c>
      <c r="B298" t="str" cm="1">
        <f t="array" ref="B298">_xlfn.IFS(A298&lt;=25,"18-25",A298&lt;=35,"26-35",A298&lt;=45,"36-45",A298&lt;=55,"46-55",A298&gt;55,"56+")</f>
        <v>18-25</v>
      </c>
      <c r="C298" t="s">
        <v>32</v>
      </c>
      <c r="D298" t="s">
        <v>33</v>
      </c>
      <c r="E298" s="2">
        <v>230</v>
      </c>
      <c r="F298" t="s">
        <v>41</v>
      </c>
      <c r="G298">
        <v>3</v>
      </c>
      <c r="H298" t="str">
        <f t="shared" si="4"/>
        <v>1-10 km</v>
      </c>
      <c r="I298">
        <v>3</v>
      </c>
      <c r="J298" t="str" cm="1">
        <f t="array" ref="J298">_xlfn.IFS(I298=1,"Below College",I298=2,"College",I298=3,"Bachelor",I298=4,"Master",I298=5,"Doctor")</f>
        <v>Bachelor</v>
      </c>
      <c r="K298" t="s">
        <v>35</v>
      </c>
      <c r="L298">
        <v>405</v>
      </c>
      <c r="M298">
        <v>3</v>
      </c>
      <c r="N298" t="str" cm="1">
        <f t="array" ref="N298">_xlfn.IFS(M298=1,"Low",M298=2,"Medium",M298=3,"High",M298=4,"Very High")</f>
        <v>High</v>
      </c>
      <c r="O298" t="s">
        <v>42</v>
      </c>
      <c r="P298" s="2">
        <v>54</v>
      </c>
      <c r="Q298">
        <v>3</v>
      </c>
      <c r="R298" t="str" cm="1">
        <f t="array" ref="R298">_xlfn.IFS(Q298=1,"Low",Q298=2,"Medium",Q298=3,"High",Q298=4,"Very High")</f>
        <v>High</v>
      </c>
      <c r="S298">
        <v>1</v>
      </c>
      <c r="T298" t="str" cm="1">
        <f t="array" ref="T298">_xlfn.IFS(S298=1,"Entry Level",S298=2,"Junior",S298=3,"Mid-Level",S298=4,"Senior",S298=5,"Executive")</f>
        <v>Entry Level</v>
      </c>
      <c r="U298" t="s">
        <v>46</v>
      </c>
      <c r="V298">
        <v>3</v>
      </c>
      <c r="W298" t="str" cm="1">
        <f t="array" ref="W298">_xlfn.IFS(V298=1,"Low",V298=2,"Medium",V298=3,"High",V298=4,"Very High")</f>
        <v>High</v>
      </c>
      <c r="X298" t="s">
        <v>38</v>
      </c>
      <c r="Y298" s="2">
        <v>1420</v>
      </c>
      <c r="Z298" s="2">
        <v>25233</v>
      </c>
      <c r="AA298">
        <v>1</v>
      </c>
      <c r="AB298" t="s">
        <v>39</v>
      </c>
      <c r="AC298">
        <v>13</v>
      </c>
      <c r="AD298">
        <v>3</v>
      </c>
      <c r="AE298" t="str" cm="1">
        <f t="array" ref="AE298">_xlfn.IFS(AD298=1,"Low",AD298=2,"Good",AD298=3,"Excellent",AD298=4,"Outstanding")</f>
        <v>Excellent</v>
      </c>
      <c r="AF298">
        <v>3</v>
      </c>
      <c r="AG298" t="str" cm="1">
        <f t="array" ref="AG298">_xlfn.IFS(AF298=1,"Low",AF298=2,"Medium",AF298=3,"High",AF298=4,"Very High")</f>
        <v>High</v>
      </c>
      <c r="AH298">
        <v>0</v>
      </c>
      <c r="AI298">
        <v>0</v>
      </c>
      <c r="AJ298">
        <v>2</v>
      </c>
      <c r="AK298">
        <v>3</v>
      </c>
      <c r="AL298" t="str" cm="1">
        <f t="array" ref="AL298">_xlfn.IFS(AK298=1,"Low",AK298=2,"Medium",AK298=3,"High",AK298=4,"Very High")</f>
        <v>High</v>
      </c>
      <c r="AM298">
        <v>0</v>
      </c>
      <c r="AN298">
        <v>0</v>
      </c>
      <c r="AO298">
        <v>0</v>
      </c>
      <c r="AP298">
        <v>0</v>
      </c>
    </row>
    <row r="299" spans="1:42">
      <c r="A299">
        <v>35</v>
      </c>
      <c r="B299" t="str" cm="1">
        <f t="array" ref="B299">_xlfn.IFS(A299&lt;=25,"18-25",A299&lt;=35,"26-35",A299&lt;=45,"36-45",A299&lt;=55,"46-55",A299&gt;55,"56+")</f>
        <v>26-35</v>
      </c>
      <c r="C299" t="s">
        <v>39</v>
      </c>
      <c r="D299" t="s">
        <v>33</v>
      </c>
      <c r="E299" s="2">
        <v>1232</v>
      </c>
      <c r="F299" t="s">
        <v>34</v>
      </c>
      <c r="G299">
        <v>16</v>
      </c>
      <c r="H299" t="str">
        <f t="shared" si="4"/>
        <v>11-20 km</v>
      </c>
      <c r="I299">
        <v>3</v>
      </c>
      <c r="J299" t="str" cm="1">
        <f t="array" ref="J299">_xlfn.IFS(I299=1,"Below College",I299=2,"College",I299=3,"Bachelor",I299=4,"Master",I299=5,"Doctor")</f>
        <v>Bachelor</v>
      </c>
      <c r="K299" t="s">
        <v>55</v>
      </c>
      <c r="L299">
        <v>406</v>
      </c>
      <c r="M299">
        <v>3</v>
      </c>
      <c r="N299" t="str" cm="1">
        <f t="array" ref="N299">_xlfn.IFS(M299=1,"Low",M299=2,"Medium",M299=3,"High",M299=4,"Very High")</f>
        <v>High</v>
      </c>
      <c r="O299" t="s">
        <v>42</v>
      </c>
      <c r="P299" s="2">
        <v>96</v>
      </c>
      <c r="Q299">
        <v>3</v>
      </c>
      <c r="R299" t="str" cm="1">
        <f t="array" ref="R299">_xlfn.IFS(Q299=1,"Low",Q299=2,"Medium",Q299=3,"High",Q299=4,"Very High")</f>
        <v>High</v>
      </c>
      <c r="S299">
        <v>3</v>
      </c>
      <c r="T299" t="str" cm="1">
        <f t="array" ref="T299">_xlfn.IFS(S299=1,"Entry Level",S299=2,"Junior",S299=3,"Mid-Level",S299=4,"Senior",S299=5,"Executive")</f>
        <v>Mid-Level</v>
      </c>
      <c r="U299" t="s">
        <v>37</v>
      </c>
      <c r="V299">
        <v>2</v>
      </c>
      <c r="W299" t="str" cm="1">
        <f t="array" ref="W299">_xlfn.IFS(V299=1,"Low",V299=2,"Medium",V299=3,"High",V299=4,"Very High")</f>
        <v>Medium</v>
      </c>
      <c r="X299" t="s">
        <v>44</v>
      </c>
      <c r="Y299" s="2">
        <v>8020</v>
      </c>
      <c r="Z299" s="2">
        <v>5100</v>
      </c>
      <c r="AA299">
        <v>0</v>
      </c>
      <c r="AB299" t="s">
        <v>39</v>
      </c>
      <c r="AC299">
        <v>15</v>
      </c>
      <c r="AD299">
        <v>3</v>
      </c>
      <c r="AE299" t="str" cm="1">
        <f t="array" ref="AE299">_xlfn.IFS(AD299=1,"Low",AD299=2,"Good",AD299=3,"Excellent",AD299=4,"Outstanding")</f>
        <v>Excellent</v>
      </c>
      <c r="AF299">
        <v>3</v>
      </c>
      <c r="AG299" t="str" cm="1">
        <f t="array" ref="AG299">_xlfn.IFS(AF299=1,"Low",AF299=2,"Medium",AF299=3,"High",AF299=4,"Very High")</f>
        <v>High</v>
      </c>
      <c r="AH299">
        <v>2</v>
      </c>
      <c r="AI299">
        <v>12</v>
      </c>
      <c r="AJ299">
        <v>3</v>
      </c>
      <c r="AK299">
        <v>2</v>
      </c>
      <c r="AL299" t="str" cm="1">
        <f t="array" ref="AL299">_xlfn.IFS(AK299=1,"Low",AK299=2,"Medium",AK299=3,"High",AK299=4,"Very High")</f>
        <v>Medium</v>
      </c>
      <c r="AM299">
        <v>11</v>
      </c>
      <c r="AN299">
        <v>9</v>
      </c>
      <c r="AO299">
        <v>6</v>
      </c>
      <c r="AP299">
        <v>9</v>
      </c>
    </row>
    <row r="300" spans="1:42">
      <c r="A300">
        <v>36</v>
      </c>
      <c r="B300" t="str" cm="1">
        <f t="array" ref="B300">_xlfn.IFS(A300&lt;=25,"18-25",A300&lt;=35,"26-35",A300&lt;=45,"36-45",A300&lt;=55,"46-55",A300&gt;55,"56+")</f>
        <v>36-45</v>
      </c>
      <c r="C300" t="s">
        <v>39</v>
      </c>
      <c r="D300" t="s">
        <v>40</v>
      </c>
      <c r="E300" s="2">
        <v>566</v>
      </c>
      <c r="F300" t="s">
        <v>41</v>
      </c>
      <c r="G300">
        <v>18</v>
      </c>
      <c r="H300" t="str">
        <f t="shared" si="4"/>
        <v>11-20 km</v>
      </c>
      <c r="I300">
        <v>4</v>
      </c>
      <c r="J300" t="str" cm="1">
        <f t="array" ref="J300">_xlfn.IFS(I300=1,"Below College",I300=2,"College",I300=3,"Bachelor",I300=4,"Master",I300=5,"Doctor")</f>
        <v>Master</v>
      </c>
      <c r="K300" t="s">
        <v>35</v>
      </c>
      <c r="L300">
        <v>407</v>
      </c>
      <c r="M300">
        <v>3</v>
      </c>
      <c r="N300" t="str" cm="1">
        <f t="array" ref="N300">_xlfn.IFS(M300=1,"Low",M300=2,"Medium",M300=3,"High",M300=4,"Very High")</f>
        <v>High</v>
      </c>
      <c r="O300" t="s">
        <v>42</v>
      </c>
      <c r="P300" s="2">
        <v>81</v>
      </c>
      <c r="Q300">
        <v>4</v>
      </c>
      <c r="R300" t="str" cm="1">
        <f t="array" ref="R300">_xlfn.IFS(Q300=1,"Low",Q300=2,"Medium",Q300=3,"High",Q300=4,"Very High")</f>
        <v>Very High</v>
      </c>
      <c r="S300">
        <v>1</v>
      </c>
      <c r="T300" t="str" cm="1">
        <f t="array" ref="T300">_xlfn.IFS(S300=1,"Entry Level",S300=2,"Junior",S300=3,"Mid-Level",S300=4,"Senior",S300=5,"Executive")</f>
        <v>Entry Level</v>
      </c>
      <c r="U300" t="s">
        <v>46</v>
      </c>
      <c r="V300">
        <v>4</v>
      </c>
      <c r="W300" t="str" cm="1">
        <f t="array" ref="W300">_xlfn.IFS(V300=1,"Low",V300=2,"Medium",V300=3,"High",V300=4,"Very High")</f>
        <v>Very High</v>
      </c>
      <c r="X300" t="s">
        <v>44</v>
      </c>
      <c r="Y300" s="2">
        <v>3688</v>
      </c>
      <c r="Z300" s="2">
        <v>7122</v>
      </c>
      <c r="AA300">
        <v>4</v>
      </c>
      <c r="AB300" t="s">
        <v>39</v>
      </c>
      <c r="AC300">
        <v>18</v>
      </c>
      <c r="AD300">
        <v>3</v>
      </c>
      <c r="AE300" t="str" cm="1">
        <f t="array" ref="AE300">_xlfn.IFS(AD300=1,"Low",AD300=2,"Good",AD300=3,"Excellent",AD300=4,"Outstanding")</f>
        <v>Excellent</v>
      </c>
      <c r="AF300">
        <v>4</v>
      </c>
      <c r="AG300" t="str" cm="1">
        <f t="array" ref="AG300">_xlfn.IFS(AF300=1,"Low",AF300=2,"Medium",AF300=3,"High",AF300=4,"Very High")</f>
        <v>Very High</v>
      </c>
      <c r="AH300">
        <v>2</v>
      </c>
      <c r="AI300">
        <v>4</v>
      </c>
      <c r="AJ300">
        <v>2</v>
      </c>
      <c r="AK300">
        <v>3</v>
      </c>
      <c r="AL300" t="str" cm="1">
        <f t="array" ref="AL300">_xlfn.IFS(AK300=1,"Low",AK300=2,"Medium",AK300=3,"High",AK300=4,"Very High")</f>
        <v>High</v>
      </c>
      <c r="AM300">
        <v>1</v>
      </c>
      <c r="AN300">
        <v>0</v>
      </c>
      <c r="AO300">
        <v>0</v>
      </c>
      <c r="AP300">
        <v>0</v>
      </c>
    </row>
    <row r="301" spans="1:42">
      <c r="A301">
        <v>51</v>
      </c>
      <c r="B301" t="str" cm="1">
        <f t="array" ref="B301">_xlfn.IFS(A301&lt;=25,"18-25",A301&lt;=35,"26-35",A301&lt;=45,"36-45",A301&lt;=55,"46-55",A301&gt;55,"56+")</f>
        <v>46-55</v>
      </c>
      <c r="C301" t="s">
        <v>39</v>
      </c>
      <c r="D301" t="s">
        <v>33</v>
      </c>
      <c r="E301" s="2">
        <v>1302</v>
      </c>
      <c r="F301" t="s">
        <v>41</v>
      </c>
      <c r="G301">
        <v>2</v>
      </c>
      <c r="H301" t="str">
        <f t="shared" si="4"/>
        <v>1-10 km</v>
      </c>
      <c r="I301">
        <v>3</v>
      </c>
      <c r="J301" t="str" cm="1">
        <f t="array" ref="J301">_xlfn.IFS(I301=1,"Below College",I301=2,"College",I301=3,"Bachelor",I301=4,"Master",I301=5,"Doctor")</f>
        <v>Bachelor</v>
      </c>
      <c r="K301" t="s">
        <v>47</v>
      </c>
      <c r="L301">
        <v>408</v>
      </c>
      <c r="M301">
        <v>4</v>
      </c>
      <c r="N301" t="str" cm="1">
        <f t="array" ref="N301">_xlfn.IFS(M301=1,"Low",M301=2,"Medium",M301=3,"High",M301=4,"Very High")</f>
        <v>Very High</v>
      </c>
      <c r="O301" t="s">
        <v>42</v>
      </c>
      <c r="P301" s="2">
        <v>84</v>
      </c>
      <c r="Q301">
        <v>1</v>
      </c>
      <c r="R301" t="str" cm="1">
        <f t="array" ref="R301">_xlfn.IFS(Q301=1,"Low",Q301=2,"Medium",Q301=3,"High",Q301=4,"Very High")</f>
        <v>Low</v>
      </c>
      <c r="S301">
        <v>2</v>
      </c>
      <c r="T301" t="str" cm="1">
        <f t="array" ref="T301">_xlfn.IFS(S301=1,"Entry Level",S301=2,"Junior",S301=3,"Mid-Level",S301=4,"Senior",S301=5,"Executive")</f>
        <v>Junior</v>
      </c>
      <c r="U301" t="s">
        <v>49</v>
      </c>
      <c r="V301">
        <v>2</v>
      </c>
      <c r="W301" t="str" cm="1">
        <f t="array" ref="W301">_xlfn.IFS(V301=1,"Low",V301=2,"Medium",V301=3,"High",V301=4,"Very High")</f>
        <v>Medium</v>
      </c>
      <c r="X301" t="s">
        <v>48</v>
      </c>
      <c r="Y301" s="2">
        <v>5482</v>
      </c>
      <c r="Z301" s="2">
        <v>16321</v>
      </c>
      <c r="AA301">
        <v>5</v>
      </c>
      <c r="AB301" t="s">
        <v>39</v>
      </c>
      <c r="AC301">
        <v>18</v>
      </c>
      <c r="AD301">
        <v>3</v>
      </c>
      <c r="AE301" t="str" cm="1">
        <f t="array" ref="AE301">_xlfn.IFS(AD301=1,"Low",AD301=2,"Good",AD301=3,"Excellent",AD301=4,"Outstanding")</f>
        <v>Excellent</v>
      </c>
      <c r="AF301">
        <v>4</v>
      </c>
      <c r="AG301" t="str" cm="1">
        <f t="array" ref="AG301">_xlfn.IFS(AF301=1,"Low",AF301=2,"Medium",AF301=3,"High",AF301=4,"Very High")</f>
        <v>Very High</v>
      </c>
      <c r="AH301">
        <v>1</v>
      </c>
      <c r="AI301">
        <v>13</v>
      </c>
      <c r="AJ301">
        <v>3</v>
      </c>
      <c r="AK301">
        <v>3</v>
      </c>
      <c r="AL301" t="str" cm="1">
        <f t="array" ref="AL301">_xlfn.IFS(AK301=1,"Low",AK301=2,"Medium",AK301=3,"High",AK301=4,"Very High")</f>
        <v>High</v>
      </c>
      <c r="AM301">
        <v>4</v>
      </c>
      <c r="AN301">
        <v>1</v>
      </c>
      <c r="AO301">
        <v>1</v>
      </c>
      <c r="AP301">
        <v>2</v>
      </c>
    </row>
    <row r="302" spans="1:42">
      <c r="A302">
        <v>41</v>
      </c>
      <c r="B302" t="str" cm="1">
        <f t="array" ref="B302">_xlfn.IFS(A302&lt;=25,"18-25",A302&lt;=35,"26-35",A302&lt;=45,"36-45",A302&lt;=55,"46-55",A302&gt;55,"56+")</f>
        <v>36-45</v>
      </c>
      <c r="C302" t="s">
        <v>39</v>
      </c>
      <c r="D302" t="s">
        <v>33</v>
      </c>
      <c r="E302" s="2">
        <v>334</v>
      </c>
      <c r="F302" t="s">
        <v>34</v>
      </c>
      <c r="G302">
        <v>2</v>
      </c>
      <c r="H302" t="str">
        <f t="shared" si="4"/>
        <v>1-10 km</v>
      </c>
      <c r="I302">
        <v>4</v>
      </c>
      <c r="J302" t="str" cm="1">
        <f t="array" ref="J302">_xlfn.IFS(I302=1,"Below College",I302=2,"College",I302=3,"Bachelor",I302=4,"Master",I302=5,"Doctor")</f>
        <v>Master</v>
      </c>
      <c r="K302" t="s">
        <v>35</v>
      </c>
      <c r="L302">
        <v>410</v>
      </c>
      <c r="M302">
        <v>4</v>
      </c>
      <c r="N302" t="str" cm="1">
        <f t="array" ref="N302">_xlfn.IFS(M302=1,"Low",M302=2,"Medium",M302=3,"High",M302=4,"Very High")</f>
        <v>Very High</v>
      </c>
      <c r="O302" t="s">
        <v>42</v>
      </c>
      <c r="P302" s="2">
        <v>88</v>
      </c>
      <c r="Q302">
        <v>3</v>
      </c>
      <c r="R302" t="str" cm="1">
        <f t="array" ref="R302">_xlfn.IFS(Q302=1,"Low",Q302=2,"Medium",Q302=3,"High",Q302=4,"Very High")</f>
        <v>High</v>
      </c>
      <c r="S302">
        <v>4</v>
      </c>
      <c r="T302" t="str" cm="1">
        <f t="array" ref="T302">_xlfn.IFS(S302=1,"Entry Level",S302=2,"Junior",S302=3,"Mid-Level",S302=4,"Senior",S302=5,"Executive")</f>
        <v>Senior</v>
      </c>
      <c r="U302" t="s">
        <v>52</v>
      </c>
      <c r="V302">
        <v>2</v>
      </c>
      <c r="W302" t="str" cm="1">
        <f t="array" ref="W302">_xlfn.IFS(V302=1,"Low",V302=2,"Medium",V302=3,"High",V302=4,"Very High")</f>
        <v>Medium</v>
      </c>
      <c r="X302" t="s">
        <v>38</v>
      </c>
      <c r="Y302" s="2">
        <v>16015</v>
      </c>
      <c r="Z302" s="2">
        <v>15896</v>
      </c>
      <c r="AA302">
        <v>1</v>
      </c>
      <c r="AB302" t="s">
        <v>39</v>
      </c>
      <c r="AC302">
        <v>19</v>
      </c>
      <c r="AD302">
        <v>3</v>
      </c>
      <c r="AE302" t="str" cm="1">
        <f t="array" ref="AE302">_xlfn.IFS(AD302=1,"Low",AD302=2,"Good",AD302=3,"Excellent",AD302=4,"Outstanding")</f>
        <v>Excellent</v>
      </c>
      <c r="AF302">
        <v>2</v>
      </c>
      <c r="AG302" t="str" cm="1">
        <f t="array" ref="AG302">_xlfn.IFS(AF302=1,"Low",AF302=2,"Medium",AF302=3,"High",AF302=4,"Very High")</f>
        <v>Medium</v>
      </c>
      <c r="AH302">
        <v>0</v>
      </c>
      <c r="AI302">
        <v>22</v>
      </c>
      <c r="AJ302">
        <v>2</v>
      </c>
      <c r="AK302">
        <v>3</v>
      </c>
      <c r="AL302" t="str" cm="1">
        <f t="array" ref="AL302">_xlfn.IFS(AK302=1,"Low",AK302=2,"Medium",AK302=3,"High",AK302=4,"Very High")</f>
        <v>High</v>
      </c>
      <c r="AM302">
        <v>22</v>
      </c>
      <c r="AN302">
        <v>10</v>
      </c>
      <c r="AO302">
        <v>0</v>
      </c>
      <c r="AP302">
        <v>4</v>
      </c>
    </row>
    <row r="303" spans="1:42">
      <c r="A303">
        <v>18</v>
      </c>
      <c r="B303" t="str" cm="1">
        <f t="array" ref="B303">_xlfn.IFS(A303&lt;=25,"18-25",A303&lt;=35,"26-35",A303&lt;=45,"36-45",A303&lt;=55,"46-55",A303&gt;55,"56+")</f>
        <v>18-25</v>
      </c>
      <c r="C303" t="s">
        <v>39</v>
      </c>
      <c r="D303" t="s">
        <v>33</v>
      </c>
      <c r="E303" s="2">
        <v>812</v>
      </c>
      <c r="F303" t="s">
        <v>34</v>
      </c>
      <c r="G303">
        <v>10</v>
      </c>
      <c r="H303" t="str">
        <f t="shared" si="4"/>
        <v>1-10 km</v>
      </c>
      <c r="I303">
        <v>3</v>
      </c>
      <c r="J303" t="str" cm="1">
        <f t="array" ref="J303">_xlfn.IFS(I303=1,"Below College",I303=2,"College",I303=3,"Bachelor",I303=4,"Master",I303=5,"Doctor")</f>
        <v>Bachelor</v>
      </c>
      <c r="K303" t="s">
        <v>47</v>
      </c>
      <c r="L303">
        <v>411</v>
      </c>
      <c r="M303">
        <v>4</v>
      </c>
      <c r="N303" t="str" cm="1">
        <f t="array" ref="N303">_xlfn.IFS(M303=1,"Low",M303=2,"Medium",M303=3,"High",M303=4,"Very High")</f>
        <v>Very High</v>
      </c>
      <c r="O303" t="s">
        <v>36</v>
      </c>
      <c r="P303" s="2">
        <v>69</v>
      </c>
      <c r="Q303">
        <v>2</v>
      </c>
      <c r="R303" t="str" cm="1">
        <f t="array" ref="R303">_xlfn.IFS(Q303=1,"Low",Q303=2,"Medium",Q303=3,"High",Q303=4,"Very High")</f>
        <v>Medium</v>
      </c>
      <c r="S303">
        <v>1</v>
      </c>
      <c r="T303" t="str" cm="1">
        <f t="array" ref="T303">_xlfn.IFS(S303=1,"Entry Level",S303=2,"Junior",S303=3,"Mid-Level",S303=4,"Senior",S303=5,"Executive")</f>
        <v>Entry Level</v>
      </c>
      <c r="U303" t="s">
        <v>53</v>
      </c>
      <c r="V303">
        <v>3</v>
      </c>
      <c r="W303" t="str" cm="1">
        <f t="array" ref="W303">_xlfn.IFS(V303=1,"Low",V303=2,"Medium",V303=3,"High",V303=4,"Very High")</f>
        <v>High</v>
      </c>
      <c r="X303" t="s">
        <v>38</v>
      </c>
      <c r="Y303" s="2">
        <v>1200</v>
      </c>
      <c r="Z303" s="2">
        <v>9724</v>
      </c>
      <c r="AA303">
        <v>1</v>
      </c>
      <c r="AB303" t="s">
        <v>39</v>
      </c>
      <c r="AC303">
        <v>12</v>
      </c>
      <c r="AD303">
        <v>3</v>
      </c>
      <c r="AE303" t="str" cm="1">
        <f t="array" ref="AE303">_xlfn.IFS(AD303=1,"Low",AD303=2,"Good",AD303=3,"Excellent",AD303=4,"Outstanding")</f>
        <v>Excellent</v>
      </c>
      <c r="AF303">
        <v>1</v>
      </c>
      <c r="AG303" t="str" cm="1">
        <f t="array" ref="AG303">_xlfn.IFS(AF303=1,"Low",AF303=2,"Medium",AF303=3,"High",AF303=4,"Very High")</f>
        <v>Low</v>
      </c>
      <c r="AH303">
        <v>0</v>
      </c>
      <c r="AI303">
        <v>0</v>
      </c>
      <c r="AJ303">
        <v>2</v>
      </c>
      <c r="AK303">
        <v>3</v>
      </c>
      <c r="AL303" t="str" cm="1">
        <f t="array" ref="AL303">_xlfn.IFS(AK303=1,"Low",AK303=2,"Medium",AK303=3,"High",AK303=4,"Very High")</f>
        <v>High</v>
      </c>
      <c r="AM303">
        <v>0</v>
      </c>
      <c r="AN303">
        <v>0</v>
      </c>
      <c r="AO303">
        <v>0</v>
      </c>
      <c r="AP303">
        <v>0</v>
      </c>
    </row>
    <row r="304" spans="1:42">
      <c r="A304">
        <v>28</v>
      </c>
      <c r="B304" t="str" cm="1">
        <f t="array" ref="B304">_xlfn.IFS(A304&lt;=25,"18-25",A304&lt;=35,"26-35",A304&lt;=45,"36-45",A304&lt;=55,"46-55",A304&gt;55,"56+")</f>
        <v>26-35</v>
      </c>
      <c r="C304" t="s">
        <v>39</v>
      </c>
      <c r="D304" t="s">
        <v>33</v>
      </c>
      <c r="E304" s="2">
        <v>1476</v>
      </c>
      <c r="F304" t="s">
        <v>41</v>
      </c>
      <c r="G304">
        <v>16</v>
      </c>
      <c r="H304" t="str">
        <f t="shared" si="4"/>
        <v>11-20 km</v>
      </c>
      <c r="I304">
        <v>2</v>
      </c>
      <c r="J304" t="str" cm="1">
        <f t="array" ref="J304">_xlfn.IFS(I304=1,"Below College",I304=2,"College",I304=3,"Bachelor",I304=4,"Master",I304=5,"Doctor")</f>
        <v>College</v>
      </c>
      <c r="K304" t="s">
        <v>47</v>
      </c>
      <c r="L304">
        <v>412</v>
      </c>
      <c r="M304">
        <v>2</v>
      </c>
      <c r="N304" t="str" cm="1">
        <f t="array" ref="N304">_xlfn.IFS(M304=1,"Low",M304=2,"Medium",M304=3,"High",M304=4,"Very High")</f>
        <v>Medium</v>
      </c>
      <c r="O304" t="s">
        <v>42</v>
      </c>
      <c r="P304" s="2">
        <v>68</v>
      </c>
      <c r="Q304">
        <v>4</v>
      </c>
      <c r="R304" t="str" cm="1">
        <f t="array" ref="R304">_xlfn.IFS(Q304=1,"Low",Q304=2,"Medium",Q304=3,"High",Q304=4,"Very High")</f>
        <v>Very High</v>
      </c>
      <c r="S304">
        <v>2</v>
      </c>
      <c r="T304" t="str" cm="1">
        <f t="array" ref="T304">_xlfn.IFS(S304=1,"Entry Level",S304=2,"Junior",S304=3,"Mid-Level",S304=4,"Senior",S304=5,"Executive")</f>
        <v>Junior</v>
      </c>
      <c r="U304" t="s">
        <v>50</v>
      </c>
      <c r="V304">
        <v>1</v>
      </c>
      <c r="W304" t="str" cm="1">
        <f t="array" ref="W304">_xlfn.IFS(V304=1,"Low",V304=2,"Medium",V304=3,"High",V304=4,"Very High")</f>
        <v>Low</v>
      </c>
      <c r="X304" t="s">
        <v>38</v>
      </c>
      <c r="Y304" s="2">
        <v>5661</v>
      </c>
      <c r="Z304" s="2">
        <v>4824</v>
      </c>
      <c r="AA304">
        <v>0</v>
      </c>
      <c r="AB304" t="s">
        <v>39</v>
      </c>
      <c r="AC304">
        <v>19</v>
      </c>
      <c r="AD304">
        <v>3</v>
      </c>
      <c r="AE304" t="str" cm="1">
        <f t="array" ref="AE304">_xlfn.IFS(AD304=1,"Low",AD304=2,"Good",AD304=3,"Excellent",AD304=4,"Outstanding")</f>
        <v>Excellent</v>
      </c>
      <c r="AF304">
        <v>3</v>
      </c>
      <c r="AG304" t="str" cm="1">
        <f t="array" ref="AG304">_xlfn.IFS(AF304=1,"Low",AF304=2,"Medium",AF304=3,"High",AF304=4,"Very High")</f>
        <v>High</v>
      </c>
      <c r="AH304">
        <v>0</v>
      </c>
      <c r="AI304">
        <v>9</v>
      </c>
      <c r="AJ304">
        <v>2</v>
      </c>
      <c r="AK304">
        <v>3</v>
      </c>
      <c r="AL304" t="str" cm="1">
        <f t="array" ref="AL304">_xlfn.IFS(AK304=1,"Low",AK304=2,"Medium",AK304=3,"High",AK304=4,"Very High")</f>
        <v>High</v>
      </c>
      <c r="AM304">
        <v>8</v>
      </c>
      <c r="AN304">
        <v>3</v>
      </c>
      <c r="AO304">
        <v>0</v>
      </c>
      <c r="AP304">
        <v>7</v>
      </c>
    </row>
    <row r="305" spans="1:42">
      <c r="A305">
        <v>31</v>
      </c>
      <c r="B305" t="str" cm="1">
        <f t="array" ref="B305">_xlfn.IFS(A305&lt;=25,"18-25",A305&lt;=35,"26-35",A305&lt;=45,"36-45",A305&lt;=55,"46-55",A305&gt;55,"56+")</f>
        <v>26-35</v>
      </c>
      <c r="C305" t="s">
        <v>39</v>
      </c>
      <c r="D305" t="s">
        <v>33</v>
      </c>
      <c r="E305" s="2">
        <v>218</v>
      </c>
      <c r="F305" t="s">
        <v>34</v>
      </c>
      <c r="G305">
        <v>7</v>
      </c>
      <c r="H305" t="str">
        <f t="shared" si="4"/>
        <v>1-10 km</v>
      </c>
      <c r="I305">
        <v>3</v>
      </c>
      <c r="J305" t="str" cm="1">
        <f t="array" ref="J305">_xlfn.IFS(I305=1,"Below College",I305=2,"College",I305=3,"Bachelor",I305=4,"Master",I305=5,"Doctor")</f>
        <v>Bachelor</v>
      </c>
      <c r="K305" t="s">
        <v>56</v>
      </c>
      <c r="L305">
        <v>416</v>
      </c>
      <c r="M305">
        <v>2</v>
      </c>
      <c r="N305" t="str" cm="1">
        <f t="array" ref="N305">_xlfn.IFS(M305=1,"Low",M305=2,"Medium",M305=3,"High",M305=4,"Very High")</f>
        <v>Medium</v>
      </c>
      <c r="O305" t="s">
        <v>42</v>
      </c>
      <c r="P305" s="2">
        <v>100</v>
      </c>
      <c r="Q305">
        <v>4</v>
      </c>
      <c r="R305" t="str" cm="1">
        <f t="array" ref="R305">_xlfn.IFS(Q305=1,"Low",Q305=2,"Medium",Q305=3,"High",Q305=4,"Very High")</f>
        <v>Very High</v>
      </c>
      <c r="S305">
        <v>2</v>
      </c>
      <c r="T305" t="str" cm="1">
        <f t="array" ref="T305">_xlfn.IFS(S305=1,"Entry Level",S305=2,"Junior",S305=3,"Mid-Level",S305=4,"Senior",S305=5,"Executive")</f>
        <v>Junior</v>
      </c>
      <c r="U305" t="s">
        <v>37</v>
      </c>
      <c r="V305">
        <v>4</v>
      </c>
      <c r="W305" t="str" cm="1">
        <f t="array" ref="W305">_xlfn.IFS(V305=1,"Low",V305=2,"Medium",V305=3,"High",V305=4,"Very High")</f>
        <v>Very High</v>
      </c>
      <c r="X305" t="s">
        <v>44</v>
      </c>
      <c r="Y305" s="2">
        <v>6929</v>
      </c>
      <c r="Z305" s="2">
        <v>12241</v>
      </c>
      <c r="AA305">
        <v>4</v>
      </c>
      <c r="AB305" t="s">
        <v>39</v>
      </c>
      <c r="AC305">
        <v>11</v>
      </c>
      <c r="AD305">
        <v>3</v>
      </c>
      <c r="AE305" t="str" cm="1">
        <f t="array" ref="AE305">_xlfn.IFS(AD305=1,"Low",AD305=2,"Good",AD305=3,"Excellent",AD305=4,"Outstanding")</f>
        <v>Excellent</v>
      </c>
      <c r="AF305">
        <v>2</v>
      </c>
      <c r="AG305" t="str" cm="1">
        <f t="array" ref="AG305">_xlfn.IFS(AF305=1,"Low",AF305=2,"Medium",AF305=3,"High",AF305=4,"Very High")</f>
        <v>Medium</v>
      </c>
      <c r="AH305">
        <v>1</v>
      </c>
      <c r="AI305">
        <v>10</v>
      </c>
      <c r="AJ305">
        <v>3</v>
      </c>
      <c r="AK305">
        <v>2</v>
      </c>
      <c r="AL305" t="str" cm="1">
        <f t="array" ref="AL305">_xlfn.IFS(AK305=1,"Low",AK305=2,"Medium",AK305=3,"High",AK305=4,"Very High")</f>
        <v>Medium</v>
      </c>
      <c r="AM305">
        <v>8</v>
      </c>
      <c r="AN305">
        <v>7</v>
      </c>
      <c r="AO305">
        <v>7</v>
      </c>
      <c r="AP305">
        <v>7</v>
      </c>
    </row>
    <row r="306" spans="1:42">
      <c r="A306">
        <v>39</v>
      </c>
      <c r="B306" t="str" cm="1">
        <f t="array" ref="B306">_xlfn.IFS(A306&lt;=25,"18-25",A306&lt;=35,"26-35",A306&lt;=45,"36-45",A306&lt;=55,"46-55",A306&gt;55,"56+")</f>
        <v>36-45</v>
      </c>
      <c r="C306" t="s">
        <v>39</v>
      </c>
      <c r="D306" t="s">
        <v>33</v>
      </c>
      <c r="E306" s="2">
        <v>1132</v>
      </c>
      <c r="F306" t="s">
        <v>41</v>
      </c>
      <c r="G306">
        <v>1</v>
      </c>
      <c r="H306" t="str">
        <f t="shared" si="4"/>
        <v>1-10 km</v>
      </c>
      <c r="I306">
        <v>3</v>
      </c>
      <c r="J306" t="str" cm="1">
        <f t="array" ref="J306">_xlfn.IFS(I306=1,"Below College",I306=2,"College",I306=3,"Bachelor",I306=4,"Master",I306=5,"Doctor")</f>
        <v>Bachelor</v>
      </c>
      <c r="K306" t="s">
        <v>47</v>
      </c>
      <c r="L306">
        <v>417</v>
      </c>
      <c r="M306">
        <v>3</v>
      </c>
      <c r="N306" t="str" cm="1">
        <f t="array" ref="N306">_xlfn.IFS(M306=1,"Low",M306=2,"Medium",M306=3,"High",M306=4,"Very High")</f>
        <v>High</v>
      </c>
      <c r="O306" t="s">
        <v>42</v>
      </c>
      <c r="P306" s="2">
        <v>48</v>
      </c>
      <c r="Q306">
        <v>4</v>
      </c>
      <c r="R306" t="str" cm="1">
        <f t="array" ref="R306">_xlfn.IFS(Q306=1,"Low",Q306=2,"Medium",Q306=3,"High",Q306=4,"Very High")</f>
        <v>Very High</v>
      </c>
      <c r="S306">
        <v>3</v>
      </c>
      <c r="T306" t="str" cm="1">
        <f t="array" ref="T306">_xlfn.IFS(S306=1,"Entry Level",S306=2,"Junior",S306=3,"Mid-Level",S306=4,"Senior",S306=5,"Executive")</f>
        <v>Mid-Level</v>
      </c>
      <c r="U306" t="s">
        <v>50</v>
      </c>
      <c r="V306">
        <v>4</v>
      </c>
      <c r="W306" t="str" cm="1">
        <f t="array" ref="W306">_xlfn.IFS(V306=1,"Low",V306=2,"Medium",V306=3,"High",V306=4,"Very High")</f>
        <v>Very High</v>
      </c>
      <c r="X306" t="s">
        <v>48</v>
      </c>
      <c r="Y306" s="2">
        <v>9613</v>
      </c>
      <c r="Z306" s="2">
        <v>10942</v>
      </c>
      <c r="AA306">
        <v>0</v>
      </c>
      <c r="AB306" t="s">
        <v>39</v>
      </c>
      <c r="AC306">
        <v>17</v>
      </c>
      <c r="AD306">
        <v>3</v>
      </c>
      <c r="AE306" t="str" cm="1">
        <f t="array" ref="AE306">_xlfn.IFS(AD306=1,"Low",AD306=2,"Good",AD306=3,"Excellent",AD306=4,"Outstanding")</f>
        <v>Excellent</v>
      </c>
      <c r="AF306">
        <v>1</v>
      </c>
      <c r="AG306" t="str" cm="1">
        <f t="array" ref="AG306">_xlfn.IFS(AF306=1,"Low",AF306=2,"Medium",AF306=3,"High",AF306=4,"Very High")</f>
        <v>Low</v>
      </c>
      <c r="AH306">
        <v>3</v>
      </c>
      <c r="AI306">
        <v>19</v>
      </c>
      <c r="AJ306">
        <v>5</v>
      </c>
      <c r="AK306">
        <v>2</v>
      </c>
      <c r="AL306" t="str" cm="1">
        <f t="array" ref="AL306">_xlfn.IFS(AK306=1,"Low",AK306=2,"Medium",AK306=3,"High",AK306=4,"Very High")</f>
        <v>Medium</v>
      </c>
      <c r="AM306">
        <v>18</v>
      </c>
      <c r="AN306">
        <v>10</v>
      </c>
      <c r="AO306">
        <v>3</v>
      </c>
      <c r="AP306">
        <v>7</v>
      </c>
    </row>
    <row r="307" spans="1:42">
      <c r="A307">
        <v>36</v>
      </c>
      <c r="B307" t="str" cm="1">
        <f t="array" ref="B307">_xlfn.IFS(A307&lt;=25,"18-25",A307&lt;=35,"26-35",A307&lt;=45,"36-45",A307&lt;=55,"46-55",A307&gt;55,"56+")</f>
        <v>36-45</v>
      </c>
      <c r="C307" t="s">
        <v>39</v>
      </c>
      <c r="D307" t="s">
        <v>51</v>
      </c>
      <c r="E307" s="2">
        <v>1105</v>
      </c>
      <c r="F307" t="s">
        <v>41</v>
      </c>
      <c r="G307">
        <v>24</v>
      </c>
      <c r="H307" t="str">
        <f t="shared" si="4"/>
        <v>21-30 km</v>
      </c>
      <c r="I307">
        <v>4</v>
      </c>
      <c r="J307" t="str" cm="1">
        <f t="array" ref="J307">_xlfn.IFS(I307=1,"Below College",I307=2,"College",I307=3,"Bachelor",I307=4,"Master",I307=5,"Doctor")</f>
        <v>Master</v>
      </c>
      <c r="K307" t="s">
        <v>35</v>
      </c>
      <c r="L307">
        <v>419</v>
      </c>
      <c r="M307">
        <v>2</v>
      </c>
      <c r="N307" t="str" cm="1">
        <f t="array" ref="N307">_xlfn.IFS(M307=1,"Low",M307=2,"Medium",M307=3,"High",M307=4,"Very High")</f>
        <v>Medium</v>
      </c>
      <c r="O307" t="s">
        <v>36</v>
      </c>
      <c r="P307" s="2">
        <v>47</v>
      </c>
      <c r="Q307">
        <v>3</v>
      </c>
      <c r="R307" t="str" cm="1">
        <f t="array" ref="R307">_xlfn.IFS(Q307=1,"Low",Q307=2,"Medium",Q307=3,"High",Q307=4,"Very High")</f>
        <v>High</v>
      </c>
      <c r="S307">
        <v>2</v>
      </c>
      <c r="T307" t="str" cm="1">
        <f t="array" ref="T307">_xlfn.IFS(S307=1,"Entry Level",S307=2,"Junior",S307=3,"Mid-Level",S307=4,"Senior",S307=5,"Executive")</f>
        <v>Junior</v>
      </c>
      <c r="U307" t="s">
        <v>46</v>
      </c>
      <c r="V307">
        <v>2</v>
      </c>
      <c r="W307" t="str" cm="1">
        <f t="array" ref="W307">_xlfn.IFS(V307=1,"Low",V307=2,"Medium",V307=3,"High",V307=4,"Very High")</f>
        <v>Medium</v>
      </c>
      <c r="X307" t="s">
        <v>44</v>
      </c>
      <c r="Y307" s="2">
        <v>5674</v>
      </c>
      <c r="Z307" s="2">
        <v>6927</v>
      </c>
      <c r="AA307">
        <v>7</v>
      </c>
      <c r="AB307" t="s">
        <v>39</v>
      </c>
      <c r="AC307">
        <v>15</v>
      </c>
      <c r="AD307">
        <v>3</v>
      </c>
      <c r="AE307" t="str" cm="1">
        <f t="array" ref="AE307">_xlfn.IFS(AD307=1,"Low",AD307=2,"Good",AD307=3,"Excellent",AD307=4,"Outstanding")</f>
        <v>Excellent</v>
      </c>
      <c r="AF307">
        <v>3</v>
      </c>
      <c r="AG307" t="str" cm="1">
        <f t="array" ref="AG307">_xlfn.IFS(AF307=1,"Low",AF307=2,"Medium",AF307=3,"High",AF307=4,"Very High")</f>
        <v>High</v>
      </c>
      <c r="AH307">
        <v>1</v>
      </c>
      <c r="AI307">
        <v>11</v>
      </c>
      <c r="AJ307">
        <v>3</v>
      </c>
      <c r="AK307">
        <v>3</v>
      </c>
      <c r="AL307" t="str" cm="1">
        <f t="array" ref="AL307">_xlfn.IFS(AK307=1,"Low",AK307=2,"Medium",AK307=3,"High",AK307=4,"Very High")</f>
        <v>High</v>
      </c>
      <c r="AM307">
        <v>9</v>
      </c>
      <c r="AN307">
        <v>8</v>
      </c>
      <c r="AO307">
        <v>0</v>
      </c>
      <c r="AP307">
        <v>8</v>
      </c>
    </row>
    <row r="308" spans="1:42">
      <c r="A308">
        <v>32</v>
      </c>
      <c r="B308" t="str" cm="1">
        <f t="array" ref="B308">_xlfn.IFS(A308&lt;=25,"18-25",A308&lt;=35,"26-35",A308&lt;=45,"36-45",A308&lt;=55,"46-55",A308&gt;55,"56+")</f>
        <v>26-35</v>
      </c>
      <c r="C308" t="s">
        <v>39</v>
      </c>
      <c r="D308" t="s">
        <v>33</v>
      </c>
      <c r="E308" s="2">
        <v>906</v>
      </c>
      <c r="F308" t="s">
        <v>34</v>
      </c>
      <c r="G308">
        <v>7</v>
      </c>
      <c r="H308" t="str">
        <f t="shared" si="4"/>
        <v>1-10 km</v>
      </c>
      <c r="I308">
        <v>3</v>
      </c>
      <c r="J308" t="str" cm="1">
        <f t="array" ref="J308">_xlfn.IFS(I308=1,"Below College",I308=2,"College",I308=3,"Bachelor",I308=4,"Master",I308=5,"Doctor")</f>
        <v>Bachelor</v>
      </c>
      <c r="K308" t="s">
        <v>35</v>
      </c>
      <c r="L308">
        <v>420</v>
      </c>
      <c r="M308">
        <v>4</v>
      </c>
      <c r="N308" t="str" cm="1">
        <f t="array" ref="N308">_xlfn.IFS(M308=1,"Low",M308=2,"Medium",M308=3,"High",M308=4,"Very High")</f>
        <v>Very High</v>
      </c>
      <c r="O308" t="s">
        <v>42</v>
      </c>
      <c r="P308" s="2">
        <v>91</v>
      </c>
      <c r="Q308">
        <v>2</v>
      </c>
      <c r="R308" t="str" cm="1">
        <f t="array" ref="R308">_xlfn.IFS(Q308=1,"Low",Q308=2,"Medium",Q308=3,"High",Q308=4,"Very High")</f>
        <v>Medium</v>
      </c>
      <c r="S308">
        <v>2</v>
      </c>
      <c r="T308" t="str" cm="1">
        <f t="array" ref="T308">_xlfn.IFS(S308=1,"Entry Level",S308=2,"Junior",S308=3,"Mid-Level",S308=4,"Senior",S308=5,"Executive")</f>
        <v>Junior</v>
      </c>
      <c r="U308" t="s">
        <v>37</v>
      </c>
      <c r="V308">
        <v>3</v>
      </c>
      <c r="W308" t="str" cm="1">
        <f t="array" ref="W308">_xlfn.IFS(V308=1,"Low",V308=2,"Medium",V308=3,"High",V308=4,"Very High")</f>
        <v>High</v>
      </c>
      <c r="X308" t="s">
        <v>44</v>
      </c>
      <c r="Y308" s="2">
        <v>5484</v>
      </c>
      <c r="Z308" s="2">
        <v>16985</v>
      </c>
      <c r="AA308">
        <v>1</v>
      </c>
      <c r="AB308" t="s">
        <v>39</v>
      </c>
      <c r="AC308">
        <v>14</v>
      </c>
      <c r="AD308">
        <v>3</v>
      </c>
      <c r="AE308" t="str" cm="1">
        <f t="array" ref="AE308">_xlfn.IFS(AD308=1,"Low",AD308=2,"Good",AD308=3,"Excellent",AD308=4,"Outstanding")</f>
        <v>Excellent</v>
      </c>
      <c r="AF308">
        <v>3</v>
      </c>
      <c r="AG308" t="str" cm="1">
        <f t="array" ref="AG308">_xlfn.IFS(AF308=1,"Low",AF308=2,"Medium",AF308=3,"High",AF308=4,"Very High")</f>
        <v>High</v>
      </c>
      <c r="AH308">
        <v>1</v>
      </c>
      <c r="AI308">
        <v>13</v>
      </c>
      <c r="AJ308">
        <v>3</v>
      </c>
      <c r="AK308">
        <v>2</v>
      </c>
      <c r="AL308" t="str" cm="1">
        <f t="array" ref="AL308">_xlfn.IFS(AK308=1,"Low",AK308=2,"Medium",AK308=3,"High",AK308=4,"Very High")</f>
        <v>Medium</v>
      </c>
      <c r="AM308">
        <v>13</v>
      </c>
      <c r="AN308">
        <v>8</v>
      </c>
      <c r="AO308">
        <v>4</v>
      </c>
      <c r="AP308">
        <v>8</v>
      </c>
    </row>
    <row r="309" spans="1:42">
      <c r="A309">
        <v>38</v>
      </c>
      <c r="B309" t="str" cm="1">
        <f t="array" ref="B309">_xlfn.IFS(A309&lt;=25,"18-25",A309&lt;=35,"26-35",A309&lt;=45,"36-45",A309&lt;=55,"46-55",A309&gt;55,"56+")</f>
        <v>36-45</v>
      </c>
      <c r="C309" t="s">
        <v>39</v>
      </c>
      <c r="D309" t="s">
        <v>33</v>
      </c>
      <c r="E309" s="2">
        <v>849</v>
      </c>
      <c r="F309" t="s">
        <v>41</v>
      </c>
      <c r="G309">
        <v>25</v>
      </c>
      <c r="H309" t="str">
        <f t="shared" si="4"/>
        <v>21-30 km</v>
      </c>
      <c r="I309">
        <v>2</v>
      </c>
      <c r="J309" t="str" cm="1">
        <f t="array" ref="J309">_xlfn.IFS(I309=1,"Below College",I309=2,"College",I309=3,"Bachelor",I309=4,"Master",I309=5,"Doctor")</f>
        <v>College</v>
      </c>
      <c r="K309" t="s">
        <v>35</v>
      </c>
      <c r="L309">
        <v>421</v>
      </c>
      <c r="M309">
        <v>1</v>
      </c>
      <c r="N309" t="str" cm="1">
        <f t="array" ref="N309">_xlfn.IFS(M309=1,"Low",M309=2,"Medium",M309=3,"High",M309=4,"Very High")</f>
        <v>Low</v>
      </c>
      <c r="O309" t="s">
        <v>36</v>
      </c>
      <c r="P309" s="2">
        <v>81</v>
      </c>
      <c r="Q309">
        <v>2</v>
      </c>
      <c r="R309" t="str" cm="1">
        <f t="array" ref="R309">_xlfn.IFS(Q309=1,"Low",Q309=2,"Medium",Q309=3,"High",Q309=4,"Very High")</f>
        <v>Medium</v>
      </c>
      <c r="S309">
        <v>3</v>
      </c>
      <c r="T309" t="str" cm="1">
        <f t="array" ref="T309">_xlfn.IFS(S309=1,"Entry Level",S309=2,"Junior",S309=3,"Mid-Level",S309=4,"Senior",S309=5,"Executive")</f>
        <v>Mid-Level</v>
      </c>
      <c r="U309" t="s">
        <v>54</v>
      </c>
      <c r="V309">
        <v>2</v>
      </c>
      <c r="W309" t="str" cm="1">
        <f t="array" ref="W309">_xlfn.IFS(V309=1,"Low",V309=2,"Medium",V309=3,"High",V309=4,"Very High")</f>
        <v>Medium</v>
      </c>
      <c r="X309" t="s">
        <v>44</v>
      </c>
      <c r="Y309" s="2">
        <v>12061</v>
      </c>
      <c r="Z309" s="2">
        <v>26707</v>
      </c>
      <c r="AA309">
        <v>3</v>
      </c>
      <c r="AB309" t="s">
        <v>39</v>
      </c>
      <c r="AC309">
        <v>17</v>
      </c>
      <c r="AD309">
        <v>3</v>
      </c>
      <c r="AE309" t="str" cm="1">
        <f t="array" ref="AE309">_xlfn.IFS(AD309=1,"Low",AD309=2,"Good",AD309=3,"Excellent",AD309=4,"Outstanding")</f>
        <v>Excellent</v>
      </c>
      <c r="AF309">
        <v>3</v>
      </c>
      <c r="AG309" t="str" cm="1">
        <f t="array" ref="AG309">_xlfn.IFS(AF309=1,"Low",AF309=2,"Medium",AF309=3,"High",AF309=4,"Very High")</f>
        <v>High</v>
      </c>
      <c r="AH309">
        <v>1</v>
      </c>
      <c r="AI309">
        <v>19</v>
      </c>
      <c r="AJ309">
        <v>2</v>
      </c>
      <c r="AK309">
        <v>3</v>
      </c>
      <c r="AL309" t="str" cm="1">
        <f t="array" ref="AL309">_xlfn.IFS(AK309=1,"Low",AK309=2,"Medium",AK309=3,"High",AK309=4,"Very High")</f>
        <v>High</v>
      </c>
      <c r="AM309">
        <v>10</v>
      </c>
      <c r="AN309">
        <v>8</v>
      </c>
      <c r="AO309">
        <v>0</v>
      </c>
      <c r="AP309">
        <v>1</v>
      </c>
    </row>
    <row r="310" spans="1:42">
      <c r="A310">
        <v>58</v>
      </c>
      <c r="B310" t="str" cm="1">
        <f t="array" ref="B310">_xlfn.IFS(A310&lt;=25,"18-25",A310&lt;=35,"26-35",A310&lt;=45,"36-45",A310&lt;=55,"46-55",A310&gt;55,"56+")</f>
        <v>56+</v>
      </c>
      <c r="C310" t="s">
        <v>39</v>
      </c>
      <c r="D310" t="s">
        <v>51</v>
      </c>
      <c r="E310" s="2">
        <v>390</v>
      </c>
      <c r="F310" t="s">
        <v>41</v>
      </c>
      <c r="G310">
        <v>1</v>
      </c>
      <c r="H310" t="str">
        <f t="shared" si="4"/>
        <v>1-10 km</v>
      </c>
      <c r="I310">
        <v>4</v>
      </c>
      <c r="J310" t="str" cm="1">
        <f t="array" ref="J310">_xlfn.IFS(I310=1,"Below College",I310=2,"College",I310=3,"Bachelor",I310=4,"Master",I310=5,"Doctor")</f>
        <v>Master</v>
      </c>
      <c r="K310" t="s">
        <v>35</v>
      </c>
      <c r="L310">
        <v>422</v>
      </c>
      <c r="M310">
        <v>4</v>
      </c>
      <c r="N310" t="str" cm="1">
        <f t="array" ref="N310">_xlfn.IFS(M310=1,"Low",M310=2,"Medium",M310=3,"High",M310=4,"Very High")</f>
        <v>Very High</v>
      </c>
      <c r="O310" t="s">
        <v>42</v>
      </c>
      <c r="P310" s="2">
        <v>32</v>
      </c>
      <c r="Q310">
        <v>1</v>
      </c>
      <c r="R310" t="str" cm="1">
        <f t="array" ref="R310">_xlfn.IFS(Q310=1,"Low",Q310=2,"Medium",Q310=3,"High",Q310=4,"Very High")</f>
        <v>Low</v>
      </c>
      <c r="S310">
        <v>2</v>
      </c>
      <c r="T310" t="str" cm="1">
        <f t="array" ref="T310">_xlfn.IFS(S310=1,"Entry Level",S310=2,"Junior",S310=3,"Mid-Level",S310=4,"Senior",S310=5,"Executive")</f>
        <v>Junior</v>
      </c>
      <c r="U310" t="s">
        <v>50</v>
      </c>
      <c r="V310">
        <v>3</v>
      </c>
      <c r="W310" t="str" cm="1">
        <f t="array" ref="W310">_xlfn.IFS(V310=1,"Low",V310=2,"Medium",V310=3,"High",V310=4,"Very High")</f>
        <v>High</v>
      </c>
      <c r="X310" t="s">
        <v>48</v>
      </c>
      <c r="Y310" s="2">
        <v>5660</v>
      </c>
      <c r="Z310" s="2">
        <v>17056</v>
      </c>
      <c r="AA310">
        <v>2</v>
      </c>
      <c r="AB310" t="s">
        <v>32</v>
      </c>
      <c r="AC310">
        <v>13</v>
      </c>
      <c r="AD310">
        <v>3</v>
      </c>
      <c r="AE310" t="str" cm="1">
        <f t="array" ref="AE310">_xlfn.IFS(AD310=1,"Low",AD310=2,"Good",AD310=3,"Excellent",AD310=4,"Outstanding")</f>
        <v>Excellent</v>
      </c>
      <c r="AF310">
        <v>4</v>
      </c>
      <c r="AG310" t="str" cm="1">
        <f t="array" ref="AG310">_xlfn.IFS(AF310=1,"Low",AF310=2,"Medium",AF310=3,"High",AF310=4,"Very High")</f>
        <v>Very High</v>
      </c>
      <c r="AH310">
        <v>1</v>
      </c>
      <c r="AI310">
        <v>12</v>
      </c>
      <c r="AJ310">
        <v>2</v>
      </c>
      <c r="AK310">
        <v>3</v>
      </c>
      <c r="AL310" t="str" cm="1">
        <f t="array" ref="AL310">_xlfn.IFS(AK310=1,"Low",AK310=2,"Medium",AK310=3,"High",AK310=4,"Very High")</f>
        <v>High</v>
      </c>
      <c r="AM310">
        <v>5</v>
      </c>
      <c r="AN310">
        <v>3</v>
      </c>
      <c r="AO310">
        <v>1</v>
      </c>
      <c r="AP310">
        <v>2</v>
      </c>
    </row>
    <row r="311" spans="1:42">
      <c r="A311">
        <v>31</v>
      </c>
      <c r="B311" t="str" cm="1">
        <f t="array" ref="B311">_xlfn.IFS(A311&lt;=25,"18-25",A311&lt;=35,"26-35",A311&lt;=45,"36-45",A311&lt;=55,"46-55",A311&gt;55,"56+")</f>
        <v>26-35</v>
      </c>
      <c r="C311" t="s">
        <v>39</v>
      </c>
      <c r="D311" t="s">
        <v>33</v>
      </c>
      <c r="E311" s="2">
        <v>691</v>
      </c>
      <c r="F311" t="s">
        <v>41</v>
      </c>
      <c r="G311">
        <v>5</v>
      </c>
      <c r="H311" t="str">
        <f t="shared" si="4"/>
        <v>1-10 km</v>
      </c>
      <c r="I311">
        <v>4</v>
      </c>
      <c r="J311" t="str" cm="1">
        <f t="array" ref="J311">_xlfn.IFS(I311=1,"Below College",I311=2,"College",I311=3,"Bachelor",I311=4,"Master",I311=5,"Doctor")</f>
        <v>Master</v>
      </c>
      <c r="K311" t="s">
        <v>56</v>
      </c>
      <c r="L311">
        <v>423</v>
      </c>
      <c r="M311">
        <v>3</v>
      </c>
      <c r="N311" t="str" cm="1">
        <f t="array" ref="N311">_xlfn.IFS(M311=1,"Low",M311=2,"Medium",M311=3,"High",M311=4,"Very High")</f>
        <v>High</v>
      </c>
      <c r="O311" t="s">
        <v>42</v>
      </c>
      <c r="P311" s="2">
        <v>86</v>
      </c>
      <c r="Q311">
        <v>3</v>
      </c>
      <c r="R311" t="str" cm="1">
        <f t="array" ref="R311">_xlfn.IFS(Q311=1,"Low",Q311=2,"Medium",Q311=3,"High",Q311=4,"Very High")</f>
        <v>High</v>
      </c>
      <c r="S311">
        <v>1</v>
      </c>
      <c r="T311" t="str" cm="1">
        <f t="array" ref="T311">_xlfn.IFS(S311=1,"Entry Level",S311=2,"Junior",S311=3,"Mid-Level",S311=4,"Senior",S311=5,"Executive")</f>
        <v>Entry Level</v>
      </c>
      <c r="U311" t="s">
        <v>43</v>
      </c>
      <c r="V311">
        <v>4</v>
      </c>
      <c r="W311" t="str" cm="1">
        <f t="array" ref="W311">_xlfn.IFS(V311=1,"Low",V311=2,"Medium",V311=3,"High",V311=4,"Very High")</f>
        <v>Very High</v>
      </c>
      <c r="X311" t="s">
        <v>44</v>
      </c>
      <c r="Y311" s="2">
        <v>4821</v>
      </c>
      <c r="Z311" s="2">
        <v>10077</v>
      </c>
      <c r="AA311">
        <v>0</v>
      </c>
      <c r="AB311" t="s">
        <v>32</v>
      </c>
      <c r="AC311">
        <v>12</v>
      </c>
      <c r="AD311">
        <v>3</v>
      </c>
      <c r="AE311" t="str" cm="1">
        <f t="array" ref="AE311">_xlfn.IFS(AD311=1,"Low",AD311=2,"Good",AD311=3,"Excellent",AD311=4,"Outstanding")</f>
        <v>Excellent</v>
      </c>
      <c r="AF311">
        <v>3</v>
      </c>
      <c r="AG311" t="str" cm="1">
        <f t="array" ref="AG311">_xlfn.IFS(AF311=1,"Low",AF311=2,"Medium",AF311=3,"High",AF311=4,"Very High")</f>
        <v>High</v>
      </c>
      <c r="AH311">
        <v>1</v>
      </c>
      <c r="AI311">
        <v>6</v>
      </c>
      <c r="AJ311">
        <v>4</v>
      </c>
      <c r="AK311">
        <v>3</v>
      </c>
      <c r="AL311" t="str" cm="1">
        <f t="array" ref="AL311">_xlfn.IFS(AK311=1,"Low",AK311=2,"Medium",AK311=3,"High",AK311=4,"Very High")</f>
        <v>High</v>
      </c>
      <c r="AM311">
        <v>5</v>
      </c>
      <c r="AN311">
        <v>2</v>
      </c>
      <c r="AO311">
        <v>0</v>
      </c>
      <c r="AP311">
        <v>3</v>
      </c>
    </row>
    <row r="312" spans="1:42">
      <c r="A312">
        <v>31</v>
      </c>
      <c r="B312" t="str" cm="1">
        <f t="array" ref="B312">_xlfn.IFS(A312&lt;=25,"18-25",A312&lt;=35,"26-35",A312&lt;=45,"36-45",A312&lt;=55,"46-55",A312&gt;55,"56+")</f>
        <v>26-35</v>
      </c>
      <c r="C312" t="s">
        <v>39</v>
      </c>
      <c r="D312" t="s">
        <v>33</v>
      </c>
      <c r="E312" s="2">
        <v>106</v>
      </c>
      <c r="F312" t="s">
        <v>57</v>
      </c>
      <c r="G312">
        <v>2</v>
      </c>
      <c r="H312" t="str">
        <f t="shared" si="4"/>
        <v>1-10 km</v>
      </c>
      <c r="I312">
        <v>3</v>
      </c>
      <c r="J312" t="str" cm="1">
        <f t="array" ref="J312">_xlfn.IFS(I312=1,"Below College",I312=2,"College",I312=3,"Bachelor",I312=4,"Master",I312=5,"Doctor")</f>
        <v>Bachelor</v>
      </c>
      <c r="K312" t="s">
        <v>57</v>
      </c>
      <c r="L312">
        <v>424</v>
      </c>
      <c r="M312">
        <v>1</v>
      </c>
      <c r="N312" t="str" cm="1">
        <f t="array" ref="N312">_xlfn.IFS(M312=1,"Low",M312=2,"Medium",M312=3,"High",M312=4,"Very High")</f>
        <v>Low</v>
      </c>
      <c r="O312" t="s">
        <v>42</v>
      </c>
      <c r="P312" s="2">
        <v>62</v>
      </c>
      <c r="Q312">
        <v>2</v>
      </c>
      <c r="R312" t="str" cm="1">
        <f t="array" ref="R312">_xlfn.IFS(Q312=1,"Low",Q312=2,"Medium",Q312=3,"High",Q312=4,"Very High")</f>
        <v>Medium</v>
      </c>
      <c r="S312">
        <v>2</v>
      </c>
      <c r="T312" t="str" cm="1">
        <f t="array" ref="T312">_xlfn.IFS(S312=1,"Entry Level",S312=2,"Junior",S312=3,"Mid-Level",S312=4,"Senior",S312=5,"Executive")</f>
        <v>Junior</v>
      </c>
      <c r="U312" t="s">
        <v>57</v>
      </c>
      <c r="V312">
        <v>1</v>
      </c>
      <c r="W312" t="str" cm="1">
        <f t="array" ref="W312">_xlfn.IFS(V312=1,"Low",V312=2,"Medium",V312=3,"High",V312=4,"Very High")</f>
        <v>Low</v>
      </c>
      <c r="X312" t="s">
        <v>44</v>
      </c>
      <c r="Y312" s="2">
        <v>6410</v>
      </c>
      <c r="Z312" s="2">
        <v>17822</v>
      </c>
      <c r="AA312">
        <v>3</v>
      </c>
      <c r="AB312" t="s">
        <v>39</v>
      </c>
      <c r="AC312">
        <v>12</v>
      </c>
      <c r="AD312">
        <v>3</v>
      </c>
      <c r="AE312" t="str" cm="1">
        <f t="array" ref="AE312">_xlfn.IFS(AD312=1,"Low",AD312=2,"Good",AD312=3,"Excellent",AD312=4,"Outstanding")</f>
        <v>Excellent</v>
      </c>
      <c r="AF312">
        <v>4</v>
      </c>
      <c r="AG312" t="str" cm="1">
        <f t="array" ref="AG312">_xlfn.IFS(AF312=1,"Low",AF312=2,"Medium",AF312=3,"High",AF312=4,"Very High")</f>
        <v>Very High</v>
      </c>
      <c r="AH312">
        <v>0</v>
      </c>
      <c r="AI312">
        <v>9</v>
      </c>
      <c r="AJ312">
        <v>1</v>
      </c>
      <c r="AK312">
        <v>3</v>
      </c>
      <c r="AL312" t="str" cm="1">
        <f t="array" ref="AL312">_xlfn.IFS(AK312=1,"Low",AK312=2,"Medium",AK312=3,"High",AK312=4,"Very High")</f>
        <v>High</v>
      </c>
      <c r="AM312">
        <v>2</v>
      </c>
      <c r="AN312">
        <v>2</v>
      </c>
      <c r="AO312">
        <v>1</v>
      </c>
      <c r="AP312">
        <v>0</v>
      </c>
    </row>
    <row r="313" spans="1:42">
      <c r="A313">
        <v>45</v>
      </c>
      <c r="B313" t="str" cm="1">
        <f t="array" ref="B313">_xlfn.IFS(A313&lt;=25,"18-25",A313&lt;=35,"26-35",A313&lt;=45,"36-45",A313&lt;=55,"46-55",A313&gt;55,"56+")</f>
        <v>36-45</v>
      </c>
      <c r="C313" t="s">
        <v>39</v>
      </c>
      <c r="D313" t="s">
        <v>40</v>
      </c>
      <c r="E313" s="2">
        <v>1249</v>
      </c>
      <c r="F313" t="s">
        <v>41</v>
      </c>
      <c r="G313">
        <v>7</v>
      </c>
      <c r="H313" t="str">
        <f t="shared" si="4"/>
        <v>1-10 km</v>
      </c>
      <c r="I313">
        <v>3</v>
      </c>
      <c r="J313" t="str" cm="1">
        <f t="array" ref="J313">_xlfn.IFS(I313=1,"Below College",I313=2,"College",I313=3,"Bachelor",I313=4,"Master",I313=5,"Doctor")</f>
        <v>Bachelor</v>
      </c>
      <c r="K313" t="s">
        <v>35</v>
      </c>
      <c r="L313">
        <v>425</v>
      </c>
      <c r="M313">
        <v>1</v>
      </c>
      <c r="N313" t="str" cm="1">
        <f t="array" ref="N313">_xlfn.IFS(M313=1,"Low",M313=2,"Medium",M313=3,"High",M313=4,"Very High")</f>
        <v>Low</v>
      </c>
      <c r="O313" t="s">
        <v>42</v>
      </c>
      <c r="P313" s="2">
        <v>97</v>
      </c>
      <c r="Q313">
        <v>3</v>
      </c>
      <c r="R313" t="str" cm="1">
        <f t="array" ref="R313">_xlfn.IFS(Q313=1,"Low",Q313=2,"Medium",Q313=3,"High",Q313=4,"Very High")</f>
        <v>High</v>
      </c>
      <c r="S313">
        <v>3</v>
      </c>
      <c r="T313" t="str" cm="1">
        <f t="array" ref="T313">_xlfn.IFS(S313=1,"Entry Level",S313=2,"Junior",S313=3,"Mid-Level",S313=4,"Senior",S313=5,"Executive")</f>
        <v>Mid-Level</v>
      </c>
      <c r="U313" t="s">
        <v>46</v>
      </c>
      <c r="V313">
        <v>1</v>
      </c>
      <c r="W313" t="str" cm="1">
        <f t="array" ref="W313">_xlfn.IFS(V313=1,"Low",V313=2,"Medium",V313=3,"High",V313=4,"Very High")</f>
        <v>Low</v>
      </c>
      <c r="X313" t="s">
        <v>48</v>
      </c>
      <c r="Y313" s="2">
        <v>5210</v>
      </c>
      <c r="Z313" s="2">
        <v>20308</v>
      </c>
      <c r="AA313">
        <v>1</v>
      </c>
      <c r="AB313" t="s">
        <v>39</v>
      </c>
      <c r="AC313">
        <v>18</v>
      </c>
      <c r="AD313">
        <v>3</v>
      </c>
      <c r="AE313" t="str" cm="1">
        <f t="array" ref="AE313">_xlfn.IFS(AD313=1,"Low",AD313=2,"Good",AD313=3,"Excellent",AD313=4,"Outstanding")</f>
        <v>Excellent</v>
      </c>
      <c r="AF313">
        <v>1</v>
      </c>
      <c r="AG313" t="str" cm="1">
        <f t="array" ref="AG313">_xlfn.IFS(AF313=1,"Low",AF313=2,"Medium",AF313=3,"High",AF313=4,"Very High")</f>
        <v>Low</v>
      </c>
      <c r="AH313">
        <v>1</v>
      </c>
      <c r="AI313">
        <v>24</v>
      </c>
      <c r="AJ313">
        <v>2</v>
      </c>
      <c r="AK313">
        <v>3</v>
      </c>
      <c r="AL313" t="str" cm="1">
        <f t="array" ref="AL313">_xlfn.IFS(AK313=1,"Low",AK313=2,"Medium",AK313=3,"High",AK313=4,"Very High")</f>
        <v>High</v>
      </c>
      <c r="AM313">
        <v>24</v>
      </c>
      <c r="AN313">
        <v>9</v>
      </c>
      <c r="AO313">
        <v>9</v>
      </c>
      <c r="AP313">
        <v>11</v>
      </c>
    </row>
    <row r="314" spans="1:42">
      <c r="A314">
        <v>31</v>
      </c>
      <c r="B314" t="str" cm="1">
        <f t="array" ref="B314">_xlfn.IFS(A314&lt;=25,"18-25",A314&lt;=35,"26-35",A314&lt;=45,"36-45",A314&lt;=55,"46-55",A314&gt;55,"56+")</f>
        <v>26-35</v>
      </c>
      <c r="C314" t="s">
        <v>39</v>
      </c>
      <c r="D314" t="s">
        <v>33</v>
      </c>
      <c r="E314" s="2">
        <v>192</v>
      </c>
      <c r="F314" t="s">
        <v>41</v>
      </c>
      <c r="G314">
        <v>2</v>
      </c>
      <c r="H314" t="str">
        <f t="shared" si="4"/>
        <v>1-10 km</v>
      </c>
      <c r="I314">
        <v>4</v>
      </c>
      <c r="J314" t="str" cm="1">
        <f t="array" ref="J314">_xlfn.IFS(I314=1,"Below College",I314=2,"College",I314=3,"Bachelor",I314=4,"Master",I314=5,"Doctor")</f>
        <v>Master</v>
      </c>
      <c r="K314" t="s">
        <v>35</v>
      </c>
      <c r="L314">
        <v>426</v>
      </c>
      <c r="M314">
        <v>3</v>
      </c>
      <c r="N314" t="str" cm="1">
        <f t="array" ref="N314">_xlfn.IFS(M314=1,"Low",M314=2,"Medium",M314=3,"High",M314=4,"Very High")</f>
        <v>High</v>
      </c>
      <c r="O314" t="s">
        <v>42</v>
      </c>
      <c r="P314" s="2">
        <v>32</v>
      </c>
      <c r="Q314">
        <v>3</v>
      </c>
      <c r="R314" t="str" cm="1">
        <f t="array" ref="R314">_xlfn.IFS(Q314=1,"Low",Q314=2,"Medium",Q314=3,"High",Q314=4,"Very High")</f>
        <v>High</v>
      </c>
      <c r="S314">
        <v>1</v>
      </c>
      <c r="T314" t="str" cm="1">
        <f t="array" ref="T314">_xlfn.IFS(S314=1,"Entry Level",S314=2,"Junior",S314=3,"Mid-Level",S314=4,"Senior",S314=5,"Executive")</f>
        <v>Entry Level</v>
      </c>
      <c r="U314" t="s">
        <v>43</v>
      </c>
      <c r="V314">
        <v>4</v>
      </c>
      <c r="W314" t="str" cm="1">
        <f t="array" ref="W314">_xlfn.IFS(V314=1,"Low",V314=2,"Medium",V314=3,"High",V314=4,"Very High")</f>
        <v>Very High</v>
      </c>
      <c r="X314" t="s">
        <v>48</v>
      </c>
      <c r="Y314" s="2">
        <v>2695</v>
      </c>
      <c r="Z314" s="2">
        <v>7747</v>
      </c>
      <c r="AA314">
        <v>0</v>
      </c>
      <c r="AB314" t="s">
        <v>32</v>
      </c>
      <c r="AC314">
        <v>18</v>
      </c>
      <c r="AD314">
        <v>3</v>
      </c>
      <c r="AE314" t="str" cm="1">
        <f t="array" ref="AE314">_xlfn.IFS(AD314=1,"Low",AD314=2,"Good",AD314=3,"Excellent",AD314=4,"Outstanding")</f>
        <v>Excellent</v>
      </c>
      <c r="AF314">
        <v>2</v>
      </c>
      <c r="AG314" t="str" cm="1">
        <f t="array" ref="AG314">_xlfn.IFS(AF314=1,"Low",AF314=2,"Medium",AF314=3,"High",AF314=4,"Very High")</f>
        <v>Medium</v>
      </c>
      <c r="AH314">
        <v>1</v>
      </c>
      <c r="AI314">
        <v>3</v>
      </c>
      <c r="AJ314">
        <v>2</v>
      </c>
      <c r="AK314">
        <v>1</v>
      </c>
      <c r="AL314" t="str" cm="1">
        <f t="array" ref="AL314">_xlfn.IFS(AK314=1,"Low",AK314=2,"Medium",AK314=3,"High",AK314=4,"Very High")</f>
        <v>Low</v>
      </c>
      <c r="AM314">
        <v>2</v>
      </c>
      <c r="AN314">
        <v>2</v>
      </c>
      <c r="AO314">
        <v>2</v>
      </c>
      <c r="AP314">
        <v>2</v>
      </c>
    </row>
    <row r="315" spans="1:42">
      <c r="A315">
        <v>33</v>
      </c>
      <c r="B315" t="str" cm="1">
        <f t="array" ref="B315">_xlfn.IFS(A315&lt;=25,"18-25",A315&lt;=35,"26-35",A315&lt;=45,"36-45",A315&lt;=55,"46-55",A315&gt;55,"56+")</f>
        <v>26-35</v>
      </c>
      <c r="C315" t="s">
        <v>39</v>
      </c>
      <c r="D315" t="s">
        <v>40</v>
      </c>
      <c r="E315" s="2">
        <v>553</v>
      </c>
      <c r="F315" t="s">
        <v>41</v>
      </c>
      <c r="G315">
        <v>5</v>
      </c>
      <c r="H315" t="str">
        <f t="shared" si="4"/>
        <v>1-10 km</v>
      </c>
      <c r="I315">
        <v>4</v>
      </c>
      <c r="J315" t="str" cm="1">
        <f t="array" ref="J315">_xlfn.IFS(I315=1,"Below College",I315=2,"College",I315=3,"Bachelor",I315=4,"Master",I315=5,"Doctor")</f>
        <v>Master</v>
      </c>
      <c r="K315" t="s">
        <v>35</v>
      </c>
      <c r="L315">
        <v>428</v>
      </c>
      <c r="M315">
        <v>4</v>
      </c>
      <c r="N315" t="str" cm="1">
        <f t="array" ref="N315">_xlfn.IFS(M315=1,"Low",M315=2,"Medium",M315=3,"High",M315=4,"Very High")</f>
        <v>Very High</v>
      </c>
      <c r="O315" t="s">
        <v>36</v>
      </c>
      <c r="P315" s="2">
        <v>74</v>
      </c>
      <c r="Q315">
        <v>3</v>
      </c>
      <c r="R315" t="str" cm="1">
        <f t="array" ref="R315">_xlfn.IFS(Q315=1,"Low",Q315=2,"Medium",Q315=3,"High",Q315=4,"Very High")</f>
        <v>High</v>
      </c>
      <c r="S315">
        <v>3</v>
      </c>
      <c r="T315" t="str" cm="1">
        <f t="array" ref="T315">_xlfn.IFS(S315=1,"Entry Level",S315=2,"Junior",S315=3,"Mid-Level",S315=4,"Senior",S315=5,"Executive")</f>
        <v>Mid-Level</v>
      </c>
      <c r="U315" t="s">
        <v>52</v>
      </c>
      <c r="V315">
        <v>2</v>
      </c>
      <c r="W315" t="str" cm="1">
        <f t="array" ref="W315">_xlfn.IFS(V315=1,"Low",V315=2,"Medium",V315=3,"High",V315=4,"Very High")</f>
        <v>Medium</v>
      </c>
      <c r="X315" t="s">
        <v>44</v>
      </c>
      <c r="Y315" s="2">
        <v>11878</v>
      </c>
      <c r="Z315" s="2">
        <v>23364</v>
      </c>
      <c r="AA315">
        <v>6</v>
      </c>
      <c r="AB315" t="s">
        <v>39</v>
      </c>
      <c r="AC315">
        <v>11</v>
      </c>
      <c r="AD315">
        <v>3</v>
      </c>
      <c r="AE315" t="str" cm="1">
        <f t="array" ref="AE315">_xlfn.IFS(AD315=1,"Low",AD315=2,"Good",AD315=3,"Excellent",AD315=4,"Outstanding")</f>
        <v>Excellent</v>
      </c>
      <c r="AF315">
        <v>2</v>
      </c>
      <c r="AG315" t="str" cm="1">
        <f t="array" ref="AG315">_xlfn.IFS(AF315=1,"Low",AF315=2,"Medium",AF315=3,"High",AF315=4,"Very High")</f>
        <v>Medium</v>
      </c>
      <c r="AH315">
        <v>2</v>
      </c>
      <c r="AI315">
        <v>12</v>
      </c>
      <c r="AJ315">
        <v>2</v>
      </c>
      <c r="AK315">
        <v>3</v>
      </c>
      <c r="AL315" t="str" cm="1">
        <f t="array" ref="AL315">_xlfn.IFS(AK315=1,"Low",AK315=2,"Medium",AK315=3,"High",AK315=4,"Very High")</f>
        <v>High</v>
      </c>
      <c r="AM315">
        <v>10</v>
      </c>
      <c r="AN315">
        <v>6</v>
      </c>
      <c r="AO315">
        <v>8</v>
      </c>
      <c r="AP315">
        <v>8</v>
      </c>
    </row>
    <row r="316" spans="1:42">
      <c r="A316">
        <v>39</v>
      </c>
      <c r="B316" t="str" cm="1">
        <f t="array" ref="B316">_xlfn.IFS(A316&lt;=25,"18-25",A316&lt;=35,"26-35",A316&lt;=45,"36-45",A316&lt;=55,"46-55",A316&gt;55,"56+")</f>
        <v>36-45</v>
      </c>
      <c r="C316" t="s">
        <v>39</v>
      </c>
      <c r="D316" t="s">
        <v>33</v>
      </c>
      <c r="E316" s="2">
        <v>117</v>
      </c>
      <c r="F316" t="s">
        <v>41</v>
      </c>
      <c r="G316">
        <v>10</v>
      </c>
      <c r="H316" t="str">
        <f t="shared" si="4"/>
        <v>1-10 km</v>
      </c>
      <c r="I316">
        <v>1</v>
      </c>
      <c r="J316" t="str" cm="1">
        <f t="array" ref="J316">_xlfn.IFS(I316=1,"Below College",I316=2,"College",I316=3,"Bachelor",I316=4,"Master",I316=5,"Doctor")</f>
        <v>Below College</v>
      </c>
      <c r="K316" t="s">
        <v>47</v>
      </c>
      <c r="L316">
        <v>429</v>
      </c>
      <c r="M316">
        <v>3</v>
      </c>
      <c r="N316" t="str" cm="1">
        <f t="array" ref="N316">_xlfn.IFS(M316=1,"Low",M316=2,"Medium",M316=3,"High",M316=4,"Very High")</f>
        <v>High</v>
      </c>
      <c r="O316" t="s">
        <v>42</v>
      </c>
      <c r="P316" s="2">
        <v>99</v>
      </c>
      <c r="Q316">
        <v>3</v>
      </c>
      <c r="R316" t="str" cm="1">
        <f t="array" ref="R316">_xlfn.IFS(Q316=1,"Low",Q316=2,"Medium",Q316=3,"High",Q316=4,"Very High")</f>
        <v>High</v>
      </c>
      <c r="S316">
        <v>4</v>
      </c>
      <c r="T316" t="str" cm="1">
        <f t="array" ref="T316">_xlfn.IFS(S316=1,"Entry Level",S316=2,"Junior",S316=3,"Mid-Level",S316=4,"Senior",S316=5,"Executive")</f>
        <v>Senior</v>
      </c>
      <c r="U316" t="s">
        <v>52</v>
      </c>
      <c r="V316">
        <v>1</v>
      </c>
      <c r="W316" t="str" cm="1">
        <f t="array" ref="W316">_xlfn.IFS(V316=1,"Low",V316=2,"Medium",V316=3,"High",V316=4,"Very High")</f>
        <v>Low</v>
      </c>
      <c r="X316" t="s">
        <v>44</v>
      </c>
      <c r="Y316" s="2">
        <v>17068</v>
      </c>
      <c r="Z316" s="2">
        <v>5355</v>
      </c>
      <c r="AA316">
        <v>1</v>
      </c>
      <c r="AB316" t="s">
        <v>32</v>
      </c>
      <c r="AC316">
        <v>14</v>
      </c>
      <c r="AD316">
        <v>3</v>
      </c>
      <c r="AE316" t="str" cm="1">
        <f t="array" ref="AE316">_xlfn.IFS(AD316=1,"Low",AD316=2,"Good",AD316=3,"Excellent",AD316=4,"Outstanding")</f>
        <v>Excellent</v>
      </c>
      <c r="AF316">
        <v>4</v>
      </c>
      <c r="AG316" t="str" cm="1">
        <f t="array" ref="AG316">_xlfn.IFS(AF316=1,"Low",AF316=2,"Medium",AF316=3,"High",AF316=4,"Very High")</f>
        <v>Very High</v>
      </c>
      <c r="AH316">
        <v>0</v>
      </c>
      <c r="AI316">
        <v>21</v>
      </c>
      <c r="AJ316">
        <v>3</v>
      </c>
      <c r="AK316">
        <v>3</v>
      </c>
      <c r="AL316" t="str" cm="1">
        <f t="array" ref="AL316">_xlfn.IFS(AK316=1,"Low",AK316=2,"Medium",AK316=3,"High",AK316=4,"Very High")</f>
        <v>High</v>
      </c>
      <c r="AM316">
        <v>21</v>
      </c>
      <c r="AN316">
        <v>9</v>
      </c>
      <c r="AO316">
        <v>11</v>
      </c>
      <c r="AP316">
        <v>10</v>
      </c>
    </row>
    <row r="317" spans="1:42">
      <c r="A317">
        <v>43</v>
      </c>
      <c r="B317" t="str" cm="1">
        <f t="array" ref="B317">_xlfn.IFS(A317&lt;=25,"18-25",A317&lt;=35,"26-35",A317&lt;=45,"36-45",A317&lt;=55,"46-55",A317&gt;55,"56+")</f>
        <v>36-45</v>
      </c>
      <c r="C317" t="s">
        <v>39</v>
      </c>
      <c r="D317" t="s">
        <v>40</v>
      </c>
      <c r="E317" s="2">
        <v>185</v>
      </c>
      <c r="F317" t="s">
        <v>41</v>
      </c>
      <c r="G317">
        <v>10</v>
      </c>
      <c r="H317" t="str">
        <f t="shared" si="4"/>
        <v>1-10 km</v>
      </c>
      <c r="I317">
        <v>4</v>
      </c>
      <c r="J317" t="str" cm="1">
        <f t="array" ref="J317">_xlfn.IFS(I317=1,"Below College",I317=2,"College",I317=3,"Bachelor",I317=4,"Master",I317=5,"Doctor")</f>
        <v>Master</v>
      </c>
      <c r="K317" t="s">
        <v>35</v>
      </c>
      <c r="L317">
        <v>430</v>
      </c>
      <c r="M317">
        <v>3</v>
      </c>
      <c r="N317" t="str" cm="1">
        <f t="array" ref="N317">_xlfn.IFS(M317=1,"Low",M317=2,"Medium",M317=3,"High",M317=4,"Very High")</f>
        <v>High</v>
      </c>
      <c r="O317" t="s">
        <v>36</v>
      </c>
      <c r="P317" s="2">
        <v>33</v>
      </c>
      <c r="Q317">
        <v>3</v>
      </c>
      <c r="R317" t="str" cm="1">
        <f t="array" ref="R317">_xlfn.IFS(Q317=1,"Low",Q317=2,"Medium",Q317=3,"High",Q317=4,"Very High")</f>
        <v>High</v>
      </c>
      <c r="S317">
        <v>1</v>
      </c>
      <c r="T317" t="str" cm="1">
        <f t="array" ref="T317">_xlfn.IFS(S317=1,"Entry Level",S317=2,"Junior",S317=3,"Mid-Level",S317=4,"Senior",S317=5,"Executive")</f>
        <v>Entry Level</v>
      </c>
      <c r="U317" t="s">
        <v>46</v>
      </c>
      <c r="V317">
        <v>4</v>
      </c>
      <c r="W317" t="str" cm="1">
        <f t="array" ref="W317">_xlfn.IFS(V317=1,"Low",V317=2,"Medium",V317=3,"High",V317=4,"Very High")</f>
        <v>Very High</v>
      </c>
      <c r="X317" t="s">
        <v>38</v>
      </c>
      <c r="Y317" s="2">
        <v>2455</v>
      </c>
      <c r="Z317" s="2">
        <v>10675</v>
      </c>
      <c r="AA317">
        <v>0</v>
      </c>
      <c r="AB317" t="s">
        <v>39</v>
      </c>
      <c r="AC317">
        <v>19</v>
      </c>
      <c r="AD317">
        <v>3</v>
      </c>
      <c r="AE317" t="str" cm="1">
        <f t="array" ref="AE317">_xlfn.IFS(AD317=1,"Low",AD317=2,"Good",AD317=3,"Excellent",AD317=4,"Outstanding")</f>
        <v>Excellent</v>
      </c>
      <c r="AF317">
        <v>1</v>
      </c>
      <c r="AG317" t="str" cm="1">
        <f t="array" ref="AG317">_xlfn.IFS(AF317=1,"Low",AF317=2,"Medium",AF317=3,"High",AF317=4,"Very High")</f>
        <v>Low</v>
      </c>
      <c r="AH317">
        <v>0</v>
      </c>
      <c r="AI317">
        <v>9</v>
      </c>
      <c r="AJ317">
        <v>5</v>
      </c>
      <c r="AK317">
        <v>3</v>
      </c>
      <c r="AL317" t="str" cm="1">
        <f t="array" ref="AL317">_xlfn.IFS(AK317=1,"Low",AK317=2,"Medium",AK317=3,"High",AK317=4,"Very High")</f>
        <v>High</v>
      </c>
      <c r="AM317">
        <v>8</v>
      </c>
      <c r="AN317">
        <v>7</v>
      </c>
      <c r="AO317">
        <v>1</v>
      </c>
      <c r="AP317">
        <v>7</v>
      </c>
    </row>
    <row r="318" spans="1:42">
      <c r="A318">
        <v>49</v>
      </c>
      <c r="B318" t="str" cm="1">
        <f t="array" ref="B318">_xlfn.IFS(A318&lt;=25,"18-25",A318&lt;=35,"26-35",A318&lt;=45,"36-45",A318&lt;=55,"46-55",A318&gt;55,"56+")</f>
        <v>46-55</v>
      </c>
      <c r="C318" t="s">
        <v>39</v>
      </c>
      <c r="D318" t="s">
        <v>33</v>
      </c>
      <c r="E318" s="2">
        <v>1091</v>
      </c>
      <c r="F318" t="s">
        <v>41</v>
      </c>
      <c r="G318">
        <v>1</v>
      </c>
      <c r="H318" t="str">
        <f t="shared" si="4"/>
        <v>1-10 km</v>
      </c>
      <c r="I318">
        <v>2</v>
      </c>
      <c r="J318" t="str" cm="1">
        <f t="array" ref="J318">_xlfn.IFS(I318=1,"Below College",I318=2,"College",I318=3,"Bachelor",I318=4,"Master",I318=5,"Doctor")</f>
        <v>College</v>
      </c>
      <c r="K318" t="s">
        <v>56</v>
      </c>
      <c r="L318">
        <v>431</v>
      </c>
      <c r="M318">
        <v>3</v>
      </c>
      <c r="N318" t="str" cm="1">
        <f t="array" ref="N318">_xlfn.IFS(M318=1,"Low",M318=2,"Medium",M318=3,"High",M318=4,"Very High")</f>
        <v>High</v>
      </c>
      <c r="O318" t="s">
        <v>36</v>
      </c>
      <c r="P318" s="2">
        <v>90</v>
      </c>
      <c r="Q318">
        <v>2</v>
      </c>
      <c r="R318" t="str" cm="1">
        <f t="array" ref="R318">_xlfn.IFS(Q318=1,"Low",Q318=2,"Medium",Q318=3,"High",Q318=4,"Very High")</f>
        <v>Medium</v>
      </c>
      <c r="S318">
        <v>4</v>
      </c>
      <c r="T318" t="str" cm="1">
        <f t="array" ref="T318">_xlfn.IFS(S318=1,"Entry Level",S318=2,"Junior",S318=3,"Mid-Level",S318=4,"Senior",S318=5,"Executive")</f>
        <v>Senior</v>
      </c>
      <c r="U318" t="s">
        <v>50</v>
      </c>
      <c r="V318">
        <v>3</v>
      </c>
      <c r="W318" t="str" cm="1">
        <f t="array" ref="W318">_xlfn.IFS(V318=1,"Low",V318=2,"Medium",V318=3,"High",V318=4,"Very High")</f>
        <v>High</v>
      </c>
      <c r="X318" t="s">
        <v>38</v>
      </c>
      <c r="Y318" s="2">
        <v>13964</v>
      </c>
      <c r="Z318" s="2">
        <v>17810</v>
      </c>
      <c r="AA318">
        <v>7</v>
      </c>
      <c r="AB318" t="s">
        <v>32</v>
      </c>
      <c r="AC318">
        <v>12</v>
      </c>
      <c r="AD318">
        <v>3</v>
      </c>
      <c r="AE318" t="str" cm="1">
        <f t="array" ref="AE318">_xlfn.IFS(AD318=1,"Low",AD318=2,"Good",AD318=3,"Excellent",AD318=4,"Outstanding")</f>
        <v>Excellent</v>
      </c>
      <c r="AF318">
        <v>4</v>
      </c>
      <c r="AG318" t="str" cm="1">
        <f t="array" ref="AG318">_xlfn.IFS(AF318=1,"Low",AF318=2,"Medium",AF318=3,"High",AF318=4,"Very High")</f>
        <v>Very High</v>
      </c>
      <c r="AH318">
        <v>0</v>
      </c>
      <c r="AI318">
        <v>25</v>
      </c>
      <c r="AJ318">
        <v>2</v>
      </c>
      <c r="AK318">
        <v>3</v>
      </c>
      <c r="AL318" t="str" cm="1">
        <f t="array" ref="AL318">_xlfn.IFS(AK318=1,"Low",AK318=2,"Medium",AK318=3,"High",AK318=4,"Very High")</f>
        <v>High</v>
      </c>
      <c r="AM318">
        <v>7</v>
      </c>
      <c r="AN318">
        <v>1</v>
      </c>
      <c r="AO318">
        <v>0</v>
      </c>
      <c r="AP318">
        <v>7</v>
      </c>
    </row>
    <row r="319" spans="1:42">
      <c r="A319">
        <v>52</v>
      </c>
      <c r="B319" t="str" cm="1">
        <f t="array" ref="B319">_xlfn.IFS(A319&lt;=25,"18-25",A319&lt;=35,"26-35",A319&lt;=45,"36-45",A319&lt;=55,"46-55",A319&gt;55,"56+")</f>
        <v>46-55</v>
      </c>
      <c r="C319" t="s">
        <v>32</v>
      </c>
      <c r="D319" t="s">
        <v>33</v>
      </c>
      <c r="E319" s="2">
        <v>723</v>
      </c>
      <c r="F319" t="s">
        <v>41</v>
      </c>
      <c r="G319">
        <v>8</v>
      </c>
      <c r="H319" t="str">
        <f t="shared" si="4"/>
        <v>1-10 km</v>
      </c>
      <c r="I319">
        <v>4</v>
      </c>
      <c r="J319" t="str" cm="1">
        <f t="array" ref="J319">_xlfn.IFS(I319=1,"Below College",I319=2,"College",I319=3,"Bachelor",I319=4,"Master",I319=5,"Doctor")</f>
        <v>Master</v>
      </c>
      <c r="K319" t="s">
        <v>47</v>
      </c>
      <c r="L319">
        <v>433</v>
      </c>
      <c r="M319">
        <v>3</v>
      </c>
      <c r="N319" t="str" cm="1">
        <f t="array" ref="N319">_xlfn.IFS(M319=1,"Low",M319=2,"Medium",M319=3,"High",M319=4,"Very High")</f>
        <v>High</v>
      </c>
      <c r="O319" t="s">
        <v>42</v>
      </c>
      <c r="P319" s="2">
        <v>85</v>
      </c>
      <c r="Q319">
        <v>2</v>
      </c>
      <c r="R319" t="str" cm="1">
        <f t="array" ref="R319">_xlfn.IFS(Q319=1,"Low",Q319=2,"Medium",Q319=3,"High",Q319=4,"Very High")</f>
        <v>Medium</v>
      </c>
      <c r="S319">
        <v>2</v>
      </c>
      <c r="T319" t="str" cm="1">
        <f t="array" ref="T319">_xlfn.IFS(S319=1,"Entry Level",S319=2,"Junior",S319=3,"Mid-Level",S319=4,"Senior",S319=5,"Executive")</f>
        <v>Junior</v>
      </c>
      <c r="U319" t="s">
        <v>43</v>
      </c>
      <c r="V319">
        <v>2</v>
      </c>
      <c r="W319" t="str" cm="1">
        <f t="array" ref="W319">_xlfn.IFS(V319=1,"Low",V319=2,"Medium",V319=3,"High",V319=4,"Very High")</f>
        <v>Medium</v>
      </c>
      <c r="X319" t="s">
        <v>44</v>
      </c>
      <c r="Y319" s="2">
        <v>4941</v>
      </c>
      <c r="Z319" s="2">
        <v>17747</v>
      </c>
      <c r="AA319">
        <v>2</v>
      </c>
      <c r="AB319" t="s">
        <v>39</v>
      </c>
      <c r="AC319">
        <v>15</v>
      </c>
      <c r="AD319">
        <v>3</v>
      </c>
      <c r="AE319" t="str" cm="1">
        <f t="array" ref="AE319">_xlfn.IFS(AD319=1,"Low",AD319=2,"Good",AD319=3,"Excellent",AD319=4,"Outstanding")</f>
        <v>Excellent</v>
      </c>
      <c r="AF319">
        <v>1</v>
      </c>
      <c r="AG319" t="str" cm="1">
        <f t="array" ref="AG319">_xlfn.IFS(AF319=1,"Low",AF319=2,"Medium",AF319=3,"High",AF319=4,"Very High")</f>
        <v>Low</v>
      </c>
      <c r="AH319">
        <v>0</v>
      </c>
      <c r="AI319">
        <v>11</v>
      </c>
      <c r="AJ319">
        <v>3</v>
      </c>
      <c r="AK319">
        <v>2</v>
      </c>
      <c r="AL319" t="str" cm="1">
        <f t="array" ref="AL319">_xlfn.IFS(AK319=1,"Low",AK319=2,"Medium",AK319=3,"High",AK319=4,"Very High")</f>
        <v>Medium</v>
      </c>
      <c r="AM319">
        <v>8</v>
      </c>
      <c r="AN319">
        <v>2</v>
      </c>
      <c r="AO319">
        <v>7</v>
      </c>
      <c r="AP319">
        <v>7</v>
      </c>
    </row>
    <row r="320" spans="1:42">
      <c r="A320">
        <v>27</v>
      </c>
      <c r="B320" t="str" cm="1">
        <f t="array" ref="B320">_xlfn.IFS(A320&lt;=25,"18-25",A320&lt;=35,"26-35",A320&lt;=45,"36-45",A320&lt;=55,"46-55",A320&gt;55,"56+")</f>
        <v>26-35</v>
      </c>
      <c r="C320" t="s">
        <v>39</v>
      </c>
      <c r="D320" t="s">
        <v>33</v>
      </c>
      <c r="E320" s="2">
        <v>1220</v>
      </c>
      <c r="F320" t="s">
        <v>41</v>
      </c>
      <c r="G320">
        <v>5</v>
      </c>
      <c r="H320" t="str">
        <f t="shared" si="4"/>
        <v>1-10 km</v>
      </c>
      <c r="I320">
        <v>3</v>
      </c>
      <c r="J320" t="str" cm="1">
        <f t="array" ref="J320">_xlfn.IFS(I320=1,"Below College",I320=2,"College",I320=3,"Bachelor",I320=4,"Master",I320=5,"Doctor")</f>
        <v>Bachelor</v>
      </c>
      <c r="K320" t="s">
        <v>35</v>
      </c>
      <c r="L320">
        <v>434</v>
      </c>
      <c r="M320">
        <v>3</v>
      </c>
      <c r="N320" t="str" cm="1">
        <f t="array" ref="N320">_xlfn.IFS(M320=1,"Low",M320=2,"Medium",M320=3,"High",M320=4,"Very High")</f>
        <v>High</v>
      </c>
      <c r="O320" t="s">
        <v>36</v>
      </c>
      <c r="P320" s="2">
        <v>85</v>
      </c>
      <c r="Q320">
        <v>3</v>
      </c>
      <c r="R320" t="str" cm="1">
        <f t="array" ref="R320">_xlfn.IFS(Q320=1,"Low",Q320=2,"Medium",Q320=3,"High",Q320=4,"Very High")</f>
        <v>High</v>
      </c>
      <c r="S320">
        <v>1</v>
      </c>
      <c r="T320" t="str" cm="1">
        <f t="array" ref="T320">_xlfn.IFS(S320=1,"Entry Level",S320=2,"Junior",S320=3,"Mid-Level",S320=4,"Senior",S320=5,"Executive")</f>
        <v>Entry Level</v>
      </c>
      <c r="U320" t="s">
        <v>43</v>
      </c>
      <c r="V320">
        <v>2</v>
      </c>
      <c r="W320" t="str" cm="1">
        <f t="array" ref="W320">_xlfn.IFS(V320=1,"Low",V320=2,"Medium",V320=3,"High",V320=4,"Very High")</f>
        <v>Medium</v>
      </c>
      <c r="X320" t="s">
        <v>38</v>
      </c>
      <c r="Y320" s="2">
        <v>2478</v>
      </c>
      <c r="Z320" s="2">
        <v>20938</v>
      </c>
      <c r="AA320">
        <v>1</v>
      </c>
      <c r="AB320" t="s">
        <v>32</v>
      </c>
      <c r="AC320">
        <v>12</v>
      </c>
      <c r="AD320">
        <v>3</v>
      </c>
      <c r="AE320" t="str" cm="1">
        <f t="array" ref="AE320">_xlfn.IFS(AD320=1,"Low",AD320=2,"Good",AD320=3,"Excellent",AD320=4,"Outstanding")</f>
        <v>Excellent</v>
      </c>
      <c r="AF320">
        <v>2</v>
      </c>
      <c r="AG320" t="str" cm="1">
        <f t="array" ref="AG320">_xlfn.IFS(AF320=1,"Low",AF320=2,"Medium",AF320=3,"High",AF320=4,"Very High")</f>
        <v>Medium</v>
      </c>
      <c r="AH320">
        <v>0</v>
      </c>
      <c r="AI320">
        <v>4</v>
      </c>
      <c r="AJ320">
        <v>2</v>
      </c>
      <c r="AK320">
        <v>2</v>
      </c>
      <c r="AL320" t="str" cm="1">
        <f t="array" ref="AL320">_xlfn.IFS(AK320=1,"Low",AK320=2,"Medium",AK320=3,"High",AK320=4,"Very High")</f>
        <v>Medium</v>
      </c>
      <c r="AM320">
        <v>4</v>
      </c>
      <c r="AN320">
        <v>3</v>
      </c>
      <c r="AO320">
        <v>1</v>
      </c>
      <c r="AP320">
        <v>2</v>
      </c>
    </row>
    <row r="321" spans="1:42">
      <c r="A321">
        <v>32</v>
      </c>
      <c r="B321" t="str" cm="1">
        <f t="array" ref="B321">_xlfn.IFS(A321&lt;=25,"18-25",A321&lt;=35,"26-35",A321&lt;=45,"36-45",A321&lt;=55,"46-55",A321&gt;55,"56+")</f>
        <v>26-35</v>
      </c>
      <c r="C321" t="s">
        <v>39</v>
      </c>
      <c r="D321" t="s">
        <v>33</v>
      </c>
      <c r="E321" s="2">
        <v>588</v>
      </c>
      <c r="F321" t="s">
        <v>34</v>
      </c>
      <c r="G321">
        <v>8</v>
      </c>
      <c r="H321" t="str">
        <f t="shared" si="4"/>
        <v>1-10 km</v>
      </c>
      <c r="I321">
        <v>2</v>
      </c>
      <c r="J321" t="str" cm="1">
        <f t="array" ref="J321">_xlfn.IFS(I321=1,"Below College",I321=2,"College",I321=3,"Bachelor",I321=4,"Master",I321=5,"Doctor")</f>
        <v>College</v>
      </c>
      <c r="K321" t="s">
        <v>56</v>
      </c>
      <c r="L321">
        <v>436</v>
      </c>
      <c r="M321">
        <v>3</v>
      </c>
      <c r="N321" t="str" cm="1">
        <f t="array" ref="N321">_xlfn.IFS(M321=1,"Low",M321=2,"Medium",M321=3,"High",M321=4,"Very High")</f>
        <v>High</v>
      </c>
      <c r="O321" t="s">
        <v>36</v>
      </c>
      <c r="P321" s="2">
        <v>65</v>
      </c>
      <c r="Q321">
        <v>2</v>
      </c>
      <c r="R321" t="str" cm="1">
        <f t="array" ref="R321">_xlfn.IFS(Q321=1,"Low",Q321=2,"Medium",Q321=3,"High",Q321=4,"Very High")</f>
        <v>Medium</v>
      </c>
      <c r="S321">
        <v>2</v>
      </c>
      <c r="T321" t="str" cm="1">
        <f t="array" ref="T321">_xlfn.IFS(S321=1,"Entry Level",S321=2,"Junior",S321=3,"Mid-Level",S321=4,"Senior",S321=5,"Executive")</f>
        <v>Junior</v>
      </c>
      <c r="U321" t="s">
        <v>37</v>
      </c>
      <c r="V321">
        <v>2</v>
      </c>
      <c r="W321" t="str" cm="1">
        <f t="array" ref="W321">_xlfn.IFS(V321=1,"Low",V321=2,"Medium",V321=3,"High",V321=4,"Very High")</f>
        <v>Medium</v>
      </c>
      <c r="X321" t="s">
        <v>44</v>
      </c>
      <c r="Y321" s="2">
        <v>5228</v>
      </c>
      <c r="Z321" s="2">
        <v>24624</v>
      </c>
      <c r="AA321">
        <v>1</v>
      </c>
      <c r="AB321" t="s">
        <v>32</v>
      </c>
      <c r="AC321">
        <v>11</v>
      </c>
      <c r="AD321">
        <v>3</v>
      </c>
      <c r="AE321" t="str" cm="1">
        <f t="array" ref="AE321">_xlfn.IFS(AD321=1,"Low",AD321=2,"Good",AD321=3,"Excellent",AD321=4,"Outstanding")</f>
        <v>Excellent</v>
      </c>
      <c r="AF321">
        <v>4</v>
      </c>
      <c r="AG321" t="str" cm="1">
        <f t="array" ref="AG321">_xlfn.IFS(AF321=1,"Low",AF321=2,"Medium",AF321=3,"High",AF321=4,"Very High")</f>
        <v>Very High</v>
      </c>
      <c r="AH321">
        <v>0</v>
      </c>
      <c r="AI321">
        <v>13</v>
      </c>
      <c r="AJ321">
        <v>2</v>
      </c>
      <c r="AK321">
        <v>3</v>
      </c>
      <c r="AL321" t="str" cm="1">
        <f t="array" ref="AL321">_xlfn.IFS(AK321=1,"Low",AK321=2,"Medium",AK321=3,"High",AK321=4,"Very High")</f>
        <v>High</v>
      </c>
      <c r="AM321">
        <v>13</v>
      </c>
      <c r="AN321">
        <v>12</v>
      </c>
      <c r="AO321">
        <v>11</v>
      </c>
      <c r="AP321">
        <v>9</v>
      </c>
    </row>
    <row r="322" spans="1:42">
      <c r="A322">
        <v>27</v>
      </c>
      <c r="B322" t="str" cm="1">
        <f t="array" ref="B322">_xlfn.IFS(A322&lt;=25,"18-25",A322&lt;=35,"26-35",A322&lt;=45,"36-45",A322&lt;=55,"46-55",A322&gt;55,"56+")</f>
        <v>26-35</v>
      </c>
      <c r="C322" t="s">
        <v>39</v>
      </c>
      <c r="D322" t="s">
        <v>33</v>
      </c>
      <c r="E322" s="2">
        <v>1377</v>
      </c>
      <c r="F322" t="s">
        <v>34</v>
      </c>
      <c r="G322">
        <v>2</v>
      </c>
      <c r="H322" t="str">
        <f t="shared" si="4"/>
        <v>1-10 km</v>
      </c>
      <c r="I322">
        <v>3</v>
      </c>
      <c r="J322" t="str" cm="1">
        <f t="array" ref="J322">_xlfn.IFS(I322=1,"Below College",I322=2,"College",I322=3,"Bachelor",I322=4,"Master",I322=5,"Doctor")</f>
        <v>Bachelor</v>
      </c>
      <c r="K322" t="s">
        <v>35</v>
      </c>
      <c r="L322">
        <v>437</v>
      </c>
      <c r="M322">
        <v>4</v>
      </c>
      <c r="N322" t="str" cm="1">
        <f t="array" ref="N322">_xlfn.IFS(M322=1,"Low",M322=2,"Medium",M322=3,"High",M322=4,"Very High")</f>
        <v>Very High</v>
      </c>
      <c r="O322" t="s">
        <v>42</v>
      </c>
      <c r="P322" s="2">
        <v>74</v>
      </c>
      <c r="Q322">
        <v>3</v>
      </c>
      <c r="R322" t="str" cm="1">
        <f t="array" ref="R322">_xlfn.IFS(Q322=1,"Low",Q322=2,"Medium",Q322=3,"High",Q322=4,"Very High")</f>
        <v>High</v>
      </c>
      <c r="S322">
        <v>2</v>
      </c>
      <c r="T322" t="str" cm="1">
        <f t="array" ref="T322">_xlfn.IFS(S322=1,"Entry Level",S322=2,"Junior",S322=3,"Mid-Level",S322=4,"Senior",S322=5,"Executive")</f>
        <v>Junior</v>
      </c>
      <c r="U322" t="s">
        <v>37</v>
      </c>
      <c r="V322">
        <v>3</v>
      </c>
      <c r="W322" t="str" cm="1">
        <f t="array" ref="W322">_xlfn.IFS(V322=1,"Low",V322=2,"Medium",V322=3,"High",V322=4,"Very High")</f>
        <v>High</v>
      </c>
      <c r="X322" t="s">
        <v>38</v>
      </c>
      <c r="Y322" s="2">
        <v>4478</v>
      </c>
      <c r="Z322" s="2">
        <v>5242</v>
      </c>
      <c r="AA322">
        <v>1</v>
      </c>
      <c r="AB322" t="s">
        <v>32</v>
      </c>
      <c r="AC322">
        <v>11</v>
      </c>
      <c r="AD322">
        <v>3</v>
      </c>
      <c r="AE322" t="str" cm="1">
        <f t="array" ref="AE322">_xlfn.IFS(AD322=1,"Low",AD322=2,"Good",AD322=3,"Excellent",AD322=4,"Outstanding")</f>
        <v>Excellent</v>
      </c>
      <c r="AF322">
        <v>1</v>
      </c>
      <c r="AG322" t="str" cm="1">
        <f t="array" ref="AG322">_xlfn.IFS(AF322=1,"Low",AF322=2,"Medium",AF322=3,"High",AF322=4,"Very High")</f>
        <v>Low</v>
      </c>
      <c r="AH322">
        <v>0</v>
      </c>
      <c r="AI322">
        <v>5</v>
      </c>
      <c r="AJ322">
        <v>3</v>
      </c>
      <c r="AK322">
        <v>3</v>
      </c>
      <c r="AL322" t="str" cm="1">
        <f t="array" ref="AL322">_xlfn.IFS(AK322=1,"Low",AK322=2,"Medium",AK322=3,"High",AK322=4,"Very High")</f>
        <v>High</v>
      </c>
      <c r="AM322">
        <v>5</v>
      </c>
      <c r="AN322">
        <v>4</v>
      </c>
      <c r="AO322">
        <v>0</v>
      </c>
      <c r="AP322">
        <v>4</v>
      </c>
    </row>
    <row r="323" spans="1:42">
      <c r="A323">
        <v>31</v>
      </c>
      <c r="B323" t="str" cm="1">
        <f t="array" ref="B323">_xlfn.IFS(A323&lt;=25,"18-25",A323&lt;=35,"26-35",A323&lt;=45,"36-45",A323&lt;=55,"46-55",A323&gt;55,"56+")</f>
        <v>26-35</v>
      </c>
      <c r="C323" t="s">
        <v>39</v>
      </c>
      <c r="D323" t="s">
        <v>33</v>
      </c>
      <c r="E323" s="2">
        <v>691</v>
      </c>
      <c r="F323" t="s">
        <v>34</v>
      </c>
      <c r="G323">
        <v>7</v>
      </c>
      <c r="H323" t="str">
        <f t="shared" ref="H323:H386" si="5">IF(G323&lt;=10,"1-10 km",IF(G323&lt;=20,"11-20 km",IF(G323&lt;=30,"21-30 km","31+ km")))</f>
        <v>1-10 km</v>
      </c>
      <c r="I323">
        <v>3</v>
      </c>
      <c r="J323" t="str" cm="1">
        <f t="array" ref="J323">_xlfn.IFS(I323=1,"Below College",I323=2,"College",I323=3,"Bachelor",I323=4,"Master",I323=5,"Doctor")</f>
        <v>Bachelor</v>
      </c>
      <c r="K323" t="s">
        <v>55</v>
      </c>
      <c r="L323">
        <v>438</v>
      </c>
      <c r="M323">
        <v>4</v>
      </c>
      <c r="N323" t="str" cm="1">
        <f t="array" ref="N323">_xlfn.IFS(M323=1,"Low",M323=2,"Medium",M323=3,"High",M323=4,"Very High")</f>
        <v>Very High</v>
      </c>
      <c r="O323" t="s">
        <v>42</v>
      </c>
      <c r="P323" s="2">
        <v>73</v>
      </c>
      <c r="Q323">
        <v>3</v>
      </c>
      <c r="R323" t="str" cm="1">
        <f t="array" ref="R323">_xlfn.IFS(Q323=1,"Low",Q323=2,"Medium",Q323=3,"High",Q323=4,"Very High")</f>
        <v>High</v>
      </c>
      <c r="S323">
        <v>2</v>
      </c>
      <c r="T323" t="str" cm="1">
        <f t="array" ref="T323">_xlfn.IFS(S323=1,"Entry Level",S323=2,"Junior",S323=3,"Mid-Level",S323=4,"Senior",S323=5,"Executive")</f>
        <v>Junior</v>
      </c>
      <c r="U323" t="s">
        <v>37</v>
      </c>
      <c r="V323">
        <v>4</v>
      </c>
      <c r="W323" t="str" cm="1">
        <f t="array" ref="W323">_xlfn.IFS(V323=1,"Low",V323=2,"Medium",V323=3,"High",V323=4,"Very High")</f>
        <v>Very High</v>
      </c>
      <c r="X323" t="s">
        <v>48</v>
      </c>
      <c r="Y323" s="2">
        <v>7547</v>
      </c>
      <c r="Z323" s="2">
        <v>7143</v>
      </c>
      <c r="AA323">
        <v>4</v>
      </c>
      <c r="AB323" t="s">
        <v>39</v>
      </c>
      <c r="AC323">
        <v>12</v>
      </c>
      <c r="AD323">
        <v>3</v>
      </c>
      <c r="AE323" t="str" cm="1">
        <f t="array" ref="AE323">_xlfn.IFS(AD323=1,"Low",AD323=2,"Good",AD323=3,"Excellent",AD323=4,"Outstanding")</f>
        <v>Excellent</v>
      </c>
      <c r="AF323">
        <v>4</v>
      </c>
      <c r="AG323" t="str" cm="1">
        <f t="array" ref="AG323">_xlfn.IFS(AF323=1,"Low",AF323=2,"Medium",AF323=3,"High",AF323=4,"Very High")</f>
        <v>Very High</v>
      </c>
      <c r="AH323">
        <v>3</v>
      </c>
      <c r="AI323">
        <v>13</v>
      </c>
      <c r="AJ323">
        <v>3</v>
      </c>
      <c r="AK323">
        <v>3</v>
      </c>
      <c r="AL323" t="str" cm="1">
        <f t="array" ref="AL323">_xlfn.IFS(AK323=1,"Low",AK323=2,"Medium",AK323=3,"High",AK323=4,"Very High")</f>
        <v>High</v>
      </c>
      <c r="AM323">
        <v>7</v>
      </c>
      <c r="AN323">
        <v>7</v>
      </c>
      <c r="AO323">
        <v>1</v>
      </c>
      <c r="AP323">
        <v>7</v>
      </c>
    </row>
    <row r="324" spans="1:42">
      <c r="A324">
        <v>32</v>
      </c>
      <c r="B324" t="str" cm="1">
        <f t="array" ref="B324">_xlfn.IFS(A324&lt;=25,"18-25",A324&lt;=35,"26-35",A324&lt;=45,"36-45",A324&lt;=55,"46-55",A324&gt;55,"56+")</f>
        <v>26-35</v>
      </c>
      <c r="C324" t="s">
        <v>39</v>
      </c>
      <c r="D324" t="s">
        <v>33</v>
      </c>
      <c r="E324" s="2">
        <v>1018</v>
      </c>
      <c r="F324" t="s">
        <v>41</v>
      </c>
      <c r="G324">
        <v>2</v>
      </c>
      <c r="H324" t="str">
        <f t="shared" si="5"/>
        <v>1-10 km</v>
      </c>
      <c r="I324">
        <v>4</v>
      </c>
      <c r="J324" t="str" cm="1">
        <f t="array" ref="J324">_xlfn.IFS(I324=1,"Below College",I324=2,"College",I324=3,"Bachelor",I324=4,"Master",I324=5,"Doctor")</f>
        <v>Master</v>
      </c>
      <c r="K324" t="s">
        <v>47</v>
      </c>
      <c r="L324">
        <v>439</v>
      </c>
      <c r="M324">
        <v>1</v>
      </c>
      <c r="N324" t="str" cm="1">
        <f t="array" ref="N324">_xlfn.IFS(M324=1,"Low",M324=2,"Medium",M324=3,"High",M324=4,"Very High")</f>
        <v>Low</v>
      </c>
      <c r="O324" t="s">
        <v>36</v>
      </c>
      <c r="P324" s="2">
        <v>74</v>
      </c>
      <c r="Q324">
        <v>4</v>
      </c>
      <c r="R324" t="str" cm="1">
        <f t="array" ref="R324">_xlfn.IFS(Q324=1,"Low",Q324=2,"Medium",Q324=3,"High",Q324=4,"Very High")</f>
        <v>Very High</v>
      </c>
      <c r="S324">
        <v>2</v>
      </c>
      <c r="T324" t="str" cm="1">
        <f t="array" ref="T324">_xlfn.IFS(S324=1,"Entry Level",S324=2,"Junior",S324=3,"Mid-Level",S324=4,"Senior",S324=5,"Executive")</f>
        <v>Junior</v>
      </c>
      <c r="U324" t="s">
        <v>43</v>
      </c>
      <c r="V324">
        <v>4</v>
      </c>
      <c r="W324" t="str" cm="1">
        <f t="array" ref="W324">_xlfn.IFS(V324=1,"Low",V324=2,"Medium",V324=3,"High",V324=4,"Very High")</f>
        <v>Very High</v>
      </c>
      <c r="X324" t="s">
        <v>38</v>
      </c>
      <c r="Y324" s="2">
        <v>5055</v>
      </c>
      <c r="Z324" s="2">
        <v>10557</v>
      </c>
      <c r="AA324">
        <v>7</v>
      </c>
      <c r="AB324" t="s">
        <v>39</v>
      </c>
      <c r="AC324">
        <v>16</v>
      </c>
      <c r="AD324">
        <v>3</v>
      </c>
      <c r="AE324" t="str" cm="1">
        <f t="array" ref="AE324">_xlfn.IFS(AD324=1,"Low",AD324=2,"Good",AD324=3,"Excellent",AD324=4,"Outstanding")</f>
        <v>Excellent</v>
      </c>
      <c r="AF324">
        <v>3</v>
      </c>
      <c r="AG324" t="str" cm="1">
        <f t="array" ref="AG324">_xlfn.IFS(AF324=1,"Low",AF324=2,"Medium",AF324=3,"High",AF324=4,"Very High")</f>
        <v>High</v>
      </c>
      <c r="AH324">
        <v>0</v>
      </c>
      <c r="AI324">
        <v>10</v>
      </c>
      <c r="AJ324">
        <v>0</v>
      </c>
      <c r="AK324">
        <v>2</v>
      </c>
      <c r="AL324" t="str" cm="1">
        <f t="array" ref="AL324">_xlfn.IFS(AK324=1,"Low",AK324=2,"Medium",AK324=3,"High",AK324=4,"Very High")</f>
        <v>Medium</v>
      </c>
      <c r="AM324">
        <v>7</v>
      </c>
      <c r="AN324">
        <v>7</v>
      </c>
      <c r="AO324">
        <v>0</v>
      </c>
      <c r="AP324">
        <v>7</v>
      </c>
    </row>
    <row r="325" spans="1:42">
      <c r="A325">
        <v>28</v>
      </c>
      <c r="B325" t="str" cm="1">
        <f t="array" ref="B325">_xlfn.IFS(A325&lt;=25,"18-25",A325&lt;=35,"26-35",A325&lt;=45,"36-45",A325&lt;=55,"46-55",A325&gt;55,"56+")</f>
        <v>26-35</v>
      </c>
      <c r="C325" t="s">
        <v>32</v>
      </c>
      <c r="D325" t="s">
        <v>33</v>
      </c>
      <c r="E325" s="2">
        <v>1157</v>
      </c>
      <c r="F325" t="s">
        <v>41</v>
      </c>
      <c r="G325">
        <v>2</v>
      </c>
      <c r="H325" t="str">
        <f t="shared" si="5"/>
        <v>1-10 km</v>
      </c>
      <c r="I325">
        <v>4</v>
      </c>
      <c r="J325" t="str" cm="1">
        <f t="array" ref="J325">_xlfn.IFS(I325=1,"Below College",I325=2,"College",I325=3,"Bachelor",I325=4,"Master",I325=5,"Doctor")</f>
        <v>Master</v>
      </c>
      <c r="K325" t="s">
        <v>47</v>
      </c>
      <c r="L325">
        <v>440</v>
      </c>
      <c r="M325">
        <v>1</v>
      </c>
      <c r="N325" t="str" cm="1">
        <f t="array" ref="N325">_xlfn.IFS(M325=1,"Low",M325=2,"Medium",M325=3,"High",M325=4,"Very High")</f>
        <v>Low</v>
      </c>
      <c r="O325" t="s">
        <v>42</v>
      </c>
      <c r="P325" s="2">
        <v>84</v>
      </c>
      <c r="Q325">
        <v>1</v>
      </c>
      <c r="R325" t="str" cm="1">
        <f t="array" ref="R325">_xlfn.IFS(Q325=1,"Low",Q325=2,"Medium",Q325=3,"High",Q325=4,"Very High")</f>
        <v>Low</v>
      </c>
      <c r="S325">
        <v>1</v>
      </c>
      <c r="T325" t="str" cm="1">
        <f t="array" ref="T325">_xlfn.IFS(S325=1,"Entry Level",S325=2,"Junior",S325=3,"Mid-Level",S325=4,"Senior",S325=5,"Executive")</f>
        <v>Entry Level</v>
      </c>
      <c r="U325" t="s">
        <v>43</v>
      </c>
      <c r="V325">
        <v>4</v>
      </c>
      <c r="W325" t="str" cm="1">
        <f t="array" ref="W325">_xlfn.IFS(V325=1,"Low",V325=2,"Medium",V325=3,"High",V325=4,"Very High")</f>
        <v>Very High</v>
      </c>
      <c r="X325" t="s">
        <v>44</v>
      </c>
      <c r="Y325" s="2">
        <v>3464</v>
      </c>
      <c r="Z325" s="2">
        <v>24737</v>
      </c>
      <c r="AA325">
        <v>5</v>
      </c>
      <c r="AB325" t="s">
        <v>32</v>
      </c>
      <c r="AC325">
        <v>13</v>
      </c>
      <c r="AD325">
        <v>3</v>
      </c>
      <c r="AE325" t="str" cm="1">
        <f t="array" ref="AE325">_xlfn.IFS(AD325=1,"Low",AD325=2,"Good",AD325=3,"Excellent",AD325=4,"Outstanding")</f>
        <v>Excellent</v>
      </c>
      <c r="AF325">
        <v>4</v>
      </c>
      <c r="AG325" t="str" cm="1">
        <f t="array" ref="AG325">_xlfn.IFS(AF325=1,"Low",AF325=2,"Medium",AF325=3,"High",AF325=4,"Very High")</f>
        <v>Very High</v>
      </c>
      <c r="AH325">
        <v>0</v>
      </c>
      <c r="AI325">
        <v>5</v>
      </c>
      <c r="AJ325">
        <v>4</v>
      </c>
      <c r="AK325">
        <v>2</v>
      </c>
      <c r="AL325" t="str" cm="1">
        <f t="array" ref="AL325">_xlfn.IFS(AK325=1,"Low",AK325=2,"Medium",AK325=3,"High",AK325=4,"Very High")</f>
        <v>Medium</v>
      </c>
      <c r="AM325">
        <v>3</v>
      </c>
      <c r="AN325">
        <v>2</v>
      </c>
      <c r="AO325">
        <v>2</v>
      </c>
      <c r="AP325">
        <v>2</v>
      </c>
    </row>
    <row r="326" spans="1:42">
      <c r="A326">
        <v>30</v>
      </c>
      <c r="B326" t="str" cm="1">
        <f t="array" ref="B326">_xlfn.IFS(A326&lt;=25,"18-25",A326&lt;=35,"26-35",A326&lt;=45,"36-45",A326&lt;=55,"46-55",A326&gt;55,"56+")</f>
        <v>26-35</v>
      </c>
      <c r="C326" t="s">
        <v>39</v>
      </c>
      <c r="D326" t="s">
        <v>33</v>
      </c>
      <c r="E326" s="2">
        <v>1275</v>
      </c>
      <c r="F326" t="s">
        <v>41</v>
      </c>
      <c r="G326">
        <v>28</v>
      </c>
      <c r="H326" t="str">
        <f t="shared" si="5"/>
        <v>21-30 km</v>
      </c>
      <c r="I326">
        <v>2</v>
      </c>
      <c r="J326" t="str" cm="1">
        <f t="array" ref="J326">_xlfn.IFS(I326=1,"Below College",I326=2,"College",I326=3,"Bachelor",I326=4,"Master",I326=5,"Doctor")</f>
        <v>College</v>
      </c>
      <c r="K326" t="s">
        <v>47</v>
      </c>
      <c r="L326">
        <v>441</v>
      </c>
      <c r="M326">
        <v>4</v>
      </c>
      <c r="N326" t="str" cm="1">
        <f t="array" ref="N326">_xlfn.IFS(M326=1,"Low",M326=2,"Medium",M326=3,"High",M326=4,"Very High")</f>
        <v>Very High</v>
      </c>
      <c r="O326" t="s">
        <v>36</v>
      </c>
      <c r="P326" s="2">
        <v>64</v>
      </c>
      <c r="Q326">
        <v>3</v>
      </c>
      <c r="R326" t="str" cm="1">
        <f t="array" ref="R326">_xlfn.IFS(Q326=1,"Low",Q326=2,"Medium",Q326=3,"High",Q326=4,"Very High")</f>
        <v>High</v>
      </c>
      <c r="S326">
        <v>2</v>
      </c>
      <c r="T326" t="str" cm="1">
        <f t="array" ref="T326">_xlfn.IFS(S326=1,"Entry Level",S326=2,"Junior",S326=3,"Mid-Level",S326=4,"Senior",S326=5,"Executive")</f>
        <v>Junior</v>
      </c>
      <c r="U326" t="s">
        <v>43</v>
      </c>
      <c r="V326">
        <v>4</v>
      </c>
      <c r="W326" t="str" cm="1">
        <f t="array" ref="W326">_xlfn.IFS(V326=1,"Low",V326=2,"Medium",V326=3,"High",V326=4,"Very High")</f>
        <v>Very High</v>
      </c>
      <c r="X326" t="s">
        <v>44</v>
      </c>
      <c r="Y326" s="2">
        <v>5775</v>
      </c>
      <c r="Z326" s="2">
        <v>11934</v>
      </c>
      <c r="AA326">
        <v>1</v>
      </c>
      <c r="AB326" t="s">
        <v>39</v>
      </c>
      <c r="AC326">
        <v>13</v>
      </c>
      <c r="AD326">
        <v>3</v>
      </c>
      <c r="AE326" t="str" cm="1">
        <f t="array" ref="AE326">_xlfn.IFS(AD326=1,"Low",AD326=2,"Good",AD326=3,"Excellent",AD326=4,"Outstanding")</f>
        <v>Excellent</v>
      </c>
      <c r="AF326">
        <v>4</v>
      </c>
      <c r="AG326" t="str" cm="1">
        <f t="array" ref="AG326">_xlfn.IFS(AF326=1,"Low",AF326=2,"Medium",AF326=3,"High",AF326=4,"Very High")</f>
        <v>Very High</v>
      </c>
      <c r="AH326">
        <v>2</v>
      </c>
      <c r="AI326">
        <v>11</v>
      </c>
      <c r="AJ326">
        <v>2</v>
      </c>
      <c r="AK326">
        <v>3</v>
      </c>
      <c r="AL326" t="str" cm="1">
        <f t="array" ref="AL326">_xlfn.IFS(AK326=1,"Low",AK326=2,"Medium",AK326=3,"High",AK326=4,"Very High")</f>
        <v>High</v>
      </c>
      <c r="AM326">
        <v>10</v>
      </c>
      <c r="AN326">
        <v>8</v>
      </c>
      <c r="AO326">
        <v>1</v>
      </c>
      <c r="AP326">
        <v>9</v>
      </c>
    </row>
    <row r="327" spans="1:42">
      <c r="A327">
        <v>31</v>
      </c>
      <c r="B327" t="str" cm="1">
        <f t="array" ref="B327">_xlfn.IFS(A327&lt;=25,"18-25",A327&lt;=35,"26-35",A327&lt;=45,"36-45",A327&lt;=55,"46-55",A327&gt;55,"56+")</f>
        <v>26-35</v>
      </c>
      <c r="C327" t="s">
        <v>39</v>
      </c>
      <c r="D327" t="s">
        <v>40</v>
      </c>
      <c r="E327" s="2">
        <v>798</v>
      </c>
      <c r="F327" t="s">
        <v>41</v>
      </c>
      <c r="G327">
        <v>7</v>
      </c>
      <c r="H327" t="str">
        <f t="shared" si="5"/>
        <v>1-10 km</v>
      </c>
      <c r="I327">
        <v>2</v>
      </c>
      <c r="J327" t="str" cm="1">
        <f t="array" ref="J327">_xlfn.IFS(I327=1,"Below College",I327=2,"College",I327=3,"Bachelor",I327=4,"Master",I327=5,"Doctor")</f>
        <v>College</v>
      </c>
      <c r="K327" t="s">
        <v>35</v>
      </c>
      <c r="L327">
        <v>442</v>
      </c>
      <c r="M327">
        <v>3</v>
      </c>
      <c r="N327" t="str" cm="1">
        <f t="array" ref="N327">_xlfn.IFS(M327=1,"Low",M327=2,"Medium",M327=3,"High",M327=4,"Very High")</f>
        <v>High</v>
      </c>
      <c r="O327" t="s">
        <v>36</v>
      </c>
      <c r="P327" s="2">
        <v>48</v>
      </c>
      <c r="Q327">
        <v>2</v>
      </c>
      <c r="R327" t="str" cm="1">
        <f t="array" ref="R327">_xlfn.IFS(Q327=1,"Low",Q327=2,"Medium",Q327=3,"High",Q327=4,"Very High")</f>
        <v>Medium</v>
      </c>
      <c r="S327">
        <v>3</v>
      </c>
      <c r="T327" t="str" cm="1">
        <f t="array" ref="T327">_xlfn.IFS(S327=1,"Entry Level",S327=2,"Junior",S327=3,"Mid-Level",S327=4,"Senior",S327=5,"Executive")</f>
        <v>Mid-Level</v>
      </c>
      <c r="U327" t="s">
        <v>49</v>
      </c>
      <c r="V327">
        <v>3</v>
      </c>
      <c r="W327" t="str" cm="1">
        <f t="array" ref="W327">_xlfn.IFS(V327=1,"Low",V327=2,"Medium",V327=3,"High",V327=4,"Very High")</f>
        <v>High</v>
      </c>
      <c r="X327" t="s">
        <v>44</v>
      </c>
      <c r="Y327" s="2">
        <v>8943</v>
      </c>
      <c r="Z327" s="2">
        <v>14034</v>
      </c>
      <c r="AA327">
        <v>1</v>
      </c>
      <c r="AB327" t="s">
        <v>39</v>
      </c>
      <c r="AC327">
        <v>24</v>
      </c>
      <c r="AD327">
        <v>4</v>
      </c>
      <c r="AE327" t="str" cm="1">
        <f t="array" ref="AE327">_xlfn.IFS(AD327=1,"Low",AD327=2,"Good",AD327=3,"Excellent",AD327=4,"Outstanding")</f>
        <v>Outstanding</v>
      </c>
      <c r="AF327">
        <v>1</v>
      </c>
      <c r="AG327" t="str" cm="1">
        <f t="array" ref="AG327">_xlfn.IFS(AF327=1,"Low",AF327=2,"Medium",AF327=3,"High",AF327=4,"Very High")</f>
        <v>Low</v>
      </c>
      <c r="AH327">
        <v>1</v>
      </c>
      <c r="AI327">
        <v>10</v>
      </c>
      <c r="AJ327">
        <v>2</v>
      </c>
      <c r="AK327">
        <v>3</v>
      </c>
      <c r="AL327" t="str" cm="1">
        <f t="array" ref="AL327">_xlfn.IFS(AK327=1,"Low",AK327=2,"Medium",AK327=3,"High",AK327=4,"Very High")</f>
        <v>High</v>
      </c>
      <c r="AM327">
        <v>10</v>
      </c>
      <c r="AN327">
        <v>9</v>
      </c>
      <c r="AO327">
        <v>8</v>
      </c>
      <c r="AP327">
        <v>9</v>
      </c>
    </row>
    <row r="328" spans="1:42">
      <c r="A328">
        <v>39</v>
      </c>
      <c r="B328" t="str" cm="1">
        <f t="array" ref="B328">_xlfn.IFS(A328&lt;=25,"18-25",A328&lt;=35,"26-35",A328&lt;=45,"36-45",A328&lt;=55,"46-55",A328&gt;55,"56+")</f>
        <v>36-45</v>
      </c>
      <c r="C328" t="s">
        <v>39</v>
      </c>
      <c r="D328" t="s">
        <v>40</v>
      </c>
      <c r="E328" s="2">
        <v>672</v>
      </c>
      <c r="F328" t="s">
        <v>41</v>
      </c>
      <c r="G328">
        <v>7</v>
      </c>
      <c r="H328" t="str">
        <f t="shared" si="5"/>
        <v>1-10 km</v>
      </c>
      <c r="I328">
        <v>2</v>
      </c>
      <c r="J328" t="str" cm="1">
        <f t="array" ref="J328">_xlfn.IFS(I328=1,"Below College",I328=2,"College",I328=3,"Bachelor",I328=4,"Master",I328=5,"Doctor")</f>
        <v>College</v>
      </c>
      <c r="K328" t="s">
        <v>47</v>
      </c>
      <c r="L328">
        <v>444</v>
      </c>
      <c r="M328">
        <v>3</v>
      </c>
      <c r="N328" t="str" cm="1">
        <f t="array" ref="N328">_xlfn.IFS(M328=1,"Low",M328=2,"Medium",M328=3,"High",M328=4,"Very High")</f>
        <v>High</v>
      </c>
      <c r="O328" t="s">
        <v>42</v>
      </c>
      <c r="P328" s="2">
        <v>54</v>
      </c>
      <c r="Q328">
        <v>2</v>
      </c>
      <c r="R328" t="str" cm="1">
        <f t="array" ref="R328">_xlfn.IFS(Q328=1,"Low",Q328=2,"Medium",Q328=3,"High",Q328=4,"Very High")</f>
        <v>Medium</v>
      </c>
      <c r="S328">
        <v>5</v>
      </c>
      <c r="T328" t="str" cm="1">
        <f t="array" ref="T328">_xlfn.IFS(S328=1,"Entry Level",S328=2,"Junior",S328=3,"Mid-Level",S328=4,"Senior",S328=5,"Executive")</f>
        <v>Executive</v>
      </c>
      <c r="U328" t="s">
        <v>52</v>
      </c>
      <c r="V328">
        <v>4</v>
      </c>
      <c r="W328" t="str" cm="1">
        <f t="array" ref="W328">_xlfn.IFS(V328=1,"Low",V328=2,"Medium",V328=3,"High",V328=4,"Very High")</f>
        <v>Very High</v>
      </c>
      <c r="X328" t="s">
        <v>44</v>
      </c>
      <c r="Y328" s="2">
        <v>19272</v>
      </c>
      <c r="Z328" s="2">
        <v>21141</v>
      </c>
      <c r="AA328">
        <v>1</v>
      </c>
      <c r="AB328" t="s">
        <v>39</v>
      </c>
      <c r="AC328">
        <v>15</v>
      </c>
      <c r="AD328">
        <v>3</v>
      </c>
      <c r="AE328" t="str" cm="1">
        <f t="array" ref="AE328">_xlfn.IFS(AD328=1,"Low",AD328=2,"Good",AD328=3,"Excellent",AD328=4,"Outstanding")</f>
        <v>Excellent</v>
      </c>
      <c r="AF328">
        <v>1</v>
      </c>
      <c r="AG328" t="str" cm="1">
        <f t="array" ref="AG328">_xlfn.IFS(AF328=1,"Low",AF328=2,"Medium",AF328=3,"High",AF328=4,"Very High")</f>
        <v>Low</v>
      </c>
      <c r="AH328">
        <v>1</v>
      </c>
      <c r="AI328">
        <v>21</v>
      </c>
      <c r="AJ328">
        <v>2</v>
      </c>
      <c r="AK328">
        <v>3</v>
      </c>
      <c r="AL328" t="str" cm="1">
        <f t="array" ref="AL328">_xlfn.IFS(AK328=1,"Low",AK328=2,"Medium",AK328=3,"High",AK328=4,"Very High")</f>
        <v>High</v>
      </c>
      <c r="AM328">
        <v>21</v>
      </c>
      <c r="AN328">
        <v>9</v>
      </c>
      <c r="AO328">
        <v>13</v>
      </c>
      <c r="AP328">
        <v>3</v>
      </c>
    </row>
    <row r="329" spans="1:42">
      <c r="A329">
        <v>39</v>
      </c>
      <c r="B329" t="str" cm="1">
        <f t="array" ref="B329">_xlfn.IFS(A329&lt;=25,"18-25",A329&lt;=35,"26-35",A329&lt;=45,"36-45",A329&lt;=55,"46-55",A329&gt;55,"56+")</f>
        <v>36-45</v>
      </c>
      <c r="C329" t="s">
        <v>32</v>
      </c>
      <c r="D329" t="s">
        <v>33</v>
      </c>
      <c r="E329" s="2">
        <v>1162</v>
      </c>
      <c r="F329" t="s">
        <v>34</v>
      </c>
      <c r="G329">
        <v>3</v>
      </c>
      <c r="H329" t="str">
        <f t="shared" si="5"/>
        <v>1-10 km</v>
      </c>
      <c r="I329">
        <v>2</v>
      </c>
      <c r="J329" t="str" cm="1">
        <f t="array" ref="J329">_xlfn.IFS(I329=1,"Below College",I329=2,"College",I329=3,"Bachelor",I329=4,"Master",I329=5,"Doctor")</f>
        <v>College</v>
      </c>
      <c r="K329" t="s">
        <v>47</v>
      </c>
      <c r="L329">
        <v>445</v>
      </c>
      <c r="M329">
        <v>4</v>
      </c>
      <c r="N329" t="str" cm="1">
        <f t="array" ref="N329">_xlfn.IFS(M329=1,"Low",M329=2,"Medium",M329=3,"High",M329=4,"Very High")</f>
        <v>Very High</v>
      </c>
      <c r="O329" t="s">
        <v>36</v>
      </c>
      <c r="P329" s="2">
        <v>41</v>
      </c>
      <c r="Q329">
        <v>3</v>
      </c>
      <c r="R329" t="str" cm="1">
        <f t="array" ref="R329">_xlfn.IFS(Q329=1,"Low",Q329=2,"Medium",Q329=3,"High",Q329=4,"Very High")</f>
        <v>High</v>
      </c>
      <c r="S329">
        <v>2</v>
      </c>
      <c r="T329" t="str" cm="1">
        <f t="array" ref="T329">_xlfn.IFS(S329=1,"Entry Level",S329=2,"Junior",S329=3,"Mid-Level",S329=4,"Senior",S329=5,"Executive")</f>
        <v>Junior</v>
      </c>
      <c r="U329" t="s">
        <v>37</v>
      </c>
      <c r="V329">
        <v>3</v>
      </c>
      <c r="W329" t="str" cm="1">
        <f t="array" ref="W329">_xlfn.IFS(V329=1,"Low",V329=2,"Medium",V329=3,"High",V329=4,"Very High")</f>
        <v>High</v>
      </c>
      <c r="X329" t="s">
        <v>44</v>
      </c>
      <c r="Y329" s="2">
        <v>5238</v>
      </c>
      <c r="Z329" s="2">
        <v>17778</v>
      </c>
      <c r="AA329">
        <v>4</v>
      </c>
      <c r="AB329" t="s">
        <v>32</v>
      </c>
      <c r="AC329">
        <v>18</v>
      </c>
      <c r="AD329">
        <v>3</v>
      </c>
      <c r="AE329" t="str" cm="1">
        <f t="array" ref="AE329">_xlfn.IFS(AD329=1,"Low",AD329=2,"Good",AD329=3,"Excellent",AD329=4,"Outstanding")</f>
        <v>Excellent</v>
      </c>
      <c r="AF329">
        <v>1</v>
      </c>
      <c r="AG329" t="str" cm="1">
        <f t="array" ref="AG329">_xlfn.IFS(AF329=1,"Low",AF329=2,"Medium",AF329=3,"High",AF329=4,"Very High")</f>
        <v>Low</v>
      </c>
      <c r="AH329">
        <v>0</v>
      </c>
      <c r="AI329">
        <v>12</v>
      </c>
      <c r="AJ329">
        <v>3</v>
      </c>
      <c r="AK329">
        <v>2</v>
      </c>
      <c r="AL329" t="str" cm="1">
        <f t="array" ref="AL329">_xlfn.IFS(AK329=1,"Low",AK329=2,"Medium",AK329=3,"High",AK329=4,"Very High")</f>
        <v>Medium</v>
      </c>
      <c r="AM329">
        <v>1</v>
      </c>
      <c r="AN329">
        <v>0</v>
      </c>
      <c r="AO329">
        <v>0</v>
      </c>
      <c r="AP329">
        <v>0</v>
      </c>
    </row>
    <row r="330" spans="1:42">
      <c r="A330">
        <v>33</v>
      </c>
      <c r="B330" t="str" cm="1">
        <f t="array" ref="B330">_xlfn.IFS(A330&lt;=25,"18-25",A330&lt;=35,"26-35",A330&lt;=45,"36-45",A330&lt;=55,"46-55",A330&gt;55,"56+")</f>
        <v>26-35</v>
      </c>
      <c r="C330" t="s">
        <v>39</v>
      </c>
      <c r="D330" t="s">
        <v>40</v>
      </c>
      <c r="E330" s="2">
        <v>508</v>
      </c>
      <c r="F330" t="s">
        <v>34</v>
      </c>
      <c r="G330">
        <v>10</v>
      </c>
      <c r="H330" t="str">
        <f t="shared" si="5"/>
        <v>1-10 km</v>
      </c>
      <c r="I330">
        <v>3</v>
      </c>
      <c r="J330" t="str" cm="1">
        <f t="array" ref="J330">_xlfn.IFS(I330=1,"Below College",I330=2,"College",I330=3,"Bachelor",I330=4,"Master",I330=5,"Doctor")</f>
        <v>Bachelor</v>
      </c>
      <c r="K330" t="s">
        <v>55</v>
      </c>
      <c r="L330">
        <v>446</v>
      </c>
      <c r="M330">
        <v>2</v>
      </c>
      <c r="N330" t="str" cm="1">
        <f t="array" ref="N330">_xlfn.IFS(M330=1,"Low",M330=2,"Medium",M330=3,"High",M330=4,"Very High")</f>
        <v>Medium</v>
      </c>
      <c r="O330" t="s">
        <v>42</v>
      </c>
      <c r="P330" s="2">
        <v>46</v>
      </c>
      <c r="Q330">
        <v>2</v>
      </c>
      <c r="R330" t="str" cm="1">
        <f t="array" ref="R330">_xlfn.IFS(Q330=1,"Low",Q330=2,"Medium",Q330=3,"High",Q330=4,"Very High")</f>
        <v>Medium</v>
      </c>
      <c r="S330">
        <v>2</v>
      </c>
      <c r="T330" t="str" cm="1">
        <f t="array" ref="T330">_xlfn.IFS(S330=1,"Entry Level",S330=2,"Junior",S330=3,"Mid-Level",S330=4,"Senior",S330=5,"Executive")</f>
        <v>Junior</v>
      </c>
      <c r="U330" t="s">
        <v>37</v>
      </c>
      <c r="V330">
        <v>4</v>
      </c>
      <c r="W330" t="str" cm="1">
        <f t="array" ref="W330">_xlfn.IFS(V330=1,"Low",V330=2,"Medium",V330=3,"High",V330=4,"Very High")</f>
        <v>Very High</v>
      </c>
      <c r="X330" t="s">
        <v>38</v>
      </c>
      <c r="Y330" s="2">
        <v>4682</v>
      </c>
      <c r="Z330" s="2">
        <v>4317</v>
      </c>
      <c r="AA330">
        <v>3</v>
      </c>
      <c r="AB330" t="s">
        <v>39</v>
      </c>
      <c r="AC330">
        <v>14</v>
      </c>
      <c r="AD330">
        <v>3</v>
      </c>
      <c r="AE330" t="str" cm="1">
        <f t="array" ref="AE330">_xlfn.IFS(AD330=1,"Low",AD330=2,"Good",AD330=3,"Excellent",AD330=4,"Outstanding")</f>
        <v>Excellent</v>
      </c>
      <c r="AF330">
        <v>3</v>
      </c>
      <c r="AG330" t="str" cm="1">
        <f t="array" ref="AG330">_xlfn.IFS(AF330=1,"Low",AF330=2,"Medium",AF330=3,"High",AF330=4,"Very High")</f>
        <v>High</v>
      </c>
      <c r="AH330">
        <v>0</v>
      </c>
      <c r="AI330">
        <v>9</v>
      </c>
      <c r="AJ330">
        <v>6</v>
      </c>
      <c r="AK330">
        <v>2</v>
      </c>
      <c r="AL330" t="str" cm="1">
        <f t="array" ref="AL330">_xlfn.IFS(AK330=1,"Low",AK330=2,"Medium",AK330=3,"High",AK330=4,"Very High")</f>
        <v>Medium</v>
      </c>
      <c r="AM330">
        <v>7</v>
      </c>
      <c r="AN330">
        <v>7</v>
      </c>
      <c r="AO330">
        <v>0</v>
      </c>
      <c r="AP330">
        <v>1</v>
      </c>
    </row>
    <row r="331" spans="1:42">
      <c r="A331">
        <v>47</v>
      </c>
      <c r="B331" t="str" cm="1">
        <f t="array" ref="B331">_xlfn.IFS(A331&lt;=25,"18-25",A331&lt;=35,"26-35",A331&lt;=45,"36-45",A331&lt;=55,"46-55",A331&gt;55,"56+")</f>
        <v>46-55</v>
      </c>
      <c r="C331" t="s">
        <v>39</v>
      </c>
      <c r="D331" t="s">
        <v>33</v>
      </c>
      <c r="E331" s="2">
        <v>1482</v>
      </c>
      <c r="F331" t="s">
        <v>41</v>
      </c>
      <c r="G331">
        <v>5</v>
      </c>
      <c r="H331" t="str">
        <f t="shared" si="5"/>
        <v>1-10 km</v>
      </c>
      <c r="I331">
        <v>5</v>
      </c>
      <c r="J331" t="str" cm="1">
        <f t="array" ref="J331">_xlfn.IFS(I331=1,"Below College",I331=2,"College",I331=3,"Bachelor",I331=4,"Master",I331=5,"Doctor")</f>
        <v>Doctor</v>
      </c>
      <c r="K331" t="s">
        <v>35</v>
      </c>
      <c r="L331">
        <v>447</v>
      </c>
      <c r="M331">
        <v>4</v>
      </c>
      <c r="N331" t="str" cm="1">
        <f t="array" ref="N331">_xlfn.IFS(M331=1,"Low",M331=2,"Medium",M331=3,"High",M331=4,"Very High")</f>
        <v>Very High</v>
      </c>
      <c r="O331" t="s">
        <v>42</v>
      </c>
      <c r="P331" s="2">
        <v>42</v>
      </c>
      <c r="Q331">
        <v>3</v>
      </c>
      <c r="R331" t="str" cm="1">
        <f t="array" ref="R331">_xlfn.IFS(Q331=1,"Low",Q331=2,"Medium",Q331=3,"High",Q331=4,"Very High")</f>
        <v>High</v>
      </c>
      <c r="S331">
        <v>5</v>
      </c>
      <c r="T331" t="str" cm="1">
        <f t="array" ref="T331">_xlfn.IFS(S331=1,"Entry Level",S331=2,"Junior",S331=3,"Mid-Level",S331=4,"Senior",S331=5,"Executive")</f>
        <v>Executive</v>
      </c>
      <c r="U331" t="s">
        <v>54</v>
      </c>
      <c r="V331">
        <v>3</v>
      </c>
      <c r="W331" t="str" cm="1">
        <f t="array" ref="W331">_xlfn.IFS(V331=1,"Low",V331=2,"Medium",V331=3,"High",V331=4,"Very High")</f>
        <v>High</v>
      </c>
      <c r="X331" t="s">
        <v>44</v>
      </c>
      <c r="Y331" s="2">
        <v>18300</v>
      </c>
      <c r="Z331" s="2">
        <v>16375</v>
      </c>
      <c r="AA331">
        <v>4</v>
      </c>
      <c r="AB331" t="s">
        <v>39</v>
      </c>
      <c r="AC331">
        <v>11</v>
      </c>
      <c r="AD331">
        <v>3</v>
      </c>
      <c r="AE331" t="str" cm="1">
        <f t="array" ref="AE331">_xlfn.IFS(AD331=1,"Low",AD331=2,"Good",AD331=3,"Excellent",AD331=4,"Outstanding")</f>
        <v>Excellent</v>
      </c>
      <c r="AF331">
        <v>2</v>
      </c>
      <c r="AG331" t="str" cm="1">
        <f t="array" ref="AG331">_xlfn.IFS(AF331=1,"Low",AF331=2,"Medium",AF331=3,"High",AF331=4,"Very High")</f>
        <v>Medium</v>
      </c>
      <c r="AH331">
        <v>1</v>
      </c>
      <c r="AI331">
        <v>21</v>
      </c>
      <c r="AJ331">
        <v>2</v>
      </c>
      <c r="AK331">
        <v>3</v>
      </c>
      <c r="AL331" t="str" cm="1">
        <f t="array" ref="AL331">_xlfn.IFS(AK331=1,"Low",AK331=2,"Medium",AK331=3,"High",AK331=4,"Very High")</f>
        <v>High</v>
      </c>
      <c r="AM331">
        <v>3</v>
      </c>
      <c r="AN331">
        <v>2</v>
      </c>
      <c r="AO331">
        <v>1</v>
      </c>
      <c r="AP331">
        <v>1</v>
      </c>
    </row>
    <row r="332" spans="1:42">
      <c r="A332">
        <v>43</v>
      </c>
      <c r="B332" t="str" cm="1">
        <f t="array" ref="B332">_xlfn.IFS(A332&lt;=25,"18-25",A332&lt;=35,"26-35",A332&lt;=45,"36-45",A332&lt;=55,"46-55",A332&gt;55,"56+")</f>
        <v>36-45</v>
      </c>
      <c r="C332" t="s">
        <v>39</v>
      </c>
      <c r="D332" t="s">
        <v>40</v>
      </c>
      <c r="E332" s="2">
        <v>559</v>
      </c>
      <c r="F332" t="s">
        <v>41</v>
      </c>
      <c r="G332">
        <v>10</v>
      </c>
      <c r="H332" t="str">
        <f t="shared" si="5"/>
        <v>1-10 km</v>
      </c>
      <c r="I332">
        <v>4</v>
      </c>
      <c r="J332" t="str" cm="1">
        <f t="array" ref="J332">_xlfn.IFS(I332=1,"Below College",I332=2,"College",I332=3,"Bachelor",I332=4,"Master",I332=5,"Doctor")</f>
        <v>Master</v>
      </c>
      <c r="K332" t="s">
        <v>35</v>
      </c>
      <c r="L332">
        <v>448</v>
      </c>
      <c r="M332">
        <v>3</v>
      </c>
      <c r="N332" t="str" cm="1">
        <f t="array" ref="N332">_xlfn.IFS(M332=1,"Low",M332=2,"Medium",M332=3,"High",M332=4,"Very High")</f>
        <v>High</v>
      </c>
      <c r="O332" t="s">
        <v>36</v>
      </c>
      <c r="P332" s="2">
        <v>82</v>
      </c>
      <c r="Q332">
        <v>2</v>
      </c>
      <c r="R332" t="str" cm="1">
        <f t="array" ref="R332">_xlfn.IFS(Q332=1,"Low",Q332=2,"Medium",Q332=3,"High",Q332=4,"Very High")</f>
        <v>Medium</v>
      </c>
      <c r="S332">
        <v>2</v>
      </c>
      <c r="T332" t="str" cm="1">
        <f t="array" ref="T332">_xlfn.IFS(S332=1,"Entry Level",S332=2,"Junior",S332=3,"Mid-Level",S332=4,"Senior",S332=5,"Executive")</f>
        <v>Junior</v>
      </c>
      <c r="U332" t="s">
        <v>46</v>
      </c>
      <c r="V332">
        <v>3</v>
      </c>
      <c r="W332" t="str" cm="1">
        <f t="array" ref="W332">_xlfn.IFS(V332=1,"Low",V332=2,"Medium",V332=3,"High",V332=4,"Very High")</f>
        <v>High</v>
      </c>
      <c r="X332" t="s">
        <v>48</v>
      </c>
      <c r="Y332" s="2">
        <v>5257</v>
      </c>
      <c r="Z332" s="2">
        <v>6227</v>
      </c>
      <c r="AA332">
        <v>1</v>
      </c>
      <c r="AB332" t="s">
        <v>39</v>
      </c>
      <c r="AC332">
        <v>11</v>
      </c>
      <c r="AD332">
        <v>3</v>
      </c>
      <c r="AE332" t="str" cm="1">
        <f t="array" ref="AE332">_xlfn.IFS(AD332=1,"Low",AD332=2,"Good",AD332=3,"Excellent",AD332=4,"Outstanding")</f>
        <v>Excellent</v>
      </c>
      <c r="AF332">
        <v>2</v>
      </c>
      <c r="AG332" t="str" cm="1">
        <f t="array" ref="AG332">_xlfn.IFS(AF332=1,"Low",AF332=2,"Medium",AF332=3,"High",AF332=4,"Very High")</f>
        <v>Medium</v>
      </c>
      <c r="AH332">
        <v>1</v>
      </c>
      <c r="AI332">
        <v>9</v>
      </c>
      <c r="AJ332">
        <v>3</v>
      </c>
      <c r="AK332">
        <v>4</v>
      </c>
      <c r="AL332" t="str" cm="1">
        <f t="array" ref="AL332">_xlfn.IFS(AK332=1,"Low",AK332=2,"Medium",AK332=3,"High",AK332=4,"Very High")</f>
        <v>Very High</v>
      </c>
      <c r="AM332">
        <v>9</v>
      </c>
      <c r="AN332">
        <v>7</v>
      </c>
      <c r="AO332">
        <v>0</v>
      </c>
      <c r="AP332">
        <v>0</v>
      </c>
    </row>
    <row r="333" spans="1:42">
      <c r="A333">
        <v>27</v>
      </c>
      <c r="B333" t="str" cm="1">
        <f t="array" ref="B333">_xlfn.IFS(A333&lt;=25,"18-25",A333&lt;=35,"26-35",A333&lt;=45,"36-45",A333&lt;=55,"46-55",A333&gt;55,"56+")</f>
        <v>26-35</v>
      </c>
      <c r="C333" t="s">
        <v>39</v>
      </c>
      <c r="D333" t="s">
        <v>51</v>
      </c>
      <c r="E333" s="2">
        <v>210</v>
      </c>
      <c r="F333" t="s">
        <v>34</v>
      </c>
      <c r="G333">
        <v>1</v>
      </c>
      <c r="H333" t="str">
        <f t="shared" si="5"/>
        <v>1-10 km</v>
      </c>
      <c r="I333">
        <v>1</v>
      </c>
      <c r="J333" t="str" cm="1">
        <f t="array" ref="J333">_xlfn.IFS(I333=1,"Below College",I333=2,"College",I333=3,"Bachelor",I333=4,"Master",I333=5,"Doctor")</f>
        <v>Below College</v>
      </c>
      <c r="K333" t="s">
        <v>55</v>
      </c>
      <c r="L333">
        <v>449</v>
      </c>
      <c r="M333">
        <v>3</v>
      </c>
      <c r="N333" t="str" cm="1">
        <f t="array" ref="N333">_xlfn.IFS(M333=1,"Low",M333=2,"Medium",M333=3,"High",M333=4,"Very High")</f>
        <v>High</v>
      </c>
      <c r="O333" t="s">
        <v>42</v>
      </c>
      <c r="P333" s="2">
        <v>73</v>
      </c>
      <c r="Q333">
        <v>3</v>
      </c>
      <c r="R333" t="str" cm="1">
        <f t="array" ref="R333">_xlfn.IFS(Q333=1,"Low",Q333=2,"Medium",Q333=3,"High",Q333=4,"Very High")</f>
        <v>High</v>
      </c>
      <c r="S333">
        <v>2</v>
      </c>
      <c r="T333" t="str" cm="1">
        <f t="array" ref="T333">_xlfn.IFS(S333=1,"Entry Level",S333=2,"Junior",S333=3,"Mid-Level",S333=4,"Senior",S333=5,"Executive")</f>
        <v>Junior</v>
      </c>
      <c r="U333" t="s">
        <v>37</v>
      </c>
      <c r="V333">
        <v>2</v>
      </c>
      <c r="W333" t="str" cm="1">
        <f t="array" ref="W333">_xlfn.IFS(V333=1,"Low",V333=2,"Medium",V333=3,"High",V333=4,"Very High")</f>
        <v>Medium</v>
      </c>
      <c r="X333" t="s">
        <v>44</v>
      </c>
      <c r="Y333" s="2">
        <v>6349</v>
      </c>
      <c r="Z333" s="2">
        <v>22107</v>
      </c>
      <c r="AA333">
        <v>0</v>
      </c>
      <c r="AB333" t="s">
        <v>32</v>
      </c>
      <c r="AC333">
        <v>13</v>
      </c>
      <c r="AD333">
        <v>3</v>
      </c>
      <c r="AE333" t="str" cm="1">
        <f t="array" ref="AE333">_xlfn.IFS(AD333=1,"Low",AD333=2,"Good",AD333=3,"Excellent",AD333=4,"Outstanding")</f>
        <v>Excellent</v>
      </c>
      <c r="AF333">
        <v>4</v>
      </c>
      <c r="AG333" t="str" cm="1">
        <f t="array" ref="AG333">_xlfn.IFS(AF333=1,"Low",AF333=2,"Medium",AF333=3,"High",AF333=4,"Very High")</f>
        <v>Very High</v>
      </c>
      <c r="AH333">
        <v>1</v>
      </c>
      <c r="AI333">
        <v>6</v>
      </c>
      <c r="AJ333">
        <v>0</v>
      </c>
      <c r="AK333">
        <v>3</v>
      </c>
      <c r="AL333" t="str" cm="1">
        <f t="array" ref="AL333">_xlfn.IFS(AK333=1,"Low",AK333=2,"Medium",AK333=3,"High",AK333=4,"Very High")</f>
        <v>High</v>
      </c>
      <c r="AM333">
        <v>5</v>
      </c>
      <c r="AN333">
        <v>4</v>
      </c>
      <c r="AO333">
        <v>1</v>
      </c>
      <c r="AP333">
        <v>4</v>
      </c>
    </row>
    <row r="334" spans="1:42">
      <c r="A334">
        <v>54</v>
      </c>
      <c r="B334" t="str" cm="1">
        <f t="array" ref="B334">_xlfn.IFS(A334&lt;=25,"18-25",A334&lt;=35,"26-35",A334&lt;=45,"36-45",A334&lt;=55,"46-55",A334&gt;55,"56+")</f>
        <v>46-55</v>
      </c>
      <c r="C334" t="s">
        <v>39</v>
      </c>
      <c r="D334" t="s">
        <v>40</v>
      </c>
      <c r="E334" s="2">
        <v>928</v>
      </c>
      <c r="F334" t="s">
        <v>41</v>
      </c>
      <c r="G334">
        <v>20</v>
      </c>
      <c r="H334" t="str">
        <f t="shared" si="5"/>
        <v>11-20 km</v>
      </c>
      <c r="I334">
        <v>4</v>
      </c>
      <c r="J334" t="str" cm="1">
        <f t="array" ref="J334">_xlfn.IFS(I334=1,"Below College",I334=2,"College",I334=3,"Bachelor",I334=4,"Master",I334=5,"Doctor")</f>
        <v>Master</v>
      </c>
      <c r="K334" t="s">
        <v>35</v>
      </c>
      <c r="L334">
        <v>450</v>
      </c>
      <c r="M334">
        <v>4</v>
      </c>
      <c r="N334" t="str" cm="1">
        <f t="array" ref="N334">_xlfn.IFS(M334=1,"Low",M334=2,"Medium",M334=3,"High",M334=4,"Very High")</f>
        <v>Very High</v>
      </c>
      <c r="O334" t="s">
        <v>36</v>
      </c>
      <c r="P334" s="2">
        <v>31</v>
      </c>
      <c r="Q334">
        <v>3</v>
      </c>
      <c r="R334" t="str" cm="1">
        <f t="array" ref="R334">_xlfn.IFS(Q334=1,"Low",Q334=2,"Medium",Q334=3,"High",Q334=4,"Very High")</f>
        <v>High</v>
      </c>
      <c r="S334">
        <v>2</v>
      </c>
      <c r="T334" t="str" cm="1">
        <f t="array" ref="T334">_xlfn.IFS(S334=1,"Entry Level",S334=2,"Junior",S334=3,"Mid-Level",S334=4,"Senior",S334=5,"Executive")</f>
        <v>Junior</v>
      </c>
      <c r="U334" t="s">
        <v>43</v>
      </c>
      <c r="V334">
        <v>3</v>
      </c>
      <c r="W334" t="str" cm="1">
        <f t="array" ref="W334">_xlfn.IFS(V334=1,"Low",V334=2,"Medium",V334=3,"High",V334=4,"Very High")</f>
        <v>High</v>
      </c>
      <c r="X334" t="s">
        <v>38</v>
      </c>
      <c r="Y334" s="2">
        <v>4869</v>
      </c>
      <c r="Z334" s="2">
        <v>16885</v>
      </c>
      <c r="AA334">
        <v>3</v>
      </c>
      <c r="AB334" t="s">
        <v>39</v>
      </c>
      <c r="AC334">
        <v>12</v>
      </c>
      <c r="AD334">
        <v>3</v>
      </c>
      <c r="AE334" t="str" cm="1">
        <f t="array" ref="AE334">_xlfn.IFS(AD334=1,"Low",AD334=2,"Good",AD334=3,"Excellent",AD334=4,"Outstanding")</f>
        <v>Excellent</v>
      </c>
      <c r="AF334">
        <v>4</v>
      </c>
      <c r="AG334" t="str" cm="1">
        <f t="array" ref="AG334">_xlfn.IFS(AF334=1,"Low",AF334=2,"Medium",AF334=3,"High",AF334=4,"Very High")</f>
        <v>Very High</v>
      </c>
      <c r="AH334">
        <v>0</v>
      </c>
      <c r="AI334">
        <v>20</v>
      </c>
      <c r="AJ334">
        <v>4</v>
      </c>
      <c r="AK334">
        <v>2</v>
      </c>
      <c r="AL334" t="str" cm="1">
        <f t="array" ref="AL334">_xlfn.IFS(AK334=1,"Low",AK334=2,"Medium",AK334=3,"High",AK334=4,"Very High")</f>
        <v>Medium</v>
      </c>
      <c r="AM334">
        <v>4</v>
      </c>
      <c r="AN334">
        <v>3</v>
      </c>
      <c r="AO334">
        <v>0</v>
      </c>
      <c r="AP334">
        <v>3</v>
      </c>
    </row>
    <row r="335" spans="1:42">
      <c r="A335">
        <v>43</v>
      </c>
      <c r="B335" t="str" cm="1">
        <f t="array" ref="B335">_xlfn.IFS(A335&lt;=25,"18-25",A335&lt;=35,"26-35",A335&lt;=45,"36-45",A335&lt;=55,"46-55",A335&gt;55,"56+")</f>
        <v>36-45</v>
      </c>
      <c r="C335" t="s">
        <v>39</v>
      </c>
      <c r="D335" t="s">
        <v>33</v>
      </c>
      <c r="E335" s="2">
        <v>1001</v>
      </c>
      <c r="F335" t="s">
        <v>41</v>
      </c>
      <c r="G335">
        <v>7</v>
      </c>
      <c r="H335" t="str">
        <f t="shared" si="5"/>
        <v>1-10 km</v>
      </c>
      <c r="I335">
        <v>3</v>
      </c>
      <c r="J335" t="str" cm="1">
        <f t="array" ref="J335">_xlfn.IFS(I335=1,"Below College",I335=2,"College",I335=3,"Bachelor",I335=4,"Master",I335=5,"Doctor")</f>
        <v>Bachelor</v>
      </c>
      <c r="K335" t="s">
        <v>35</v>
      </c>
      <c r="L335">
        <v>451</v>
      </c>
      <c r="M335">
        <v>3</v>
      </c>
      <c r="N335" t="str" cm="1">
        <f t="array" ref="N335">_xlfn.IFS(M335=1,"Low",M335=2,"Medium",M335=3,"High",M335=4,"Very High")</f>
        <v>High</v>
      </c>
      <c r="O335" t="s">
        <v>36</v>
      </c>
      <c r="P335" s="2">
        <v>43</v>
      </c>
      <c r="Q335">
        <v>3</v>
      </c>
      <c r="R335" t="str" cm="1">
        <f t="array" ref="R335">_xlfn.IFS(Q335=1,"Low",Q335=2,"Medium",Q335=3,"High",Q335=4,"Very High")</f>
        <v>High</v>
      </c>
      <c r="S335">
        <v>3</v>
      </c>
      <c r="T335" t="str" cm="1">
        <f t="array" ref="T335">_xlfn.IFS(S335=1,"Entry Level",S335=2,"Junior",S335=3,"Mid-Level",S335=4,"Senior",S335=5,"Executive")</f>
        <v>Mid-Level</v>
      </c>
      <c r="U335" t="s">
        <v>50</v>
      </c>
      <c r="V335">
        <v>1</v>
      </c>
      <c r="W335" t="str" cm="1">
        <f t="array" ref="W335">_xlfn.IFS(V335=1,"Low",V335=2,"Medium",V335=3,"High",V335=4,"Very High")</f>
        <v>Low</v>
      </c>
      <c r="X335" t="s">
        <v>44</v>
      </c>
      <c r="Y335" s="2">
        <v>9985</v>
      </c>
      <c r="Z335" s="2">
        <v>9262</v>
      </c>
      <c r="AA335">
        <v>8</v>
      </c>
      <c r="AB335" t="s">
        <v>39</v>
      </c>
      <c r="AC335">
        <v>16</v>
      </c>
      <c r="AD335">
        <v>3</v>
      </c>
      <c r="AE335" t="str" cm="1">
        <f t="array" ref="AE335">_xlfn.IFS(AD335=1,"Low",AD335=2,"Good",AD335=3,"Excellent",AD335=4,"Outstanding")</f>
        <v>Excellent</v>
      </c>
      <c r="AF335">
        <v>1</v>
      </c>
      <c r="AG335" t="str" cm="1">
        <f t="array" ref="AG335">_xlfn.IFS(AF335=1,"Low",AF335=2,"Medium",AF335=3,"High",AF335=4,"Very High")</f>
        <v>Low</v>
      </c>
      <c r="AH335">
        <v>1</v>
      </c>
      <c r="AI335">
        <v>10</v>
      </c>
      <c r="AJ335">
        <v>1</v>
      </c>
      <c r="AK335">
        <v>2</v>
      </c>
      <c r="AL335" t="str" cm="1">
        <f t="array" ref="AL335">_xlfn.IFS(AK335=1,"Low",AK335=2,"Medium",AK335=3,"High",AK335=4,"Very High")</f>
        <v>Medium</v>
      </c>
      <c r="AM335">
        <v>1</v>
      </c>
      <c r="AN335">
        <v>0</v>
      </c>
      <c r="AO335">
        <v>0</v>
      </c>
      <c r="AP335">
        <v>0</v>
      </c>
    </row>
    <row r="336" spans="1:42">
      <c r="A336">
        <v>45</v>
      </c>
      <c r="B336" t="str" cm="1">
        <f t="array" ref="B336">_xlfn.IFS(A336&lt;=25,"18-25",A336&lt;=35,"26-35",A336&lt;=45,"36-45",A336&lt;=55,"46-55",A336&gt;55,"56+")</f>
        <v>36-45</v>
      </c>
      <c r="C336" t="s">
        <v>39</v>
      </c>
      <c r="D336" t="s">
        <v>33</v>
      </c>
      <c r="E336" s="2">
        <v>549</v>
      </c>
      <c r="F336" t="s">
        <v>41</v>
      </c>
      <c r="G336">
        <v>8</v>
      </c>
      <c r="H336" t="str">
        <f t="shared" si="5"/>
        <v>1-10 km</v>
      </c>
      <c r="I336">
        <v>4</v>
      </c>
      <c r="J336" t="str" cm="1">
        <f t="array" ref="J336">_xlfn.IFS(I336=1,"Below College",I336=2,"College",I336=3,"Bachelor",I336=4,"Master",I336=5,"Doctor")</f>
        <v>Master</v>
      </c>
      <c r="K336" t="s">
        <v>45</v>
      </c>
      <c r="L336">
        <v>452</v>
      </c>
      <c r="M336">
        <v>4</v>
      </c>
      <c r="N336" t="str" cm="1">
        <f t="array" ref="N336">_xlfn.IFS(M336=1,"Low",M336=2,"Medium",M336=3,"High",M336=4,"Very High")</f>
        <v>Very High</v>
      </c>
      <c r="O336" t="s">
        <v>42</v>
      </c>
      <c r="P336" s="2">
        <v>75</v>
      </c>
      <c r="Q336">
        <v>3</v>
      </c>
      <c r="R336" t="str" cm="1">
        <f t="array" ref="R336">_xlfn.IFS(Q336=1,"Low",Q336=2,"Medium",Q336=3,"High",Q336=4,"Very High")</f>
        <v>High</v>
      </c>
      <c r="S336">
        <v>2</v>
      </c>
      <c r="T336" t="str" cm="1">
        <f t="array" ref="T336">_xlfn.IFS(S336=1,"Entry Level",S336=2,"Junior",S336=3,"Mid-Level",S336=4,"Senior",S336=5,"Executive")</f>
        <v>Junior</v>
      </c>
      <c r="U336" t="s">
        <v>43</v>
      </c>
      <c r="V336">
        <v>4</v>
      </c>
      <c r="W336" t="str" cm="1">
        <f t="array" ref="W336">_xlfn.IFS(V336=1,"Low",V336=2,"Medium",V336=3,"High",V336=4,"Very High")</f>
        <v>Very High</v>
      </c>
      <c r="X336" t="s">
        <v>44</v>
      </c>
      <c r="Y336" s="2">
        <v>3697</v>
      </c>
      <c r="Z336" s="2">
        <v>9278</v>
      </c>
      <c r="AA336">
        <v>9</v>
      </c>
      <c r="AB336" t="s">
        <v>39</v>
      </c>
      <c r="AC336">
        <v>14</v>
      </c>
      <c r="AD336">
        <v>3</v>
      </c>
      <c r="AE336" t="str" cm="1">
        <f t="array" ref="AE336">_xlfn.IFS(AD336=1,"Low",AD336=2,"Good",AD336=3,"Excellent",AD336=4,"Outstanding")</f>
        <v>Excellent</v>
      </c>
      <c r="AF336">
        <v>1</v>
      </c>
      <c r="AG336" t="str" cm="1">
        <f t="array" ref="AG336">_xlfn.IFS(AF336=1,"Low",AF336=2,"Medium",AF336=3,"High",AF336=4,"Very High")</f>
        <v>Low</v>
      </c>
      <c r="AH336">
        <v>2</v>
      </c>
      <c r="AI336">
        <v>12</v>
      </c>
      <c r="AJ336">
        <v>3</v>
      </c>
      <c r="AK336">
        <v>3</v>
      </c>
      <c r="AL336" t="str" cm="1">
        <f t="array" ref="AL336">_xlfn.IFS(AK336=1,"Low",AK336=2,"Medium",AK336=3,"High",AK336=4,"Very High")</f>
        <v>High</v>
      </c>
      <c r="AM336">
        <v>10</v>
      </c>
      <c r="AN336">
        <v>9</v>
      </c>
      <c r="AO336">
        <v>9</v>
      </c>
      <c r="AP336">
        <v>8</v>
      </c>
    </row>
    <row r="337" spans="1:42">
      <c r="A337">
        <v>40</v>
      </c>
      <c r="B337" t="str" cm="1">
        <f t="array" ref="B337">_xlfn.IFS(A337&lt;=25,"18-25",A337&lt;=35,"26-35",A337&lt;=45,"36-45",A337&lt;=55,"46-55",A337&gt;55,"56+")</f>
        <v>36-45</v>
      </c>
      <c r="C337" t="s">
        <v>39</v>
      </c>
      <c r="D337" t="s">
        <v>33</v>
      </c>
      <c r="E337" s="2">
        <v>1124</v>
      </c>
      <c r="F337" t="s">
        <v>34</v>
      </c>
      <c r="G337">
        <v>1</v>
      </c>
      <c r="H337" t="str">
        <f t="shared" si="5"/>
        <v>1-10 km</v>
      </c>
      <c r="I337">
        <v>2</v>
      </c>
      <c r="J337" t="str" cm="1">
        <f t="array" ref="J337">_xlfn.IFS(I337=1,"Below College",I337=2,"College",I337=3,"Bachelor",I337=4,"Master",I337=5,"Doctor")</f>
        <v>College</v>
      </c>
      <c r="K337" t="s">
        <v>47</v>
      </c>
      <c r="L337">
        <v>453</v>
      </c>
      <c r="M337">
        <v>2</v>
      </c>
      <c r="N337" t="str" cm="1">
        <f t="array" ref="N337">_xlfn.IFS(M337=1,"Low",M337=2,"Medium",M337=3,"High",M337=4,"Very High")</f>
        <v>Medium</v>
      </c>
      <c r="O337" t="s">
        <v>42</v>
      </c>
      <c r="P337" s="2">
        <v>57</v>
      </c>
      <c r="Q337">
        <v>1</v>
      </c>
      <c r="R337" t="str" cm="1">
        <f t="array" ref="R337">_xlfn.IFS(Q337=1,"Low",Q337=2,"Medium",Q337=3,"High",Q337=4,"Very High")</f>
        <v>Low</v>
      </c>
      <c r="S337">
        <v>2</v>
      </c>
      <c r="T337" t="str" cm="1">
        <f t="array" ref="T337">_xlfn.IFS(S337=1,"Entry Level",S337=2,"Junior",S337=3,"Mid-Level",S337=4,"Senior",S337=5,"Executive")</f>
        <v>Junior</v>
      </c>
      <c r="U337" t="s">
        <v>37</v>
      </c>
      <c r="V337">
        <v>4</v>
      </c>
      <c r="W337" t="str" cm="1">
        <f t="array" ref="W337">_xlfn.IFS(V337=1,"Low",V337=2,"Medium",V337=3,"High",V337=4,"Very High")</f>
        <v>Very High</v>
      </c>
      <c r="X337" t="s">
        <v>44</v>
      </c>
      <c r="Y337" s="2">
        <v>7457</v>
      </c>
      <c r="Z337" s="2">
        <v>13273</v>
      </c>
      <c r="AA337">
        <v>2</v>
      </c>
      <c r="AB337" t="s">
        <v>32</v>
      </c>
      <c r="AC337">
        <v>22</v>
      </c>
      <c r="AD337">
        <v>4</v>
      </c>
      <c r="AE337" t="str" cm="1">
        <f t="array" ref="AE337">_xlfn.IFS(AD337=1,"Low",AD337=2,"Good",AD337=3,"Excellent",AD337=4,"Outstanding")</f>
        <v>Outstanding</v>
      </c>
      <c r="AF337">
        <v>3</v>
      </c>
      <c r="AG337" t="str" cm="1">
        <f t="array" ref="AG337">_xlfn.IFS(AF337=1,"Low",AF337=2,"Medium",AF337=3,"High",AF337=4,"Very High")</f>
        <v>High</v>
      </c>
      <c r="AH337">
        <v>3</v>
      </c>
      <c r="AI337">
        <v>6</v>
      </c>
      <c r="AJ337">
        <v>2</v>
      </c>
      <c r="AK337">
        <v>2</v>
      </c>
      <c r="AL337" t="str" cm="1">
        <f t="array" ref="AL337">_xlfn.IFS(AK337=1,"Low",AK337=2,"Medium",AK337=3,"High",AK337=4,"Very High")</f>
        <v>Medium</v>
      </c>
      <c r="AM337">
        <v>4</v>
      </c>
      <c r="AN337">
        <v>3</v>
      </c>
      <c r="AO337">
        <v>0</v>
      </c>
      <c r="AP337">
        <v>2</v>
      </c>
    </row>
    <row r="338" spans="1:42">
      <c r="A338">
        <v>29</v>
      </c>
      <c r="B338" t="str" cm="1">
        <f t="array" ref="B338">_xlfn.IFS(A338&lt;=25,"18-25",A338&lt;=35,"26-35",A338&lt;=45,"36-45",A338&lt;=55,"46-55",A338&gt;55,"56+")</f>
        <v>26-35</v>
      </c>
      <c r="C338" t="s">
        <v>32</v>
      </c>
      <c r="D338" t="s">
        <v>33</v>
      </c>
      <c r="E338" s="2">
        <v>318</v>
      </c>
      <c r="F338" t="s">
        <v>41</v>
      </c>
      <c r="G338">
        <v>8</v>
      </c>
      <c r="H338" t="str">
        <f t="shared" si="5"/>
        <v>1-10 km</v>
      </c>
      <c r="I338">
        <v>4</v>
      </c>
      <c r="J338" t="str" cm="1">
        <f t="array" ref="J338">_xlfn.IFS(I338=1,"Below College",I338=2,"College",I338=3,"Bachelor",I338=4,"Master",I338=5,"Doctor")</f>
        <v>Master</v>
      </c>
      <c r="K338" t="s">
        <v>45</v>
      </c>
      <c r="L338">
        <v>454</v>
      </c>
      <c r="M338">
        <v>2</v>
      </c>
      <c r="N338" t="str" cm="1">
        <f t="array" ref="N338">_xlfn.IFS(M338=1,"Low",M338=2,"Medium",M338=3,"High",M338=4,"Very High")</f>
        <v>Medium</v>
      </c>
      <c r="O338" t="s">
        <v>42</v>
      </c>
      <c r="P338" s="2">
        <v>77</v>
      </c>
      <c r="Q338">
        <v>1</v>
      </c>
      <c r="R338" t="str" cm="1">
        <f t="array" ref="R338">_xlfn.IFS(Q338=1,"Low",Q338=2,"Medium",Q338=3,"High",Q338=4,"Very High")</f>
        <v>Low</v>
      </c>
      <c r="S338">
        <v>1</v>
      </c>
      <c r="T338" t="str" cm="1">
        <f t="array" ref="T338">_xlfn.IFS(S338=1,"Entry Level",S338=2,"Junior",S338=3,"Mid-Level",S338=4,"Senior",S338=5,"Executive")</f>
        <v>Entry Level</v>
      </c>
      <c r="U338" t="s">
        <v>46</v>
      </c>
      <c r="V338">
        <v>1</v>
      </c>
      <c r="W338" t="str" cm="1">
        <f t="array" ref="W338">_xlfn.IFS(V338=1,"Low",V338=2,"Medium",V338=3,"High",V338=4,"Very High")</f>
        <v>Low</v>
      </c>
      <c r="X338" t="s">
        <v>44</v>
      </c>
      <c r="Y338" s="2">
        <v>2119</v>
      </c>
      <c r="Z338" s="2">
        <v>4759</v>
      </c>
      <c r="AA338">
        <v>1</v>
      </c>
      <c r="AB338" t="s">
        <v>32</v>
      </c>
      <c r="AC338">
        <v>11</v>
      </c>
      <c r="AD338">
        <v>3</v>
      </c>
      <c r="AE338" t="str" cm="1">
        <f t="array" ref="AE338">_xlfn.IFS(AD338=1,"Low",AD338=2,"Good",AD338=3,"Excellent",AD338=4,"Outstanding")</f>
        <v>Excellent</v>
      </c>
      <c r="AF338">
        <v>4</v>
      </c>
      <c r="AG338" t="str" cm="1">
        <f t="array" ref="AG338">_xlfn.IFS(AF338=1,"Low",AF338=2,"Medium",AF338=3,"High",AF338=4,"Very High")</f>
        <v>Very High</v>
      </c>
      <c r="AH338">
        <v>0</v>
      </c>
      <c r="AI338">
        <v>7</v>
      </c>
      <c r="AJ338">
        <v>4</v>
      </c>
      <c r="AK338">
        <v>2</v>
      </c>
      <c r="AL338" t="str" cm="1">
        <f t="array" ref="AL338">_xlfn.IFS(AK338=1,"Low",AK338=2,"Medium",AK338=3,"High",AK338=4,"Very High")</f>
        <v>Medium</v>
      </c>
      <c r="AM338">
        <v>7</v>
      </c>
      <c r="AN338">
        <v>7</v>
      </c>
      <c r="AO338">
        <v>0</v>
      </c>
      <c r="AP338">
        <v>7</v>
      </c>
    </row>
    <row r="339" spans="1:42">
      <c r="A339">
        <v>29</v>
      </c>
      <c r="B339" t="str" cm="1">
        <f t="array" ref="B339">_xlfn.IFS(A339&lt;=25,"18-25",A339&lt;=35,"26-35",A339&lt;=45,"36-45",A339&lt;=55,"46-55",A339&gt;55,"56+")</f>
        <v>26-35</v>
      </c>
      <c r="C339" t="s">
        <v>39</v>
      </c>
      <c r="D339" t="s">
        <v>33</v>
      </c>
      <c r="E339" s="2">
        <v>738</v>
      </c>
      <c r="F339" t="s">
        <v>41</v>
      </c>
      <c r="G339">
        <v>9</v>
      </c>
      <c r="H339" t="str">
        <f t="shared" si="5"/>
        <v>1-10 km</v>
      </c>
      <c r="I339">
        <v>5</v>
      </c>
      <c r="J339" t="str" cm="1">
        <f t="array" ref="J339">_xlfn.IFS(I339=1,"Below College",I339=2,"College",I339=3,"Bachelor",I339=4,"Master",I339=5,"Doctor")</f>
        <v>Doctor</v>
      </c>
      <c r="K339" t="s">
        <v>45</v>
      </c>
      <c r="L339">
        <v>455</v>
      </c>
      <c r="M339">
        <v>2</v>
      </c>
      <c r="N339" t="str" cm="1">
        <f t="array" ref="N339">_xlfn.IFS(M339=1,"Low",M339=2,"Medium",M339=3,"High",M339=4,"Very High")</f>
        <v>Medium</v>
      </c>
      <c r="O339" t="s">
        <v>42</v>
      </c>
      <c r="P339" s="2">
        <v>30</v>
      </c>
      <c r="Q339">
        <v>2</v>
      </c>
      <c r="R339" t="str" cm="1">
        <f t="array" ref="R339">_xlfn.IFS(Q339=1,"Low",Q339=2,"Medium",Q339=3,"High",Q339=4,"Very High")</f>
        <v>Medium</v>
      </c>
      <c r="S339">
        <v>1</v>
      </c>
      <c r="T339" t="str" cm="1">
        <f t="array" ref="T339">_xlfn.IFS(S339=1,"Entry Level",S339=2,"Junior",S339=3,"Mid-Level",S339=4,"Senior",S339=5,"Executive")</f>
        <v>Entry Level</v>
      </c>
      <c r="U339" t="s">
        <v>46</v>
      </c>
      <c r="V339">
        <v>4</v>
      </c>
      <c r="W339" t="str" cm="1">
        <f t="array" ref="W339">_xlfn.IFS(V339=1,"Low",V339=2,"Medium",V339=3,"High",V339=4,"Very High")</f>
        <v>Very High</v>
      </c>
      <c r="X339" t="s">
        <v>38</v>
      </c>
      <c r="Y339" s="2">
        <v>3983</v>
      </c>
      <c r="Z339" s="2">
        <v>7621</v>
      </c>
      <c r="AA339">
        <v>0</v>
      </c>
      <c r="AB339" t="s">
        <v>39</v>
      </c>
      <c r="AC339">
        <v>17</v>
      </c>
      <c r="AD339">
        <v>3</v>
      </c>
      <c r="AE339" t="str" cm="1">
        <f t="array" ref="AE339">_xlfn.IFS(AD339=1,"Low",AD339=2,"Good",AD339=3,"Excellent",AD339=4,"Outstanding")</f>
        <v>Excellent</v>
      </c>
      <c r="AF339">
        <v>3</v>
      </c>
      <c r="AG339" t="str" cm="1">
        <f t="array" ref="AG339">_xlfn.IFS(AF339=1,"Low",AF339=2,"Medium",AF339=3,"High",AF339=4,"Very High")</f>
        <v>High</v>
      </c>
      <c r="AH339">
        <v>0</v>
      </c>
      <c r="AI339">
        <v>4</v>
      </c>
      <c r="AJ339">
        <v>2</v>
      </c>
      <c r="AK339">
        <v>3</v>
      </c>
      <c r="AL339" t="str" cm="1">
        <f t="array" ref="AL339">_xlfn.IFS(AK339=1,"Low",AK339=2,"Medium",AK339=3,"High",AK339=4,"Very High")</f>
        <v>High</v>
      </c>
      <c r="AM339">
        <v>3</v>
      </c>
      <c r="AN339">
        <v>2</v>
      </c>
      <c r="AO339">
        <v>2</v>
      </c>
      <c r="AP339">
        <v>2</v>
      </c>
    </row>
    <row r="340" spans="1:42">
      <c r="A340">
        <v>30</v>
      </c>
      <c r="B340" t="str" cm="1">
        <f t="array" ref="B340">_xlfn.IFS(A340&lt;=25,"18-25",A340&lt;=35,"26-35",A340&lt;=45,"36-45",A340&lt;=55,"46-55",A340&gt;55,"56+")</f>
        <v>26-35</v>
      </c>
      <c r="C340" t="s">
        <v>39</v>
      </c>
      <c r="D340" t="s">
        <v>33</v>
      </c>
      <c r="E340" s="2">
        <v>570</v>
      </c>
      <c r="F340" t="s">
        <v>34</v>
      </c>
      <c r="G340">
        <v>5</v>
      </c>
      <c r="H340" t="str">
        <f t="shared" si="5"/>
        <v>1-10 km</v>
      </c>
      <c r="I340">
        <v>3</v>
      </c>
      <c r="J340" t="str" cm="1">
        <f t="array" ref="J340">_xlfn.IFS(I340=1,"Below College",I340=2,"College",I340=3,"Bachelor",I340=4,"Master",I340=5,"Doctor")</f>
        <v>Bachelor</v>
      </c>
      <c r="K340" t="s">
        <v>55</v>
      </c>
      <c r="L340">
        <v>456</v>
      </c>
      <c r="M340">
        <v>4</v>
      </c>
      <c r="N340" t="str" cm="1">
        <f t="array" ref="N340">_xlfn.IFS(M340=1,"Low",M340=2,"Medium",M340=3,"High",M340=4,"Very High")</f>
        <v>Very High</v>
      </c>
      <c r="O340" t="s">
        <v>36</v>
      </c>
      <c r="P340" s="2">
        <v>30</v>
      </c>
      <c r="Q340">
        <v>2</v>
      </c>
      <c r="R340" t="str" cm="1">
        <f t="array" ref="R340">_xlfn.IFS(Q340=1,"Low",Q340=2,"Medium",Q340=3,"High",Q340=4,"Very High")</f>
        <v>Medium</v>
      </c>
      <c r="S340">
        <v>2</v>
      </c>
      <c r="T340" t="str" cm="1">
        <f t="array" ref="T340">_xlfn.IFS(S340=1,"Entry Level",S340=2,"Junior",S340=3,"Mid-Level",S340=4,"Senior",S340=5,"Executive")</f>
        <v>Junior</v>
      </c>
      <c r="U340" t="s">
        <v>37</v>
      </c>
      <c r="V340">
        <v>3</v>
      </c>
      <c r="W340" t="str" cm="1">
        <f t="array" ref="W340">_xlfn.IFS(V340=1,"Low",V340=2,"Medium",V340=3,"High",V340=4,"Very High")</f>
        <v>High</v>
      </c>
      <c r="X340" t="s">
        <v>48</v>
      </c>
      <c r="Y340" s="2">
        <v>6118</v>
      </c>
      <c r="Z340" s="2">
        <v>5431</v>
      </c>
      <c r="AA340">
        <v>1</v>
      </c>
      <c r="AB340" t="s">
        <v>39</v>
      </c>
      <c r="AC340">
        <v>13</v>
      </c>
      <c r="AD340">
        <v>3</v>
      </c>
      <c r="AE340" t="str" cm="1">
        <f t="array" ref="AE340">_xlfn.IFS(AD340=1,"Low",AD340=2,"Good",AD340=3,"Excellent",AD340=4,"Outstanding")</f>
        <v>Excellent</v>
      </c>
      <c r="AF340">
        <v>3</v>
      </c>
      <c r="AG340" t="str" cm="1">
        <f t="array" ref="AG340">_xlfn.IFS(AF340=1,"Low",AF340=2,"Medium",AF340=3,"High",AF340=4,"Very High")</f>
        <v>High</v>
      </c>
      <c r="AH340">
        <v>3</v>
      </c>
      <c r="AI340">
        <v>10</v>
      </c>
      <c r="AJ340">
        <v>2</v>
      </c>
      <c r="AK340">
        <v>3</v>
      </c>
      <c r="AL340" t="str" cm="1">
        <f t="array" ref="AL340">_xlfn.IFS(AK340=1,"Low",AK340=2,"Medium",AK340=3,"High",AK340=4,"Very High")</f>
        <v>High</v>
      </c>
      <c r="AM340">
        <v>10</v>
      </c>
      <c r="AN340">
        <v>9</v>
      </c>
      <c r="AO340">
        <v>1</v>
      </c>
      <c r="AP340">
        <v>2</v>
      </c>
    </row>
    <row r="341" spans="1:42">
      <c r="A341">
        <v>27</v>
      </c>
      <c r="B341" t="str" cm="1">
        <f t="array" ref="B341">_xlfn.IFS(A341&lt;=25,"18-25",A341&lt;=35,"26-35",A341&lt;=45,"36-45",A341&lt;=55,"46-55",A341&gt;55,"56+")</f>
        <v>26-35</v>
      </c>
      <c r="C341" t="s">
        <v>39</v>
      </c>
      <c r="D341" t="s">
        <v>33</v>
      </c>
      <c r="E341" s="2">
        <v>1130</v>
      </c>
      <c r="F341" t="s">
        <v>34</v>
      </c>
      <c r="G341">
        <v>8</v>
      </c>
      <c r="H341" t="str">
        <f t="shared" si="5"/>
        <v>1-10 km</v>
      </c>
      <c r="I341">
        <v>4</v>
      </c>
      <c r="J341" t="str" cm="1">
        <f t="array" ref="J341">_xlfn.IFS(I341=1,"Below College",I341=2,"College",I341=3,"Bachelor",I341=4,"Master",I341=5,"Doctor")</f>
        <v>Master</v>
      </c>
      <c r="K341" t="s">
        <v>55</v>
      </c>
      <c r="L341">
        <v>458</v>
      </c>
      <c r="M341">
        <v>2</v>
      </c>
      <c r="N341" t="str" cm="1">
        <f t="array" ref="N341">_xlfn.IFS(M341=1,"Low",M341=2,"Medium",M341=3,"High",M341=4,"Very High")</f>
        <v>Medium</v>
      </c>
      <c r="O341" t="s">
        <v>36</v>
      </c>
      <c r="P341" s="2">
        <v>56</v>
      </c>
      <c r="Q341">
        <v>3</v>
      </c>
      <c r="R341" t="str" cm="1">
        <f t="array" ref="R341">_xlfn.IFS(Q341=1,"Low",Q341=2,"Medium",Q341=3,"High",Q341=4,"Very High")</f>
        <v>High</v>
      </c>
      <c r="S341">
        <v>2</v>
      </c>
      <c r="T341" t="str" cm="1">
        <f t="array" ref="T341">_xlfn.IFS(S341=1,"Entry Level",S341=2,"Junior",S341=3,"Mid-Level",S341=4,"Senior",S341=5,"Executive")</f>
        <v>Junior</v>
      </c>
      <c r="U341" t="s">
        <v>37</v>
      </c>
      <c r="V341">
        <v>2</v>
      </c>
      <c r="W341" t="str" cm="1">
        <f t="array" ref="W341">_xlfn.IFS(V341=1,"Low",V341=2,"Medium",V341=3,"High",V341=4,"Very High")</f>
        <v>Medium</v>
      </c>
      <c r="X341" t="s">
        <v>44</v>
      </c>
      <c r="Y341" s="2">
        <v>6214</v>
      </c>
      <c r="Z341" s="2">
        <v>3415</v>
      </c>
      <c r="AA341">
        <v>1</v>
      </c>
      <c r="AB341" t="s">
        <v>39</v>
      </c>
      <c r="AC341">
        <v>18</v>
      </c>
      <c r="AD341">
        <v>3</v>
      </c>
      <c r="AE341" t="str" cm="1">
        <f t="array" ref="AE341">_xlfn.IFS(AD341=1,"Low",AD341=2,"Good",AD341=3,"Excellent",AD341=4,"Outstanding")</f>
        <v>Excellent</v>
      </c>
      <c r="AF341">
        <v>1</v>
      </c>
      <c r="AG341" t="str" cm="1">
        <f t="array" ref="AG341">_xlfn.IFS(AF341=1,"Low",AF341=2,"Medium",AF341=3,"High",AF341=4,"Very High")</f>
        <v>Low</v>
      </c>
      <c r="AH341">
        <v>1</v>
      </c>
      <c r="AI341">
        <v>8</v>
      </c>
      <c r="AJ341">
        <v>3</v>
      </c>
      <c r="AK341">
        <v>3</v>
      </c>
      <c r="AL341" t="str" cm="1">
        <f t="array" ref="AL341">_xlfn.IFS(AK341=1,"Low",AK341=2,"Medium",AK341=3,"High",AK341=4,"Very High")</f>
        <v>High</v>
      </c>
      <c r="AM341">
        <v>8</v>
      </c>
      <c r="AN341">
        <v>7</v>
      </c>
      <c r="AO341">
        <v>0</v>
      </c>
      <c r="AP341">
        <v>7</v>
      </c>
    </row>
    <row r="342" spans="1:42">
      <c r="A342">
        <v>37</v>
      </c>
      <c r="B342" t="str" cm="1">
        <f t="array" ref="B342">_xlfn.IFS(A342&lt;=25,"18-25",A342&lt;=35,"26-35",A342&lt;=45,"36-45",A342&lt;=55,"46-55",A342&gt;55,"56+")</f>
        <v>36-45</v>
      </c>
      <c r="C342" t="s">
        <v>39</v>
      </c>
      <c r="D342" t="s">
        <v>33</v>
      </c>
      <c r="E342" s="2">
        <v>1192</v>
      </c>
      <c r="F342" t="s">
        <v>41</v>
      </c>
      <c r="G342">
        <v>5</v>
      </c>
      <c r="H342" t="str">
        <f t="shared" si="5"/>
        <v>1-10 km</v>
      </c>
      <c r="I342">
        <v>2</v>
      </c>
      <c r="J342" t="str" cm="1">
        <f t="array" ref="J342">_xlfn.IFS(I342=1,"Below College",I342=2,"College",I342=3,"Bachelor",I342=4,"Master",I342=5,"Doctor")</f>
        <v>College</v>
      </c>
      <c r="K342" t="s">
        <v>47</v>
      </c>
      <c r="L342">
        <v>460</v>
      </c>
      <c r="M342">
        <v>4</v>
      </c>
      <c r="N342" t="str" cm="1">
        <f t="array" ref="N342">_xlfn.IFS(M342=1,"Low",M342=2,"Medium",M342=3,"High",M342=4,"Very High")</f>
        <v>Very High</v>
      </c>
      <c r="O342" t="s">
        <v>42</v>
      </c>
      <c r="P342" s="2">
        <v>61</v>
      </c>
      <c r="Q342">
        <v>3</v>
      </c>
      <c r="R342" t="str" cm="1">
        <f t="array" ref="R342">_xlfn.IFS(Q342=1,"Low",Q342=2,"Medium",Q342=3,"High",Q342=4,"Very High")</f>
        <v>High</v>
      </c>
      <c r="S342">
        <v>2</v>
      </c>
      <c r="T342" t="str" cm="1">
        <f t="array" ref="T342">_xlfn.IFS(S342=1,"Entry Level",S342=2,"Junior",S342=3,"Mid-Level",S342=4,"Senior",S342=5,"Executive")</f>
        <v>Junior</v>
      </c>
      <c r="U342" t="s">
        <v>49</v>
      </c>
      <c r="V342">
        <v>4</v>
      </c>
      <c r="W342" t="str" cm="1">
        <f t="array" ref="W342">_xlfn.IFS(V342=1,"Low",V342=2,"Medium",V342=3,"High",V342=4,"Very High")</f>
        <v>Very High</v>
      </c>
      <c r="X342" t="s">
        <v>48</v>
      </c>
      <c r="Y342" s="2">
        <v>6347</v>
      </c>
      <c r="Z342" s="2">
        <v>23177</v>
      </c>
      <c r="AA342">
        <v>7</v>
      </c>
      <c r="AB342" t="s">
        <v>39</v>
      </c>
      <c r="AC342">
        <v>16</v>
      </c>
      <c r="AD342">
        <v>3</v>
      </c>
      <c r="AE342" t="str" cm="1">
        <f t="array" ref="AE342">_xlfn.IFS(AD342=1,"Low",AD342=2,"Good",AD342=3,"Excellent",AD342=4,"Outstanding")</f>
        <v>Excellent</v>
      </c>
      <c r="AF342">
        <v>3</v>
      </c>
      <c r="AG342" t="str" cm="1">
        <f t="array" ref="AG342">_xlfn.IFS(AF342=1,"Low",AF342=2,"Medium",AF342=3,"High",AF342=4,"Very High")</f>
        <v>High</v>
      </c>
      <c r="AH342">
        <v>2</v>
      </c>
      <c r="AI342">
        <v>8</v>
      </c>
      <c r="AJ342">
        <v>2</v>
      </c>
      <c r="AK342">
        <v>2</v>
      </c>
      <c r="AL342" t="str" cm="1">
        <f t="array" ref="AL342">_xlfn.IFS(AK342=1,"Low",AK342=2,"Medium",AK342=3,"High",AK342=4,"Very High")</f>
        <v>Medium</v>
      </c>
      <c r="AM342">
        <v>6</v>
      </c>
      <c r="AN342">
        <v>2</v>
      </c>
      <c r="AO342">
        <v>0</v>
      </c>
      <c r="AP342">
        <v>4</v>
      </c>
    </row>
    <row r="343" spans="1:42">
      <c r="A343">
        <v>38</v>
      </c>
      <c r="B343" t="str" cm="1">
        <f t="array" ref="B343">_xlfn.IFS(A343&lt;=25,"18-25",A343&lt;=35,"26-35",A343&lt;=45,"36-45",A343&lt;=55,"46-55",A343&gt;55,"56+")</f>
        <v>36-45</v>
      </c>
      <c r="C343" t="s">
        <v>39</v>
      </c>
      <c r="D343" t="s">
        <v>33</v>
      </c>
      <c r="E343" s="2">
        <v>343</v>
      </c>
      <c r="F343" t="s">
        <v>41</v>
      </c>
      <c r="G343">
        <v>15</v>
      </c>
      <c r="H343" t="str">
        <f t="shared" si="5"/>
        <v>11-20 km</v>
      </c>
      <c r="I343">
        <v>2</v>
      </c>
      <c r="J343" t="str" cm="1">
        <f t="array" ref="J343">_xlfn.IFS(I343=1,"Below College",I343=2,"College",I343=3,"Bachelor",I343=4,"Master",I343=5,"Doctor")</f>
        <v>College</v>
      </c>
      <c r="K343" t="s">
        <v>35</v>
      </c>
      <c r="L343">
        <v>461</v>
      </c>
      <c r="M343">
        <v>3</v>
      </c>
      <c r="N343" t="str" cm="1">
        <f t="array" ref="N343">_xlfn.IFS(M343=1,"Low",M343=2,"Medium",M343=3,"High",M343=4,"Very High")</f>
        <v>High</v>
      </c>
      <c r="O343" t="s">
        <v>42</v>
      </c>
      <c r="P343" s="2">
        <v>92</v>
      </c>
      <c r="Q343">
        <v>2</v>
      </c>
      <c r="R343" t="str" cm="1">
        <f t="array" ref="R343">_xlfn.IFS(Q343=1,"Low",Q343=2,"Medium",Q343=3,"High",Q343=4,"Very High")</f>
        <v>Medium</v>
      </c>
      <c r="S343">
        <v>3</v>
      </c>
      <c r="T343" t="str" cm="1">
        <f t="array" ref="T343">_xlfn.IFS(S343=1,"Entry Level",S343=2,"Junior",S343=3,"Mid-Level",S343=4,"Senior",S343=5,"Executive")</f>
        <v>Mid-Level</v>
      </c>
      <c r="U343" t="s">
        <v>54</v>
      </c>
      <c r="V343">
        <v>4</v>
      </c>
      <c r="W343" t="str" cm="1">
        <f t="array" ref="W343">_xlfn.IFS(V343=1,"Low",V343=2,"Medium",V343=3,"High",V343=4,"Very High")</f>
        <v>Very High</v>
      </c>
      <c r="X343" t="s">
        <v>48</v>
      </c>
      <c r="Y343" s="2">
        <v>11510</v>
      </c>
      <c r="Z343" s="2">
        <v>15682</v>
      </c>
      <c r="AA343">
        <v>0</v>
      </c>
      <c r="AB343" t="s">
        <v>32</v>
      </c>
      <c r="AC343">
        <v>14</v>
      </c>
      <c r="AD343">
        <v>3</v>
      </c>
      <c r="AE343" t="str" cm="1">
        <f t="array" ref="AE343">_xlfn.IFS(AD343=1,"Low",AD343=2,"Good",AD343=3,"Excellent",AD343=4,"Outstanding")</f>
        <v>Excellent</v>
      </c>
      <c r="AF343">
        <v>2</v>
      </c>
      <c r="AG343" t="str" cm="1">
        <f t="array" ref="AG343">_xlfn.IFS(AF343=1,"Low",AF343=2,"Medium",AF343=3,"High",AF343=4,"Very High")</f>
        <v>Medium</v>
      </c>
      <c r="AH343">
        <v>1</v>
      </c>
      <c r="AI343">
        <v>12</v>
      </c>
      <c r="AJ343">
        <v>3</v>
      </c>
      <c r="AK343">
        <v>3</v>
      </c>
      <c r="AL343" t="str" cm="1">
        <f t="array" ref="AL343">_xlfn.IFS(AK343=1,"Low",AK343=2,"Medium",AK343=3,"High",AK343=4,"Very High")</f>
        <v>High</v>
      </c>
      <c r="AM343">
        <v>11</v>
      </c>
      <c r="AN343">
        <v>10</v>
      </c>
      <c r="AO343">
        <v>2</v>
      </c>
      <c r="AP343">
        <v>9</v>
      </c>
    </row>
    <row r="344" spans="1:42">
      <c r="A344">
        <v>31</v>
      </c>
      <c r="B344" t="str" cm="1">
        <f t="array" ref="B344">_xlfn.IFS(A344&lt;=25,"18-25",A344&lt;=35,"26-35",A344&lt;=45,"36-45",A344&lt;=55,"46-55",A344&gt;55,"56+")</f>
        <v>26-35</v>
      </c>
      <c r="C344" t="s">
        <v>39</v>
      </c>
      <c r="D344" t="s">
        <v>33</v>
      </c>
      <c r="E344" s="2">
        <v>1232</v>
      </c>
      <c r="F344" t="s">
        <v>41</v>
      </c>
      <c r="G344">
        <v>7</v>
      </c>
      <c r="H344" t="str">
        <f t="shared" si="5"/>
        <v>1-10 km</v>
      </c>
      <c r="I344">
        <v>4</v>
      </c>
      <c r="J344" t="str" cm="1">
        <f t="array" ref="J344">_xlfn.IFS(I344=1,"Below College",I344=2,"College",I344=3,"Bachelor",I344=4,"Master",I344=5,"Doctor")</f>
        <v>Master</v>
      </c>
      <c r="K344" t="s">
        <v>47</v>
      </c>
      <c r="L344">
        <v>462</v>
      </c>
      <c r="M344">
        <v>3</v>
      </c>
      <c r="N344" t="str" cm="1">
        <f t="array" ref="N344">_xlfn.IFS(M344=1,"Low",M344=2,"Medium",M344=3,"High",M344=4,"Very High")</f>
        <v>High</v>
      </c>
      <c r="O344" t="s">
        <v>36</v>
      </c>
      <c r="P344" s="2">
        <v>39</v>
      </c>
      <c r="Q344">
        <v>3</v>
      </c>
      <c r="R344" t="str" cm="1">
        <f t="array" ref="R344">_xlfn.IFS(Q344=1,"Low",Q344=2,"Medium",Q344=3,"High",Q344=4,"Very High")</f>
        <v>High</v>
      </c>
      <c r="S344">
        <v>3</v>
      </c>
      <c r="T344" t="str" cm="1">
        <f t="array" ref="T344">_xlfn.IFS(S344=1,"Entry Level",S344=2,"Junior",S344=3,"Mid-Level",S344=4,"Senior",S344=5,"Executive")</f>
        <v>Mid-Level</v>
      </c>
      <c r="U344" t="s">
        <v>49</v>
      </c>
      <c r="V344">
        <v>4</v>
      </c>
      <c r="W344" t="str" cm="1">
        <f t="array" ref="W344">_xlfn.IFS(V344=1,"Low",V344=2,"Medium",V344=3,"High",V344=4,"Very High")</f>
        <v>Very High</v>
      </c>
      <c r="X344" t="s">
        <v>38</v>
      </c>
      <c r="Y344" s="2">
        <v>7143</v>
      </c>
      <c r="Z344" s="2">
        <v>25713</v>
      </c>
      <c r="AA344">
        <v>1</v>
      </c>
      <c r="AB344" t="s">
        <v>32</v>
      </c>
      <c r="AC344">
        <v>14</v>
      </c>
      <c r="AD344">
        <v>3</v>
      </c>
      <c r="AE344" t="str" cm="1">
        <f t="array" ref="AE344">_xlfn.IFS(AD344=1,"Low",AD344=2,"Good",AD344=3,"Excellent",AD344=4,"Outstanding")</f>
        <v>Excellent</v>
      </c>
      <c r="AF344">
        <v>3</v>
      </c>
      <c r="AG344" t="str" cm="1">
        <f t="array" ref="AG344">_xlfn.IFS(AF344=1,"Low",AF344=2,"Medium",AF344=3,"High",AF344=4,"Very High")</f>
        <v>High</v>
      </c>
      <c r="AH344">
        <v>0</v>
      </c>
      <c r="AI344">
        <v>11</v>
      </c>
      <c r="AJ344">
        <v>2</v>
      </c>
      <c r="AK344">
        <v>2</v>
      </c>
      <c r="AL344" t="str" cm="1">
        <f t="array" ref="AL344">_xlfn.IFS(AK344=1,"Low",AK344=2,"Medium",AK344=3,"High",AK344=4,"Very High")</f>
        <v>Medium</v>
      </c>
      <c r="AM344">
        <v>11</v>
      </c>
      <c r="AN344">
        <v>9</v>
      </c>
      <c r="AO344">
        <v>4</v>
      </c>
      <c r="AP344">
        <v>10</v>
      </c>
    </row>
    <row r="345" spans="1:42">
      <c r="A345">
        <v>29</v>
      </c>
      <c r="B345" t="str" cm="1">
        <f t="array" ref="B345">_xlfn.IFS(A345&lt;=25,"18-25",A345&lt;=35,"26-35",A345&lt;=45,"36-45",A345&lt;=55,"46-55",A345&gt;55,"56+")</f>
        <v>26-35</v>
      </c>
      <c r="C345" t="s">
        <v>39</v>
      </c>
      <c r="D345" t="s">
        <v>33</v>
      </c>
      <c r="E345" s="2">
        <v>144</v>
      </c>
      <c r="F345" t="s">
        <v>34</v>
      </c>
      <c r="G345">
        <v>10</v>
      </c>
      <c r="H345" t="str">
        <f t="shared" si="5"/>
        <v>1-10 km</v>
      </c>
      <c r="I345">
        <v>1</v>
      </c>
      <c r="J345" t="str" cm="1">
        <f t="array" ref="J345">_xlfn.IFS(I345=1,"Below College",I345=2,"College",I345=3,"Bachelor",I345=4,"Master",I345=5,"Doctor")</f>
        <v>Below College</v>
      </c>
      <c r="K345" t="s">
        <v>55</v>
      </c>
      <c r="L345">
        <v>463</v>
      </c>
      <c r="M345">
        <v>4</v>
      </c>
      <c r="N345" t="str" cm="1">
        <f t="array" ref="N345">_xlfn.IFS(M345=1,"Low",M345=2,"Medium",M345=3,"High",M345=4,"Very High")</f>
        <v>Very High</v>
      </c>
      <c r="O345" t="s">
        <v>36</v>
      </c>
      <c r="P345" s="2">
        <v>39</v>
      </c>
      <c r="Q345">
        <v>2</v>
      </c>
      <c r="R345" t="str" cm="1">
        <f t="array" ref="R345">_xlfn.IFS(Q345=1,"Low",Q345=2,"Medium",Q345=3,"High",Q345=4,"Very High")</f>
        <v>Medium</v>
      </c>
      <c r="S345">
        <v>2</v>
      </c>
      <c r="T345" t="str" cm="1">
        <f t="array" ref="T345">_xlfn.IFS(S345=1,"Entry Level",S345=2,"Junior",S345=3,"Mid-Level",S345=4,"Senior",S345=5,"Executive")</f>
        <v>Junior</v>
      </c>
      <c r="U345" t="s">
        <v>37</v>
      </c>
      <c r="V345">
        <v>2</v>
      </c>
      <c r="W345" t="str" cm="1">
        <f t="array" ref="W345">_xlfn.IFS(V345=1,"Low",V345=2,"Medium",V345=3,"High",V345=4,"Very High")</f>
        <v>Medium</v>
      </c>
      <c r="X345" t="s">
        <v>48</v>
      </c>
      <c r="Y345" s="2">
        <v>8268</v>
      </c>
      <c r="Z345" s="2">
        <v>11866</v>
      </c>
      <c r="AA345">
        <v>1</v>
      </c>
      <c r="AB345" t="s">
        <v>32</v>
      </c>
      <c r="AC345">
        <v>14</v>
      </c>
      <c r="AD345">
        <v>3</v>
      </c>
      <c r="AE345" t="str" cm="1">
        <f t="array" ref="AE345">_xlfn.IFS(AD345=1,"Low",AD345=2,"Good",AD345=3,"Excellent",AD345=4,"Outstanding")</f>
        <v>Excellent</v>
      </c>
      <c r="AF345">
        <v>1</v>
      </c>
      <c r="AG345" t="str" cm="1">
        <f t="array" ref="AG345">_xlfn.IFS(AF345=1,"Low",AF345=2,"Medium",AF345=3,"High",AF345=4,"Very High")</f>
        <v>Low</v>
      </c>
      <c r="AH345">
        <v>2</v>
      </c>
      <c r="AI345">
        <v>7</v>
      </c>
      <c r="AJ345">
        <v>2</v>
      </c>
      <c r="AK345">
        <v>3</v>
      </c>
      <c r="AL345" t="str" cm="1">
        <f t="array" ref="AL345">_xlfn.IFS(AK345=1,"Low",AK345=2,"Medium",AK345=3,"High",AK345=4,"Very High")</f>
        <v>High</v>
      </c>
      <c r="AM345">
        <v>7</v>
      </c>
      <c r="AN345">
        <v>7</v>
      </c>
      <c r="AO345">
        <v>1</v>
      </c>
      <c r="AP345">
        <v>7</v>
      </c>
    </row>
    <row r="346" spans="1:42">
      <c r="A346">
        <v>35</v>
      </c>
      <c r="B346" t="str" cm="1">
        <f t="array" ref="B346">_xlfn.IFS(A346&lt;=25,"18-25",A346&lt;=35,"26-35",A346&lt;=45,"36-45",A346&lt;=55,"46-55",A346&gt;55,"56+")</f>
        <v>26-35</v>
      </c>
      <c r="C346" t="s">
        <v>39</v>
      </c>
      <c r="D346" t="s">
        <v>33</v>
      </c>
      <c r="E346" s="2">
        <v>1296</v>
      </c>
      <c r="F346" t="s">
        <v>41</v>
      </c>
      <c r="G346">
        <v>5</v>
      </c>
      <c r="H346" t="str">
        <f t="shared" si="5"/>
        <v>1-10 km</v>
      </c>
      <c r="I346">
        <v>4</v>
      </c>
      <c r="J346" t="str" cm="1">
        <f t="array" ref="J346">_xlfn.IFS(I346=1,"Below College",I346=2,"College",I346=3,"Bachelor",I346=4,"Master",I346=5,"Doctor")</f>
        <v>Master</v>
      </c>
      <c r="K346" t="s">
        <v>56</v>
      </c>
      <c r="L346">
        <v>464</v>
      </c>
      <c r="M346">
        <v>3</v>
      </c>
      <c r="N346" t="str" cm="1">
        <f t="array" ref="N346">_xlfn.IFS(M346=1,"Low",M346=2,"Medium",M346=3,"High",M346=4,"Very High")</f>
        <v>High</v>
      </c>
      <c r="O346" t="s">
        <v>42</v>
      </c>
      <c r="P346" s="2">
        <v>62</v>
      </c>
      <c r="Q346">
        <v>3</v>
      </c>
      <c r="R346" t="str" cm="1">
        <f t="array" ref="R346">_xlfn.IFS(Q346=1,"Low",Q346=2,"Medium",Q346=3,"High",Q346=4,"Very High")</f>
        <v>High</v>
      </c>
      <c r="S346">
        <v>3</v>
      </c>
      <c r="T346" t="str" cm="1">
        <f t="array" ref="T346">_xlfn.IFS(S346=1,"Entry Level",S346=2,"Junior",S346=3,"Mid-Level",S346=4,"Senior",S346=5,"Executive")</f>
        <v>Mid-Level</v>
      </c>
      <c r="U346" t="s">
        <v>49</v>
      </c>
      <c r="V346">
        <v>2</v>
      </c>
      <c r="W346" t="str" cm="1">
        <f t="array" ref="W346">_xlfn.IFS(V346=1,"Low",V346=2,"Medium",V346=3,"High",V346=4,"Very High")</f>
        <v>Medium</v>
      </c>
      <c r="X346" t="s">
        <v>38</v>
      </c>
      <c r="Y346" s="2">
        <v>8095</v>
      </c>
      <c r="Z346" s="2">
        <v>18264</v>
      </c>
      <c r="AA346">
        <v>0</v>
      </c>
      <c r="AB346" t="s">
        <v>39</v>
      </c>
      <c r="AC346">
        <v>13</v>
      </c>
      <c r="AD346">
        <v>3</v>
      </c>
      <c r="AE346" t="str" cm="1">
        <f t="array" ref="AE346">_xlfn.IFS(AD346=1,"Low",AD346=2,"Good",AD346=3,"Excellent",AD346=4,"Outstanding")</f>
        <v>Excellent</v>
      </c>
      <c r="AF346">
        <v>4</v>
      </c>
      <c r="AG346" t="str" cm="1">
        <f t="array" ref="AG346">_xlfn.IFS(AF346=1,"Low",AF346=2,"Medium",AF346=3,"High",AF346=4,"Very High")</f>
        <v>Very High</v>
      </c>
      <c r="AH346">
        <v>0</v>
      </c>
      <c r="AI346">
        <v>17</v>
      </c>
      <c r="AJ346">
        <v>5</v>
      </c>
      <c r="AK346">
        <v>3</v>
      </c>
      <c r="AL346" t="str" cm="1">
        <f t="array" ref="AL346">_xlfn.IFS(AK346=1,"Low",AK346=2,"Medium",AK346=3,"High",AK346=4,"Very High")</f>
        <v>High</v>
      </c>
      <c r="AM346">
        <v>16</v>
      </c>
      <c r="AN346">
        <v>6</v>
      </c>
      <c r="AO346">
        <v>0</v>
      </c>
      <c r="AP346">
        <v>13</v>
      </c>
    </row>
    <row r="347" spans="1:42">
      <c r="A347">
        <v>23</v>
      </c>
      <c r="B347" t="str" cm="1">
        <f t="array" ref="B347">_xlfn.IFS(A347&lt;=25,"18-25",A347&lt;=35,"26-35",A347&lt;=45,"36-45",A347&lt;=55,"46-55",A347&gt;55,"56+")</f>
        <v>18-25</v>
      </c>
      <c r="C347" t="s">
        <v>39</v>
      </c>
      <c r="D347" t="s">
        <v>33</v>
      </c>
      <c r="E347" s="2">
        <v>1309</v>
      </c>
      <c r="F347" t="s">
        <v>41</v>
      </c>
      <c r="G347">
        <v>26</v>
      </c>
      <c r="H347" t="str">
        <f t="shared" si="5"/>
        <v>21-30 km</v>
      </c>
      <c r="I347">
        <v>1</v>
      </c>
      <c r="J347" t="str" cm="1">
        <f t="array" ref="J347">_xlfn.IFS(I347=1,"Below College",I347=2,"College",I347=3,"Bachelor",I347=4,"Master",I347=5,"Doctor")</f>
        <v>Below College</v>
      </c>
      <c r="K347" t="s">
        <v>35</v>
      </c>
      <c r="L347">
        <v>465</v>
      </c>
      <c r="M347">
        <v>3</v>
      </c>
      <c r="N347" t="str" cm="1">
        <f t="array" ref="N347">_xlfn.IFS(M347=1,"Low",M347=2,"Medium",M347=3,"High",M347=4,"Very High")</f>
        <v>High</v>
      </c>
      <c r="O347" t="s">
        <v>42</v>
      </c>
      <c r="P347" s="2">
        <v>83</v>
      </c>
      <c r="Q347">
        <v>3</v>
      </c>
      <c r="R347" t="str" cm="1">
        <f t="array" ref="R347">_xlfn.IFS(Q347=1,"Low",Q347=2,"Medium",Q347=3,"High",Q347=4,"Very High")</f>
        <v>High</v>
      </c>
      <c r="S347">
        <v>1</v>
      </c>
      <c r="T347" t="str" cm="1">
        <f t="array" ref="T347">_xlfn.IFS(S347=1,"Entry Level",S347=2,"Junior",S347=3,"Mid-Level",S347=4,"Senior",S347=5,"Executive")</f>
        <v>Entry Level</v>
      </c>
      <c r="U347" t="s">
        <v>43</v>
      </c>
      <c r="V347">
        <v>4</v>
      </c>
      <c r="W347" t="str" cm="1">
        <f t="array" ref="W347">_xlfn.IFS(V347=1,"Low",V347=2,"Medium",V347=3,"High",V347=4,"Very High")</f>
        <v>Very High</v>
      </c>
      <c r="X347" t="s">
        <v>48</v>
      </c>
      <c r="Y347" s="2">
        <v>2904</v>
      </c>
      <c r="Z347" s="2">
        <v>16092</v>
      </c>
      <c r="AA347">
        <v>1</v>
      </c>
      <c r="AB347" t="s">
        <v>39</v>
      </c>
      <c r="AC347">
        <v>12</v>
      </c>
      <c r="AD347">
        <v>3</v>
      </c>
      <c r="AE347" t="str" cm="1">
        <f t="array" ref="AE347">_xlfn.IFS(AD347=1,"Low",AD347=2,"Good",AD347=3,"Excellent",AD347=4,"Outstanding")</f>
        <v>Excellent</v>
      </c>
      <c r="AF347">
        <v>3</v>
      </c>
      <c r="AG347" t="str" cm="1">
        <f t="array" ref="AG347">_xlfn.IFS(AF347=1,"Low",AF347=2,"Medium",AF347=3,"High",AF347=4,"Very High")</f>
        <v>High</v>
      </c>
      <c r="AH347">
        <v>2</v>
      </c>
      <c r="AI347">
        <v>4</v>
      </c>
      <c r="AJ347">
        <v>2</v>
      </c>
      <c r="AK347">
        <v>2</v>
      </c>
      <c r="AL347" t="str" cm="1">
        <f t="array" ref="AL347">_xlfn.IFS(AK347=1,"Low",AK347=2,"Medium",AK347=3,"High",AK347=4,"Very High")</f>
        <v>Medium</v>
      </c>
      <c r="AM347">
        <v>4</v>
      </c>
      <c r="AN347">
        <v>2</v>
      </c>
      <c r="AO347">
        <v>0</v>
      </c>
      <c r="AP347">
        <v>2</v>
      </c>
    </row>
    <row r="348" spans="1:42">
      <c r="A348">
        <v>41</v>
      </c>
      <c r="B348" t="str" cm="1">
        <f t="array" ref="B348">_xlfn.IFS(A348&lt;=25,"18-25",A348&lt;=35,"26-35",A348&lt;=45,"36-45",A348&lt;=55,"46-55",A348&gt;55,"56+")</f>
        <v>36-45</v>
      </c>
      <c r="C348" t="s">
        <v>39</v>
      </c>
      <c r="D348" t="s">
        <v>33</v>
      </c>
      <c r="E348" s="2">
        <v>483</v>
      </c>
      <c r="F348" t="s">
        <v>41</v>
      </c>
      <c r="G348">
        <v>6</v>
      </c>
      <c r="H348" t="str">
        <f t="shared" si="5"/>
        <v>1-10 km</v>
      </c>
      <c r="I348">
        <v>3</v>
      </c>
      <c r="J348" t="str" cm="1">
        <f t="array" ref="J348">_xlfn.IFS(I348=1,"Below College",I348=2,"College",I348=3,"Bachelor",I348=4,"Master",I348=5,"Doctor")</f>
        <v>Bachelor</v>
      </c>
      <c r="K348" t="s">
        <v>47</v>
      </c>
      <c r="L348">
        <v>466</v>
      </c>
      <c r="M348">
        <v>4</v>
      </c>
      <c r="N348" t="str" cm="1">
        <f t="array" ref="N348">_xlfn.IFS(M348=1,"Low",M348=2,"Medium",M348=3,"High",M348=4,"Very High")</f>
        <v>Very High</v>
      </c>
      <c r="O348" t="s">
        <v>42</v>
      </c>
      <c r="P348" s="2">
        <v>95</v>
      </c>
      <c r="Q348">
        <v>2</v>
      </c>
      <c r="R348" t="str" cm="1">
        <f t="array" ref="R348">_xlfn.IFS(Q348=1,"Low",Q348=2,"Medium",Q348=3,"High",Q348=4,"Very High")</f>
        <v>Medium</v>
      </c>
      <c r="S348">
        <v>2</v>
      </c>
      <c r="T348" t="str" cm="1">
        <f t="array" ref="T348">_xlfn.IFS(S348=1,"Entry Level",S348=2,"Junior",S348=3,"Mid-Level",S348=4,"Senior",S348=5,"Executive")</f>
        <v>Junior</v>
      </c>
      <c r="U348" t="s">
        <v>49</v>
      </c>
      <c r="V348">
        <v>2</v>
      </c>
      <c r="W348" t="str" cm="1">
        <f t="array" ref="W348">_xlfn.IFS(V348=1,"Low",V348=2,"Medium",V348=3,"High",V348=4,"Very High")</f>
        <v>Medium</v>
      </c>
      <c r="X348" t="s">
        <v>38</v>
      </c>
      <c r="Y348" s="2">
        <v>6032</v>
      </c>
      <c r="Z348" s="2">
        <v>10110</v>
      </c>
      <c r="AA348">
        <v>6</v>
      </c>
      <c r="AB348" t="s">
        <v>32</v>
      </c>
      <c r="AC348">
        <v>15</v>
      </c>
      <c r="AD348">
        <v>3</v>
      </c>
      <c r="AE348" t="str" cm="1">
        <f t="array" ref="AE348">_xlfn.IFS(AD348=1,"Low",AD348=2,"Good",AD348=3,"Excellent",AD348=4,"Outstanding")</f>
        <v>Excellent</v>
      </c>
      <c r="AF348">
        <v>4</v>
      </c>
      <c r="AG348" t="str" cm="1">
        <f t="array" ref="AG348">_xlfn.IFS(AF348=1,"Low",AF348=2,"Medium",AF348=3,"High",AF348=4,"Very High")</f>
        <v>Very High</v>
      </c>
      <c r="AH348">
        <v>0</v>
      </c>
      <c r="AI348">
        <v>8</v>
      </c>
      <c r="AJ348">
        <v>3</v>
      </c>
      <c r="AK348">
        <v>3</v>
      </c>
      <c r="AL348" t="str" cm="1">
        <f t="array" ref="AL348">_xlfn.IFS(AK348=1,"Low",AK348=2,"Medium",AK348=3,"High",AK348=4,"Very High")</f>
        <v>High</v>
      </c>
      <c r="AM348">
        <v>5</v>
      </c>
      <c r="AN348">
        <v>4</v>
      </c>
      <c r="AO348">
        <v>1</v>
      </c>
      <c r="AP348">
        <v>2</v>
      </c>
    </row>
    <row r="349" spans="1:42">
      <c r="A349">
        <v>47</v>
      </c>
      <c r="B349" t="str" cm="1">
        <f t="array" ref="B349">_xlfn.IFS(A349&lt;=25,"18-25",A349&lt;=35,"26-35",A349&lt;=45,"36-45",A349&lt;=55,"46-55",A349&gt;55,"56+")</f>
        <v>46-55</v>
      </c>
      <c r="C349" t="s">
        <v>39</v>
      </c>
      <c r="D349" t="s">
        <v>40</v>
      </c>
      <c r="E349" s="2">
        <v>1309</v>
      </c>
      <c r="F349" t="s">
        <v>34</v>
      </c>
      <c r="G349">
        <v>4</v>
      </c>
      <c r="H349" t="str">
        <f t="shared" si="5"/>
        <v>1-10 km</v>
      </c>
      <c r="I349">
        <v>1</v>
      </c>
      <c r="J349" t="str" cm="1">
        <f t="array" ref="J349">_xlfn.IFS(I349=1,"Below College",I349=2,"College",I349=3,"Bachelor",I349=4,"Master",I349=5,"Doctor")</f>
        <v>Below College</v>
      </c>
      <c r="K349" t="s">
        <v>47</v>
      </c>
      <c r="L349">
        <v>467</v>
      </c>
      <c r="M349">
        <v>2</v>
      </c>
      <c r="N349" t="str" cm="1">
        <f t="array" ref="N349">_xlfn.IFS(M349=1,"Low",M349=2,"Medium",M349=3,"High",M349=4,"Very High")</f>
        <v>Medium</v>
      </c>
      <c r="O349" t="s">
        <v>42</v>
      </c>
      <c r="P349" s="2">
        <v>99</v>
      </c>
      <c r="Q349">
        <v>3</v>
      </c>
      <c r="R349" t="str" cm="1">
        <f t="array" ref="R349">_xlfn.IFS(Q349=1,"Low",Q349=2,"Medium",Q349=3,"High",Q349=4,"Very High")</f>
        <v>High</v>
      </c>
      <c r="S349">
        <v>2</v>
      </c>
      <c r="T349" t="str" cm="1">
        <f t="array" ref="T349">_xlfn.IFS(S349=1,"Entry Level",S349=2,"Junior",S349=3,"Mid-Level",S349=4,"Senior",S349=5,"Executive")</f>
        <v>Junior</v>
      </c>
      <c r="U349" t="s">
        <v>53</v>
      </c>
      <c r="V349">
        <v>3</v>
      </c>
      <c r="W349" t="str" cm="1">
        <f t="array" ref="W349">_xlfn.IFS(V349=1,"Low",V349=2,"Medium",V349=3,"High",V349=4,"Very High")</f>
        <v>High</v>
      </c>
      <c r="X349" t="s">
        <v>38</v>
      </c>
      <c r="Y349" s="2">
        <v>2976</v>
      </c>
      <c r="Z349" s="2">
        <v>25751</v>
      </c>
      <c r="AA349">
        <v>3</v>
      </c>
      <c r="AB349" t="s">
        <v>39</v>
      </c>
      <c r="AC349">
        <v>19</v>
      </c>
      <c r="AD349">
        <v>3</v>
      </c>
      <c r="AE349" t="str" cm="1">
        <f t="array" ref="AE349">_xlfn.IFS(AD349=1,"Low",AD349=2,"Good",AD349=3,"Excellent",AD349=4,"Outstanding")</f>
        <v>Excellent</v>
      </c>
      <c r="AF349">
        <v>1</v>
      </c>
      <c r="AG349" t="str" cm="1">
        <f t="array" ref="AG349">_xlfn.IFS(AF349=1,"Low",AF349=2,"Medium",AF349=3,"High",AF349=4,"Very High")</f>
        <v>Low</v>
      </c>
      <c r="AH349">
        <v>0</v>
      </c>
      <c r="AI349">
        <v>5</v>
      </c>
      <c r="AJ349">
        <v>3</v>
      </c>
      <c r="AK349">
        <v>3</v>
      </c>
      <c r="AL349" t="str" cm="1">
        <f t="array" ref="AL349">_xlfn.IFS(AK349=1,"Low",AK349=2,"Medium",AK349=3,"High",AK349=4,"Very High")</f>
        <v>High</v>
      </c>
      <c r="AM349">
        <v>0</v>
      </c>
      <c r="AN349">
        <v>0</v>
      </c>
      <c r="AO349">
        <v>0</v>
      </c>
      <c r="AP349">
        <v>0</v>
      </c>
    </row>
    <row r="350" spans="1:42">
      <c r="A350">
        <v>42</v>
      </c>
      <c r="B350" t="str" cm="1">
        <f t="array" ref="B350">_xlfn.IFS(A350&lt;=25,"18-25",A350&lt;=35,"26-35",A350&lt;=45,"36-45",A350&lt;=55,"46-55",A350&gt;55,"56+")</f>
        <v>36-45</v>
      </c>
      <c r="C350" t="s">
        <v>39</v>
      </c>
      <c r="D350" t="s">
        <v>33</v>
      </c>
      <c r="E350" s="2">
        <v>810</v>
      </c>
      <c r="F350" t="s">
        <v>41</v>
      </c>
      <c r="G350">
        <v>23</v>
      </c>
      <c r="H350" t="str">
        <f t="shared" si="5"/>
        <v>21-30 km</v>
      </c>
      <c r="I350">
        <v>5</v>
      </c>
      <c r="J350" t="str" cm="1">
        <f t="array" ref="J350">_xlfn.IFS(I350=1,"Below College",I350=2,"College",I350=3,"Bachelor",I350=4,"Master",I350=5,"Doctor")</f>
        <v>Doctor</v>
      </c>
      <c r="K350" t="s">
        <v>35</v>
      </c>
      <c r="L350">
        <v>468</v>
      </c>
      <c r="M350">
        <v>1</v>
      </c>
      <c r="N350" t="str" cm="1">
        <f t="array" ref="N350">_xlfn.IFS(M350=1,"Low",M350=2,"Medium",M350=3,"High",M350=4,"Very High")</f>
        <v>Low</v>
      </c>
      <c r="O350" t="s">
        <v>36</v>
      </c>
      <c r="P350" s="2">
        <v>44</v>
      </c>
      <c r="Q350">
        <v>3</v>
      </c>
      <c r="R350" t="str" cm="1">
        <f t="array" ref="R350">_xlfn.IFS(Q350=1,"Low",Q350=2,"Medium",Q350=3,"High",Q350=4,"Very High")</f>
        <v>High</v>
      </c>
      <c r="S350">
        <v>4</v>
      </c>
      <c r="T350" t="str" cm="1">
        <f t="array" ref="T350">_xlfn.IFS(S350=1,"Entry Level",S350=2,"Junior",S350=3,"Mid-Level",S350=4,"Senior",S350=5,"Executive")</f>
        <v>Senior</v>
      </c>
      <c r="U350" t="s">
        <v>54</v>
      </c>
      <c r="V350">
        <v>4</v>
      </c>
      <c r="W350" t="str" cm="1">
        <f t="array" ref="W350">_xlfn.IFS(V350=1,"Low",V350=2,"Medium",V350=3,"High",V350=4,"Very High")</f>
        <v>Very High</v>
      </c>
      <c r="X350" t="s">
        <v>38</v>
      </c>
      <c r="Y350" s="2">
        <v>15992</v>
      </c>
      <c r="Z350" s="2">
        <v>15901</v>
      </c>
      <c r="AA350">
        <v>2</v>
      </c>
      <c r="AB350" t="s">
        <v>39</v>
      </c>
      <c r="AC350">
        <v>14</v>
      </c>
      <c r="AD350">
        <v>3</v>
      </c>
      <c r="AE350" t="str" cm="1">
        <f t="array" ref="AE350">_xlfn.IFS(AD350=1,"Low",AD350=2,"Good",AD350=3,"Excellent",AD350=4,"Outstanding")</f>
        <v>Excellent</v>
      </c>
      <c r="AF350">
        <v>2</v>
      </c>
      <c r="AG350" t="str" cm="1">
        <f t="array" ref="AG350">_xlfn.IFS(AF350=1,"Low",AF350=2,"Medium",AF350=3,"High",AF350=4,"Very High")</f>
        <v>Medium</v>
      </c>
      <c r="AH350">
        <v>0</v>
      </c>
      <c r="AI350">
        <v>16</v>
      </c>
      <c r="AJ350">
        <v>2</v>
      </c>
      <c r="AK350">
        <v>3</v>
      </c>
      <c r="AL350" t="str" cm="1">
        <f t="array" ref="AL350">_xlfn.IFS(AK350=1,"Low",AK350=2,"Medium",AK350=3,"High",AK350=4,"Very High")</f>
        <v>High</v>
      </c>
      <c r="AM350">
        <v>1</v>
      </c>
      <c r="AN350">
        <v>0</v>
      </c>
      <c r="AO350">
        <v>0</v>
      </c>
      <c r="AP350">
        <v>0</v>
      </c>
    </row>
    <row r="351" spans="1:42">
      <c r="A351">
        <v>29</v>
      </c>
      <c r="B351" t="str" cm="1">
        <f t="array" ref="B351">_xlfn.IFS(A351&lt;=25,"18-25",A351&lt;=35,"26-35",A351&lt;=45,"36-45",A351&lt;=55,"46-55",A351&gt;55,"56+")</f>
        <v>26-35</v>
      </c>
      <c r="C351" t="s">
        <v>39</v>
      </c>
      <c r="D351" t="s">
        <v>51</v>
      </c>
      <c r="E351" s="2">
        <v>746</v>
      </c>
      <c r="F351" t="s">
        <v>34</v>
      </c>
      <c r="G351">
        <v>2</v>
      </c>
      <c r="H351" t="str">
        <f t="shared" si="5"/>
        <v>1-10 km</v>
      </c>
      <c r="I351">
        <v>3</v>
      </c>
      <c r="J351" t="str" cm="1">
        <f t="array" ref="J351">_xlfn.IFS(I351=1,"Below College",I351=2,"College",I351=3,"Bachelor",I351=4,"Master",I351=5,"Doctor")</f>
        <v>Bachelor</v>
      </c>
      <c r="K351" t="s">
        <v>35</v>
      </c>
      <c r="L351">
        <v>469</v>
      </c>
      <c r="M351">
        <v>4</v>
      </c>
      <c r="N351" t="str" cm="1">
        <f t="array" ref="N351">_xlfn.IFS(M351=1,"Low",M351=2,"Medium",M351=3,"High",M351=4,"Very High")</f>
        <v>Very High</v>
      </c>
      <c r="O351" t="s">
        <v>42</v>
      </c>
      <c r="P351" s="2">
        <v>61</v>
      </c>
      <c r="Q351">
        <v>3</v>
      </c>
      <c r="R351" t="str" cm="1">
        <f t="array" ref="R351">_xlfn.IFS(Q351=1,"Low",Q351=2,"Medium",Q351=3,"High",Q351=4,"Very High")</f>
        <v>High</v>
      </c>
      <c r="S351">
        <v>2</v>
      </c>
      <c r="T351" t="str" cm="1">
        <f t="array" ref="T351">_xlfn.IFS(S351=1,"Entry Level",S351=2,"Junior",S351=3,"Mid-Level",S351=4,"Senior",S351=5,"Executive")</f>
        <v>Junior</v>
      </c>
      <c r="U351" t="s">
        <v>37</v>
      </c>
      <c r="V351">
        <v>3</v>
      </c>
      <c r="W351" t="str" cm="1">
        <f t="array" ref="W351">_xlfn.IFS(V351=1,"Low",V351=2,"Medium",V351=3,"High",V351=4,"Very High")</f>
        <v>High</v>
      </c>
      <c r="X351" t="s">
        <v>44</v>
      </c>
      <c r="Y351" s="2">
        <v>4649</v>
      </c>
      <c r="Z351" s="2">
        <v>16928</v>
      </c>
      <c r="AA351">
        <v>1</v>
      </c>
      <c r="AB351" t="s">
        <v>39</v>
      </c>
      <c r="AC351">
        <v>14</v>
      </c>
      <c r="AD351">
        <v>3</v>
      </c>
      <c r="AE351" t="str" cm="1">
        <f t="array" ref="AE351">_xlfn.IFS(AD351=1,"Low",AD351=2,"Good",AD351=3,"Excellent",AD351=4,"Outstanding")</f>
        <v>Excellent</v>
      </c>
      <c r="AF351">
        <v>1</v>
      </c>
      <c r="AG351" t="str" cm="1">
        <f t="array" ref="AG351">_xlfn.IFS(AF351=1,"Low",AF351=2,"Medium",AF351=3,"High",AF351=4,"Very High")</f>
        <v>Low</v>
      </c>
      <c r="AH351">
        <v>1</v>
      </c>
      <c r="AI351">
        <v>4</v>
      </c>
      <c r="AJ351">
        <v>3</v>
      </c>
      <c r="AK351">
        <v>2</v>
      </c>
      <c r="AL351" t="str" cm="1">
        <f t="array" ref="AL351">_xlfn.IFS(AK351=1,"Low",AK351=2,"Medium",AK351=3,"High",AK351=4,"Very High")</f>
        <v>Medium</v>
      </c>
      <c r="AM351">
        <v>4</v>
      </c>
      <c r="AN351">
        <v>3</v>
      </c>
      <c r="AO351">
        <v>0</v>
      </c>
      <c r="AP351">
        <v>2</v>
      </c>
    </row>
    <row r="352" spans="1:42">
      <c r="A352">
        <v>42</v>
      </c>
      <c r="B352" t="str" cm="1">
        <f t="array" ref="B352">_xlfn.IFS(A352&lt;=25,"18-25",A352&lt;=35,"26-35",A352&lt;=45,"36-45",A352&lt;=55,"46-55",A352&gt;55,"56+")</f>
        <v>36-45</v>
      </c>
      <c r="C352" t="s">
        <v>39</v>
      </c>
      <c r="D352" t="s">
        <v>33</v>
      </c>
      <c r="E352" s="2">
        <v>544</v>
      </c>
      <c r="F352" t="s">
        <v>57</v>
      </c>
      <c r="G352">
        <v>2</v>
      </c>
      <c r="H352" t="str">
        <f t="shared" si="5"/>
        <v>1-10 km</v>
      </c>
      <c r="I352">
        <v>1</v>
      </c>
      <c r="J352" t="str" cm="1">
        <f t="array" ref="J352">_xlfn.IFS(I352=1,"Below College",I352=2,"College",I352=3,"Bachelor",I352=4,"Master",I352=5,"Doctor")</f>
        <v>Below College</v>
      </c>
      <c r="K352" t="s">
        <v>56</v>
      </c>
      <c r="L352">
        <v>470</v>
      </c>
      <c r="M352">
        <v>3</v>
      </c>
      <c r="N352" t="str" cm="1">
        <f t="array" ref="N352">_xlfn.IFS(M352=1,"Low",M352=2,"Medium",M352=3,"High",M352=4,"Very High")</f>
        <v>High</v>
      </c>
      <c r="O352" t="s">
        <v>42</v>
      </c>
      <c r="P352" s="2">
        <v>52</v>
      </c>
      <c r="Q352">
        <v>3</v>
      </c>
      <c r="R352" t="str" cm="1">
        <f t="array" ref="R352">_xlfn.IFS(Q352=1,"Low",Q352=2,"Medium",Q352=3,"High",Q352=4,"Very High")</f>
        <v>High</v>
      </c>
      <c r="S352">
        <v>1</v>
      </c>
      <c r="T352" t="str" cm="1">
        <f t="array" ref="T352">_xlfn.IFS(S352=1,"Entry Level",S352=2,"Junior",S352=3,"Mid-Level",S352=4,"Senior",S352=5,"Executive")</f>
        <v>Entry Level</v>
      </c>
      <c r="U352" t="s">
        <v>57</v>
      </c>
      <c r="V352">
        <v>3</v>
      </c>
      <c r="W352" t="str" cm="1">
        <f t="array" ref="W352">_xlfn.IFS(V352=1,"Low",V352=2,"Medium",V352=3,"High",V352=4,"Very High")</f>
        <v>High</v>
      </c>
      <c r="X352" t="s">
        <v>48</v>
      </c>
      <c r="Y352" s="2">
        <v>2696</v>
      </c>
      <c r="Z352" s="2">
        <v>24017</v>
      </c>
      <c r="AA352">
        <v>0</v>
      </c>
      <c r="AB352" t="s">
        <v>32</v>
      </c>
      <c r="AC352">
        <v>11</v>
      </c>
      <c r="AD352">
        <v>3</v>
      </c>
      <c r="AE352" t="str" cm="1">
        <f t="array" ref="AE352">_xlfn.IFS(AD352=1,"Low",AD352=2,"Good",AD352=3,"Excellent",AD352=4,"Outstanding")</f>
        <v>Excellent</v>
      </c>
      <c r="AF352">
        <v>3</v>
      </c>
      <c r="AG352" t="str" cm="1">
        <f t="array" ref="AG352">_xlfn.IFS(AF352=1,"Low",AF352=2,"Medium",AF352=3,"High",AF352=4,"Very High")</f>
        <v>High</v>
      </c>
      <c r="AH352">
        <v>1</v>
      </c>
      <c r="AI352">
        <v>4</v>
      </c>
      <c r="AJ352">
        <v>5</v>
      </c>
      <c r="AK352">
        <v>3</v>
      </c>
      <c r="AL352" t="str" cm="1">
        <f t="array" ref="AL352">_xlfn.IFS(AK352=1,"Low",AK352=2,"Medium",AK352=3,"High",AK352=4,"Very High")</f>
        <v>High</v>
      </c>
      <c r="AM352">
        <v>3</v>
      </c>
      <c r="AN352">
        <v>2</v>
      </c>
      <c r="AO352">
        <v>1</v>
      </c>
      <c r="AP352">
        <v>0</v>
      </c>
    </row>
    <row r="353" spans="1:42">
      <c r="A353">
        <v>32</v>
      </c>
      <c r="B353" t="str" cm="1">
        <f t="array" ref="B353">_xlfn.IFS(A353&lt;=25,"18-25",A353&lt;=35,"26-35",A353&lt;=45,"36-45",A353&lt;=55,"46-55",A353&gt;55,"56+")</f>
        <v>26-35</v>
      </c>
      <c r="C353" t="s">
        <v>39</v>
      </c>
      <c r="D353" t="s">
        <v>33</v>
      </c>
      <c r="E353" s="2">
        <v>1062</v>
      </c>
      <c r="F353" t="s">
        <v>41</v>
      </c>
      <c r="G353">
        <v>2</v>
      </c>
      <c r="H353" t="str">
        <f t="shared" si="5"/>
        <v>1-10 km</v>
      </c>
      <c r="I353">
        <v>3</v>
      </c>
      <c r="J353" t="str" cm="1">
        <f t="array" ref="J353">_xlfn.IFS(I353=1,"Below College",I353=2,"College",I353=3,"Bachelor",I353=4,"Master",I353=5,"Doctor")</f>
        <v>Bachelor</v>
      </c>
      <c r="K353" t="s">
        <v>47</v>
      </c>
      <c r="L353">
        <v>471</v>
      </c>
      <c r="M353">
        <v>3</v>
      </c>
      <c r="N353" t="str" cm="1">
        <f t="array" ref="N353">_xlfn.IFS(M353=1,"Low",M353=2,"Medium",M353=3,"High",M353=4,"Very High")</f>
        <v>High</v>
      </c>
      <c r="O353" t="s">
        <v>36</v>
      </c>
      <c r="P353" s="2">
        <v>75</v>
      </c>
      <c r="Q353">
        <v>3</v>
      </c>
      <c r="R353" t="str" cm="1">
        <f t="array" ref="R353">_xlfn.IFS(Q353=1,"Low",Q353=2,"Medium",Q353=3,"High",Q353=4,"Very High")</f>
        <v>High</v>
      </c>
      <c r="S353">
        <v>1</v>
      </c>
      <c r="T353" t="str" cm="1">
        <f t="array" ref="T353">_xlfn.IFS(S353=1,"Entry Level",S353=2,"Junior",S353=3,"Mid-Level",S353=4,"Senior",S353=5,"Executive")</f>
        <v>Entry Level</v>
      </c>
      <c r="U353" t="s">
        <v>46</v>
      </c>
      <c r="V353">
        <v>2</v>
      </c>
      <c r="W353" t="str" cm="1">
        <f t="array" ref="W353">_xlfn.IFS(V353=1,"Low",V353=2,"Medium",V353=3,"High",V353=4,"Very High")</f>
        <v>Medium</v>
      </c>
      <c r="X353" t="s">
        <v>44</v>
      </c>
      <c r="Y353" s="2">
        <v>2370</v>
      </c>
      <c r="Z353" s="2">
        <v>3956</v>
      </c>
      <c r="AA353">
        <v>1</v>
      </c>
      <c r="AB353" t="s">
        <v>39</v>
      </c>
      <c r="AC353">
        <v>13</v>
      </c>
      <c r="AD353">
        <v>3</v>
      </c>
      <c r="AE353" t="str" cm="1">
        <f t="array" ref="AE353">_xlfn.IFS(AD353=1,"Low",AD353=2,"Good",AD353=3,"Excellent",AD353=4,"Outstanding")</f>
        <v>Excellent</v>
      </c>
      <c r="AF353">
        <v>3</v>
      </c>
      <c r="AG353" t="str" cm="1">
        <f t="array" ref="AG353">_xlfn.IFS(AF353=1,"Low",AF353=2,"Medium",AF353=3,"High",AF353=4,"Very High")</f>
        <v>High</v>
      </c>
      <c r="AH353">
        <v>1</v>
      </c>
      <c r="AI353">
        <v>8</v>
      </c>
      <c r="AJ353">
        <v>4</v>
      </c>
      <c r="AK353">
        <v>3</v>
      </c>
      <c r="AL353" t="str" cm="1">
        <f t="array" ref="AL353">_xlfn.IFS(AK353=1,"Low",AK353=2,"Medium",AK353=3,"High",AK353=4,"Very High")</f>
        <v>High</v>
      </c>
      <c r="AM353">
        <v>8</v>
      </c>
      <c r="AN353">
        <v>0</v>
      </c>
      <c r="AO353">
        <v>0</v>
      </c>
      <c r="AP353">
        <v>7</v>
      </c>
    </row>
    <row r="354" spans="1:42">
      <c r="A354">
        <v>48</v>
      </c>
      <c r="B354" t="str" cm="1">
        <f t="array" ref="B354">_xlfn.IFS(A354&lt;=25,"18-25",A354&lt;=35,"26-35",A354&lt;=45,"36-45",A354&lt;=55,"46-55",A354&gt;55,"56+")</f>
        <v>46-55</v>
      </c>
      <c r="C354" t="s">
        <v>39</v>
      </c>
      <c r="D354" t="s">
        <v>33</v>
      </c>
      <c r="E354" s="2">
        <v>530</v>
      </c>
      <c r="F354" t="s">
        <v>34</v>
      </c>
      <c r="G354">
        <v>29</v>
      </c>
      <c r="H354" t="str">
        <f t="shared" si="5"/>
        <v>21-30 km</v>
      </c>
      <c r="I354">
        <v>1</v>
      </c>
      <c r="J354" t="str" cm="1">
        <f t="array" ref="J354">_xlfn.IFS(I354=1,"Below College",I354=2,"College",I354=3,"Bachelor",I354=4,"Master",I354=5,"Doctor")</f>
        <v>Below College</v>
      </c>
      <c r="K354" t="s">
        <v>47</v>
      </c>
      <c r="L354">
        <v>473</v>
      </c>
      <c r="M354">
        <v>1</v>
      </c>
      <c r="N354" t="str" cm="1">
        <f t="array" ref="N354">_xlfn.IFS(M354=1,"Low",M354=2,"Medium",M354=3,"High",M354=4,"Very High")</f>
        <v>Low</v>
      </c>
      <c r="O354" t="s">
        <v>36</v>
      </c>
      <c r="P354" s="2">
        <v>91</v>
      </c>
      <c r="Q354">
        <v>3</v>
      </c>
      <c r="R354" t="str" cm="1">
        <f t="array" ref="R354">_xlfn.IFS(Q354=1,"Low",Q354=2,"Medium",Q354=3,"High",Q354=4,"Very High")</f>
        <v>High</v>
      </c>
      <c r="S354">
        <v>3</v>
      </c>
      <c r="T354" t="str" cm="1">
        <f t="array" ref="T354">_xlfn.IFS(S354=1,"Entry Level",S354=2,"Junior",S354=3,"Mid-Level",S354=4,"Senior",S354=5,"Executive")</f>
        <v>Mid-Level</v>
      </c>
      <c r="U354" t="s">
        <v>52</v>
      </c>
      <c r="V354">
        <v>3</v>
      </c>
      <c r="W354" t="str" cm="1">
        <f t="array" ref="W354">_xlfn.IFS(V354=1,"Low",V354=2,"Medium",V354=3,"High",V354=4,"Very High")</f>
        <v>High</v>
      </c>
      <c r="X354" t="s">
        <v>44</v>
      </c>
      <c r="Y354" s="2">
        <v>12504</v>
      </c>
      <c r="Z354" s="2">
        <v>23978</v>
      </c>
      <c r="AA354">
        <v>3</v>
      </c>
      <c r="AB354" t="s">
        <v>39</v>
      </c>
      <c r="AC354">
        <v>21</v>
      </c>
      <c r="AD354">
        <v>4</v>
      </c>
      <c r="AE354" t="str" cm="1">
        <f t="array" ref="AE354">_xlfn.IFS(AD354=1,"Low",AD354=2,"Good",AD354=3,"Excellent",AD354=4,"Outstanding")</f>
        <v>Outstanding</v>
      </c>
      <c r="AF354">
        <v>2</v>
      </c>
      <c r="AG354" t="str" cm="1">
        <f t="array" ref="AG354">_xlfn.IFS(AF354=1,"Low",AF354=2,"Medium",AF354=3,"High",AF354=4,"Very High")</f>
        <v>Medium</v>
      </c>
      <c r="AH354">
        <v>1</v>
      </c>
      <c r="AI354">
        <v>15</v>
      </c>
      <c r="AJ354">
        <v>3</v>
      </c>
      <c r="AK354">
        <v>1</v>
      </c>
      <c r="AL354" t="str" cm="1">
        <f t="array" ref="AL354">_xlfn.IFS(AK354=1,"Low",AK354=2,"Medium",AK354=3,"High",AK354=4,"Very High")</f>
        <v>Low</v>
      </c>
      <c r="AM354">
        <v>0</v>
      </c>
      <c r="AN354">
        <v>0</v>
      </c>
      <c r="AO354">
        <v>0</v>
      </c>
      <c r="AP354">
        <v>0</v>
      </c>
    </row>
    <row r="355" spans="1:42">
      <c r="A355">
        <v>37</v>
      </c>
      <c r="B355" t="str" cm="1">
        <f t="array" ref="B355">_xlfn.IFS(A355&lt;=25,"18-25",A355&lt;=35,"26-35",A355&lt;=45,"36-45",A355&lt;=55,"46-55",A355&gt;55,"56+")</f>
        <v>36-45</v>
      </c>
      <c r="C355" t="s">
        <v>39</v>
      </c>
      <c r="D355" t="s">
        <v>33</v>
      </c>
      <c r="E355" s="2">
        <v>1319</v>
      </c>
      <c r="F355" t="s">
        <v>41</v>
      </c>
      <c r="G355">
        <v>6</v>
      </c>
      <c r="H355" t="str">
        <f t="shared" si="5"/>
        <v>1-10 km</v>
      </c>
      <c r="I355">
        <v>3</v>
      </c>
      <c r="J355" t="str" cm="1">
        <f t="array" ref="J355">_xlfn.IFS(I355=1,"Below College",I355=2,"College",I355=3,"Bachelor",I355=4,"Master",I355=5,"Doctor")</f>
        <v>Bachelor</v>
      </c>
      <c r="K355" t="s">
        <v>47</v>
      </c>
      <c r="L355">
        <v>474</v>
      </c>
      <c r="M355">
        <v>3</v>
      </c>
      <c r="N355" t="str" cm="1">
        <f t="array" ref="N355">_xlfn.IFS(M355=1,"Low",M355=2,"Medium",M355=3,"High",M355=4,"Very High")</f>
        <v>High</v>
      </c>
      <c r="O355" t="s">
        <v>42</v>
      </c>
      <c r="P355" s="2">
        <v>51</v>
      </c>
      <c r="Q355">
        <v>4</v>
      </c>
      <c r="R355" t="str" cm="1">
        <f t="array" ref="R355">_xlfn.IFS(Q355=1,"Low",Q355=2,"Medium",Q355=3,"High",Q355=4,"Very High")</f>
        <v>Very High</v>
      </c>
      <c r="S355">
        <v>2</v>
      </c>
      <c r="T355" t="str" cm="1">
        <f t="array" ref="T355">_xlfn.IFS(S355=1,"Entry Level",S355=2,"Junior",S355=3,"Mid-Level",S355=4,"Senior",S355=5,"Executive")</f>
        <v>Junior</v>
      </c>
      <c r="U355" t="s">
        <v>43</v>
      </c>
      <c r="V355">
        <v>1</v>
      </c>
      <c r="W355" t="str" cm="1">
        <f t="array" ref="W355">_xlfn.IFS(V355=1,"Low",V355=2,"Medium",V355=3,"High",V355=4,"Very High")</f>
        <v>Low</v>
      </c>
      <c r="X355" t="s">
        <v>48</v>
      </c>
      <c r="Y355" s="2">
        <v>5974</v>
      </c>
      <c r="Z355" s="2">
        <v>17001</v>
      </c>
      <c r="AA355">
        <v>4</v>
      </c>
      <c r="AB355" t="s">
        <v>32</v>
      </c>
      <c r="AC355">
        <v>13</v>
      </c>
      <c r="AD355">
        <v>3</v>
      </c>
      <c r="AE355" t="str" cm="1">
        <f t="array" ref="AE355">_xlfn.IFS(AD355=1,"Low",AD355=2,"Good",AD355=3,"Excellent",AD355=4,"Outstanding")</f>
        <v>Excellent</v>
      </c>
      <c r="AF355">
        <v>1</v>
      </c>
      <c r="AG355" t="str" cm="1">
        <f t="array" ref="AG355">_xlfn.IFS(AF355=1,"Low",AF355=2,"Medium",AF355=3,"High",AF355=4,"Very High")</f>
        <v>Low</v>
      </c>
      <c r="AH355">
        <v>2</v>
      </c>
      <c r="AI355">
        <v>13</v>
      </c>
      <c r="AJ355">
        <v>2</v>
      </c>
      <c r="AK355">
        <v>3</v>
      </c>
      <c r="AL355" t="str" cm="1">
        <f t="array" ref="AL355">_xlfn.IFS(AK355=1,"Low",AK355=2,"Medium",AK355=3,"High",AK355=4,"Very High")</f>
        <v>High</v>
      </c>
      <c r="AM355">
        <v>7</v>
      </c>
      <c r="AN355">
        <v>7</v>
      </c>
      <c r="AO355">
        <v>6</v>
      </c>
      <c r="AP355">
        <v>7</v>
      </c>
    </row>
    <row r="356" spans="1:42">
      <c r="A356">
        <v>30</v>
      </c>
      <c r="B356" t="str" cm="1">
        <f t="array" ref="B356">_xlfn.IFS(A356&lt;=25,"18-25",A356&lt;=35,"26-35",A356&lt;=45,"36-45",A356&lt;=55,"46-55",A356&gt;55,"56+")</f>
        <v>26-35</v>
      </c>
      <c r="C356" t="s">
        <v>39</v>
      </c>
      <c r="D356" t="s">
        <v>51</v>
      </c>
      <c r="E356" s="2">
        <v>641</v>
      </c>
      <c r="F356" t="s">
        <v>34</v>
      </c>
      <c r="G356">
        <v>25</v>
      </c>
      <c r="H356" t="str">
        <f t="shared" si="5"/>
        <v>21-30 km</v>
      </c>
      <c r="I356">
        <v>2</v>
      </c>
      <c r="J356" t="str" cm="1">
        <f t="array" ref="J356">_xlfn.IFS(I356=1,"Below College",I356=2,"College",I356=3,"Bachelor",I356=4,"Master",I356=5,"Doctor")</f>
        <v>College</v>
      </c>
      <c r="K356" t="s">
        <v>56</v>
      </c>
      <c r="L356">
        <v>475</v>
      </c>
      <c r="M356">
        <v>4</v>
      </c>
      <c r="N356" t="str" cm="1">
        <f t="array" ref="N356">_xlfn.IFS(M356=1,"Low",M356=2,"Medium",M356=3,"High",M356=4,"Very High")</f>
        <v>Very High</v>
      </c>
      <c r="O356" t="s">
        <v>36</v>
      </c>
      <c r="P356" s="2">
        <v>85</v>
      </c>
      <c r="Q356">
        <v>3</v>
      </c>
      <c r="R356" t="str" cm="1">
        <f t="array" ref="R356">_xlfn.IFS(Q356=1,"Low",Q356=2,"Medium",Q356=3,"High",Q356=4,"Very High")</f>
        <v>High</v>
      </c>
      <c r="S356">
        <v>2</v>
      </c>
      <c r="T356" t="str" cm="1">
        <f t="array" ref="T356">_xlfn.IFS(S356=1,"Entry Level",S356=2,"Junior",S356=3,"Mid-Level",S356=4,"Senior",S356=5,"Executive")</f>
        <v>Junior</v>
      </c>
      <c r="U356" t="s">
        <v>37</v>
      </c>
      <c r="V356">
        <v>3</v>
      </c>
      <c r="W356" t="str" cm="1">
        <f t="array" ref="W356">_xlfn.IFS(V356=1,"Low",V356=2,"Medium",V356=3,"High",V356=4,"Very High")</f>
        <v>High</v>
      </c>
      <c r="X356" t="s">
        <v>44</v>
      </c>
      <c r="Y356" s="2">
        <v>4736</v>
      </c>
      <c r="Z356" s="2">
        <v>6069</v>
      </c>
      <c r="AA356">
        <v>7</v>
      </c>
      <c r="AB356" t="s">
        <v>32</v>
      </c>
      <c r="AC356">
        <v>12</v>
      </c>
      <c r="AD356">
        <v>3</v>
      </c>
      <c r="AE356" t="str" cm="1">
        <f t="array" ref="AE356">_xlfn.IFS(AD356=1,"Low",AD356=2,"Good",AD356=3,"Excellent",AD356=4,"Outstanding")</f>
        <v>Excellent</v>
      </c>
      <c r="AF356">
        <v>2</v>
      </c>
      <c r="AG356" t="str" cm="1">
        <f t="array" ref="AG356">_xlfn.IFS(AF356=1,"Low",AF356=2,"Medium",AF356=3,"High",AF356=4,"Very High")</f>
        <v>Medium</v>
      </c>
      <c r="AH356">
        <v>1</v>
      </c>
      <c r="AI356">
        <v>4</v>
      </c>
      <c r="AJ356">
        <v>2</v>
      </c>
      <c r="AK356">
        <v>4</v>
      </c>
      <c r="AL356" t="str" cm="1">
        <f t="array" ref="AL356">_xlfn.IFS(AK356=1,"Low",AK356=2,"Medium",AK356=3,"High",AK356=4,"Very High")</f>
        <v>Very High</v>
      </c>
      <c r="AM356">
        <v>2</v>
      </c>
      <c r="AN356">
        <v>2</v>
      </c>
      <c r="AO356">
        <v>2</v>
      </c>
      <c r="AP356">
        <v>2</v>
      </c>
    </row>
    <row r="357" spans="1:42">
      <c r="A357">
        <v>26</v>
      </c>
      <c r="B357" t="str" cm="1">
        <f t="array" ref="B357">_xlfn.IFS(A357&lt;=25,"18-25",A357&lt;=35,"26-35",A357&lt;=45,"36-45",A357&lt;=55,"46-55",A357&gt;55,"56+")</f>
        <v>26-35</v>
      </c>
      <c r="C357" t="s">
        <v>39</v>
      </c>
      <c r="D357" t="s">
        <v>33</v>
      </c>
      <c r="E357" s="2">
        <v>933</v>
      </c>
      <c r="F357" t="s">
        <v>34</v>
      </c>
      <c r="G357">
        <v>1</v>
      </c>
      <c r="H357" t="str">
        <f t="shared" si="5"/>
        <v>1-10 km</v>
      </c>
      <c r="I357">
        <v>3</v>
      </c>
      <c r="J357" t="str" cm="1">
        <f t="array" ref="J357">_xlfn.IFS(I357=1,"Below College",I357=2,"College",I357=3,"Bachelor",I357=4,"Master",I357=5,"Doctor")</f>
        <v>Bachelor</v>
      </c>
      <c r="K357" t="s">
        <v>35</v>
      </c>
      <c r="L357">
        <v>476</v>
      </c>
      <c r="M357">
        <v>3</v>
      </c>
      <c r="N357" t="str" cm="1">
        <f t="array" ref="N357">_xlfn.IFS(M357=1,"Low",M357=2,"Medium",M357=3,"High",M357=4,"Very High")</f>
        <v>High</v>
      </c>
      <c r="O357" t="s">
        <v>42</v>
      </c>
      <c r="P357" s="2">
        <v>57</v>
      </c>
      <c r="Q357">
        <v>3</v>
      </c>
      <c r="R357" t="str" cm="1">
        <f t="array" ref="R357">_xlfn.IFS(Q357=1,"Low",Q357=2,"Medium",Q357=3,"High",Q357=4,"Very High")</f>
        <v>High</v>
      </c>
      <c r="S357">
        <v>2</v>
      </c>
      <c r="T357" t="str" cm="1">
        <f t="array" ref="T357">_xlfn.IFS(S357=1,"Entry Level",S357=2,"Junior",S357=3,"Mid-Level",S357=4,"Senior",S357=5,"Executive")</f>
        <v>Junior</v>
      </c>
      <c r="U357" t="s">
        <v>37</v>
      </c>
      <c r="V357">
        <v>3</v>
      </c>
      <c r="W357" t="str" cm="1">
        <f t="array" ref="W357">_xlfn.IFS(V357=1,"Low",V357=2,"Medium",V357=3,"High",V357=4,"Very High")</f>
        <v>High</v>
      </c>
      <c r="X357" t="s">
        <v>44</v>
      </c>
      <c r="Y357" s="2">
        <v>5296</v>
      </c>
      <c r="Z357" s="2">
        <v>20156</v>
      </c>
      <c r="AA357">
        <v>1</v>
      </c>
      <c r="AB357" t="s">
        <v>39</v>
      </c>
      <c r="AC357">
        <v>17</v>
      </c>
      <c r="AD357">
        <v>3</v>
      </c>
      <c r="AE357" t="str" cm="1">
        <f t="array" ref="AE357">_xlfn.IFS(AD357=1,"Low",AD357=2,"Good",AD357=3,"Excellent",AD357=4,"Outstanding")</f>
        <v>Excellent</v>
      </c>
      <c r="AF357">
        <v>2</v>
      </c>
      <c r="AG357" t="str" cm="1">
        <f t="array" ref="AG357">_xlfn.IFS(AF357=1,"Low",AF357=2,"Medium",AF357=3,"High",AF357=4,"Very High")</f>
        <v>Medium</v>
      </c>
      <c r="AH357">
        <v>1</v>
      </c>
      <c r="AI357">
        <v>8</v>
      </c>
      <c r="AJ357">
        <v>3</v>
      </c>
      <c r="AK357">
        <v>3</v>
      </c>
      <c r="AL357" t="str" cm="1">
        <f t="array" ref="AL357">_xlfn.IFS(AK357=1,"Low",AK357=2,"Medium",AK357=3,"High",AK357=4,"Very High")</f>
        <v>High</v>
      </c>
      <c r="AM357">
        <v>8</v>
      </c>
      <c r="AN357">
        <v>7</v>
      </c>
      <c r="AO357">
        <v>7</v>
      </c>
      <c r="AP357">
        <v>7</v>
      </c>
    </row>
    <row r="358" spans="1:42">
      <c r="A358">
        <v>42</v>
      </c>
      <c r="B358" t="str" cm="1">
        <f t="array" ref="B358">_xlfn.IFS(A358&lt;=25,"18-25",A358&lt;=35,"26-35",A358&lt;=45,"36-45",A358&lt;=55,"46-55",A358&gt;55,"56+")</f>
        <v>36-45</v>
      </c>
      <c r="C358" t="s">
        <v>39</v>
      </c>
      <c r="D358" t="s">
        <v>33</v>
      </c>
      <c r="E358" s="2">
        <v>1332</v>
      </c>
      <c r="F358" t="s">
        <v>41</v>
      </c>
      <c r="G358">
        <v>2</v>
      </c>
      <c r="H358" t="str">
        <f t="shared" si="5"/>
        <v>1-10 km</v>
      </c>
      <c r="I358">
        <v>4</v>
      </c>
      <c r="J358" t="str" cm="1">
        <f t="array" ref="J358">_xlfn.IFS(I358=1,"Below College",I358=2,"College",I358=3,"Bachelor",I358=4,"Master",I358=5,"Doctor")</f>
        <v>Master</v>
      </c>
      <c r="K358" t="s">
        <v>45</v>
      </c>
      <c r="L358">
        <v>477</v>
      </c>
      <c r="M358">
        <v>1</v>
      </c>
      <c r="N358" t="str" cm="1">
        <f t="array" ref="N358">_xlfn.IFS(M358=1,"Low",M358=2,"Medium",M358=3,"High",M358=4,"Very High")</f>
        <v>Low</v>
      </c>
      <c r="O358" t="s">
        <v>42</v>
      </c>
      <c r="P358" s="2">
        <v>98</v>
      </c>
      <c r="Q358">
        <v>2</v>
      </c>
      <c r="R358" t="str" cm="1">
        <f t="array" ref="R358">_xlfn.IFS(Q358=1,"Low",Q358=2,"Medium",Q358=3,"High",Q358=4,"Very High")</f>
        <v>Medium</v>
      </c>
      <c r="S358">
        <v>2</v>
      </c>
      <c r="T358" t="str" cm="1">
        <f t="array" ref="T358">_xlfn.IFS(S358=1,"Entry Level",S358=2,"Junior",S358=3,"Mid-Level",S358=4,"Senior",S358=5,"Executive")</f>
        <v>Junior</v>
      </c>
      <c r="U358" t="s">
        <v>50</v>
      </c>
      <c r="V358">
        <v>4</v>
      </c>
      <c r="W358" t="str" cm="1">
        <f t="array" ref="W358">_xlfn.IFS(V358=1,"Low",V358=2,"Medium",V358=3,"High",V358=4,"Very High")</f>
        <v>Very High</v>
      </c>
      <c r="X358" t="s">
        <v>38</v>
      </c>
      <c r="Y358" s="2">
        <v>6781</v>
      </c>
      <c r="Z358" s="2">
        <v>17078</v>
      </c>
      <c r="AA358">
        <v>3</v>
      </c>
      <c r="AB358" t="s">
        <v>39</v>
      </c>
      <c r="AC358">
        <v>23</v>
      </c>
      <c r="AD358">
        <v>4</v>
      </c>
      <c r="AE358" t="str" cm="1">
        <f t="array" ref="AE358">_xlfn.IFS(AD358=1,"Low",AD358=2,"Good",AD358=3,"Excellent",AD358=4,"Outstanding")</f>
        <v>Outstanding</v>
      </c>
      <c r="AF358">
        <v>2</v>
      </c>
      <c r="AG358" t="str" cm="1">
        <f t="array" ref="AG358">_xlfn.IFS(AF358=1,"Low",AF358=2,"Medium",AF358=3,"High",AF358=4,"Very High")</f>
        <v>Medium</v>
      </c>
      <c r="AH358">
        <v>0</v>
      </c>
      <c r="AI358">
        <v>14</v>
      </c>
      <c r="AJ358">
        <v>6</v>
      </c>
      <c r="AK358">
        <v>3</v>
      </c>
      <c r="AL358" t="str" cm="1">
        <f t="array" ref="AL358">_xlfn.IFS(AK358=1,"Low",AK358=2,"Medium",AK358=3,"High",AK358=4,"Very High")</f>
        <v>High</v>
      </c>
      <c r="AM358">
        <v>1</v>
      </c>
      <c r="AN358">
        <v>0</v>
      </c>
      <c r="AO358">
        <v>0</v>
      </c>
      <c r="AP358">
        <v>0</v>
      </c>
    </row>
    <row r="359" spans="1:42">
      <c r="A359">
        <v>21</v>
      </c>
      <c r="B359" t="str" cm="1">
        <f t="array" ref="B359">_xlfn.IFS(A359&lt;=25,"18-25",A359&lt;=35,"26-35",A359&lt;=45,"36-45",A359&lt;=55,"46-55",A359&gt;55,"56+")</f>
        <v>18-25</v>
      </c>
      <c r="C359" t="s">
        <v>32</v>
      </c>
      <c r="D359" t="s">
        <v>40</v>
      </c>
      <c r="E359" s="2">
        <v>756</v>
      </c>
      <c r="F359" t="s">
        <v>34</v>
      </c>
      <c r="G359">
        <v>1</v>
      </c>
      <c r="H359" t="str">
        <f t="shared" si="5"/>
        <v>1-10 km</v>
      </c>
      <c r="I359">
        <v>1</v>
      </c>
      <c r="J359" t="str" cm="1">
        <f t="array" ref="J359">_xlfn.IFS(I359=1,"Below College",I359=2,"College",I359=3,"Bachelor",I359=4,"Master",I359=5,"Doctor")</f>
        <v>Below College</v>
      </c>
      <c r="K359" t="s">
        <v>56</v>
      </c>
      <c r="L359">
        <v>478</v>
      </c>
      <c r="M359">
        <v>1</v>
      </c>
      <c r="N359" t="str" cm="1">
        <f t="array" ref="N359">_xlfn.IFS(M359=1,"Low",M359=2,"Medium",M359=3,"High",M359=4,"Very High")</f>
        <v>Low</v>
      </c>
      <c r="O359" t="s">
        <v>36</v>
      </c>
      <c r="P359" s="2">
        <v>99</v>
      </c>
      <c r="Q359">
        <v>2</v>
      </c>
      <c r="R359" t="str" cm="1">
        <f t="array" ref="R359">_xlfn.IFS(Q359=1,"Low",Q359=2,"Medium",Q359=3,"High",Q359=4,"Very High")</f>
        <v>Medium</v>
      </c>
      <c r="S359">
        <v>1</v>
      </c>
      <c r="T359" t="str" cm="1">
        <f t="array" ref="T359">_xlfn.IFS(S359=1,"Entry Level",S359=2,"Junior",S359=3,"Mid-Level",S359=4,"Senior",S359=5,"Executive")</f>
        <v>Entry Level</v>
      </c>
      <c r="U359" t="s">
        <v>53</v>
      </c>
      <c r="V359">
        <v>2</v>
      </c>
      <c r="W359" t="str" cm="1">
        <f t="array" ref="W359">_xlfn.IFS(V359=1,"Low",V359=2,"Medium",V359=3,"High",V359=4,"Very High")</f>
        <v>Medium</v>
      </c>
      <c r="X359" t="s">
        <v>38</v>
      </c>
      <c r="Y359" s="2">
        <v>2174</v>
      </c>
      <c r="Z359" s="2">
        <v>9150</v>
      </c>
      <c r="AA359">
        <v>1</v>
      </c>
      <c r="AB359" t="s">
        <v>32</v>
      </c>
      <c r="AC359">
        <v>11</v>
      </c>
      <c r="AD359">
        <v>3</v>
      </c>
      <c r="AE359" t="str" cm="1">
        <f t="array" ref="AE359">_xlfn.IFS(AD359=1,"Low",AD359=2,"Good",AD359=3,"Excellent",AD359=4,"Outstanding")</f>
        <v>Excellent</v>
      </c>
      <c r="AF359">
        <v>3</v>
      </c>
      <c r="AG359" t="str" cm="1">
        <f t="array" ref="AG359">_xlfn.IFS(AF359=1,"Low",AF359=2,"Medium",AF359=3,"High",AF359=4,"Very High")</f>
        <v>High</v>
      </c>
      <c r="AH359">
        <v>0</v>
      </c>
      <c r="AI359">
        <v>3</v>
      </c>
      <c r="AJ359">
        <v>3</v>
      </c>
      <c r="AK359">
        <v>3</v>
      </c>
      <c r="AL359" t="str" cm="1">
        <f t="array" ref="AL359">_xlfn.IFS(AK359=1,"Low",AK359=2,"Medium",AK359=3,"High",AK359=4,"Very High")</f>
        <v>High</v>
      </c>
      <c r="AM359">
        <v>3</v>
      </c>
      <c r="AN359">
        <v>2</v>
      </c>
      <c r="AO359">
        <v>1</v>
      </c>
      <c r="AP359">
        <v>2</v>
      </c>
    </row>
    <row r="360" spans="1:42">
      <c r="A360">
        <v>36</v>
      </c>
      <c r="B360" t="str" cm="1">
        <f t="array" ref="B360">_xlfn.IFS(A360&lt;=25,"18-25",A360&lt;=35,"26-35",A360&lt;=45,"36-45",A360&lt;=55,"46-55",A360&gt;55,"56+")</f>
        <v>36-45</v>
      </c>
      <c r="C360" t="s">
        <v>39</v>
      </c>
      <c r="D360" t="s">
        <v>51</v>
      </c>
      <c r="E360" s="2">
        <v>845</v>
      </c>
      <c r="F360" t="s">
        <v>34</v>
      </c>
      <c r="G360">
        <v>1</v>
      </c>
      <c r="H360" t="str">
        <f t="shared" si="5"/>
        <v>1-10 km</v>
      </c>
      <c r="I360">
        <v>5</v>
      </c>
      <c r="J360" t="str" cm="1">
        <f t="array" ref="J360">_xlfn.IFS(I360=1,"Below College",I360=2,"College",I360=3,"Bachelor",I360=4,"Master",I360=5,"Doctor")</f>
        <v>Doctor</v>
      </c>
      <c r="K360" t="s">
        <v>47</v>
      </c>
      <c r="L360">
        <v>479</v>
      </c>
      <c r="M360">
        <v>4</v>
      </c>
      <c r="N360" t="str" cm="1">
        <f t="array" ref="N360">_xlfn.IFS(M360=1,"Low",M360=2,"Medium",M360=3,"High",M360=4,"Very High")</f>
        <v>Very High</v>
      </c>
      <c r="O360" t="s">
        <v>36</v>
      </c>
      <c r="P360" s="2">
        <v>45</v>
      </c>
      <c r="Q360">
        <v>3</v>
      </c>
      <c r="R360" t="str" cm="1">
        <f t="array" ref="R360">_xlfn.IFS(Q360=1,"Low",Q360=2,"Medium",Q360=3,"High",Q360=4,"Very High")</f>
        <v>High</v>
      </c>
      <c r="S360">
        <v>2</v>
      </c>
      <c r="T360" t="str" cm="1">
        <f t="array" ref="T360">_xlfn.IFS(S360=1,"Entry Level",S360=2,"Junior",S360=3,"Mid-Level",S360=4,"Senior",S360=5,"Executive")</f>
        <v>Junior</v>
      </c>
      <c r="U360" t="s">
        <v>37</v>
      </c>
      <c r="V360">
        <v>4</v>
      </c>
      <c r="W360" t="str" cm="1">
        <f t="array" ref="W360">_xlfn.IFS(V360=1,"Low",V360=2,"Medium",V360=3,"High",V360=4,"Very High")</f>
        <v>Very High</v>
      </c>
      <c r="X360" t="s">
        <v>38</v>
      </c>
      <c r="Y360" s="2">
        <v>6653</v>
      </c>
      <c r="Z360" s="2">
        <v>15276</v>
      </c>
      <c r="AA360">
        <v>4</v>
      </c>
      <c r="AB360" t="s">
        <v>39</v>
      </c>
      <c r="AC360">
        <v>15</v>
      </c>
      <c r="AD360">
        <v>3</v>
      </c>
      <c r="AE360" t="str" cm="1">
        <f t="array" ref="AE360">_xlfn.IFS(AD360=1,"Low",AD360=2,"Good",AD360=3,"Excellent",AD360=4,"Outstanding")</f>
        <v>Excellent</v>
      </c>
      <c r="AF360">
        <v>2</v>
      </c>
      <c r="AG360" t="str" cm="1">
        <f t="array" ref="AG360">_xlfn.IFS(AF360=1,"Low",AF360=2,"Medium",AF360=3,"High",AF360=4,"Very High")</f>
        <v>Medium</v>
      </c>
      <c r="AH360">
        <v>0</v>
      </c>
      <c r="AI360">
        <v>7</v>
      </c>
      <c r="AJ360">
        <v>6</v>
      </c>
      <c r="AK360">
        <v>3</v>
      </c>
      <c r="AL360" t="str" cm="1">
        <f t="array" ref="AL360">_xlfn.IFS(AK360=1,"Low",AK360=2,"Medium",AK360=3,"High",AK360=4,"Very High")</f>
        <v>High</v>
      </c>
      <c r="AM360">
        <v>1</v>
      </c>
      <c r="AN360">
        <v>0</v>
      </c>
      <c r="AO360">
        <v>0</v>
      </c>
      <c r="AP360">
        <v>0</v>
      </c>
    </row>
    <row r="361" spans="1:42">
      <c r="A361">
        <v>36</v>
      </c>
      <c r="B361" t="str" cm="1">
        <f t="array" ref="B361">_xlfn.IFS(A361&lt;=25,"18-25",A361&lt;=35,"26-35",A361&lt;=45,"36-45",A361&lt;=55,"46-55",A361&gt;55,"56+")</f>
        <v>36-45</v>
      </c>
      <c r="C361" t="s">
        <v>39</v>
      </c>
      <c r="D361" t="s">
        <v>40</v>
      </c>
      <c r="E361" s="2">
        <v>541</v>
      </c>
      <c r="F361" t="s">
        <v>34</v>
      </c>
      <c r="G361">
        <v>3</v>
      </c>
      <c r="H361" t="str">
        <f t="shared" si="5"/>
        <v>1-10 km</v>
      </c>
      <c r="I361">
        <v>4</v>
      </c>
      <c r="J361" t="str" cm="1">
        <f t="array" ref="J361">_xlfn.IFS(I361=1,"Below College",I361=2,"College",I361=3,"Bachelor",I361=4,"Master",I361=5,"Doctor")</f>
        <v>Master</v>
      </c>
      <c r="K361" t="s">
        <v>47</v>
      </c>
      <c r="L361">
        <v>481</v>
      </c>
      <c r="M361">
        <v>1</v>
      </c>
      <c r="N361" t="str" cm="1">
        <f t="array" ref="N361">_xlfn.IFS(M361=1,"Low",M361=2,"Medium",M361=3,"High",M361=4,"Very High")</f>
        <v>Low</v>
      </c>
      <c r="O361" t="s">
        <v>42</v>
      </c>
      <c r="P361" s="2">
        <v>48</v>
      </c>
      <c r="Q361">
        <v>2</v>
      </c>
      <c r="R361" t="str" cm="1">
        <f t="array" ref="R361">_xlfn.IFS(Q361=1,"Low",Q361=2,"Medium",Q361=3,"High",Q361=4,"Very High")</f>
        <v>Medium</v>
      </c>
      <c r="S361">
        <v>3</v>
      </c>
      <c r="T361" t="str" cm="1">
        <f t="array" ref="T361">_xlfn.IFS(S361=1,"Entry Level",S361=2,"Junior",S361=3,"Mid-Level",S361=4,"Senior",S361=5,"Executive")</f>
        <v>Mid-Level</v>
      </c>
      <c r="U361" t="s">
        <v>37</v>
      </c>
      <c r="V361">
        <v>4</v>
      </c>
      <c r="W361" t="str" cm="1">
        <f t="array" ref="W361">_xlfn.IFS(V361=1,"Low",V361=2,"Medium",V361=3,"High",V361=4,"Very High")</f>
        <v>Very High</v>
      </c>
      <c r="X361" t="s">
        <v>44</v>
      </c>
      <c r="Y361" s="2">
        <v>9699</v>
      </c>
      <c r="Z361" s="2">
        <v>7246</v>
      </c>
      <c r="AA361">
        <v>4</v>
      </c>
      <c r="AB361" t="s">
        <v>39</v>
      </c>
      <c r="AC361">
        <v>11</v>
      </c>
      <c r="AD361">
        <v>3</v>
      </c>
      <c r="AE361" t="str" cm="1">
        <f t="array" ref="AE361">_xlfn.IFS(AD361=1,"Low",AD361=2,"Good",AD361=3,"Excellent",AD361=4,"Outstanding")</f>
        <v>Excellent</v>
      </c>
      <c r="AF361">
        <v>1</v>
      </c>
      <c r="AG361" t="str" cm="1">
        <f t="array" ref="AG361">_xlfn.IFS(AF361=1,"Low",AF361=2,"Medium",AF361=3,"High",AF361=4,"Very High")</f>
        <v>Low</v>
      </c>
      <c r="AH361">
        <v>1</v>
      </c>
      <c r="AI361">
        <v>16</v>
      </c>
      <c r="AJ361">
        <v>2</v>
      </c>
      <c r="AK361">
        <v>3</v>
      </c>
      <c r="AL361" t="str" cm="1">
        <f t="array" ref="AL361">_xlfn.IFS(AK361=1,"Low",AK361=2,"Medium",AK361=3,"High",AK361=4,"Very High")</f>
        <v>High</v>
      </c>
      <c r="AM361">
        <v>13</v>
      </c>
      <c r="AN361">
        <v>9</v>
      </c>
      <c r="AO361">
        <v>1</v>
      </c>
      <c r="AP361">
        <v>12</v>
      </c>
    </row>
    <row r="362" spans="1:42">
      <c r="A362">
        <v>57</v>
      </c>
      <c r="B362" t="str" cm="1">
        <f t="array" ref="B362">_xlfn.IFS(A362&lt;=25,"18-25",A362&lt;=35,"26-35",A362&lt;=45,"36-45",A362&lt;=55,"46-55",A362&gt;55,"56+")</f>
        <v>56+</v>
      </c>
      <c r="C362" t="s">
        <v>39</v>
      </c>
      <c r="D362" t="s">
        <v>33</v>
      </c>
      <c r="E362" s="2">
        <v>593</v>
      </c>
      <c r="F362" t="s">
        <v>41</v>
      </c>
      <c r="G362">
        <v>1</v>
      </c>
      <c r="H362" t="str">
        <f t="shared" si="5"/>
        <v>1-10 km</v>
      </c>
      <c r="I362">
        <v>4</v>
      </c>
      <c r="J362" t="str" cm="1">
        <f t="array" ref="J362">_xlfn.IFS(I362=1,"Below College",I362=2,"College",I362=3,"Bachelor",I362=4,"Master",I362=5,"Doctor")</f>
        <v>Master</v>
      </c>
      <c r="K362" t="s">
        <v>47</v>
      </c>
      <c r="L362">
        <v>482</v>
      </c>
      <c r="M362">
        <v>4</v>
      </c>
      <c r="N362" t="str" cm="1">
        <f t="array" ref="N362">_xlfn.IFS(M362=1,"Low",M362=2,"Medium",M362=3,"High",M362=4,"Very High")</f>
        <v>Very High</v>
      </c>
      <c r="O362" t="s">
        <v>42</v>
      </c>
      <c r="P362" s="2">
        <v>88</v>
      </c>
      <c r="Q362">
        <v>3</v>
      </c>
      <c r="R362" t="str" cm="1">
        <f t="array" ref="R362">_xlfn.IFS(Q362=1,"Low",Q362=2,"Medium",Q362=3,"High",Q362=4,"Very High")</f>
        <v>High</v>
      </c>
      <c r="S362">
        <v>2</v>
      </c>
      <c r="T362" t="str" cm="1">
        <f t="array" ref="T362">_xlfn.IFS(S362=1,"Entry Level",S362=2,"Junior",S362=3,"Mid-Level",S362=4,"Senior",S362=5,"Executive")</f>
        <v>Junior</v>
      </c>
      <c r="U362" t="s">
        <v>50</v>
      </c>
      <c r="V362">
        <v>3</v>
      </c>
      <c r="W362" t="str" cm="1">
        <f t="array" ref="W362">_xlfn.IFS(V362=1,"Low",V362=2,"Medium",V362=3,"High",V362=4,"Very High")</f>
        <v>High</v>
      </c>
      <c r="X362" t="s">
        <v>44</v>
      </c>
      <c r="Y362" s="2">
        <v>6755</v>
      </c>
      <c r="Z362" s="2">
        <v>2967</v>
      </c>
      <c r="AA362">
        <v>2</v>
      </c>
      <c r="AB362" t="s">
        <v>39</v>
      </c>
      <c r="AC362">
        <v>11</v>
      </c>
      <c r="AD362">
        <v>3</v>
      </c>
      <c r="AE362" t="str" cm="1">
        <f t="array" ref="AE362">_xlfn.IFS(AD362=1,"Low",AD362=2,"Good",AD362=3,"Excellent",AD362=4,"Outstanding")</f>
        <v>Excellent</v>
      </c>
      <c r="AF362">
        <v>3</v>
      </c>
      <c r="AG362" t="str" cm="1">
        <f t="array" ref="AG362">_xlfn.IFS(AF362=1,"Low",AF362=2,"Medium",AF362=3,"High",AF362=4,"Very High")</f>
        <v>High</v>
      </c>
      <c r="AH362">
        <v>0</v>
      </c>
      <c r="AI362">
        <v>15</v>
      </c>
      <c r="AJ362">
        <v>2</v>
      </c>
      <c r="AK362">
        <v>3</v>
      </c>
      <c r="AL362" t="str" cm="1">
        <f t="array" ref="AL362">_xlfn.IFS(AK362=1,"Low",AK362=2,"Medium",AK362=3,"High",AK362=4,"Very High")</f>
        <v>High</v>
      </c>
      <c r="AM362">
        <v>3</v>
      </c>
      <c r="AN362">
        <v>2</v>
      </c>
      <c r="AO362">
        <v>1</v>
      </c>
      <c r="AP362">
        <v>2</v>
      </c>
    </row>
    <row r="363" spans="1:42">
      <c r="A363">
        <v>40</v>
      </c>
      <c r="B363" t="str" cm="1">
        <f t="array" ref="B363">_xlfn.IFS(A363&lt;=25,"18-25",A363&lt;=35,"26-35",A363&lt;=45,"36-45",A363&lt;=55,"46-55",A363&gt;55,"56+")</f>
        <v>36-45</v>
      </c>
      <c r="C363" t="s">
        <v>39</v>
      </c>
      <c r="D363" t="s">
        <v>33</v>
      </c>
      <c r="E363" s="2">
        <v>1171</v>
      </c>
      <c r="F363" t="s">
        <v>41</v>
      </c>
      <c r="G363">
        <v>10</v>
      </c>
      <c r="H363" t="str">
        <f t="shared" si="5"/>
        <v>1-10 km</v>
      </c>
      <c r="I363">
        <v>4</v>
      </c>
      <c r="J363" t="str" cm="1">
        <f t="array" ref="J363">_xlfn.IFS(I363=1,"Below College",I363=2,"College",I363=3,"Bachelor",I363=4,"Master",I363=5,"Doctor")</f>
        <v>Master</v>
      </c>
      <c r="K363" t="s">
        <v>35</v>
      </c>
      <c r="L363">
        <v>483</v>
      </c>
      <c r="M363">
        <v>4</v>
      </c>
      <c r="N363" t="str" cm="1">
        <f t="array" ref="N363">_xlfn.IFS(M363=1,"Low",M363=2,"Medium",M363=3,"High",M363=4,"Very High")</f>
        <v>Very High</v>
      </c>
      <c r="O363" t="s">
        <v>36</v>
      </c>
      <c r="P363" s="2">
        <v>46</v>
      </c>
      <c r="Q363">
        <v>4</v>
      </c>
      <c r="R363" t="str" cm="1">
        <f t="array" ref="R363">_xlfn.IFS(Q363=1,"Low",Q363=2,"Medium",Q363=3,"High",Q363=4,"Very High")</f>
        <v>Very High</v>
      </c>
      <c r="S363">
        <v>1</v>
      </c>
      <c r="T363" t="str" cm="1">
        <f t="array" ref="T363">_xlfn.IFS(S363=1,"Entry Level",S363=2,"Junior",S363=3,"Mid-Level",S363=4,"Senior",S363=5,"Executive")</f>
        <v>Entry Level</v>
      </c>
      <c r="U363" t="s">
        <v>46</v>
      </c>
      <c r="V363">
        <v>3</v>
      </c>
      <c r="W363" t="str" cm="1">
        <f t="array" ref="W363">_xlfn.IFS(V363=1,"Low",V363=2,"Medium",V363=3,"High",V363=4,"Very High")</f>
        <v>High</v>
      </c>
      <c r="X363" t="s">
        <v>44</v>
      </c>
      <c r="Y363" s="2">
        <v>2213</v>
      </c>
      <c r="Z363" s="2">
        <v>22495</v>
      </c>
      <c r="AA363">
        <v>3</v>
      </c>
      <c r="AB363" t="s">
        <v>32</v>
      </c>
      <c r="AC363">
        <v>13</v>
      </c>
      <c r="AD363">
        <v>3</v>
      </c>
      <c r="AE363" t="str" cm="1">
        <f t="array" ref="AE363">_xlfn.IFS(AD363=1,"Low",AD363=2,"Good",AD363=3,"Excellent",AD363=4,"Outstanding")</f>
        <v>Excellent</v>
      </c>
      <c r="AF363">
        <v>3</v>
      </c>
      <c r="AG363" t="str" cm="1">
        <f t="array" ref="AG363">_xlfn.IFS(AF363=1,"Low",AF363=2,"Medium",AF363=3,"High",AF363=4,"Very High")</f>
        <v>High</v>
      </c>
      <c r="AH363">
        <v>1</v>
      </c>
      <c r="AI363">
        <v>10</v>
      </c>
      <c r="AJ363">
        <v>3</v>
      </c>
      <c r="AK363">
        <v>3</v>
      </c>
      <c r="AL363" t="str" cm="1">
        <f t="array" ref="AL363">_xlfn.IFS(AK363=1,"Low",AK363=2,"Medium",AK363=3,"High",AK363=4,"Very High")</f>
        <v>High</v>
      </c>
      <c r="AM363">
        <v>7</v>
      </c>
      <c r="AN363">
        <v>7</v>
      </c>
      <c r="AO363">
        <v>1</v>
      </c>
      <c r="AP363">
        <v>7</v>
      </c>
    </row>
    <row r="364" spans="1:42">
      <c r="A364">
        <v>21</v>
      </c>
      <c r="B364" t="str" cm="1">
        <f t="array" ref="B364">_xlfn.IFS(A364&lt;=25,"18-25",A364&lt;=35,"26-35",A364&lt;=45,"36-45",A364&lt;=55,"46-55",A364&gt;55,"56+")</f>
        <v>18-25</v>
      </c>
      <c r="C364" t="s">
        <v>39</v>
      </c>
      <c r="D364" t="s">
        <v>51</v>
      </c>
      <c r="E364" s="2">
        <v>895</v>
      </c>
      <c r="F364" t="s">
        <v>34</v>
      </c>
      <c r="G364">
        <v>9</v>
      </c>
      <c r="H364" t="str">
        <f t="shared" si="5"/>
        <v>1-10 km</v>
      </c>
      <c r="I364">
        <v>2</v>
      </c>
      <c r="J364" t="str" cm="1">
        <f t="array" ref="J364">_xlfn.IFS(I364=1,"Below College",I364=2,"College",I364=3,"Bachelor",I364=4,"Master",I364=5,"Doctor")</f>
        <v>College</v>
      </c>
      <c r="K364" t="s">
        <v>47</v>
      </c>
      <c r="L364">
        <v>484</v>
      </c>
      <c r="M364">
        <v>1</v>
      </c>
      <c r="N364" t="str" cm="1">
        <f t="array" ref="N364">_xlfn.IFS(M364=1,"Low",M364=2,"Medium",M364=3,"High",M364=4,"Very High")</f>
        <v>Low</v>
      </c>
      <c r="O364" t="s">
        <v>42</v>
      </c>
      <c r="P364" s="2">
        <v>39</v>
      </c>
      <c r="Q364">
        <v>3</v>
      </c>
      <c r="R364" t="str" cm="1">
        <f t="array" ref="R364">_xlfn.IFS(Q364=1,"Low",Q364=2,"Medium",Q364=3,"High",Q364=4,"Very High")</f>
        <v>High</v>
      </c>
      <c r="S364">
        <v>1</v>
      </c>
      <c r="T364" t="str" cm="1">
        <f t="array" ref="T364">_xlfn.IFS(S364=1,"Entry Level",S364=2,"Junior",S364=3,"Mid-Level",S364=4,"Senior",S364=5,"Executive")</f>
        <v>Entry Level</v>
      </c>
      <c r="U364" t="s">
        <v>53</v>
      </c>
      <c r="V364">
        <v>4</v>
      </c>
      <c r="W364" t="str" cm="1">
        <f t="array" ref="W364">_xlfn.IFS(V364=1,"Low",V364=2,"Medium",V364=3,"High",V364=4,"Very High")</f>
        <v>Very High</v>
      </c>
      <c r="X364" t="s">
        <v>38</v>
      </c>
      <c r="Y364" s="2">
        <v>2610</v>
      </c>
      <c r="Z364" s="2">
        <v>2851</v>
      </c>
      <c r="AA364">
        <v>1</v>
      </c>
      <c r="AB364" t="s">
        <v>39</v>
      </c>
      <c r="AC364">
        <v>24</v>
      </c>
      <c r="AD364">
        <v>4</v>
      </c>
      <c r="AE364" t="str" cm="1">
        <f t="array" ref="AE364">_xlfn.IFS(AD364=1,"Low",AD364=2,"Good",AD364=3,"Excellent",AD364=4,"Outstanding")</f>
        <v>Outstanding</v>
      </c>
      <c r="AF364">
        <v>3</v>
      </c>
      <c r="AG364" t="str" cm="1">
        <f t="array" ref="AG364">_xlfn.IFS(AF364=1,"Low",AF364=2,"Medium",AF364=3,"High",AF364=4,"Very High")</f>
        <v>High</v>
      </c>
      <c r="AH364">
        <v>0</v>
      </c>
      <c r="AI364">
        <v>3</v>
      </c>
      <c r="AJ364">
        <v>3</v>
      </c>
      <c r="AK364">
        <v>2</v>
      </c>
      <c r="AL364" t="str" cm="1">
        <f t="array" ref="AL364">_xlfn.IFS(AK364=1,"Low",AK364=2,"Medium",AK364=3,"High",AK364=4,"Very High")</f>
        <v>Medium</v>
      </c>
      <c r="AM364">
        <v>3</v>
      </c>
      <c r="AN364">
        <v>2</v>
      </c>
      <c r="AO364">
        <v>2</v>
      </c>
      <c r="AP364">
        <v>2</v>
      </c>
    </row>
    <row r="365" spans="1:42">
      <c r="A365">
        <v>33</v>
      </c>
      <c r="B365" t="str" cm="1">
        <f t="array" ref="B365">_xlfn.IFS(A365&lt;=25,"18-25",A365&lt;=35,"26-35",A365&lt;=45,"36-45",A365&lt;=55,"46-55",A365&gt;55,"56+")</f>
        <v>26-35</v>
      </c>
      <c r="C365" t="s">
        <v>32</v>
      </c>
      <c r="D365" t="s">
        <v>33</v>
      </c>
      <c r="E365" s="2">
        <v>350</v>
      </c>
      <c r="F365" t="s">
        <v>34</v>
      </c>
      <c r="G365">
        <v>5</v>
      </c>
      <c r="H365" t="str">
        <f t="shared" si="5"/>
        <v>1-10 km</v>
      </c>
      <c r="I365">
        <v>3</v>
      </c>
      <c r="J365" t="str" cm="1">
        <f t="array" ref="J365">_xlfn.IFS(I365=1,"Below College",I365=2,"College",I365=3,"Bachelor",I365=4,"Master",I365=5,"Doctor")</f>
        <v>Bachelor</v>
      </c>
      <c r="K365" t="s">
        <v>55</v>
      </c>
      <c r="L365">
        <v>485</v>
      </c>
      <c r="M365">
        <v>4</v>
      </c>
      <c r="N365" t="str" cm="1">
        <f t="array" ref="N365">_xlfn.IFS(M365=1,"Low",M365=2,"Medium",M365=3,"High",M365=4,"Very High")</f>
        <v>Very High</v>
      </c>
      <c r="O365" t="s">
        <v>36</v>
      </c>
      <c r="P365" s="2">
        <v>34</v>
      </c>
      <c r="Q365">
        <v>3</v>
      </c>
      <c r="R365" t="str" cm="1">
        <f t="array" ref="R365">_xlfn.IFS(Q365=1,"Low",Q365=2,"Medium",Q365=3,"High",Q365=4,"Very High")</f>
        <v>High</v>
      </c>
      <c r="S365">
        <v>1</v>
      </c>
      <c r="T365" t="str" cm="1">
        <f t="array" ref="T365">_xlfn.IFS(S365=1,"Entry Level",S365=2,"Junior",S365=3,"Mid-Level",S365=4,"Senior",S365=5,"Executive")</f>
        <v>Entry Level</v>
      </c>
      <c r="U365" t="s">
        <v>53</v>
      </c>
      <c r="V365">
        <v>3</v>
      </c>
      <c r="W365" t="str" cm="1">
        <f t="array" ref="W365">_xlfn.IFS(V365=1,"Low",V365=2,"Medium",V365=3,"High",V365=4,"Very High")</f>
        <v>High</v>
      </c>
      <c r="X365" t="s">
        <v>38</v>
      </c>
      <c r="Y365" s="2">
        <v>2851</v>
      </c>
      <c r="Z365" s="2">
        <v>9150</v>
      </c>
      <c r="AA365">
        <v>1</v>
      </c>
      <c r="AB365" t="s">
        <v>32</v>
      </c>
      <c r="AC365">
        <v>13</v>
      </c>
      <c r="AD365">
        <v>3</v>
      </c>
      <c r="AE365" t="str" cm="1">
        <f t="array" ref="AE365">_xlfn.IFS(AD365=1,"Low",AD365=2,"Good",AD365=3,"Excellent",AD365=4,"Outstanding")</f>
        <v>Excellent</v>
      </c>
      <c r="AF365">
        <v>2</v>
      </c>
      <c r="AG365" t="str" cm="1">
        <f t="array" ref="AG365">_xlfn.IFS(AF365=1,"Low",AF365=2,"Medium",AF365=3,"High",AF365=4,"Very High")</f>
        <v>Medium</v>
      </c>
      <c r="AH365">
        <v>0</v>
      </c>
      <c r="AI365">
        <v>1</v>
      </c>
      <c r="AJ365">
        <v>2</v>
      </c>
      <c r="AK365">
        <v>3</v>
      </c>
      <c r="AL365" t="str" cm="1">
        <f t="array" ref="AL365">_xlfn.IFS(AK365=1,"Low",AK365=2,"Medium",AK365=3,"High",AK365=4,"Very High")</f>
        <v>High</v>
      </c>
      <c r="AM365">
        <v>1</v>
      </c>
      <c r="AN365">
        <v>0</v>
      </c>
      <c r="AO365">
        <v>0</v>
      </c>
      <c r="AP365">
        <v>0</v>
      </c>
    </row>
    <row r="366" spans="1:42">
      <c r="A366">
        <v>37</v>
      </c>
      <c r="B366" t="str" cm="1">
        <f t="array" ref="B366">_xlfn.IFS(A366&lt;=25,"18-25",A366&lt;=35,"26-35",A366&lt;=45,"36-45",A366&lt;=55,"46-55",A366&gt;55,"56+")</f>
        <v>36-45</v>
      </c>
      <c r="C366" t="s">
        <v>39</v>
      </c>
      <c r="D366" t="s">
        <v>33</v>
      </c>
      <c r="E366" s="2">
        <v>921</v>
      </c>
      <c r="F366" t="s">
        <v>41</v>
      </c>
      <c r="G366">
        <v>10</v>
      </c>
      <c r="H366" t="str">
        <f t="shared" si="5"/>
        <v>1-10 km</v>
      </c>
      <c r="I366">
        <v>3</v>
      </c>
      <c r="J366" t="str" cm="1">
        <f t="array" ref="J366">_xlfn.IFS(I366=1,"Below College",I366=2,"College",I366=3,"Bachelor",I366=4,"Master",I366=5,"Doctor")</f>
        <v>Bachelor</v>
      </c>
      <c r="K366" t="s">
        <v>47</v>
      </c>
      <c r="L366">
        <v>486</v>
      </c>
      <c r="M366">
        <v>3</v>
      </c>
      <c r="N366" t="str" cm="1">
        <f t="array" ref="N366">_xlfn.IFS(M366=1,"Low",M366=2,"Medium",M366=3,"High",M366=4,"Very High")</f>
        <v>High</v>
      </c>
      <c r="O366" t="s">
        <v>36</v>
      </c>
      <c r="P366" s="2">
        <v>98</v>
      </c>
      <c r="Q366">
        <v>3</v>
      </c>
      <c r="R366" t="str" cm="1">
        <f t="array" ref="R366">_xlfn.IFS(Q366=1,"Low",Q366=2,"Medium",Q366=3,"High",Q366=4,"Very High")</f>
        <v>High</v>
      </c>
      <c r="S366">
        <v>1</v>
      </c>
      <c r="T366" t="str" cm="1">
        <f t="array" ref="T366">_xlfn.IFS(S366=1,"Entry Level",S366=2,"Junior",S366=3,"Mid-Level",S366=4,"Senior",S366=5,"Executive")</f>
        <v>Entry Level</v>
      </c>
      <c r="U366" t="s">
        <v>46</v>
      </c>
      <c r="V366">
        <v>1</v>
      </c>
      <c r="W366" t="str" cm="1">
        <f t="array" ref="W366">_xlfn.IFS(V366=1,"Low",V366=2,"Medium",V366=3,"High",V366=4,"Very High")</f>
        <v>Low</v>
      </c>
      <c r="X366" t="s">
        <v>44</v>
      </c>
      <c r="Y366" s="2">
        <v>3452</v>
      </c>
      <c r="Z366" s="2">
        <v>17663</v>
      </c>
      <c r="AA366">
        <v>6</v>
      </c>
      <c r="AB366" t="s">
        <v>39</v>
      </c>
      <c r="AC366">
        <v>20</v>
      </c>
      <c r="AD366">
        <v>4</v>
      </c>
      <c r="AE366" t="str" cm="1">
        <f t="array" ref="AE366">_xlfn.IFS(AD366=1,"Low",AD366=2,"Good",AD366=3,"Excellent",AD366=4,"Outstanding")</f>
        <v>Outstanding</v>
      </c>
      <c r="AF366">
        <v>2</v>
      </c>
      <c r="AG366" t="str" cm="1">
        <f t="array" ref="AG366">_xlfn.IFS(AF366=1,"Low",AF366=2,"Medium",AF366=3,"High",AF366=4,"Very High")</f>
        <v>Medium</v>
      </c>
      <c r="AH366">
        <v>1</v>
      </c>
      <c r="AI366">
        <v>17</v>
      </c>
      <c r="AJ366">
        <v>3</v>
      </c>
      <c r="AK366">
        <v>3</v>
      </c>
      <c r="AL366" t="str" cm="1">
        <f t="array" ref="AL366">_xlfn.IFS(AK366=1,"Low",AK366=2,"Medium",AK366=3,"High",AK366=4,"Very High")</f>
        <v>High</v>
      </c>
      <c r="AM366">
        <v>5</v>
      </c>
      <c r="AN366">
        <v>4</v>
      </c>
      <c r="AO366">
        <v>0</v>
      </c>
      <c r="AP366">
        <v>3</v>
      </c>
    </row>
    <row r="367" spans="1:42">
      <c r="A367">
        <v>46</v>
      </c>
      <c r="B367" t="str" cm="1">
        <f t="array" ref="B367">_xlfn.IFS(A367&lt;=25,"18-25",A367&lt;=35,"26-35",A367&lt;=45,"36-45",A367&lt;=55,"46-55",A367&gt;55,"56+")</f>
        <v>46-55</v>
      </c>
      <c r="C367" t="s">
        <v>39</v>
      </c>
      <c r="D367" t="s">
        <v>51</v>
      </c>
      <c r="E367" s="2">
        <v>1144</v>
      </c>
      <c r="F367" t="s">
        <v>41</v>
      </c>
      <c r="G367">
        <v>7</v>
      </c>
      <c r="H367" t="str">
        <f t="shared" si="5"/>
        <v>1-10 km</v>
      </c>
      <c r="I367">
        <v>4</v>
      </c>
      <c r="J367" t="str" cm="1">
        <f t="array" ref="J367">_xlfn.IFS(I367=1,"Below College",I367=2,"College",I367=3,"Bachelor",I367=4,"Master",I367=5,"Doctor")</f>
        <v>Master</v>
      </c>
      <c r="K367" t="s">
        <v>47</v>
      </c>
      <c r="L367">
        <v>487</v>
      </c>
      <c r="M367">
        <v>3</v>
      </c>
      <c r="N367" t="str" cm="1">
        <f t="array" ref="N367">_xlfn.IFS(M367=1,"Low",M367=2,"Medium",M367=3,"High",M367=4,"Very High")</f>
        <v>High</v>
      </c>
      <c r="O367" t="s">
        <v>36</v>
      </c>
      <c r="P367" s="2">
        <v>30</v>
      </c>
      <c r="Q367">
        <v>3</v>
      </c>
      <c r="R367" t="str" cm="1">
        <f t="array" ref="R367">_xlfn.IFS(Q367=1,"Low",Q367=2,"Medium",Q367=3,"High",Q367=4,"Very High")</f>
        <v>High</v>
      </c>
      <c r="S367">
        <v>2</v>
      </c>
      <c r="T367" t="str" cm="1">
        <f t="array" ref="T367">_xlfn.IFS(S367=1,"Entry Level",S367=2,"Junior",S367=3,"Mid-Level",S367=4,"Senior",S367=5,"Executive")</f>
        <v>Junior</v>
      </c>
      <c r="U367" t="s">
        <v>49</v>
      </c>
      <c r="V367">
        <v>3</v>
      </c>
      <c r="W367" t="str" cm="1">
        <f t="array" ref="W367">_xlfn.IFS(V367=1,"Low",V367=2,"Medium",V367=3,"High",V367=4,"Very High")</f>
        <v>High</v>
      </c>
      <c r="X367" t="s">
        <v>44</v>
      </c>
      <c r="Y367" s="2">
        <v>5258</v>
      </c>
      <c r="Z367" s="2">
        <v>16044</v>
      </c>
      <c r="AA367">
        <v>2</v>
      </c>
      <c r="AB367" t="s">
        <v>39</v>
      </c>
      <c r="AC367">
        <v>14</v>
      </c>
      <c r="AD367">
        <v>3</v>
      </c>
      <c r="AE367" t="str" cm="1">
        <f t="array" ref="AE367">_xlfn.IFS(AD367=1,"Low",AD367=2,"Good",AD367=3,"Excellent",AD367=4,"Outstanding")</f>
        <v>Excellent</v>
      </c>
      <c r="AF367">
        <v>3</v>
      </c>
      <c r="AG367" t="str" cm="1">
        <f t="array" ref="AG367">_xlfn.IFS(AF367=1,"Low",AF367=2,"Medium",AF367=3,"High",AF367=4,"Very High")</f>
        <v>High</v>
      </c>
      <c r="AH367">
        <v>0</v>
      </c>
      <c r="AI367">
        <v>7</v>
      </c>
      <c r="AJ367">
        <v>2</v>
      </c>
      <c r="AK367">
        <v>4</v>
      </c>
      <c r="AL367" t="str" cm="1">
        <f t="array" ref="AL367">_xlfn.IFS(AK367=1,"Low",AK367=2,"Medium",AK367=3,"High",AK367=4,"Very High")</f>
        <v>Very High</v>
      </c>
      <c r="AM367">
        <v>1</v>
      </c>
      <c r="AN367">
        <v>0</v>
      </c>
      <c r="AO367">
        <v>0</v>
      </c>
      <c r="AP367">
        <v>0</v>
      </c>
    </row>
    <row r="368" spans="1:42">
      <c r="A368">
        <v>41</v>
      </c>
      <c r="B368" t="str" cm="1">
        <f t="array" ref="B368">_xlfn.IFS(A368&lt;=25,"18-25",A368&lt;=35,"26-35",A368&lt;=45,"36-45",A368&lt;=55,"46-55",A368&gt;55,"56+")</f>
        <v>36-45</v>
      </c>
      <c r="C368" t="s">
        <v>32</v>
      </c>
      <c r="D368" t="s">
        <v>40</v>
      </c>
      <c r="E368" s="2">
        <v>143</v>
      </c>
      <c r="F368" t="s">
        <v>34</v>
      </c>
      <c r="G368">
        <v>4</v>
      </c>
      <c r="H368" t="str">
        <f t="shared" si="5"/>
        <v>1-10 km</v>
      </c>
      <c r="I368">
        <v>3</v>
      </c>
      <c r="J368" t="str" cm="1">
        <f t="array" ref="J368">_xlfn.IFS(I368=1,"Below College",I368=2,"College",I368=3,"Bachelor",I368=4,"Master",I368=5,"Doctor")</f>
        <v>Bachelor</v>
      </c>
      <c r="K368" t="s">
        <v>55</v>
      </c>
      <c r="L368">
        <v>488</v>
      </c>
      <c r="M368">
        <v>1</v>
      </c>
      <c r="N368" t="str" cm="1">
        <f t="array" ref="N368">_xlfn.IFS(M368=1,"Low",M368=2,"Medium",M368=3,"High",M368=4,"Very High")</f>
        <v>Low</v>
      </c>
      <c r="O368" t="s">
        <v>42</v>
      </c>
      <c r="P368" s="2">
        <v>56</v>
      </c>
      <c r="Q368">
        <v>3</v>
      </c>
      <c r="R368" t="str" cm="1">
        <f t="array" ref="R368">_xlfn.IFS(Q368=1,"Low",Q368=2,"Medium",Q368=3,"High",Q368=4,"Very High")</f>
        <v>High</v>
      </c>
      <c r="S368">
        <v>2</v>
      </c>
      <c r="T368" t="str" cm="1">
        <f t="array" ref="T368">_xlfn.IFS(S368=1,"Entry Level",S368=2,"Junior",S368=3,"Mid-Level",S368=4,"Senior",S368=5,"Executive")</f>
        <v>Junior</v>
      </c>
      <c r="U368" t="s">
        <v>37</v>
      </c>
      <c r="V368">
        <v>2</v>
      </c>
      <c r="W368" t="str" cm="1">
        <f t="array" ref="W368">_xlfn.IFS(V368=1,"Low",V368=2,"Medium",V368=3,"High",V368=4,"Very High")</f>
        <v>Medium</v>
      </c>
      <c r="X368" t="s">
        <v>38</v>
      </c>
      <c r="Y368" s="2">
        <v>9355</v>
      </c>
      <c r="Z368" s="2">
        <v>9558</v>
      </c>
      <c r="AA368">
        <v>1</v>
      </c>
      <c r="AB368" t="s">
        <v>39</v>
      </c>
      <c r="AC368">
        <v>18</v>
      </c>
      <c r="AD368">
        <v>3</v>
      </c>
      <c r="AE368" t="str" cm="1">
        <f t="array" ref="AE368">_xlfn.IFS(AD368=1,"Low",AD368=2,"Good",AD368=3,"Excellent",AD368=4,"Outstanding")</f>
        <v>Excellent</v>
      </c>
      <c r="AF368">
        <v>3</v>
      </c>
      <c r="AG368" t="str" cm="1">
        <f t="array" ref="AG368">_xlfn.IFS(AF368=1,"Low",AF368=2,"Medium",AF368=3,"High",AF368=4,"Very High")</f>
        <v>High</v>
      </c>
      <c r="AH368">
        <v>0</v>
      </c>
      <c r="AI368">
        <v>8</v>
      </c>
      <c r="AJ368">
        <v>5</v>
      </c>
      <c r="AK368">
        <v>3</v>
      </c>
      <c r="AL368" t="str" cm="1">
        <f t="array" ref="AL368">_xlfn.IFS(AK368=1,"Low",AK368=2,"Medium",AK368=3,"High",AK368=4,"Very High")</f>
        <v>High</v>
      </c>
      <c r="AM368">
        <v>8</v>
      </c>
      <c r="AN368">
        <v>7</v>
      </c>
      <c r="AO368">
        <v>7</v>
      </c>
      <c r="AP368">
        <v>7</v>
      </c>
    </row>
    <row r="369" spans="1:42">
      <c r="A369">
        <v>50</v>
      </c>
      <c r="B369" t="str" cm="1">
        <f t="array" ref="B369">_xlfn.IFS(A369&lt;=25,"18-25",A369&lt;=35,"26-35",A369&lt;=45,"36-45",A369&lt;=55,"46-55",A369&gt;55,"56+")</f>
        <v>46-55</v>
      </c>
      <c r="C369" t="s">
        <v>39</v>
      </c>
      <c r="D369" t="s">
        <v>33</v>
      </c>
      <c r="E369" s="2">
        <v>1046</v>
      </c>
      <c r="F369" t="s">
        <v>41</v>
      </c>
      <c r="G369">
        <v>10</v>
      </c>
      <c r="H369" t="str">
        <f t="shared" si="5"/>
        <v>1-10 km</v>
      </c>
      <c r="I369">
        <v>3</v>
      </c>
      <c r="J369" t="str" cm="1">
        <f t="array" ref="J369">_xlfn.IFS(I369=1,"Below College",I369=2,"College",I369=3,"Bachelor",I369=4,"Master",I369=5,"Doctor")</f>
        <v>Bachelor</v>
      </c>
      <c r="K369" t="s">
        <v>56</v>
      </c>
      <c r="L369">
        <v>491</v>
      </c>
      <c r="M369">
        <v>4</v>
      </c>
      <c r="N369" t="str" cm="1">
        <f t="array" ref="N369">_xlfn.IFS(M369=1,"Low",M369=2,"Medium",M369=3,"High",M369=4,"Very High")</f>
        <v>Very High</v>
      </c>
      <c r="O369" t="s">
        <v>42</v>
      </c>
      <c r="P369" s="2">
        <v>100</v>
      </c>
      <c r="Q369">
        <v>2</v>
      </c>
      <c r="R369" t="str" cm="1">
        <f t="array" ref="R369">_xlfn.IFS(Q369=1,"Low",Q369=2,"Medium",Q369=3,"High",Q369=4,"Very High")</f>
        <v>Medium</v>
      </c>
      <c r="S369">
        <v>3</v>
      </c>
      <c r="T369" t="str" cm="1">
        <f t="array" ref="T369">_xlfn.IFS(S369=1,"Entry Level",S369=2,"Junior",S369=3,"Mid-Level",S369=4,"Senior",S369=5,"Executive")</f>
        <v>Mid-Level</v>
      </c>
      <c r="U369" t="s">
        <v>50</v>
      </c>
      <c r="V369">
        <v>4</v>
      </c>
      <c r="W369" t="str" cm="1">
        <f t="array" ref="W369">_xlfn.IFS(V369=1,"Low",V369=2,"Medium",V369=3,"High",V369=4,"Very High")</f>
        <v>Very High</v>
      </c>
      <c r="X369" t="s">
        <v>38</v>
      </c>
      <c r="Y369" s="2">
        <v>10496</v>
      </c>
      <c r="Z369" s="2">
        <v>2755</v>
      </c>
      <c r="AA369">
        <v>6</v>
      </c>
      <c r="AB369" t="s">
        <v>39</v>
      </c>
      <c r="AC369">
        <v>15</v>
      </c>
      <c r="AD369">
        <v>3</v>
      </c>
      <c r="AE369" t="str" cm="1">
        <f t="array" ref="AE369">_xlfn.IFS(AD369=1,"Low",AD369=2,"Good",AD369=3,"Excellent",AD369=4,"Outstanding")</f>
        <v>Excellent</v>
      </c>
      <c r="AF369">
        <v>4</v>
      </c>
      <c r="AG369" t="str" cm="1">
        <f t="array" ref="AG369">_xlfn.IFS(AF369=1,"Low",AF369=2,"Medium",AF369=3,"High",AF369=4,"Very High")</f>
        <v>Very High</v>
      </c>
      <c r="AH369">
        <v>0</v>
      </c>
      <c r="AI369">
        <v>20</v>
      </c>
      <c r="AJ369">
        <v>2</v>
      </c>
      <c r="AK369">
        <v>3</v>
      </c>
      <c r="AL369" t="str" cm="1">
        <f t="array" ref="AL369">_xlfn.IFS(AK369=1,"Low",AK369=2,"Medium",AK369=3,"High",AK369=4,"Very High")</f>
        <v>High</v>
      </c>
      <c r="AM369">
        <v>4</v>
      </c>
      <c r="AN369">
        <v>3</v>
      </c>
      <c r="AO369">
        <v>1</v>
      </c>
      <c r="AP369">
        <v>3</v>
      </c>
    </row>
    <row r="370" spans="1:42">
      <c r="A370">
        <v>40</v>
      </c>
      <c r="B370" t="str" cm="1">
        <f t="array" ref="B370">_xlfn.IFS(A370&lt;=25,"18-25",A370&lt;=35,"26-35",A370&lt;=45,"36-45",A370&lt;=55,"46-55",A370&gt;55,"56+")</f>
        <v>36-45</v>
      </c>
      <c r="C370" t="s">
        <v>32</v>
      </c>
      <c r="D370" t="s">
        <v>33</v>
      </c>
      <c r="E370" s="2">
        <v>575</v>
      </c>
      <c r="F370" t="s">
        <v>34</v>
      </c>
      <c r="G370">
        <v>22</v>
      </c>
      <c r="H370" t="str">
        <f t="shared" si="5"/>
        <v>21-30 km</v>
      </c>
      <c r="I370">
        <v>2</v>
      </c>
      <c r="J370" t="str" cm="1">
        <f t="array" ref="J370">_xlfn.IFS(I370=1,"Below College",I370=2,"College",I370=3,"Bachelor",I370=4,"Master",I370=5,"Doctor")</f>
        <v>College</v>
      </c>
      <c r="K370" t="s">
        <v>55</v>
      </c>
      <c r="L370">
        <v>492</v>
      </c>
      <c r="M370">
        <v>3</v>
      </c>
      <c r="N370" t="str" cm="1">
        <f t="array" ref="N370">_xlfn.IFS(M370=1,"Low",M370=2,"Medium",M370=3,"High",M370=4,"Very High")</f>
        <v>High</v>
      </c>
      <c r="O370" t="s">
        <v>42</v>
      </c>
      <c r="P370" s="2">
        <v>68</v>
      </c>
      <c r="Q370">
        <v>2</v>
      </c>
      <c r="R370" t="str" cm="1">
        <f t="array" ref="R370">_xlfn.IFS(Q370=1,"Low",Q370=2,"Medium",Q370=3,"High",Q370=4,"Very High")</f>
        <v>Medium</v>
      </c>
      <c r="S370">
        <v>2</v>
      </c>
      <c r="T370" t="str" cm="1">
        <f t="array" ref="T370">_xlfn.IFS(S370=1,"Entry Level",S370=2,"Junior",S370=3,"Mid-Level",S370=4,"Senior",S370=5,"Executive")</f>
        <v>Junior</v>
      </c>
      <c r="U370" t="s">
        <v>37</v>
      </c>
      <c r="V370">
        <v>3</v>
      </c>
      <c r="W370" t="str" cm="1">
        <f t="array" ref="W370">_xlfn.IFS(V370=1,"Low",V370=2,"Medium",V370=3,"High",V370=4,"Very High")</f>
        <v>High</v>
      </c>
      <c r="X370" t="s">
        <v>44</v>
      </c>
      <c r="Y370" s="2">
        <v>6380</v>
      </c>
      <c r="Z370" s="2">
        <v>6110</v>
      </c>
      <c r="AA370">
        <v>2</v>
      </c>
      <c r="AB370" t="s">
        <v>32</v>
      </c>
      <c r="AC370">
        <v>12</v>
      </c>
      <c r="AD370">
        <v>3</v>
      </c>
      <c r="AE370" t="str" cm="1">
        <f t="array" ref="AE370">_xlfn.IFS(AD370=1,"Low",AD370=2,"Good",AD370=3,"Excellent",AD370=4,"Outstanding")</f>
        <v>Excellent</v>
      </c>
      <c r="AF370">
        <v>1</v>
      </c>
      <c r="AG370" t="str" cm="1">
        <f t="array" ref="AG370">_xlfn.IFS(AF370=1,"Low",AF370=2,"Medium",AF370=3,"High",AF370=4,"Very High")</f>
        <v>Low</v>
      </c>
      <c r="AH370">
        <v>2</v>
      </c>
      <c r="AI370">
        <v>8</v>
      </c>
      <c r="AJ370">
        <v>6</v>
      </c>
      <c r="AK370">
        <v>3</v>
      </c>
      <c r="AL370" t="str" cm="1">
        <f t="array" ref="AL370">_xlfn.IFS(AK370=1,"Low",AK370=2,"Medium",AK370=3,"High",AK370=4,"Very High")</f>
        <v>High</v>
      </c>
      <c r="AM370">
        <v>6</v>
      </c>
      <c r="AN370">
        <v>4</v>
      </c>
      <c r="AO370">
        <v>1</v>
      </c>
      <c r="AP370">
        <v>0</v>
      </c>
    </row>
    <row r="371" spans="1:42">
      <c r="A371">
        <v>31</v>
      </c>
      <c r="B371" t="str" cm="1">
        <f t="array" ref="B371">_xlfn.IFS(A371&lt;=25,"18-25",A371&lt;=35,"26-35",A371&lt;=45,"36-45",A371&lt;=55,"46-55",A371&gt;55,"56+")</f>
        <v>26-35</v>
      </c>
      <c r="C371" t="s">
        <v>39</v>
      </c>
      <c r="D371" t="s">
        <v>33</v>
      </c>
      <c r="E371" s="2">
        <v>408</v>
      </c>
      <c r="F371" t="s">
        <v>41</v>
      </c>
      <c r="G371">
        <v>9</v>
      </c>
      <c r="H371" t="str">
        <f t="shared" si="5"/>
        <v>1-10 km</v>
      </c>
      <c r="I371">
        <v>4</v>
      </c>
      <c r="J371" t="str" cm="1">
        <f t="array" ref="J371">_xlfn.IFS(I371=1,"Below College",I371=2,"College",I371=3,"Bachelor",I371=4,"Master",I371=5,"Doctor")</f>
        <v>Master</v>
      </c>
      <c r="K371" t="s">
        <v>35</v>
      </c>
      <c r="L371">
        <v>493</v>
      </c>
      <c r="M371">
        <v>3</v>
      </c>
      <c r="N371" t="str" cm="1">
        <f t="array" ref="N371">_xlfn.IFS(M371=1,"Low",M371=2,"Medium",M371=3,"High",M371=4,"Very High")</f>
        <v>High</v>
      </c>
      <c r="O371" t="s">
        <v>42</v>
      </c>
      <c r="P371" s="2">
        <v>42</v>
      </c>
      <c r="Q371">
        <v>2</v>
      </c>
      <c r="R371" t="str" cm="1">
        <f t="array" ref="R371">_xlfn.IFS(Q371=1,"Low",Q371=2,"Medium",Q371=3,"High",Q371=4,"Very High")</f>
        <v>Medium</v>
      </c>
      <c r="S371">
        <v>1</v>
      </c>
      <c r="T371" t="str" cm="1">
        <f t="array" ref="T371">_xlfn.IFS(S371=1,"Entry Level",S371=2,"Junior",S371=3,"Mid-Level",S371=4,"Senior",S371=5,"Executive")</f>
        <v>Entry Level</v>
      </c>
      <c r="U371" t="s">
        <v>43</v>
      </c>
      <c r="V371">
        <v>2</v>
      </c>
      <c r="W371" t="str" cm="1">
        <f t="array" ref="W371">_xlfn.IFS(V371=1,"Low",V371=2,"Medium",V371=3,"High",V371=4,"Very High")</f>
        <v>Medium</v>
      </c>
      <c r="X371" t="s">
        <v>38</v>
      </c>
      <c r="Y371" s="2">
        <v>2657</v>
      </c>
      <c r="Z371" s="2">
        <v>7551</v>
      </c>
      <c r="AA371">
        <v>0</v>
      </c>
      <c r="AB371" t="s">
        <v>32</v>
      </c>
      <c r="AC371">
        <v>16</v>
      </c>
      <c r="AD371">
        <v>3</v>
      </c>
      <c r="AE371" t="str" cm="1">
        <f t="array" ref="AE371">_xlfn.IFS(AD371=1,"Low",AD371=2,"Good",AD371=3,"Excellent",AD371=4,"Outstanding")</f>
        <v>Excellent</v>
      </c>
      <c r="AF371">
        <v>4</v>
      </c>
      <c r="AG371" t="str" cm="1">
        <f t="array" ref="AG371">_xlfn.IFS(AF371=1,"Low",AF371=2,"Medium",AF371=3,"High",AF371=4,"Very High")</f>
        <v>Very High</v>
      </c>
      <c r="AH371">
        <v>0</v>
      </c>
      <c r="AI371">
        <v>3</v>
      </c>
      <c r="AJ371">
        <v>5</v>
      </c>
      <c r="AK371">
        <v>3</v>
      </c>
      <c r="AL371" t="str" cm="1">
        <f t="array" ref="AL371">_xlfn.IFS(AK371=1,"Low",AK371=2,"Medium",AK371=3,"High",AK371=4,"Very High")</f>
        <v>High</v>
      </c>
      <c r="AM371">
        <v>2</v>
      </c>
      <c r="AN371">
        <v>2</v>
      </c>
      <c r="AO371">
        <v>2</v>
      </c>
      <c r="AP371">
        <v>2</v>
      </c>
    </row>
    <row r="372" spans="1:42">
      <c r="A372">
        <v>21</v>
      </c>
      <c r="B372" t="str" cm="1">
        <f t="array" ref="B372">_xlfn.IFS(A372&lt;=25,"18-25",A372&lt;=35,"26-35",A372&lt;=45,"36-45",A372&lt;=55,"46-55",A372&gt;55,"56+")</f>
        <v>18-25</v>
      </c>
      <c r="C372" t="s">
        <v>32</v>
      </c>
      <c r="D372" t="s">
        <v>33</v>
      </c>
      <c r="E372" s="2">
        <v>156</v>
      </c>
      <c r="F372" t="s">
        <v>34</v>
      </c>
      <c r="G372">
        <v>12</v>
      </c>
      <c r="H372" t="str">
        <f t="shared" si="5"/>
        <v>11-20 km</v>
      </c>
      <c r="I372">
        <v>3</v>
      </c>
      <c r="J372" t="str" cm="1">
        <f t="array" ref="J372">_xlfn.IFS(I372=1,"Below College",I372=2,"College",I372=3,"Bachelor",I372=4,"Master",I372=5,"Doctor")</f>
        <v>Bachelor</v>
      </c>
      <c r="K372" t="s">
        <v>35</v>
      </c>
      <c r="L372">
        <v>494</v>
      </c>
      <c r="M372">
        <v>3</v>
      </c>
      <c r="N372" t="str" cm="1">
        <f t="array" ref="N372">_xlfn.IFS(M372=1,"Low",M372=2,"Medium",M372=3,"High",M372=4,"Very High")</f>
        <v>High</v>
      </c>
      <c r="O372" t="s">
        <v>36</v>
      </c>
      <c r="P372" s="2">
        <v>90</v>
      </c>
      <c r="Q372">
        <v>4</v>
      </c>
      <c r="R372" t="str" cm="1">
        <f t="array" ref="R372">_xlfn.IFS(Q372=1,"Low",Q372=2,"Medium",Q372=3,"High",Q372=4,"Very High")</f>
        <v>Very High</v>
      </c>
      <c r="S372">
        <v>1</v>
      </c>
      <c r="T372" t="str" cm="1">
        <f t="array" ref="T372">_xlfn.IFS(S372=1,"Entry Level",S372=2,"Junior",S372=3,"Mid-Level",S372=4,"Senior",S372=5,"Executive")</f>
        <v>Entry Level</v>
      </c>
      <c r="U372" t="s">
        <v>53</v>
      </c>
      <c r="V372">
        <v>2</v>
      </c>
      <c r="W372" t="str" cm="1">
        <f t="array" ref="W372">_xlfn.IFS(V372=1,"Low",V372=2,"Medium",V372=3,"High",V372=4,"Very High")</f>
        <v>Medium</v>
      </c>
      <c r="X372" t="s">
        <v>38</v>
      </c>
      <c r="Y372" s="2">
        <v>2716</v>
      </c>
      <c r="Z372" s="2">
        <v>25422</v>
      </c>
      <c r="AA372">
        <v>1</v>
      </c>
      <c r="AB372" t="s">
        <v>39</v>
      </c>
      <c r="AC372">
        <v>15</v>
      </c>
      <c r="AD372">
        <v>3</v>
      </c>
      <c r="AE372" t="str" cm="1">
        <f t="array" ref="AE372">_xlfn.IFS(AD372=1,"Low",AD372=2,"Good",AD372=3,"Excellent",AD372=4,"Outstanding")</f>
        <v>Excellent</v>
      </c>
      <c r="AF372">
        <v>4</v>
      </c>
      <c r="AG372" t="str" cm="1">
        <f t="array" ref="AG372">_xlfn.IFS(AF372=1,"Low",AF372=2,"Medium",AF372=3,"High",AF372=4,"Very High")</f>
        <v>Very High</v>
      </c>
      <c r="AH372">
        <v>0</v>
      </c>
      <c r="AI372">
        <v>1</v>
      </c>
      <c r="AJ372">
        <v>0</v>
      </c>
      <c r="AK372">
        <v>3</v>
      </c>
      <c r="AL372" t="str" cm="1">
        <f t="array" ref="AL372">_xlfn.IFS(AK372=1,"Low",AK372=2,"Medium",AK372=3,"High",AK372=4,"Very High")</f>
        <v>High</v>
      </c>
      <c r="AM372">
        <v>1</v>
      </c>
      <c r="AN372">
        <v>0</v>
      </c>
      <c r="AO372">
        <v>0</v>
      </c>
      <c r="AP372">
        <v>0</v>
      </c>
    </row>
    <row r="373" spans="1:42">
      <c r="A373">
        <v>29</v>
      </c>
      <c r="B373" t="str" cm="1">
        <f t="array" ref="B373">_xlfn.IFS(A373&lt;=25,"18-25",A373&lt;=35,"26-35",A373&lt;=45,"36-45",A373&lt;=55,"46-55",A373&gt;55,"56+")</f>
        <v>26-35</v>
      </c>
      <c r="C373" t="s">
        <v>39</v>
      </c>
      <c r="D373" t="s">
        <v>33</v>
      </c>
      <c r="E373" s="2">
        <v>1283</v>
      </c>
      <c r="F373" t="s">
        <v>41</v>
      </c>
      <c r="G373">
        <v>23</v>
      </c>
      <c r="H373" t="str">
        <f t="shared" si="5"/>
        <v>21-30 km</v>
      </c>
      <c r="I373">
        <v>3</v>
      </c>
      <c r="J373" t="str" cm="1">
        <f t="array" ref="J373">_xlfn.IFS(I373=1,"Below College",I373=2,"College",I373=3,"Bachelor",I373=4,"Master",I373=5,"Doctor")</f>
        <v>Bachelor</v>
      </c>
      <c r="K373" t="s">
        <v>35</v>
      </c>
      <c r="L373">
        <v>495</v>
      </c>
      <c r="M373">
        <v>4</v>
      </c>
      <c r="N373" t="str" cm="1">
        <f t="array" ref="N373">_xlfn.IFS(M373=1,"Low",M373=2,"Medium",M373=3,"High",M373=4,"Very High")</f>
        <v>Very High</v>
      </c>
      <c r="O373" t="s">
        <v>42</v>
      </c>
      <c r="P373" s="2">
        <v>54</v>
      </c>
      <c r="Q373">
        <v>3</v>
      </c>
      <c r="R373" t="str" cm="1">
        <f t="array" ref="R373">_xlfn.IFS(Q373=1,"Low",Q373=2,"Medium",Q373=3,"High",Q373=4,"Very High")</f>
        <v>High</v>
      </c>
      <c r="S373">
        <v>1</v>
      </c>
      <c r="T373" t="str" cm="1">
        <f t="array" ref="T373">_xlfn.IFS(S373=1,"Entry Level",S373=2,"Junior",S373=3,"Mid-Level",S373=4,"Senior",S373=5,"Executive")</f>
        <v>Entry Level</v>
      </c>
      <c r="U373" t="s">
        <v>43</v>
      </c>
      <c r="V373">
        <v>4</v>
      </c>
      <c r="W373" t="str" cm="1">
        <f t="array" ref="W373">_xlfn.IFS(V373=1,"Low",V373=2,"Medium",V373=3,"High",V373=4,"Very High")</f>
        <v>Very High</v>
      </c>
      <c r="X373" t="s">
        <v>38</v>
      </c>
      <c r="Y373" s="2">
        <v>2201</v>
      </c>
      <c r="Z373" s="2">
        <v>18168</v>
      </c>
      <c r="AA373">
        <v>9</v>
      </c>
      <c r="AB373" t="s">
        <v>39</v>
      </c>
      <c r="AC373">
        <v>16</v>
      </c>
      <c r="AD373">
        <v>3</v>
      </c>
      <c r="AE373" t="str" cm="1">
        <f t="array" ref="AE373">_xlfn.IFS(AD373=1,"Low",AD373=2,"Good",AD373=3,"Excellent",AD373=4,"Outstanding")</f>
        <v>Excellent</v>
      </c>
      <c r="AF373">
        <v>4</v>
      </c>
      <c r="AG373" t="str" cm="1">
        <f t="array" ref="AG373">_xlfn.IFS(AF373=1,"Low",AF373=2,"Medium",AF373=3,"High",AF373=4,"Very High")</f>
        <v>Very High</v>
      </c>
      <c r="AH373">
        <v>0</v>
      </c>
      <c r="AI373">
        <v>6</v>
      </c>
      <c r="AJ373">
        <v>4</v>
      </c>
      <c r="AK373">
        <v>3</v>
      </c>
      <c r="AL373" t="str" cm="1">
        <f t="array" ref="AL373">_xlfn.IFS(AK373=1,"Low",AK373=2,"Medium",AK373=3,"High",AK373=4,"Very High")</f>
        <v>High</v>
      </c>
      <c r="AM373">
        <v>3</v>
      </c>
      <c r="AN373">
        <v>2</v>
      </c>
      <c r="AO373">
        <v>1</v>
      </c>
      <c r="AP373">
        <v>2</v>
      </c>
    </row>
    <row r="374" spans="1:42">
      <c r="A374">
        <v>35</v>
      </c>
      <c r="B374" t="str" cm="1">
        <f t="array" ref="B374">_xlfn.IFS(A374&lt;=25,"18-25",A374&lt;=35,"26-35",A374&lt;=45,"36-45",A374&lt;=55,"46-55",A374&gt;55,"56+")</f>
        <v>26-35</v>
      </c>
      <c r="C374" t="s">
        <v>39</v>
      </c>
      <c r="D374" t="s">
        <v>33</v>
      </c>
      <c r="E374" s="2">
        <v>755</v>
      </c>
      <c r="F374" t="s">
        <v>41</v>
      </c>
      <c r="G374">
        <v>9</v>
      </c>
      <c r="H374" t="str">
        <f t="shared" si="5"/>
        <v>1-10 km</v>
      </c>
      <c r="I374">
        <v>4</v>
      </c>
      <c r="J374" t="str" cm="1">
        <f t="array" ref="J374">_xlfn.IFS(I374=1,"Below College",I374=2,"College",I374=3,"Bachelor",I374=4,"Master",I374=5,"Doctor")</f>
        <v>Master</v>
      </c>
      <c r="K374" t="s">
        <v>35</v>
      </c>
      <c r="L374">
        <v>496</v>
      </c>
      <c r="M374">
        <v>3</v>
      </c>
      <c r="N374" t="str" cm="1">
        <f t="array" ref="N374">_xlfn.IFS(M374=1,"Low",M374=2,"Medium",M374=3,"High",M374=4,"Very High")</f>
        <v>High</v>
      </c>
      <c r="O374" t="s">
        <v>42</v>
      </c>
      <c r="P374" s="2">
        <v>97</v>
      </c>
      <c r="Q374">
        <v>2</v>
      </c>
      <c r="R374" t="str" cm="1">
        <f t="array" ref="R374">_xlfn.IFS(Q374=1,"Low",Q374=2,"Medium",Q374=3,"High",Q374=4,"Very High")</f>
        <v>Medium</v>
      </c>
      <c r="S374">
        <v>2</v>
      </c>
      <c r="T374" t="str" cm="1">
        <f t="array" ref="T374">_xlfn.IFS(S374=1,"Entry Level",S374=2,"Junior",S374=3,"Mid-Level",S374=4,"Senior",S374=5,"Executive")</f>
        <v>Junior</v>
      </c>
      <c r="U374" t="s">
        <v>50</v>
      </c>
      <c r="V374">
        <v>2</v>
      </c>
      <c r="W374" t="str" cm="1">
        <f t="array" ref="W374">_xlfn.IFS(V374=1,"Low",V374=2,"Medium",V374=3,"High",V374=4,"Very High")</f>
        <v>Medium</v>
      </c>
      <c r="X374" t="s">
        <v>38</v>
      </c>
      <c r="Y374" s="2">
        <v>6540</v>
      </c>
      <c r="Z374" s="2">
        <v>19394</v>
      </c>
      <c r="AA374">
        <v>9</v>
      </c>
      <c r="AB374" t="s">
        <v>39</v>
      </c>
      <c r="AC374">
        <v>19</v>
      </c>
      <c r="AD374">
        <v>3</v>
      </c>
      <c r="AE374" t="str" cm="1">
        <f t="array" ref="AE374">_xlfn.IFS(AD374=1,"Low",AD374=2,"Good",AD374=3,"Excellent",AD374=4,"Outstanding")</f>
        <v>Excellent</v>
      </c>
      <c r="AF374">
        <v>3</v>
      </c>
      <c r="AG374" t="str" cm="1">
        <f t="array" ref="AG374">_xlfn.IFS(AF374=1,"Low",AF374=2,"Medium",AF374=3,"High",AF374=4,"Very High")</f>
        <v>High</v>
      </c>
      <c r="AH374">
        <v>0</v>
      </c>
      <c r="AI374">
        <v>10</v>
      </c>
      <c r="AJ374">
        <v>5</v>
      </c>
      <c r="AK374">
        <v>3</v>
      </c>
      <c r="AL374" t="str" cm="1">
        <f t="array" ref="AL374">_xlfn.IFS(AK374=1,"Low",AK374=2,"Medium",AK374=3,"High",AK374=4,"Very High")</f>
        <v>High</v>
      </c>
      <c r="AM374">
        <v>1</v>
      </c>
      <c r="AN374">
        <v>1</v>
      </c>
      <c r="AO374">
        <v>0</v>
      </c>
      <c r="AP374">
        <v>0</v>
      </c>
    </row>
    <row r="375" spans="1:42">
      <c r="A375">
        <v>27</v>
      </c>
      <c r="B375" t="str" cm="1">
        <f t="array" ref="B375">_xlfn.IFS(A375&lt;=25,"18-25",A375&lt;=35,"26-35",A375&lt;=45,"36-45",A375&lt;=55,"46-55",A375&gt;55,"56+")</f>
        <v>26-35</v>
      </c>
      <c r="C375" t="s">
        <v>39</v>
      </c>
      <c r="D375" t="s">
        <v>33</v>
      </c>
      <c r="E375" s="2">
        <v>1469</v>
      </c>
      <c r="F375" t="s">
        <v>41</v>
      </c>
      <c r="G375">
        <v>1</v>
      </c>
      <c r="H375" t="str">
        <f t="shared" si="5"/>
        <v>1-10 km</v>
      </c>
      <c r="I375">
        <v>2</v>
      </c>
      <c r="J375" t="str" cm="1">
        <f t="array" ref="J375">_xlfn.IFS(I375=1,"Below College",I375=2,"College",I375=3,"Bachelor",I375=4,"Master",I375=5,"Doctor")</f>
        <v>College</v>
      </c>
      <c r="K375" t="s">
        <v>47</v>
      </c>
      <c r="L375">
        <v>497</v>
      </c>
      <c r="M375">
        <v>4</v>
      </c>
      <c r="N375" t="str" cm="1">
        <f t="array" ref="N375">_xlfn.IFS(M375=1,"Low",M375=2,"Medium",M375=3,"High",M375=4,"Very High")</f>
        <v>Very High</v>
      </c>
      <c r="O375" t="s">
        <v>42</v>
      </c>
      <c r="P375" s="2">
        <v>82</v>
      </c>
      <c r="Q375">
        <v>3</v>
      </c>
      <c r="R375" t="str" cm="1">
        <f t="array" ref="R375">_xlfn.IFS(Q375=1,"Low",Q375=2,"Medium",Q375=3,"High",Q375=4,"Very High")</f>
        <v>High</v>
      </c>
      <c r="S375">
        <v>1</v>
      </c>
      <c r="T375" t="str" cm="1">
        <f t="array" ref="T375">_xlfn.IFS(S375=1,"Entry Level",S375=2,"Junior",S375=3,"Mid-Level",S375=4,"Senior",S375=5,"Executive")</f>
        <v>Entry Level</v>
      </c>
      <c r="U375" t="s">
        <v>46</v>
      </c>
      <c r="V375">
        <v>2</v>
      </c>
      <c r="W375" t="str" cm="1">
        <f t="array" ref="W375">_xlfn.IFS(V375=1,"Low",V375=2,"Medium",V375=3,"High",V375=4,"Very High")</f>
        <v>Medium</v>
      </c>
      <c r="X375" t="s">
        <v>48</v>
      </c>
      <c r="Y375" s="2">
        <v>3816</v>
      </c>
      <c r="Z375" s="2">
        <v>17881</v>
      </c>
      <c r="AA375">
        <v>1</v>
      </c>
      <c r="AB375" t="s">
        <v>39</v>
      </c>
      <c r="AC375">
        <v>11</v>
      </c>
      <c r="AD375">
        <v>3</v>
      </c>
      <c r="AE375" t="str" cm="1">
        <f t="array" ref="AE375">_xlfn.IFS(AD375=1,"Low",AD375=2,"Good",AD375=3,"Excellent",AD375=4,"Outstanding")</f>
        <v>Excellent</v>
      </c>
      <c r="AF375">
        <v>2</v>
      </c>
      <c r="AG375" t="str" cm="1">
        <f t="array" ref="AG375">_xlfn.IFS(AF375=1,"Low",AF375=2,"Medium",AF375=3,"High",AF375=4,"Very High")</f>
        <v>Medium</v>
      </c>
      <c r="AH375">
        <v>1</v>
      </c>
      <c r="AI375">
        <v>5</v>
      </c>
      <c r="AJ375">
        <v>2</v>
      </c>
      <c r="AK375">
        <v>3</v>
      </c>
      <c r="AL375" t="str" cm="1">
        <f t="array" ref="AL375">_xlfn.IFS(AK375=1,"Low",AK375=2,"Medium",AK375=3,"High",AK375=4,"Very High")</f>
        <v>High</v>
      </c>
      <c r="AM375">
        <v>5</v>
      </c>
      <c r="AN375">
        <v>2</v>
      </c>
      <c r="AO375">
        <v>0</v>
      </c>
      <c r="AP375">
        <v>4</v>
      </c>
    </row>
    <row r="376" spans="1:42">
      <c r="A376">
        <v>28</v>
      </c>
      <c r="B376" t="str" cm="1">
        <f t="array" ref="B376">_xlfn.IFS(A376&lt;=25,"18-25",A376&lt;=35,"26-35",A376&lt;=45,"36-45",A376&lt;=55,"46-55",A376&gt;55,"56+")</f>
        <v>26-35</v>
      </c>
      <c r="C376" t="s">
        <v>39</v>
      </c>
      <c r="D376" t="s">
        <v>33</v>
      </c>
      <c r="E376" s="2">
        <v>304</v>
      </c>
      <c r="F376" t="s">
        <v>34</v>
      </c>
      <c r="G376">
        <v>9</v>
      </c>
      <c r="H376" t="str">
        <f t="shared" si="5"/>
        <v>1-10 km</v>
      </c>
      <c r="I376">
        <v>4</v>
      </c>
      <c r="J376" t="str" cm="1">
        <f t="array" ref="J376">_xlfn.IFS(I376=1,"Below College",I376=2,"College",I376=3,"Bachelor",I376=4,"Master",I376=5,"Doctor")</f>
        <v>Master</v>
      </c>
      <c r="K376" t="s">
        <v>35</v>
      </c>
      <c r="L376">
        <v>498</v>
      </c>
      <c r="M376">
        <v>2</v>
      </c>
      <c r="N376" t="str" cm="1">
        <f t="array" ref="N376">_xlfn.IFS(M376=1,"Low",M376=2,"Medium",M376=3,"High",M376=4,"Very High")</f>
        <v>Medium</v>
      </c>
      <c r="O376" t="s">
        <v>42</v>
      </c>
      <c r="P376" s="2">
        <v>92</v>
      </c>
      <c r="Q376">
        <v>3</v>
      </c>
      <c r="R376" t="str" cm="1">
        <f t="array" ref="R376">_xlfn.IFS(Q376=1,"Low",Q376=2,"Medium",Q376=3,"High",Q376=4,"Very High")</f>
        <v>High</v>
      </c>
      <c r="S376">
        <v>2</v>
      </c>
      <c r="T376" t="str" cm="1">
        <f t="array" ref="T376">_xlfn.IFS(S376=1,"Entry Level",S376=2,"Junior",S376=3,"Mid-Level",S376=4,"Senior",S376=5,"Executive")</f>
        <v>Junior</v>
      </c>
      <c r="U376" t="s">
        <v>37</v>
      </c>
      <c r="V376">
        <v>4</v>
      </c>
      <c r="W376" t="str" cm="1">
        <f t="array" ref="W376">_xlfn.IFS(V376=1,"Low",V376=2,"Medium",V376=3,"High",V376=4,"Very High")</f>
        <v>Very High</v>
      </c>
      <c r="X376" t="s">
        <v>38</v>
      </c>
      <c r="Y376" s="2">
        <v>5253</v>
      </c>
      <c r="Z376" s="2">
        <v>20750</v>
      </c>
      <c r="AA376">
        <v>1</v>
      </c>
      <c r="AB376" t="s">
        <v>39</v>
      </c>
      <c r="AC376">
        <v>16</v>
      </c>
      <c r="AD376">
        <v>3</v>
      </c>
      <c r="AE376" t="str" cm="1">
        <f t="array" ref="AE376">_xlfn.IFS(AD376=1,"Low",AD376=2,"Good",AD376=3,"Excellent",AD376=4,"Outstanding")</f>
        <v>Excellent</v>
      </c>
      <c r="AF376">
        <v>4</v>
      </c>
      <c r="AG376" t="str" cm="1">
        <f t="array" ref="AG376">_xlfn.IFS(AF376=1,"Low",AF376=2,"Medium",AF376=3,"High",AF376=4,"Very High")</f>
        <v>Very High</v>
      </c>
      <c r="AH376">
        <v>0</v>
      </c>
      <c r="AI376">
        <v>7</v>
      </c>
      <c r="AJ376">
        <v>1</v>
      </c>
      <c r="AK376">
        <v>3</v>
      </c>
      <c r="AL376" t="str" cm="1">
        <f t="array" ref="AL376">_xlfn.IFS(AK376=1,"Low",AK376=2,"Medium",AK376=3,"High",AK376=4,"Very High")</f>
        <v>High</v>
      </c>
      <c r="AM376">
        <v>7</v>
      </c>
      <c r="AN376">
        <v>5</v>
      </c>
      <c r="AO376">
        <v>0</v>
      </c>
      <c r="AP376">
        <v>7</v>
      </c>
    </row>
    <row r="377" spans="1:42">
      <c r="A377">
        <v>49</v>
      </c>
      <c r="B377" t="str" cm="1">
        <f t="array" ref="B377">_xlfn.IFS(A377&lt;=25,"18-25",A377&lt;=35,"26-35",A377&lt;=45,"36-45",A377&lt;=55,"46-55",A377&gt;55,"56+")</f>
        <v>46-55</v>
      </c>
      <c r="C377" t="s">
        <v>39</v>
      </c>
      <c r="D377" t="s">
        <v>33</v>
      </c>
      <c r="E377" s="2">
        <v>1261</v>
      </c>
      <c r="F377" t="s">
        <v>41</v>
      </c>
      <c r="G377">
        <v>7</v>
      </c>
      <c r="H377" t="str">
        <f t="shared" si="5"/>
        <v>1-10 km</v>
      </c>
      <c r="I377">
        <v>3</v>
      </c>
      <c r="J377" t="str" cm="1">
        <f t="array" ref="J377">_xlfn.IFS(I377=1,"Below College",I377=2,"College",I377=3,"Bachelor",I377=4,"Master",I377=5,"Doctor")</f>
        <v>Bachelor</v>
      </c>
      <c r="K377" t="s">
        <v>45</v>
      </c>
      <c r="L377">
        <v>499</v>
      </c>
      <c r="M377">
        <v>2</v>
      </c>
      <c r="N377" t="str" cm="1">
        <f t="array" ref="N377">_xlfn.IFS(M377=1,"Low",M377=2,"Medium",M377=3,"High",M377=4,"Very High")</f>
        <v>Medium</v>
      </c>
      <c r="O377" t="s">
        <v>42</v>
      </c>
      <c r="P377" s="2">
        <v>31</v>
      </c>
      <c r="Q377">
        <v>2</v>
      </c>
      <c r="R377" t="str" cm="1">
        <f t="array" ref="R377">_xlfn.IFS(Q377=1,"Low",Q377=2,"Medium",Q377=3,"High",Q377=4,"Very High")</f>
        <v>Medium</v>
      </c>
      <c r="S377">
        <v>3</v>
      </c>
      <c r="T377" t="str" cm="1">
        <f t="array" ref="T377">_xlfn.IFS(S377=1,"Entry Level",S377=2,"Junior",S377=3,"Mid-Level",S377=4,"Senior",S377=5,"Executive")</f>
        <v>Mid-Level</v>
      </c>
      <c r="U377" t="s">
        <v>50</v>
      </c>
      <c r="V377">
        <v>3</v>
      </c>
      <c r="W377" t="str" cm="1">
        <f t="array" ref="W377">_xlfn.IFS(V377=1,"Low",V377=2,"Medium",V377=3,"High",V377=4,"Very High")</f>
        <v>High</v>
      </c>
      <c r="X377" t="s">
        <v>38</v>
      </c>
      <c r="Y377" s="2">
        <v>10965</v>
      </c>
      <c r="Z377" s="2">
        <v>12066</v>
      </c>
      <c r="AA377">
        <v>8</v>
      </c>
      <c r="AB377" t="s">
        <v>39</v>
      </c>
      <c r="AC377">
        <v>24</v>
      </c>
      <c r="AD377">
        <v>4</v>
      </c>
      <c r="AE377" t="str" cm="1">
        <f t="array" ref="AE377">_xlfn.IFS(AD377=1,"Low",AD377=2,"Good",AD377=3,"Excellent",AD377=4,"Outstanding")</f>
        <v>Outstanding</v>
      </c>
      <c r="AF377">
        <v>3</v>
      </c>
      <c r="AG377" t="str" cm="1">
        <f t="array" ref="AG377">_xlfn.IFS(AF377=1,"Low",AF377=2,"Medium",AF377=3,"High",AF377=4,"Very High")</f>
        <v>High</v>
      </c>
      <c r="AH377">
        <v>0</v>
      </c>
      <c r="AI377">
        <v>26</v>
      </c>
      <c r="AJ377">
        <v>2</v>
      </c>
      <c r="AK377">
        <v>3</v>
      </c>
      <c r="AL377" t="str" cm="1">
        <f t="array" ref="AL377">_xlfn.IFS(AK377=1,"Low",AK377=2,"Medium",AK377=3,"High",AK377=4,"Very High")</f>
        <v>High</v>
      </c>
      <c r="AM377">
        <v>5</v>
      </c>
      <c r="AN377">
        <v>2</v>
      </c>
      <c r="AO377">
        <v>0</v>
      </c>
      <c r="AP377">
        <v>0</v>
      </c>
    </row>
    <row r="378" spans="1:42">
      <c r="A378">
        <v>51</v>
      </c>
      <c r="B378" t="str" cm="1">
        <f t="array" ref="B378">_xlfn.IFS(A378&lt;=25,"18-25",A378&lt;=35,"26-35",A378&lt;=45,"36-45",A378&lt;=55,"46-55",A378&gt;55,"56+")</f>
        <v>46-55</v>
      </c>
      <c r="C378" t="s">
        <v>39</v>
      </c>
      <c r="D378" t="s">
        <v>33</v>
      </c>
      <c r="E378" s="2">
        <v>1178</v>
      </c>
      <c r="F378" t="s">
        <v>34</v>
      </c>
      <c r="G378">
        <v>14</v>
      </c>
      <c r="H378" t="str">
        <f t="shared" si="5"/>
        <v>11-20 km</v>
      </c>
      <c r="I378">
        <v>2</v>
      </c>
      <c r="J378" t="str" cm="1">
        <f t="array" ref="J378">_xlfn.IFS(I378=1,"Below College",I378=2,"College",I378=3,"Bachelor",I378=4,"Master",I378=5,"Doctor")</f>
        <v>College</v>
      </c>
      <c r="K378" t="s">
        <v>35</v>
      </c>
      <c r="L378">
        <v>500</v>
      </c>
      <c r="M378">
        <v>3</v>
      </c>
      <c r="N378" t="str" cm="1">
        <f t="array" ref="N378">_xlfn.IFS(M378=1,"Low",M378=2,"Medium",M378=3,"High",M378=4,"Very High")</f>
        <v>High</v>
      </c>
      <c r="O378" t="s">
        <v>36</v>
      </c>
      <c r="P378" s="2">
        <v>87</v>
      </c>
      <c r="Q378">
        <v>3</v>
      </c>
      <c r="R378" t="str" cm="1">
        <f t="array" ref="R378">_xlfn.IFS(Q378=1,"Low",Q378=2,"Medium",Q378=3,"High",Q378=4,"Very High")</f>
        <v>High</v>
      </c>
      <c r="S378">
        <v>2</v>
      </c>
      <c r="T378" t="str" cm="1">
        <f t="array" ref="T378">_xlfn.IFS(S378=1,"Entry Level",S378=2,"Junior",S378=3,"Mid-Level",S378=4,"Senior",S378=5,"Executive")</f>
        <v>Junior</v>
      </c>
      <c r="U378" t="s">
        <v>37</v>
      </c>
      <c r="V378">
        <v>4</v>
      </c>
      <c r="W378" t="str" cm="1">
        <f t="array" ref="W378">_xlfn.IFS(V378=1,"Low",V378=2,"Medium",V378=3,"High",V378=4,"Very High")</f>
        <v>Very High</v>
      </c>
      <c r="X378" t="s">
        <v>44</v>
      </c>
      <c r="Y378" s="2">
        <v>4936</v>
      </c>
      <c r="Z378" s="2">
        <v>14862</v>
      </c>
      <c r="AA378">
        <v>4</v>
      </c>
      <c r="AB378" t="s">
        <v>39</v>
      </c>
      <c r="AC378">
        <v>11</v>
      </c>
      <c r="AD378">
        <v>3</v>
      </c>
      <c r="AE378" t="str" cm="1">
        <f t="array" ref="AE378">_xlfn.IFS(AD378=1,"Low",AD378=2,"Good",AD378=3,"Excellent",AD378=4,"Outstanding")</f>
        <v>Excellent</v>
      </c>
      <c r="AF378">
        <v>3</v>
      </c>
      <c r="AG378" t="str" cm="1">
        <f t="array" ref="AG378">_xlfn.IFS(AF378=1,"Low",AF378=2,"Medium",AF378=3,"High",AF378=4,"Very High")</f>
        <v>High</v>
      </c>
      <c r="AH378">
        <v>1</v>
      </c>
      <c r="AI378">
        <v>18</v>
      </c>
      <c r="AJ378">
        <v>2</v>
      </c>
      <c r="AK378">
        <v>2</v>
      </c>
      <c r="AL378" t="str" cm="1">
        <f t="array" ref="AL378">_xlfn.IFS(AK378=1,"Low",AK378=2,"Medium",AK378=3,"High",AK378=4,"Very High")</f>
        <v>Medium</v>
      </c>
      <c r="AM378">
        <v>7</v>
      </c>
      <c r="AN378">
        <v>7</v>
      </c>
      <c r="AO378">
        <v>0</v>
      </c>
      <c r="AP378">
        <v>7</v>
      </c>
    </row>
    <row r="379" spans="1:42">
      <c r="A379">
        <v>36</v>
      </c>
      <c r="B379" t="str" cm="1">
        <f t="array" ref="B379">_xlfn.IFS(A379&lt;=25,"18-25",A379&lt;=35,"26-35",A379&lt;=45,"36-45",A379&lt;=55,"46-55",A379&gt;55,"56+")</f>
        <v>36-45</v>
      </c>
      <c r="C379" t="s">
        <v>39</v>
      </c>
      <c r="D379" t="s">
        <v>33</v>
      </c>
      <c r="E379" s="2">
        <v>329</v>
      </c>
      <c r="F379" t="s">
        <v>41</v>
      </c>
      <c r="G379">
        <v>2</v>
      </c>
      <c r="H379" t="str">
        <f t="shared" si="5"/>
        <v>1-10 km</v>
      </c>
      <c r="I379">
        <v>3</v>
      </c>
      <c r="J379" t="str" cm="1">
        <f t="array" ref="J379">_xlfn.IFS(I379=1,"Below College",I379=2,"College",I379=3,"Bachelor",I379=4,"Master",I379=5,"Doctor")</f>
        <v>Bachelor</v>
      </c>
      <c r="K379" t="s">
        <v>35</v>
      </c>
      <c r="L379">
        <v>501</v>
      </c>
      <c r="M379">
        <v>4</v>
      </c>
      <c r="N379" t="str" cm="1">
        <f t="array" ref="N379">_xlfn.IFS(M379=1,"Low",M379=2,"Medium",M379=3,"High",M379=4,"Very High")</f>
        <v>Very High</v>
      </c>
      <c r="O379" t="s">
        <v>36</v>
      </c>
      <c r="P379" s="2">
        <v>96</v>
      </c>
      <c r="Q379">
        <v>3</v>
      </c>
      <c r="R379" t="str" cm="1">
        <f t="array" ref="R379">_xlfn.IFS(Q379=1,"Low",Q379=2,"Medium",Q379=3,"High",Q379=4,"Very High")</f>
        <v>High</v>
      </c>
      <c r="S379">
        <v>1</v>
      </c>
      <c r="T379" t="str" cm="1">
        <f t="array" ref="T379">_xlfn.IFS(S379=1,"Entry Level",S379=2,"Junior",S379=3,"Mid-Level",S379=4,"Senior",S379=5,"Executive")</f>
        <v>Entry Level</v>
      </c>
      <c r="U379" t="s">
        <v>43</v>
      </c>
      <c r="V379">
        <v>3</v>
      </c>
      <c r="W379" t="str" cm="1">
        <f t="array" ref="W379">_xlfn.IFS(V379=1,"Low",V379=2,"Medium",V379=3,"High",V379=4,"Very High")</f>
        <v>High</v>
      </c>
      <c r="X379" t="s">
        <v>44</v>
      </c>
      <c r="Y379" s="2">
        <v>2543</v>
      </c>
      <c r="Z379" s="2">
        <v>11868</v>
      </c>
      <c r="AA379">
        <v>4</v>
      </c>
      <c r="AB379" t="s">
        <v>39</v>
      </c>
      <c r="AC379">
        <v>13</v>
      </c>
      <c r="AD379">
        <v>3</v>
      </c>
      <c r="AE379" t="str" cm="1">
        <f t="array" ref="AE379">_xlfn.IFS(AD379=1,"Low",AD379=2,"Good",AD379=3,"Excellent",AD379=4,"Outstanding")</f>
        <v>Excellent</v>
      </c>
      <c r="AF379">
        <v>2</v>
      </c>
      <c r="AG379" t="str" cm="1">
        <f t="array" ref="AG379">_xlfn.IFS(AF379=1,"Low",AF379=2,"Medium",AF379=3,"High",AF379=4,"Very High")</f>
        <v>Medium</v>
      </c>
      <c r="AH379">
        <v>1</v>
      </c>
      <c r="AI379">
        <v>6</v>
      </c>
      <c r="AJ379">
        <v>3</v>
      </c>
      <c r="AK379">
        <v>3</v>
      </c>
      <c r="AL379" t="str" cm="1">
        <f t="array" ref="AL379">_xlfn.IFS(AK379=1,"Low",AK379=2,"Medium",AK379=3,"High",AK379=4,"Very High")</f>
        <v>High</v>
      </c>
      <c r="AM379">
        <v>2</v>
      </c>
      <c r="AN379">
        <v>2</v>
      </c>
      <c r="AO379">
        <v>2</v>
      </c>
      <c r="AP379">
        <v>2</v>
      </c>
    </row>
    <row r="380" spans="1:42">
      <c r="A380">
        <v>34</v>
      </c>
      <c r="B380" t="str" cm="1">
        <f t="array" ref="B380">_xlfn.IFS(A380&lt;=25,"18-25",A380&lt;=35,"26-35",A380&lt;=45,"36-45",A380&lt;=55,"46-55",A380&gt;55,"56+")</f>
        <v>26-35</v>
      </c>
      <c r="C380" t="s">
        <v>32</v>
      </c>
      <c r="D380" t="s">
        <v>51</v>
      </c>
      <c r="E380" s="2">
        <v>1362</v>
      </c>
      <c r="F380" t="s">
        <v>34</v>
      </c>
      <c r="G380">
        <v>19</v>
      </c>
      <c r="H380" t="str">
        <f t="shared" si="5"/>
        <v>11-20 km</v>
      </c>
      <c r="I380">
        <v>3</v>
      </c>
      <c r="J380" t="str" cm="1">
        <f t="array" ref="J380">_xlfn.IFS(I380=1,"Below College",I380=2,"College",I380=3,"Bachelor",I380=4,"Master",I380=5,"Doctor")</f>
        <v>Bachelor</v>
      </c>
      <c r="K380" t="s">
        <v>55</v>
      </c>
      <c r="L380">
        <v>502</v>
      </c>
      <c r="M380">
        <v>1</v>
      </c>
      <c r="N380" t="str" cm="1">
        <f t="array" ref="N380">_xlfn.IFS(M380=1,"Low",M380=2,"Medium",M380=3,"High",M380=4,"Very High")</f>
        <v>Low</v>
      </c>
      <c r="O380" t="s">
        <v>42</v>
      </c>
      <c r="P380" s="2">
        <v>67</v>
      </c>
      <c r="Q380">
        <v>4</v>
      </c>
      <c r="R380" t="str" cm="1">
        <f t="array" ref="R380">_xlfn.IFS(Q380=1,"Low",Q380=2,"Medium",Q380=3,"High",Q380=4,"Very High")</f>
        <v>Very High</v>
      </c>
      <c r="S380">
        <v>2</v>
      </c>
      <c r="T380" t="str" cm="1">
        <f t="array" ref="T380">_xlfn.IFS(S380=1,"Entry Level",S380=2,"Junior",S380=3,"Mid-Level",S380=4,"Senior",S380=5,"Executive")</f>
        <v>Junior</v>
      </c>
      <c r="U380" t="s">
        <v>37</v>
      </c>
      <c r="V380">
        <v>4</v>
      </c>
      <c r="W380" t="str" cm="1">
        <f t="array" ref="W380">_xlfn.IFS(V380=1,"Low",V380=2,"Medium",V380=3,"High",V380=4,"Very High")</f>
        <v>Very High</v>
      </c>
      <c r="X380" t="s">
        <v>38</v>
      </c>
      <c r="Y380" s="2">
        <v>5304</v>
      </c>
      <c r="Z380" s="2">
        <v>4652</v>
      </c>
      <c r="AA380">
        <v>8</v>
      </c>
      <c r="AB380" t="s">
        <v>32</v>
      </c>
      <c r="AC380">
        <v>13</v>
      </c>
      <c r="AD380">
        <v>3</v>
      </c>
      <c r="AE380" t="str" cm="1">
        <f t="array" ref="AE380">_xlfn.IFS(AD380=1,"Low",AD380=2,"Good",AD380=3,"Excellent",AD380=4,"Outstanding")</f>
        <v>Excellent</v>
      </c>
      <c r="AF380">
        <v>2</v>
      </c>
      <c r="AG380" t="str" cm="1">
        <f t="array" ref="AG380">_xlfn.IFS(AF380=1,"Low",AF380=2,"Medium",AF380=3,"High",AF380=4,"Very High")</f>
        <v>Medium</v>
      </c>
      <c r="AH380">
        <v>0</v>
      </c>
      <c r="AI380">
        <v>9</v>
      </c>
      <c r="AJ380">
        <v>3</v>
      </c>
      <c r="AK380">
        <v>2</v>
      </c>
      <c r="AL380" t="str" cm="1">
        <f t="array" ref="AL380">_xlfn.IFS(AK380=1,"Low",AK380=2,"Medium",AK380=3,"High",AK380=4,"Very High")</f>
        <v>Medium</v>
      </c>
      <c r="AM380">
        <v>5</v>
      </c>
      <c r="AN380">
        <v>2</v>
      </c>
      <c r="AO380">
        <v>0</v>
      </c>
      <c r="AP380">
        <v>4</v>
      </c>
    </row>
    <row r="381" spans="1:42">
      <c r="A381">
        <v>55</v>
      </c>
      <c r="B381" t="str" cm="1">
        <f t="array" ref="B381">_xlfn.IFS(A381&lt;=25,"18-25",A381&lt;=35,"26-35",A381&lt;=45,"36-45",A381&lt;=55,"46-55",A381&gt;55,"56+")</f>
        <v>46-55</v>
      </c>
      <c r="C381" t="s">
        <v>39</v>
      </c>
      <c r="D381" t="s">
        <v>33</v>
      </c>
      <c r="E381" s="2">
        <v>1311</v>
      </c>
      <c r="F381" t="s">
        <v>41</v>
      </c>
      <c r="G381">
        <v>2</v>
      </c>
      <c r="H381" t="str">
        <f t="shared" si="5"/>
        <v>1-10 km</v>
      </c>
      <c r="I381">
        <v>3</v>
      </c>
      <c r="J381" t="str" cm="1">
        <f t="array" ref="J381">_xlfn.IFS(I381=1,"Below College",I381=2,"College",I381=3,"Bachelor",I381=4,"Master",I381=5,"Doctor")</f>
        <v>Bachelor</v>
      </c>
      <c r="K381" t="s">
        <v>35</v>
      </c>
      <c r="L381">
        <v>505</v>
      </c>
      <c r="M381">
        <v>3</v>
      </c>
      <c r="N381" t="str" cm="1">
        <f t="array" ref="N381">_xlfn.IFS(M381=1,"Low",M381=2,"Medium",M381=3,"High",M381=4,"Very High")</f>
        <v>High</v>
      </c>
      <c r="O381" t="s">
        <v>36</v>
      </c>
      <c r="P381" s="2">
        <v>97</v>
      </c>
      <c r="Q381">
        <v>3</v>
      </c>
      <c r="R381" t="str" cm="1">
        <f t="array" ref="R381">_xlfn.IFS(Q381=1,"Low",Q381=2,"Medium",Q381=3,"High",Q381=4,"Very High")</f>
        <v>High</v>
      </c>
      <c r="S381">
        <v>4</v>
      </c>
      <c r="T381" t="str" cm="1">
        <f t="array" ref="T381">_xlfn.IFS(S381=1,"Entry Level",S381=2,"Junior",S381=3,"Mid-Level",S381=4,"Senior",S381=5,"Executive")</f>
        <v>Senior</v>
      </c>
      <c r="U381" t="s">
        <v>52</v>
      </c>
      <c r="V381">
        <v>4</v>
      </c>
      <c r="W381" t="str" cm="1">
        <f t="array" ref="W381">_xlfn.IFS(V381=1,"Low",V381=2,"Medium",V381=3,"High",V381=4,"Very High")</f>
        <v>Very High</v>
      </c>
      <c r="X381" t="s">
        <v>38</v>
      </c>
      <c r="Y381" s="2">
        <v>16659</v>
      </c>
      <c r="Z381" s="2">
        <v>23258</v>
      </c>
      <c r="AA381">
        <v>2</v>
      </c>
      <c r="AB381" t="s">
        <v>32</v>
      </c>
      <c r="AC381">
        <v>13</v>
      </c>
      <c r="AD381">
        <v>3</v>
      </c>
      <c r="AE381" t="str" cm="1">
        <f t="array" ref="AE381">_xlfn.IFS(AD381=1,"Low",AD381=2,"Good",AD381=3,"Excellent",AD381=4,"Outstanding")</f>
        <v>Excellent</v>
      </c>
      <c r="AF381">
        <v>3</v>
      </c>
      <c r="AG381" t="str" cm="1">
        <f t="array" ref="AG381">_xlfn.IFS(AF381=1,"Low",AF381=2,"Medium",AF381=3,"High",AF381=4,"Very High")</f>
        <v>High</v>
      </c>
      <c r="AH381">
        <v>0</v>
      </c>
      <c r="AI381">
        <v>30</v>
      </c>
      <c r="AJ381">
        <v>2</v>
      </c>
      <c r="AK381">
        <v>3</v>
      </c>
      <c r="AL381" t="str" cm="1">
        <f t="array" ref="AL381">_xlfn.IFS(AK381=1,"Low",AK381=2,"Medium",AK381=3,"High",AK381=4,"Very High")</f>
        <v>High</v>
      </c>
      <c r="AM381">
        <v>5</v>
      </c>
      <c r="AN381">
        <v>4</v>
      </c>
      <c r="AO381">
        <v>1</v>
      </c>
      <c r="AP381">
        <v>2</v>
      </c>
    </row>
    <row r="382" spans="1:42">
      <c r="A382">
        <v>24</v>
      </c>
      <c r="B382" t="str" cm="1">
        <f t="array" ref="B382">_xlfn.IFS(A382&lt;=25,"18-25",A382&lt;=35,"26-35",A382&lt;=45,"36-45",A382&lt;=55,"46-55",A382&gt;55,"56+")</f>
        <v>18-25</v>
      </c>
      <c r="C382" t="s">
        <v>39</v>
      </c>
      <c r="D382" t="s">
        <v>33</v>
      </c>
      <c r="E382" s="2">
        <v>1371</v>
      </c>
      <c r="F382" t="s">
        <v>34</v>
      </c>
      <c r="G382">
        <v>10</v>
      </c>
      <c r="H382" t="str">
        <f t="shared" si="5"/>
        <v>1-10 km</v>
      </c>
      <c r="I382">
        <v>4</v>
      </c>
      <c r="J382" t="str" cm="1">
        <f t="array" ref="J382">_xlfn.IFS(I382=1,"Below College",I382=2,"College",I382=3,"Bachelor",I382=4,"Master",I382=5,"Doctor")</f>
        <v>Master</v>
      </c>
      <c r="K382" t="s">
        <v>55</v>
      </c>
      <c r="L382">
        <v>507</v>
      </c>
      <c r="M382">
        <v>4</v>
      </c>
      <c r="N382" t="str" cm="1">
        <f t="array" ref="N382">_xlfn.IFS(M382=1,"Low",M382=2,"Medium",M382=3,"High",M382=4,"Very High")</f>
        <v>Very High</v>
      </c>
      <c r="O382" t="s">
        <v>36</v>
      </c>
      <c r="P382" s="2">
        <v>77</v>
      </c>
      <c r="Q382">
        <v>3</v>
      </c>
      <c r="R382" t="str" cm="1">
        <f t="array" ref="R382">_xlfn.IFS(Q382=1,"Low",Q382=2,"Medium",Q382=3,"High",Q382=4,"Very High")</f>
        <v>High</v>
      </c>
      <c r="S382">
        <v>2</v>
      </c>
      <c r="T382" t="str" cm="1">
        <f t="array" ref="T382">_xlfn.IFS(S382=1,"Entry Level",S382=2,"Junior",S382=3,"Mid-Level",S382=4,"Senior",S382=5,"Executive")</f>
        <v>Junior</v>
      </c>
      <c r="U382" t="s">
        <v>37</v>
      </c>
      <c r="V382">
        <v>3</v>
      </c>
      <c r="W382" t="str" cm="1">
        <f t="array" ref="W382">_xlfn.IFS(V382=1,"Low",V382=2,"Medium",V382=3,"High",V382=4,"Very High")</f>
        <v>High</v>
      </c>
      <c r="X382" t="s">
        <v>48</v>
      </c>
      <c r="Y382" s="2">
        <v>4260</v>
      </c>
      <c r="Z382" s="2">
        <v>5915</v>
      </c>
      <c r="AA382">
        <v>1</v>
      </c>
      <c r="AB382" t="s">
        <v>32</v>
      </c>
      <c r="AC382">
        <v>12</v>
      </c>
      <c r="AD382">
        <v>3</v>
      </c>
      <c r="AE382" t="str" cm="1">
        <f t="array" ref="AE382">_xlfn.IFS(AD382=1,"Low",AD382=2,"Good",AD382=3,"Excellent",AD382=4,"Outstanding")</f>
        <v>Excellent</v>
      </c>
      <c r="AF382">
        <v>4</v>
      </c>
      <c r="AG382" t="str" cm="1">
        <f t="array" ref="AG382">_xlfn.IFS(AF382=1,"Low",AF382=2,"Medium",AF382=3,"High",AF382=4,"Very High")</f>
        <v>Very High</v>
      </c>
      <c r="AH382">
        <v>1</v>
      </c>
      <c r="AI382">
        <v>5</v>
      </c>
      <c r="AJ382">
        <v>2</v>
      </c>
      <c r="AK382">
        <v>4</v>
      </c>
      <c r="AL382" t="str" cm="1">
        <f t="array" ref="AL382">_xlfn.IFS(AK382=1,"Low",AK382=2,"Medium",AK382=3,"High",AK382=4,"Very High")</f>
        <v>Very High</v>
      </c>
      <c r="AM382">
        <v>5</v>
      </c>
      <c r="AN382">
        <v>2</v>
      </c>
      <c r="AO382">
        <v>0</v>
      </c>
      <c r="AP382">
        <v>3</v>
      </c>
    </row>
    <row r="383" spans="1:42">
      <c r="A383">
        <v>30</v>
      </c>
      <c r="B383" t="str" cm="1">
        <f t="array" ref="B383">_xlfn.IFS(A383&lt;=25,"18-25",A383&lt;=35,"26-35",A383&lt;=45,"36-45",A383&lt;=55,"46-55",A383&gt;55,"56+")</f>
        <v>26-35</v>
      </c>
      <c r="C383" t="s">
        <v>39</v>
      </c>
      <c r="D383" t="s">
        <v>33</v>
      </c>
      <c r="E383" s="2">
        <v>202</v>
      </c>
      <c r="F383" t="s">
        <v>34</v>
      </c>
      <c r="G383">
        <v>2</v>
      </c>
      <c r="H383" t="str">
        <f t="shared" si="5"/>
        <v>1-10 km</v>
      </c>
      <c r="I383">
        <v>1</v>
      </c>
      <c r="J383" t="str" cm="1">
        <f t="array" ref="J383">_xlfn.IFS(I383=1,"Below College",I383=2,"College",I383=3,"Bachelor",I383=4,"Master",I383=5,"Doctor")</f>
        <v>Below College</v>
      </c>
      <c r="K383" t="s">
        <v>56</v>
      </c>
      <c r="L383">
        <v>508</v>
      </c>
      <c r="M383">
        <v>3</v>
      </c>
      <c r="N383" t="str" cm="1">
        <f t="array" ref="N383">_xlfn.IFS(M383=1,"Low",M383=2,"Medium",M383=3,"High",M383=4,"Very High")</f>
        <v>High</v>
      </c>
      <c r="O383" t="s">
        <v>42</v>
      </c>
      <c r="P383" s="2">
        <v>72</v>
      </c>
      <c r="Q383">
        <v>3</v>
      </c>
      <c r="R383" t="str" cm="1">
        <f t="array" ref="R383">_xlfn.IFS(Q383=1,"Low",Q383=2,"Medium",Q383=3,"High",Q383=4,"Very High")</f>
        <v>High</v>
      </c>
      <c r="S383">
        <v>1</v>
      </c>
      <c r="T383" t="str" cm="1">
        <f t="array" ref="T383">_xlfn.IFS(S383=1,"Entry Level",S383=2,"Junior",S383=3,"Mid-Level",S383=4,"Senior",S383=5,"Executive")</f>
        <v>Entry Level</v>
      </c>
      <c r="U383" t="s">
        <v>53</v>
      </c>
      <c r="V383">
        <v>2</v>
      </c>
      <c r="W383" t="str" cm="1">
        <f t="array" ref="W383">_xlfn.IFS(V383=1,"Low",V383=2,"Medium",V383=3,"High",V383=4,"Very High")</f>
        <v>Medium</v>
      </c>
      <c r="X383" t="s">
        <v>44</v>
      </c>
      <c r="Y383" s="2">
        <v>2476</v>
      </c>
      <c r="Z383" s="2">
        <v>17434</v>
      </c>
      <c r="AA383">
        <v>1</v>
      </c>
      <c r="AB383" t="s">
        <v>39</v>
      </c>
      <c r="AC383">
        <v>18</v>
      </c>
      <c r="AD383">
        <v>3</v>
      </c>
      <c r="AE383" t="str" cm="1">
        <f t="array" ref="AE383">_xlfn.IFS(AD383=1,"Low",AD383=2,"Good",AD383=3,"Excellent",AD383=4,"Outstanding")</f>
        <v>Excellent</v>
      </c>
      <c r="AF383">
        <v>1</v>
      </c>
      <c r="AG383" t="str" cm="1">
        <f t="array" ref="AG383">_xlfn.IFS(AF383=1,"Low",AF383=2,"Medium",AF383=3,"High",AF383=4,"Very High")</f>
        <v>Low</v>
      </c>
      <c r="AH383">
        <v>1</v>
      </c>
      <c r="AI383">
        <v>1</v>
      </c>
      <c r="AJ383">
        <v>3</v>
      </c>
      <c r="AK383">
        <v>3</v>
      </c>
      <c r="AL383" t="str" cm="1">
        <f t="array" ref="AL383">_xlfn.IFS(AK383=1,"Low",AK383=2,"Medium",AK383=3,"High",AK383=4,"Very High")</f>
        <v>High</v>
      </c>
      <c r="AM383">
        <v>1</v>
      </c>
      <c r="AN383">
        <v>0</v>
      </c>
      <c r="AO383">
        <v>0</v>
      </c>
      <c r="AP383">
        <v>0</v>
      </c>
    </row>
    <row r="384" spans="1:42">
      <c r="A384">
        <v>26</v>
      </c>
      <c r="B384" t="str" cm="1">
        <f t="array" ref="B384">_xlfn.IFS(A384&lt;=25,"18-25",A384&lt;=35,"26-35",A384&lt;=45,"36-45",A384&lt;=55,"46-55",A384&gt;55,"56+")</f>
        <v>26-35</v>
      </c>
      <c r="C384" t="s">
        <v>32</v>
      </c>
      <c r="D384" t="s">
        <v>40</v>
      </c>
      <c r="E384" s="2">
        <v>575</v>
      </c>
      <c r="F384" t="s">
        <v>41</v>
      </c>
      <c r="G384">
        <v>3</v>
      </c>
      <c r="H384" t="str">
        <f t="shared" si="5"/>
        <v>1-10 km</v>
      </c>
      <c r="I384">
        <v>1</v>
      </c>
      <c r="J384" t="str" cm="1">
        <f t="array" ref="J384">_xlfn.IFS(I384=1,"Below College",I384=2,"College",I384=3,"Bachelor",I384=4,"Master",I384=5,"Doctor")</f>
        <v>Below College</v>
      </c>
      <c r="K384" t="s">
        <v>56</v>
      </c>
      <c r="L384">
        <v>510</v>
      </c>
      <c r="M384">
        <v>3</v>
      </c>
      <c r="N384" t="str" cm="1">
        <f t="array" ref="N384">_xlfn.IFS(M384=1,"Low",M384=2,"Medium",M384=3,"High",M384=4,"Very High")</f>
        <v>High</v>
      </c>
      <c r="O384" t="s">
        <v>42</v>
      </c>
      <c r="P384" s="2">
        <v>73</v>
      </c>
      <c r="Q384">
        <v>3</v>
      </c>
      <c r="R384" t="str" cm="1">
        <f t="array" ref="R384">_xlfn.IFS(Q384=1,"Low",Q384=2,"Medium",Q384=3,"High",Q384=4,"Very High")</f>
        <v>High</v>
      </c>
      <c r="S384">
        <v>1</v>
      </c>
      <c r="T384" t="str" cm="1">
        <f t="array" ref="T384">_xlfn.IFS(S384=1,"Entry Level",S384=2,"Junior",S384=3,"Mid-Level",S384=4,"Senior",S384=5,"Executive")</f>
        <v>Entry Level</v>
      </c>
      <c r="U384" t="s">
        <v>43</v>
      </c>
      <c r="V384">
        <v>1</v>
      </c>
      <c r="W384" t="str" cm="1">
        <f t="array" ref="W384">_xlfn.IFS(V384=1,"Low",V384=2,"Medium",V384=3,"High",V384=4,"Very High")</f>
        <v>Low</v>
      </c>
      <c r="X384" t="s">
        <v>38</v>
      </c>
      <c r="Y384" s="2">
        <v>3102</v>
      </c>
      <c r="Z384" s="2">
        <v>6582</v>
      </c>
      <c r="AA384">
        <v>0</v>
      </c>
      <c r="AB384" t="s">
        <v>39</v>
      </c>
      <c r="AC384">
        <v>22</v>
      </c>
      <c r="AD384">
        <v>4</v>
      </c>
      <c r="AE384" t="str" cm="1">
        <f t="array" ref="AE384">_xlfn.IFS(AD384=1,"Low",AD384=2,"Good",AD384=3,"Excellent",AD384=4,"Outstanding")</f>
        <v>Outstanding</v>
      </c>
      <c r="AF384">
        <v>3</v>
      </c>
      <c r="AG384" t="str" cm="1">
        <f t="array" ref="AG384">_xlfn.IFS(AF384=1,"Low",AF384=2,"Medium",AF384=3,"High",AF384=4,"Very High")</f>
        <v>High</v>
      </c>
      <c r="AH384">
        <v>0</v>
      </c>
      <c r="AI384">
        <v>7</v>
      </c>
      <c r="AJ384">
        <v>2</v>
      </c>
      <c r="AK384">
        <v>3</v>
      </c>
      <c r="AL384" t="str" cm="1">
        <f t="array" ref="AL384">_xlfn.IFS(AK384=1,"Low",AK384=2,"Medium",AK384=3,"High",AK384=4,"Very High")</f>
        <v>High</v>
      </c>
      <c r="AM384">
        <v>6</v>
      </c>
      <c r="AN384">
        <v>4</v>
      </c>
      <c r="AO384">
        <v>0</v>
      </c>
      <c r="AP384">
        <v>4</v>
      </c>
    </row>
    <row r="385" spans="1:42">
      <c r="A385">
        <v>22</v>
      </c>
      <c r="B385" t="str" cm="1">
        <f t="array" ref="B385">_xlfn.IFS(A385&lt;=25,"18-25",A385&lt;=35,"26-35",A385&lt;=45,"36-45",A385&lt;=55,"46-55",A385&gt;55,"56+")</f>
        <v>18-25</v>
      </c>
      <c r="C385" t="s">
        <v>39</v>
      </c>
      <c r="D385" t="s">
        <v>33</v>
      </c>
      <c r="E385" s="2">
        <v>253</v>
      </c>
      <c r="F385" t="s">
        <v>41</v>
      </c>
      <c r="G385">
        <v>11</v>
      </c>
      <c r="H385" t="str">
        <f t="shared" si="5"/>
        <v>11-20 km</v>
      </c>
      <c r="I385">
        <v>3</v>
      </c>
      <c r="J385" t="str" cm="1">
        <f t="array" ref="J385">_xlfn.IFS(I385=1,"Below College",I385=2,"College",I385=3,"Bachelor",I385=4,"Master",I385=5,"Doctor")</f>
        <v>Bachelor</v>
      </c>
      <c r="K385" t="s">
        <v>47</v>
      </c>
      <c r="L385">
        <v>511</v>
      </c>
      <c r="M385">
        <v>1</v>
      </c>
      <c r="N385" t="str" cm="1">
        <f t="array" ref="N385">_xlfn.IFS(M385=1,"Low",M385=2,"Medium",M385=3,"High",M385=4,"Very High")</f>
        <v>Low</v>
      </c>
      <c r="O385" t="s">
        <v>36</v>
      </c>
      <c r="P385" s="2">
        <v>43</v>
      </c>
      <c r="Q385">
        <v>3</v>
      </c>
      <c r="R385" t="str" cm="1">
        <f t="array" ref="R385">_xlfn.IFS(Q385=1,"Low",Q385=2,"Medium",Q385=3,"High",Q385=4,"Very High")</f>
        <v>High</v>
      </c>
      <c r="S385">
        <v>1</v>
      </c>
      <c r="T385" t="str" cm="1">
        <f t="array" ref="T385">_xlfn.IFS(S385=1,"Entry Level",S385=2,"Junior",S385=3,"Mid-Level",S385=4,"Senior",S385=5,"Executive")</f>
        <v>Entry Level</v>
      </c>
      <c r="U385" t="s">
        <v>43</v>
      </c>
      <c r="V385">
        <v>2</v>
      </c>
      <c r="W385" t="str" cm="1">
        <f t="array" ref="W385">_xlfn.IFS(V385=1,"Low",V385=2,"Medium",V385=3,"High",V385=4,"Very High")</f>
        <v>Medium</v>
      </c>
      <c r="X385" t="s">
        <v>44</v>
      </c>
      <c r="Y385" s="2">
        <v>2244</v>
      </c>
      <c r="Z385" s="2">
        <v>24440</v>
      </c>
      <c r="AA385">
        <v>1</v>
      </c>
      <c r="AB385" t="s">
        <v>39</v>
      </c>
      <c r="AC385">
        <v>13</v>
      </c>
      <c r="AD385">
        <v>3</v>
      </c>
      <c r="AE385" t="str" cm="1">
        <f t="array" ref="AE385">_xlfn.IFS(AD385=1,"Low",AD385=2,"Good",AD385=3,"Excellent",AD385=4,"Outstanding")</f>
        <v>Excellent</v>
      </c>
      <c r="AF385">
        <v>4</v>
      </c>
      <c r="AG385" t="str" cm="1">
        <f t="array" ref="AG385">_xlfn.IFS(AF385=1,"Low",AF385=2,"Medium",AF385=3,"High",AF385=4,"Very High")</f>
        <v>Very High</v>
      </c>
      <c r="AH385">
        <v>1</v>
      </c>
      <c r="AI385">
        <v>2</v>
      </c>
      <c r="AJ385">
        <v>1</v>
      </c>
      <c r="AK385">
        <v>3</v>
      </c>
      <c r="AL385" t="str" cm="1">
        <f t="array" ref="AL385">_xlfn.IFS(AK385=1,"Low",AK385=2,"Medium",AK385=3,"High",AK385=4,"Very High")</f>
        <v>High</v>
      </c>
      <c r="AM385">
        <v>2</v>
      </c>
      <c r="AN385">
        <v>1</v>
      </c>
      <c r="AO385">
        <v>1</v>
      </c>
      <c r="AP385">
        <v>2</v>
      </c>
    </row>
    <row r="386" spans="1:42">
      <c r="A386">
        <v>36</v>
      </c>
      <c r="B386" t="str" cm="1">
        <f t="array" ref="B386">_xlfn.IFS(A386&lt;=25,"18-25",A386&lt;=35,"26-35",A386&lt;=45,"36-45",A386&lt;=55,"46-55",A386&gt;55,"56+")</f>
        <v>36-45</v>
      </c>
      <c r="C386" t="s">
        <v>39</v>
      </c>
      <c r="D386" t="s">
        <v>33</v>
      </c>
      <c r="E386" s="2">
        <v>164</v>
      </c>
      <c r="F386" t="s">
        <v>34</v>
      </c>
      <c r="G386">
        <v>2</v>
      </c>
      <c r="H386" t="str">
        <f t="shared" si="5"/>
        <v>1-10 km</v>
      </c>
      <c r="I386">
        <v>2</v>
      </c>
      <c r="J386" t="str" cm="1">
        <f t="array" ref="J386">_xlfn.IFS(I386=1,"Below College",I386=2,"College",I386=3,"Bachelor",I386=4,"Master",I386=5,"Doctor")</f>
        <v>College</v>
      </c>
      <c r="K386" t="s">
        <v>47</v>
      </c>
      <c r="L386">
        <v>513</v>
      </c>
      <c r="M386">
        <v>2</v>
      </c>
      <c r="N386" t="str" cm="1">
        <f t="array" ref="N386">_xlfn.IFS(M386=1,"Low",M386=2,"Medium",M386=3,"High",M386=4,"Very High")</f>
        <v>Medium</v>
      </c>
      <c r="O386" t="s">
        <v>42</v>
      </c>
      <c r="P386" s="2">
        <v>61</v>
      </c>
      <c r="Q386">
        <v>2</v>
      </c>
      <c r="R386" t="str" cm="1">
        <f t="array" ref="R386">_xlfn.IFS(Q386=1,"Low",Q386=2,"Medium",Q386=3,"High",Q386=4,"Very High")</f>
        <v>Medium</v>
      </c>
      <c r="S386">
        <v>3</v>
      </c>
      <c r="T386" t="str" cm="1">
        <f t="array" ref="T386">_xlfn.IFS(S386=1,"Entry Level",S386=2,"Junior",S386=3,"Mid-Level",S386=4,"Senior",S386=5,"Executive")</f>
        <v>Mid-Level</v>
      </c>
      <c r="U386" t="s">
        <v>37</v>
      </c>
      <c r="V386">
        <v>3</v>
      </c>
      <c r="W386" t="str" cm="1">
        <f t="array" ref="W386">_xlfn.IFS(V386=1,"Low",V386=2,"Medium",V386=3,"High",V386=4,"Very High")</f>
        <v>High</v>
      </c>
      <c r="X386" t="s">
        <v>44</v>
      </c>
      <c r="Y386" s="2">
        <v>7596</v>
      </c>
      <c r="Z386" s="2">
        <v>3809</v>
      </c>
      <c r="AA386">
        <v>1</v>
      </c>
      <c r="AB386" t="s">
        <v>39</v>
      </c>
      <c r="AC386">
        <v>13</v>
      </c>
      <c r="AD386">
        <v>3</v>
      </c>
      <c r="AE386" t="str" cm="1">
        <f t="array" ref="AE386">_xlfn.IFS(AD386=1,"Low",AD386=2,"Good",AD386=3,"Excellent",AD386=4,"Outstanding")</f>
        <v>Excellent</v>
      </c>
      <c r="AF386">
        <v>2</v>
      </c>
      <c r="AG386" t="str" cm="1">
        <f t="array" ref="AG386">_xlfn.IFS(AF386=1,"Low",AF386=2,"Medium",AF386=3,"High",AF386=4,"Very High")</f>
        <v>Medium</v>
      </c>
      <c r="AH386">
        <v>2</v>
      </c>
      <c r="AI386">
        <v>10</v>
      </c>
      <c r="AJ386">
        <v>2</v>
      </c>
      <c r="AK386">
        <v>3</v>
      </c>
      <c r="AL386" t="str" cm="1">
        <f t="array" ref="AL386">_xlfn.IFS(AK386=1,"Low",AK386=2,"Medium",AK386=3,"High",AK386=4,"Very High")</f>
        <v>High</v>
      </c>
      <c r="AM386">
        <v>10</v>
      </c>
      <c r="AN386">
        <v>9</v>
      </c>
      <c r="AO386">
        <v>9</v>
      </c>
      <c r="AP386">
        <v>0</v>
      </c>
    </row>
    <row r="387" spans="1:42">
      <c r="A387">
        <v>30</v>
      </c>
      <c r="B387" t="str" cm="1">
        <f t="array" ref="B387">_xlfn.IFS(A387&lt;=25,"18-25",A387&lt;=35,"26-35",A387&lt;=45,"36-45",A387&lt;=55,"46-55",A387&gt;55,"56+")</f>
        <v>26-35</v>
      </c>
      <c r="C387" t="s">
        <v>32</v>
      </c>
      <c r="D387" t="s">
        <v>40</v>
      </c>
      <c r="E387" s="2">
        <v>464</v>
      </c>
      <c r="F387" t="s">
        <v>41</v>
      </c>
      <c r="G387">
        <v>4</v>
      </c>
      <c r="H387" t="str">
        <f t="shared" ref="H387:H450" si="6">IF(G387&lt;=10,"1-10 km",IF(G387&lt;=20,"11-20 km",IF(G387&lt;=30,"21-30 km","31+ km")))</f>
        <v>1-10 km</v>
      </c>
      <c r="I387">
        <v>3</v>
      </c>
      <c r="J387" t="str" cm="1">
        <f t="array" ref="J387">_xlfn.IFS(I387=1,"Below College",I387=2,"College",I387=3,"Bachelor",I387=4,"Master",I387=5,"Doctor")</f>
        <v>Bachelor</v>
      </c>
      <c r="K387" t="s">
        <v>56</v>
      </c>
      <c r="L387">
        <v>514</v>
      </c>
      <c r="M387">
        <v>3</v>
      </c>
      <c r="N387" t="str" cm="1">
        <f t="array" ref="N387">_xlfn.IFS(M387=1,"Low",M387=2,"Medium",M387=3,"High",M387=4,"Very High")</f>
        <v>High</v>
      </c>
      <c r="O387" t="s">
        <v>42</v>
      </c>
      <c r="P387" s="2">
        <v>40</v>
      </c>
      <c r="Q387">
        <v>3</v>
      </c>
      <c r="R387" t="str" cm="1">
        <f t="array" ref="R387">_xlfn.IFS(Q387=1,"Low",Q387=2,"Medium",Q387=3,"High",Q387=4,"Very High")</f>
        <v>High</v>
      </c>
      <c r="S387">
        <v>1</v>
      </c>
      <c r="T387" t="str" cm="1">
        <f t="array" ref="T387">_xlfn.IFS(S387=1,"Entry Level",S387=2,"Junior",S387=3,"Mid-Level",S387=4,"Senior",S387=5,"Executive")</f>
        <v>Entry Level</v>
      </c>
      <c r="U387" t="s">
        <v>43</v>
      </c>
      <c r="V387">
        <v>4</v>
      </c>
      <c r="W387" t="str" cm="1">
        <f t="array" ref="W387">_xlfn.IFS(V387=1,"Low",V387=2,"Medium",V387=3,"High",V387=4,"Very High")</f>
        <v>Very High</v>
      </c>
      <c r="X387" t="s">
        <v>38</v>
      </c>
      <c r="Y387" s="2">
        <v>2285</v>
      </c>
      <c r="Z387" s="2">
        <v>3427</v>
      </c>
      <c r="AA387">
        <v>9</v>
      </c>
      <c r="AB387" t="s">
        <v>32</v>
      </c>
      <c r="AC387">
        <v>23</v>
      </c>
      <c r="AD387">
        <v>4</v>
      </c>
      <c r="AE387" t="str" cm="1">
        <f t="array" ref="AE387">_xlfn.IFS(AD387=1,"Low",AD387=2,"Good",AD387=3,"Excellent",AD387=4,"Outstanding")</f>
        <v>Outstanding</v>
      </c>
      <c r="AF387">
        <v>3</v>
      </c>
      <c r="AG387" t="str" cm="1">
        <f t="array" ref="AG387">_xlfn.IFS(AF387=1,"Low",AF387=2,"Medium",AF387=3,"High",AF387=4,"Very High")</f>
        <v>High</v>
      </c>
      <c r="AH387">
        <v>0</v>
      </c>
      <c r="AI387">
        <v>3</v>
      </c>
      <c r="AJ387">
        <v>4</v>
      </c>
      <c r="AK387">
        <v>3</v>
      </c>
      <c r="AL387" t="str" cm="1">
        <f t="array" ref="AL387">_xlfn.IFS(AK387=1,"Low",AK387=2,"Medium",AK387=3,"High",AK387=4,"Very High")</f>
        <v>High</v>
      </c>
      <c r="AM387">
        <v>1</v>
      </c>
      <c r="AN387">
        <v>0</v>
      </c>
      <c r="AO387">
        <v>0</v>
      </c>
      <c r="AP387">
        <v>0</v>
      </c>
    </row>
    <row r="388" spans="1:42">
      <c r="A388">
        <v>37</v>
      </c>
      <c r="B388" t="str" cm="1">
        <f t="array" ref="B388">_xlfn.IFS(A388&lt;=25,"18-25",A388&lt;=35,"26-35",A388&lt;=45,"36-45",A388&lt;=55,"46-55",A388&gt;55,"56+")</f>
        <v>36-45</v>
      </c>
      <c r="C388" t="s">
        <v>39</v>
      </c>
      <c r="D388" t="s">
        <v>33</v>
      </c>
      <c r="E388" s="2">
        <v>1107</v>
      </c>
      <c r="F388" t="s">
        <v>41</v>
      </c>
      <c r="G388">
        <v>14</v>
      </c>
      <c r="H388" t="str">
        <f t="shared" si="6"/>
        <v>11-20 km</v>
      </c>
      <c r="I388">
        <v>3</v>
      </c>
      <c r="J388" t="str" cm="1">
        <f t="array" ref="J388">_xlfn.IFS(I388=1,"Below College",I388=2,"College",I388=3,"Bachelor",I388=4,"Master",I388=5,"Doctor")</f>
        <v>Bachelor</v>
      </c>
      <c r="K388" t="s">
        <v>35</v>
      </c>
      <c r="L388">
        <v>515</v>
      </c>
      <c r="M388">
        <v>4</v>
      </c>
      <c r="N388" t="str" cm="1">
        <f t="array" ref="N388">_xlfn.IFS(M388=1,"Low",M388=2,"Medium",M388=3,"High",M388=4,"Very High")</f>
        <v>Very High</v>
      </c>
      <c r="O388" t="s">
        <v>36</v>
      </c>
      <c r="P388" s="2">
        <v>95</v>
      </c>
      <c r="Q388">
        <v>3</v>
      </c>
      <c r="R388" t="str" cm="1">
        <f t="array" ref="R388">_xlfn.IFS(Q388=1,"Low",Q388=2,"Medium",Q388=3,"High",Q388=4,"Very High")</f>
        <v>High</v>
      </c>
      <c r="S388">
        <v>1</v>
      </c>
      <c r="T388" t="str" cm="1">
        <f t="array" ref="T388">_xlfn.IFS(S388=1,"Entry Level",S388=2,"Junior",S388=3,"Mid-Level",S388=4,"Senior",S388=5,"Executive")</f>
        <v>Entry Level</v>
      </c>
      <c r="U388" t="s">
        <v>46</v>
      </c>
      <c r="V388">
        <v>1</v>
      </c>
      <c r="W388" t="str" cm="1">
        <f t="array" ref="W388">_xlfn.IFS(V388=1,"Low",V388=2,"Medium",V388=3,"High",V388=4,"Very High")</f>
        <v>Low</v>
      </c>
      <c r="X388" t="s">
        <v>48</v>
      </c>
      <c r="Y388" s="2">
        <v>3034</v>
      </c>
      <c r="Z388" s="2">
        <v>26914</v>
      </c>
      <c r="AA388">
        <v>1</v>
      </c>
      <c r="AB388" t="s">
        <v>39</v>
      </c>
      <c r="AC388">
        <v>12</v>
      </c>
      <c r="AD388">
        <v>3</v>
      </c>
      <c r="AE388" t="str" cm="1">
        <f t="array" ref="AE388">_xlfn.IFS(AD388=1,"Low",AD388=2,"Good",AD388=3,"Excellent",AD388=4,"Outstanding")</f>
        <v>Excellent</v>
      </c>
      <c r="AF388">
        <v>3</v>
      </c>
      <c r="AG388" t="str" cm="1">
        <f t="array" ref="AG388">_xlfn.IFS(AF388=1,"Low",AF388=2,"Medium",AF388=3,"High",AF388=4,"Very High")</f>
        <v>High</v>
      </c>
      <c r="AH388">
        <v>1</v>
      </c>
      <c r="AI388">
        <v>18</v>
      </c>
      <c r="AJ388">
        <v>2</v>
      </c>
      <c r="AK388">
        <v>2</v>
      </c>
      <c r="AL388" t="str" cm="1">
        <f t="array" ref="AL388">_xlfn.IFS(AK388=1,"Low",AK388=2,"Medium",AK388=3,"High",AK388=4,"Very High")</f>
        <v>Medium</v>
      </c>
      <c r="AM388">
        <v>18</v>
      </c>
      <c r="AN388">
        <v>7</v>
      </c>
      <c r="AO388">
        <v>12</v>
      </c>
      <c r="AP388">
        <v>17</v>
      </c>
    </row>
    <row r="389" spans="1:42">
      <c r="A389">
        <v>40</v>
      </c>
      <c r="B389" t="str" cm="1">
        <f t="array" ref="B389">_xlfn.IFS(A389&lt;=25,"18-25",A389&lt;=35,"26-35",A389&lt;=45,"36-45",A389&lt;=55,"46-55",A389&gt;55,"56+")</f>
        <v>36-45</v>
      </c>
      <c r="C389" t="s">
        <v>39</v>
      </c>
      <c r="D389" t="s">
        <v>33</v>
      </c>
      <c r="E389" s="2">
        <v>759</v>
      </c>
      <c r="F389" t="s">
        <v>34</v>
      </c>
      <c r="G389">
        <v>2</v>
      </c>
      <c r="H389" t="str">
        <f t="shared" si="6"/>
        <v>1-10 km</v>
      </c>
      <c r="I389">
        <v>2</v>
      </c>
      <c r="J389" t="str" cm="1">
        <f t="array" ref="J389">_xlfn.IFS(I389=1,"Below College",I389=2,"College",I389=3,"Bachelor",I389=4,"Master",I389=5,"Doctor")</f>
        <v>College</v>
      </c>
      <c r="K389" t="s">
        <v>55</v>
      </c>
      <c r="L389">
        <v>516</v>
      </c>
      <c r="M389">
        <v>4</v>
      </c>
      <c r="N389" t="str" cm="1">
        <f t="array" ref="N389">_xlfn.IFS(M389=1,"Low",M389=2,"Medium",M389=3,"High",M389=4,"Very High")</f>
        <v>Very High</v>
      </c>
      <c r="O389" t="s">
        <v>36</v>
      </c>
      <c r="P389" s="2">
        <v>46</v>
      </c>
      <c r="Q389">
        <v>3</v>
      </c>
      <c r="R389" t="str" cm="1">
        <f t="array" ref="R389">_xlfn.IFS(Q389=1,"Low",Q389=2,"Medium",Q389=3,"High",Q389=4,"Very High")</f>
        <v>High</v>
      </c>
      <c r="S389">
        <v>2</v>
      </c>
      <c r="T389" t="str" cm="1">
        <f t="array" ref="T389">_xlfn.IFS(S389=1,"Entry Level",S389=2,"Junior",S389=3,"Mid-Level",S389=4,"Senior",S389=5,"Executive")</f>
        <v>Junior</v>
      </c>
      <c r="U389" t="s">
        <v>37</v>
      </c>
      <c r="V389">
        <v>2</v>
      </c>
      <c r="W389" t="str" cm="1">
        <f t="array" ref="W389">_xlfn.IFS(V389=1,"Low",V389=2,"Medium",V389=3,"High",V389=4,"Very High")</f>
        <v>Medium</v>
      </c>
      <c r="X389" t="s">
        <v>48</v>
      </c>
      <c r="Y389" s="2">
        <v>5715</v>
      </c>
      <c r="Z389" s="2">
        <v>22553</v>
      </c>
      <c r="AA389">
        <v>7</v>
      </c>
      <c r="AB389" t="s">
        <v>39</v>
      </c>
      <c r="AC389">
        <v>12</v>
      </c>
      <c r="AD389">
        <v>3</v>
      </c>
      <c r="AE389" t="str" cm="1">
        <f t="array" ref="AE389">_xlfn.IFS(AD389=1,"Low",AD389=2,"Good",AD389=3,"Excellent",AD389=4,"Outstanding")</f>
        <v>Excellent</v>
      </c>
      <c r="AF389">
        <v>3</v>
      </c>
      <c r="AG389" t="str" cm="1">
        <f t="array" ref="AG389">_xlfn.IFS(AF389=1,"Low",AF389=2,"Medium",AF389=3,"High",AF389=4,"Very High")</f>
        <v>High</v>
      </c>
      <c r="AH389">
        <v>2</v>
      </c>
      <c r="AI389">
        <v>8</v>
      </c>
      <c r="AJ389">
        <v>5</v>
      </c>
      <c r="AK389">
        <v>3</v>
      </c>
      <c r="AL389" t="str" cm="1">
        <f t="array" ref="AL389">_xlfn.IFS(AK389=1,"Low",AK389=2,"Medium",AK389=3,"High",AK389=4,"Very High")</f>
        <v>High</v>
      </c>
      <c r="AM389">
        <v>5</v>
      </c>
      <c r="AN389">
        <v>4</v>
      </c>
      <c r="AO389">
        <v>1</v>
      </c>
      <c r="AP389">
        <v>3</v>
      </c>
    </row>
    <row r="390" spans="1:42">
      <c r="A390">
        <v>42</v>
      </c>
      <c r="B390" t="str" cm="1">
        <f t="array" ref="B390">_xlfn.IFS(A390&lt;=25,"18-25",A390&lt;=35,"26-35",A390&lt;=45,"36-45",A390&lt;=55,"46-55",A390&gt;55,"56+")</f>
        <v>36-45</v>
      </c>
      <c r="C390" t="s">
        <v>39</v>
      </c>
      <c r="D390" t="s">
        <v>33</v>
      </c>
      <c r="E390" s="2">
        <v>201</v>
      </c>
      <c r="F390" t="s">
        <v>41</v>
      </c>
      <c r="G390">
        <v>1</v>
      </c>
      <c r="H390" t="str">
        <f t="shared" si="6"/>
        <v>1-10 km</v>
      </c>
      <c r="I390">
        <v>4</v>
      </c>
      <c r="J390" t="str" cm="1">
        <f t="array" ref="J390">_xlfn.IFS(I390=1,"Below College",I390=2,"College",I390=3,"Bachelor",I390=4,"Master",I390=5,"Doctor")</f>
        <v>Master</v>
      </c>
      <c r="K390" t="s">
        <v>35</v>
      </c>
      <c r="L390">
        <v>517</v>
      </c>
      <c r="M390">
        <v>2</v>
      </c>
      <c r="N390" t="str" cm="1">
        <f t="array" ref="N390">_xlfn.IFS(M390=1,"Low",M390=2,"Medium",M390=3,"High",M390=4,"Very High")</f>
        <v>Medium</v>
      </c>
      <c r="O390" t="s">
        <v>36</v>
      </c>
      <c r="P390" s="2">
        <v>95</v>
      </c>
      <c r="Q390">
        <v>3</v>
      </c>
      <c r="R390" t="str" cm="1">
        <f t="array" ref="R390">_xlfn.IFS(Q390=1,"Low",Q390=2,"Medium",Q390=3,"High",Q390=4,"Very High")</f>
        <v>High</v>
      </c>
      <c r="S390">
        <v>1</v>
      </c>
      <c r="T390" t="str" cm="1">
        <f t="array" ref="T390">_xlfn.IFS(S390=1,"Entry Level",S390=2,"Junior",S390=3,"Mid-Level",S390=4,"Senior",S390=5,"Executive")</f>
        <v>Entry Level</v>
      </c>
      <c r="U390" t="s">
        <v>46</v>
      </c>
      <c r="V390">
        <v>1</v>
      </c>
      <c r="W390" t="str" cm="1">
        <f t="array" ref="W390">_xlfn.IFS(V390=1,"Low",V390=2,"Medium",V390=3,"High",V390=4,"Very High")</f>
        <v>Low</v>
      </c>
      <c r="X390" t="s">
        <v>48</v>
      </c>
      <c r="Y390" s="2">
        <v>2576</v>
      </c>
      <c r="Z390" s="2">
        <v>20490</v>
      </c>
      <c r="AA390">
        <v>3</v>
      </c>
      <c r="AB390" t="s">
        <v>39</v>
      </c>
      <c r="AC390">
        <v>16</v>
      </c>
      <c r="AD390">
        <v>3</v>
      </c>
      <c r="AE390" t="str" cm="1">
        <f t="array" ref="AE390">_xlfn.IFS(AD390=1,"Low",AD390=2,"Good",AD390=3,"Excellent",AD390=4,"Outstanding")</f>
        <v>Excellent</v>
      </c>
      <c r="AF390">
        <v>2</v>
      </c>
      <c r="AG390" t="str" cm="1">
        <f t="array" ref="AG390">_xlfn.IFS(AF390=1,"Low",AF390=2,"Medium",AF390=3,"High",AF390=4,"Very High")</f>
        <v>Medium</v>
      </c>
      <c r="AH390">
        <v>1</v>
      </c>
      <c r="AI390">
        <v>8</v>
      </c>
      <c r="AJ390">
        <v>5</v>
      </c>
      <c r="AK390">
        <v>3</v>
      </c>
      <c r="AL390" t="str" cm="1">
        <f t="array" ref="AL390">_xlfn.IFS(AK390=1,"Low",AK390=2,"Medium",AK390=3,"High",AK390=4,"Very High")</f>
        <v>High</v>
      </c>
      <c r="AM390">
        <v>5</v>
      </c>
      <c r="AN390">
        <v>2</v>
      </c>
      <c r="AO390">
        <v>1</v>
      </c>
      <c r="AP390">
        <v>2</v>
      </c>
    </row>
    <row r="391" spans="1:42">
      <c r="A391">
        <v>37</v>
      </c>
      <c r="B391" t="str" cm="1">
        <f t="array" ref="B391">_xlfn.IFS(A391&lt;=25,"18-25",A391&lt;=35,"26-35",A391&lt;=45,"36-45",A391&lt;=55,"46-55",A391&gt;55,"56+")</f>
        <v>36-45</v>
      </c>
      <c r="C391" t="s">
        <v>39</v>
      </c>
      <c r="D391" t="s">
        <v>33</v>
      </c>
      <c r="E391" s="2">
        <v>1305</v>
      </c>
      <c r="F391" t="s">
        <v>41</v>
      </c>
      <c r="G391">
        <v>10</v>
      </c>
      <c r="H391" t="str">
        <f t="shared" si="6"/>
        <v>1-10 km</v>
      </c>
      <c r="I391">
        <v>4</v>
      </c>
      <c r="J391" t="str" cm="1">
        <f t="array" ref="J391">_xlfn.IFS(I391=1,"Below College",I391=2,"College",I391=3,"Bachelor",I391=4,"Master",I391=5,"Doctor")</f>
        <v>Master</v>
      </c>
      <c r="K391" t="s">
        <v>35</v>
      </c>
      <c r="L391">
        <v>518</v>
      </c>
      <c r="M391">
        <v>3</v>
      </c>
      <c r="N391" t="str" cm="1">
        <f t="array" ref="N391">_xlfn.IFS(M391=1,"Low",M391=2,"Medium",M391=3,"High",M391=4,"Very High")</f>
        <v>High</v>
      </c>
      <c r="O391" t="s">
        <v>42</v>
      </c>
      <c r="P391" s="2">
        <v>49</v>
      </c>
      <c r="Q391">
        <v>3</v>
      </c>
      <c r="R391" t="str" cm="1">
        <f t="array" ref="R391">_xlfn.IFS(Q391=1,"Low",Q391=2,"Medium",Q391=3,"High",Q391=4,"Very High")</f>
        <v>High</v>
      </c>
      <c r="S391">
        <v>2</v>
      </c>
      <c r="T391" t="str" cm="1">
        <f t="array" ref="T391">_xlfn.IFS(S391=1,"Entry Level",S391=2,"Junior",S391=3,"Mid-Level",S391=4,"Senior",S391=5,"Executive")</f>
        <v>Junior</v>
      </c>
      <c r="U391" t="s">
        <v>49</v>
      </c>
      <c r="V391">
        <v>2</v>
      </c>
      <c r="W391" t="str" cm="1">
        <f t="array" ref="W391">_xlfn.IFS(V391=1,"Low",V391=2,"Medium",V391=3,"High",V391=4,"Very High")</f>
        <v>Medium</v>
      </c>
      <c r="X391" t="s">
        <v>38</v>
      </c>
      <c r="Y391" s="2">
        <v>4197</v>
      </c>
      <c r="Z391" s="2">
        <v>21123</v>
      </c>
      <c r="AA391">
        <v>2</v>
      </c>
      <c r="AB391" t="s">
        <v>32</v>
      </c>
      <c r="AC391">
        <v>12</v>
      </c>
      <c r="AD391">
        <v>3</v>
      </c>
      <c r="AE391" t="str" cm="1">
        <f t="array" ref="AE391">_xlfn.IFS(AD391=1,"Low",AD391=2,"Good",AD391=3,"Excellent",AD391=4,"Outstanding")</f>
        <v>Excellent</v>
      </c>
      <c r="AF391">
        <v>4</v>
      </c>
      <c r="AG391" t="str" cm="1">
        <f t="array" ref="AG391">_xlfn.IFS(AF391=1,"Low",AF391=2,"Medium",AF391=3,"High",AF391=4,"Very High")</f>
        <v>Very High</v>
      </c>
      <c r="AH391">
        <v>0</v>
      </c>
      <c r="AI391">
        <v>18</v>
      </c>
      <c r="AJ391">
        <v>2</v>
      </c>
      <c r="AK391">
        <v>2</v>
      </c>
      <c r="AL391" t="str" cm="1">
        <f t="array" ref="AL391">_xlfn.IFS(AK391=1,"Low",AK391=2,"Medium",AK391=3,"High",AK391=4,"Very High")</f>
        <v>Medium</v>
      </c>
      <c r="AM391">
        <v>1</v>
      </c>
      <c r="AN391">
        <v>0</v>
      </c>
      <c r="AO391">
        <v>0</v>
      </c>
      <c r="AP391">
        <v>1</v>
      </c>
    </row>
    <row r="392" spans="1:42">
      <c r="A392">
        <v>43</v>
      </c>
      <c r="B392" t="str" cm="1">
        <f t="array" ref="B392">_xlfn.IFS(A392&lt;=25,"18-25",A392&lt;=35,"26-35",A392&lt;=45,"36-45",A392&lt;=55,"46-55",A392&gt;55,"56+")</f>
        <v>36-45</v>
      </c>
      <c r="C392" t="s">
        <v>39</v>
      </c>
      <c r="D392" t="s">
        <v>33</v>
      </c>
      <c r="E392" s="2">
        <v>982</v>
      </c>
      <c r="F392" t="s">
        <v>41</v>
      </c>
      <c r="G392">
        <v>12</v>
      </c>
      <c r="H392" t="str">
        <f t="shared" si="6"/>
        <v>11-20 km</v>
      </c>
      <c r="I392">
        <v>3</v>
      </c>
      <c r="J392" t="str" cm="1">
        <f t="array" ref="J392">_xlfn.IFS(I392=1,"Below College",I392=2,"College",I392=3,"Bachelor",I392=4,"Master",I392=5,"Doctor")</f>
        <v>Bachelor</v>
      </c>
      <c r="K392" t="s">
        <v>35</v>
      </c>
      <c r="L392">
        <v>520</v>
      </c>
      <c r="M392">
        <v>1</v>
      </c>
      <c r="N392" t="str" cm="1">
        <f t="array" ref="N392">_xlfn.IFS(M392=1,"Low",M392=2,"Medium",M392=3,"High",M392=4,"Very High")</f>
        <v>Low</v>
      </c>
      <c r="O392" t="s">
        <v>42</v>
      </c>
      <c r="P392" s="2">
        <v>59</v>
      </c>
      <c r="Q392">
        <v>2</v>
      </c>
      <c r="R392" t="str" cm="1">
        <f t="array" ref="R392">_xlfn.IFS(Q392=1,"Low",Q392=2,"Medium",Q392=3,"High",Q392=4,"Very High")</f>
        <v>Medium</v>
      </c>
      <c r="S392">
        <v>4</v>
      </c>
      <c r="T392" t="str" cm="1">
        <f t="array" ref="T392">_xlfn.IFS(S392=1,"Entry Level",S392=2,"Junior",S392=3,"Mid-Level",S392=4,"Senior",S392=5,"Executive")</f>
        <v>Senior</v>
      </c>
      <c r="U392" t="s">
        <v>54</v>
      </c>
      <c r="V392">
        <v>2</v>
      </c>
      <c r="W392" t="str" cm="1">
        <f t="array" ref="W392">_xlfn.IFS(V392=1,"Low",V392=2,"Medium",V392=3,"High",V392=4,"Very High")</f>
        <v>Medium</v>
      </c>
      <c r="X392" t="s">
        <v>48</v>
      </c>
      <c r="Y392" s="2">
        <v>14336</v>
      </c>
      <c r="Z392" s="2">
        <v>4345</v>
      </c>
      <c r="AA392">
        <v>1</v>
      </c>
      <c r="AB392" t="s">
        <v>39</v>
      </c>
      <c r="AC392">
        <v>11</v>
      </c>
      <c r="AD392">
        <v>3</v>
      </c>
      <c r="AE392" t="str" cm="1">
        <f t="array" ref="AE392">_xlfn.IFS(AD392=1,"Low",AD392=2,"Good",AD392=3,"Excellent",AD392=4,"Outstanding")</f>
        <v>Excellent</v>
      </c>
      <c r="AF392">
        <v>3</v>
      </c>
      <c r="AG392" t="str" cm="1">
        <f t="array" ref="AG392">_xlfn.IFS(AF392=1,"Low",AF392=2,"Medium",AF392=3,"High",AF392=4,"Very High")</f>
        <v>High</v>
      </c>
      <c r="AH392">
        <v>1</v>
      </c>
      <c r="AI392">
        <v>25</v>
      </c>
      <c r="AJ392">
        <v>3</v>
      </c>
      <c r="AK392">
        <v>3</v>
      </c>
      <c r="AL392" t="str" cm="1">
        <f t="array" ref="AL392">_xlfn.IFS(AK392=1,"Low",AK392=2,"Medium",AK392=3,"High",AK392=4,"Very High")</f>
        <v>High</v>
      </c>
      <c r="AM392">
        <v>25</v>
      </c>
      <c r="AN392">
        <v>10</v>
      </c>
      <c r="AO392">
        <v>3</v>
      </c>
      <c r="AP392">
        <v>9</v>
      </c>
    </row>
    <row r="393" spans="1:42">
      <c r="A393">
        <v>40</v>
      </c>
      <c r="B393" t="str" cm="1">
        <f t="array" ref="B393">_xlfn.IFS(A393&lt;=25,"18-25",A393&lt;=35,"26-35",A393&lt;=45,"36-45",A393&lt;=55,"46-55",A393&gt;55,"56+")</f>
        <v>36-45</v>
      </c>
      <c r="C393" t="s">
        <v>39</v>
      </c>
      <c r="D393" t="s">
        <v>33</v>
      </c>
      <c r="E393" s="2">
        <v>555</v>
      </c>
      <c r="F393" t="s">
        <v>41</v>
      </c>
      <c r="G393">
        <v>2</v>
      </c>
      <c r="H393" t="str">
        <f t="shared" si="6"/>
        <v>1-10 km</v>
      </c>
      <c r="I393">
        <v>3</v>
      </c>
      <c r="J393" t="str" cm="1">
        <f t="array" ref="J393">_xlfn.IFS(I393=1,"Below College",I393=2,"College",I393=3,"Bachelor",I393=4,"Master",I393=5,"Doctor")</f>
        <v>Bachelor</v>
      </c>
      <c r="K393" t="s">
        <v>47</v>
      </c>
      <c r="L393">
        <v>521</v>
      </c>
      <c r="M393">
        <v>2</v>
      </c>
      <c r="N393" t="str" cm="1">
        <f t="array" ref="N393">_xlfn.IFS(M393=1,"Low",M393=2,"Medium",M393=3,"High",M393=4,"Very High")</f>
        <v>Medium</v>
      </c>
      <c r="O393" t="s">
        <v>36</v>
      </c>
      <c r="P393" s="2">
        <v>78</v>
      </c>
      <c r="Q393">
        <v>2</v>
      </c>
      <c r="R393" t="str" cm="1">
        <f t="array" ref="R393">_xlfn.IFS(Q393=1,"Low",Q393=2,"Medium",Q393=3,"High",Q393=4,"Very High")</f>
        <v>Medium</v>
      </c>
      <c r="S393">
        <v>2</v>
      </c>
      <c r="T393" t="str" cm="1">
        <f t="array" ref="T393">_xlfn.IFS(S393=1,"Entry Level",S393=2,"Junior",S393=3,"Mid-Level",S393=4,"Senior",S393=5,"Executive")</f>
        <v>Junior</v>
      </c>
      <c r="U393" t="s">
        <v>46</v>
      </c>
      <c r="V393">
        <v>3</v>
      </c>
      <c r="W393" t="str" cm="1">
        <f t="array" ref="W393">_xlfn.IFS(V393=1,"Low",V393=2,"Medium",V393=3,"High",V393=4,"Very High")</f>
        <v>High</v>
      </c>
      <c r="X393" t="s">
        <v>44</v>
      </c>
      <c r="Y393" s="2">
        <v>3448</v>
      </c>
      <c r="Z393" s="2">
        <v>13436</v>
      </c>
      <c r="AA393">
        <v>6</v>
      </c>
      <c r="AB393" t="s">
        <v>39</v>
      </c>
      <c r="AC393">
        <v>22</v>
      </c>
      <c r="AD393">
        <v>4</v>
      </c>
      <c r="AE393" t="str" cm="1">
        <f t="array" ref="AE393">_xlfn.IFS(AD393=1,"Low",AD393=2,"Good",AD393=3,"Excellent",AD393=4,"Outstanding")</f>
        <v>Outstanding</v>
      </c>
      <c r="AF393">
        <v>2</v>
      </c>
      <c r="AG393" t="str" cm="1">
        <f t="array" ref="AG393">_xlfn.IFS(AF393=1,"Low",AF393=2,"Medium",AF393=3,"High",AF393=4,"Very High")</f>
        <v>Medium</v>
      </c>
      <c r="AH393">
        <v>1</v>
      </c>
      <c r="AI393">
        <v>20</v>
      </c>
      <c r="AJ393">
        <v>3</v>
      </c>
      <c r="AK393">
        <v>3</v>
      </c>
      <c r="AL393" t="str" cm="1">
        <f t="array" ref="AL393">_xlfn.IFS(AK393=1,"Low",AK393=2,"Medium",AK393=3,"High",AK393=4,"Very High")</f>
        <v>High</v>
      </c>
      <c r="AM393">
        <v>1</v>
      </c>
      <c r="AN393">
        <v>0</v>
      </c>
      <c r="AO393">
        <v>0</v>
      </c>
      <c r="AP393">
        <v>0</v>
      </c>
    </row>
    <row r="394" spans="1:42">
      <c r="A394">
        <v>54</v>
      </c>
      <c r="B394" t="str" cm="1">
        <f t="array" ref="B394">_xlfn.IFS(A394&lt;=25,"18-25",A394&lt;=35,"26-35",A394&lt;=45,"36-45",A394&lt;=55,"46-55",A394&gt;55,"56+")</f>
        <v>46-55</v>
      </c>
      <c r="C394" t="s">
        <v>39</v>
      </c>
      <c r="D394" t="s">
        <v>33</v>
      </c>
      <c r="E394" s="2">
        <v>821</v>
      </c>
      <c r="F394" t="s">
        <v>41</v>
      </c>
      <c r="G394">
        <v>5</v>
      </c>
      <c r="H394" t="str">
        <f t="shared" si="6"/>
        <v>1-10 km</v>
      </c>
      <c r="I394">
        <v>2</v>
      </c>
      <c r="J394" t="str" cm="1">
        <f t="array" ref="J394">_xlfn.IFS(I394=1,"Below College",I394=2,"College",I394=3,"Bachelor",I394=4,"Master",I394=5,"Doctor")</f>
        <v>College</v>
      </c>
      <c r="K394" t="s">
        <v>47</v>
      </c>
      <c r="L394">
        <v>522</v>
      </c>
      <c r="M394">
        <v>1</v>
      </c>
      <c r="N394" t="str" cm="1">
        <f t="array" ref="N394">_xlfn.IFS(M394=1,"Low",M394=2,"Medium",M394=3,"High",M394=4,"Very High")</f>
        <v>Low</v>
      </c>
      <c r="O394" t="s">
        <v>42</v>
      </c>
      <c r="P394" s="2">
        <v>86</v>
      </c>
      <c r="Q394">
        <v>3</v>
      </c>
      <c r="R394" t="str" cm="1">
        <f t="array" ref="R394">_xlfn.IFS(Q394=1,"Low",Q394=2,"Medium",Q394=3,"High",Q394=4,"Very High")</f>
        <v>High</v>
      </c>
      <c r="S394">
        <v>5</v>
      </c>
      <c r="T394" t="str" cm="1">
        <f t="array" ref="T394">_xlfn.IFS(S394=1,"Entry Level",S394=2,"Junior",S394=3,"Mid-Level",S394=4,"Senior",S394=5,"Executive")</f>
        <v>Executive</v>
      </c>
      <c r="U394" t="s">
        <v>54</v>
      </c>
      <c r="V394">
        <v>1</v>
      </c>
      <c r="W394" t="str" cm="1">
        <f t="array" ref="W394">_xlfn.IFS(V394=1,"Low",V394=2,"Medium",V394=3,"High",V394=4,"Very High")</f>
        <v>Low</v>
      </c>
      <c r="X394" t="s">
        <v>44</v>
      </c>
      <c r="Y394" s="2">
        <v>19406</v>
      </c>
      <c r="Z394" s="2">
        <v>8509</v>
      </c>
      <c r="AA394">
        <v>4</v>
      </c>
      <c r="AB394" t="s">
        <v>39</v>
      </c>
      <c r="AC394">
        <v>11</v>
      </c>
      <c r="AD394">
        <v>3</v>
      </c>
      <c r="AE394" t="str" cm="1">
        <f t="array" ref="AE394">_xlfn.IFS(AD394=1,"Low",AD394=2,"Good",AD394=3,"Excellent",AD394=4,"Outstanding")</f>
        <v>Excellent</v>
      </c>
      <c r="AF394">
        <v>3</v>
      </c>
      <c r="AG394" t="str" cm="1">
        <f t="array" ref="AG394">_xlfn.IFS(AF394=1,"Low",AF394=2,"Medium",AF394=3,"High",AF394=4,"Very High")</f>
        <v>High</v>
      </c>
      <c r="AH394">
        <v>1</v>
      </c>
      <c r="AI394">
        <v>24</v>
      </c>
      <c r="AJ394">
        <v>4</v>
      </c>
      <c r="AK394">
        <v>2</v>
      </c>
      <c r="AL394" t="str" cm="1">
        <f t="array" ref="AL394">_xlfn.IFS(AK394=1,"Low",AK394=2,"Medium",AK394=3,"High",AK394=4,"Very High")</f>
        <v>Medium</v>
      </c>
      <c r="AM394">
        <v>4</v>
      </c>
      <c r="AN394">
        <v>2</v>
      </c>
      <c r="AO394">
        <v>1</v>
      </c>
      <c r="AP394">
        <v>2</v>
      </c>
    </row>
    <row r="395" spans="1:42">
      <c r="A395">
        <v>34</v>
      </c>
      <c r="B395" t="str" cm="1">
        <f t="array" ref="B395">_xlfn.IFS(A395&lt;=25,"18-25",A395&lt;=35,"26-35",A395&lt;=45,"36-45",A395&lt;=55,"46-55",A395&gt;55,"56+")</f>
        <v>26-35</v>
      </c>
      <c r="C395" t="s">
        <v>39</v>
      </c>
      <c r="D395" t="s">
        <v>51</v>
      </c>
      <c r="E395" s="2">
        <v>1381</v>
      </c>
      <c r="F395" t="s">
        <v>34</v>
      </c>
      <c r="G395">
        <v>4</v>
      </c>
      <c r="H395" t="str">
        <f t="shared" si="6"/>
        <v>1-10 km</v>
      </c>
      <c r="I395">
        <v>4</v>
      </c>
      <c r="J395" t="str" cm="1">
        <f t="array" ref="J395">_xlfn.IFS(I395=1,"Below College",I395=2,"College",I395=3,"Bachelor",I395=4,"Master",I395=5,"Doctor")</f>
        <v>Master</v>
      </c>
      <c r="K395" t="s">
        <v>55</v>
      </c>
      <c r="L395">
        <v>523</v>
      </c>
      <c r="M395">
        <v>3</v>
      </c>
      <c r="N395" t="str" cm="1">
        <f t="array" ref="N395">_xlfn.IFS(M395=1,"Low",M395=2,"Medium",M395=3,"High",M395=4,"Very High")</f>
        <v>High</v>
      </c>
      <c r="O395" t="s">
        <v>36</v>
      </c>
      <c r="P395" s="2">
        <v>72</v>
      </c>
      <c r="Q395">
        <v>3</v>
      </c>
      <c r="R395" t="str" cm="1">
        <f t="array" ref="R395">_xlfn.IFS(Q395=1,"Low",Q395=2,"Medium",Q395=3,"High",Q395=4,"Very High")</f>
        <v>High</v>
      </c>
      <c r="S395">
        <v>2</v>
      </c>
      <c r="T395" t="str" cm="1">
        <f t="array" ref="T395">_xlfn.IFS(S395=1,"Entry Level",S395=2,"Junior",S395=3,"Mid-Level",S395=4,"Senior",S395=5,"Executive")</f>
        <v>Junior</v>
      </c>
      <c r="U395" t="s">
        <v>37</v>
      </c>
      <c r="V395">
        <v>3</v>
      </c>
      <c r="W395" t="str" cm="1">
        <f t="array" ref="W395">_xlfn.IFS(V395=1,"Low",V395=2,"Medium",V395=3,"High",V395=4,"Very High")</f>
        <v>High</v>
      </c>
      <c r="X395" t="s">
        <v>44</v>
      </c>
      <c r="Y395" s="2">
        <v>6538</v>
      </c>
      <c r="Z395" s="2">
        <v>12740</v>
      </c>
      <c r="AA395">
        <v>9</v>
      </c>
      <c r="AB395" t="s">
        <v>39</v>
      </c>
      <c r="AC395">
        <v>15</v>
      </c>
      <c r="AD395">
        <v>3</v>
      </c>
      <c r="AE395" t="str" cm="1">
        <f t="array" ref="AE395">_xlfn.IFS(AD395=1,"Low",AD395=2,"Good",AD395=3,"Excellent",AD395=4,"Outstanding")</f>
        <v>Excellent</v>
      </c>
      <c r="AF395">
        <v>1</v>
      </c>
      <c r="AG395" t="str" cm="1">
        <f t="array" ref="AG395">_xlfn.IFS(AF395=1,"Low",AF395=2,"Medium",AF395=3,"High",AF395=4,"Very High")</f>
        <v>Low</v>
      </c>
      <c r="AH395">
        <v>1</v>
      </c>
      <c r="AI395">
        <v>6</v>
      </c>
      <c r="AJ395">
        <v>3</v>
      </c>
      <c r="AK395">
        <v>3</v>
      </c>
      <c r="AL395" t="str" cm="1">
        <f t="array" ref="AL395">_xlfn.IFS(AK395=1,"Low",AK395=2,"Medium",AK395=3,"High",AK395=4,"Very High")</f>
        <v>High</v>
      </c>
      <c r="AM395">
        <v>3</v>
      </c>
      <c r="AN395">
        <v>2</v>
      </c>
      <c r="AO395">
        <v>1</v>
      </c>
      <c r="AP395">
        <v>2</v>
      </c>
    </row>
    <row r="396" spans="1:42">
      <c r="A396">
        <v>31</v>
      </c>
      <c r="B396" t="str" cm="1">
        <f t="array" ref="B396">_xlfn.IFS(A396&lt;=25,"18-25",A396&lt;=35,"26-35",A396&lt;=45,"36-45",A396&lt;=55,"46-55",A396&gt;55,"56+")</f>
        <v>26-35</v>
      </c>
      <c r="C396" t="s">
        <v>39</v>
      </c>
      <c r="D396" t="s">
        <v>33</v>
      </c>
      <c r="E396" s="2">
        <v>480</v>
      </c>
      <c r="F396" t="s">
        <v>41</v>
      </c>
      <c r="G396">
        <v>7</v>
      </c>
      <c r="H396" t="str">
        <f t="shared" si="6"/>
        <v>1-10 km</v>
      </c>
      <c r="I396">
        <v>2</v>
      </c>
      <c r="J396" t="str" cm="1">
        <f t="array" ref="J396">_xlfn.IFS(I396=1,"Below College",I396=2,"College",I396=3,"Bachelor",I396=4,"Master",I396=5,"Doctor")</f>
        <v>College</v>
      </c>
      <c r="K396" t="s">
        <v>47</v>
      </c>
      <c r="L396">
        <v>524</v>
      </c>
      <c r="M396">
        <v>2</v>
      </c>
      <c r="N396" t="str" cm="1">
        <f t="array" ref="N396">_xlfn.IFS(M396=1,"Low",M396=2,"Medium",M396=3,"High",M396=4,"Very High")</f>
        <v>Medium</v>
      </c>
      <c r="O396" t="s">
        <v>36</v>
      </c>
      <c r="P396" s="2">
        <v>31</v>
      </c>
      <c r="Q396">
        <v>3</v>
      </c>
      <c r="R396" t="str" cm="1">
        <f t="array" ref="R396">_xlfn.IFS(Q396=1,"Low",Q396=2,"Medium",Q396=3,"High",Q396=4,"Very High")</f>
        <v>High</v>
      </c>
      <c r="S396">
        <v>2</v>
      </c>
      <c r="T396" t="str" cm="1">
        <f t="array" ref="T396">_xlfn.IFS(S396=1,"Entry Level",S396=2,"Junior",S396=3,"Mid-Level",S396=4,"Senior",S396=5,"Executive")</f>
        <v>Junior</v>
      </c>
      <c r="U396" t="s">
        <v>49</v>
      </c>
      <c r="V396">
        <v>1</v>
      </c>
      <c r="W396" t="str" cm="1">
        <f t="array" ref="W396">_xlfn.IFS(V396=1,"Low",V396=2,"Medium",V396=3,"High",V396=4,"Very High")</f>
        <v>Low</v>
      </c>
      <c r="X396" t="s">
        <v>44</v>
      </c>
      <c r="Y396" s="2">
        <v>4306</v>
      </c>
      <c r="Z396" s="2">
        <v>4156</v>
      </c>
      <c r="AA396">
        <v>1</v>
      </c>
      <c r="AB396" t="s">
        <v>39</v>
      </c>
      <c r="AC396">
        <v>12</v>
      </c>
      <c r="AD396">
        <v>3</v>
      </c>
      <c r="AE396" t="str" cm="1">
        <f t="array" ref="AE396">_xlfn.IFS(AD396=1,"Low",AD396=2,"Good",AD396=3,"Excellent",AD396=4,"Outstanding")</f>
        <v>Excellent</v>
      </c>
      <c r="AF396">
        <v>2</v>
      </c>
      <c r="AG396" t="str" cm="1">
        <f t="array" ref="AG396">_xlfn.IFS(AF396=1,"Low",AF396=2,"Medium",AF396=3,"High",AF396=4,"Very High")</f>
        <v>Medium</v>
      </c>
      <c r="AH396">
        <v>1</v>
      </c>
      <c r="AI396">
        <v>13</v>
      </c>
      <c r="AJ396">
        <v>5</v>
      </c>
      <c r="AK396">
        <v>1</v>
      </c>
      <c r="AL396" t="str" cm="1">
        <f t="array" ref="AL396">_xlfn.IFS(AK396=1,"Low",AK396=2,"Medium",AK396=3,"High",AK396=4,"Very High")</f>
        <v>Low</v>
      </c>
      <c r="AM396">
        <v>13</v>
      </c>
      <c r="AN396">
        <v>10</v>
      </c>
      <c r="AO396">
        <v>3</v>
      </c>
      <c r="AP396">
        <v>12</v>
      </c>
    </row>
    <row r="397" spans="1:42">
      <c r="A397">
        <v>43</v>
      </c>
      <c r="B397" t="str" cm="1">
        <f t="array" ref="B397">_xlfn.IFS(A397&lt;=25,"18-25",A397&lt;=35,"26-35",A397&lt;=45,"36-45",A397&lt;=55,"46-55",A397&gt;55,"56+")</f>
        <v>36-45</v>
      </c>
      <c r="C397" t="s">
        <v>39</v>
      </c>
      <c r="D397" t="s">
        <v>40</v>
      </c>
      <c r="E397" s="2">
        <v>313</v>
      </c>
      <c r="F397" t="s">
        <v>41</v>
      </c>
      <c r="G397">
        <v>21</v>
      </c>
      <c r="H397" t="str">
        <f t="shared" si="6"/>
        <v>21-30 km</v>
      </c>
      <c r="I397">
        <v>3</v>
      </c>
      <c r="J397" t="str" cm="1">
        <f t="array" ref="J397">_xlfn.IFS(I397=1,"Below College",I397=2,"College",I397=3,"Bachelor",I397=4,"Master",I397=5,"Doctor")</f>
        <v>Bachelor</v>
      </c>
      <c r="K397" t="s">
        <v>47</v>
      </c>
      <c r="L397">
        <v>525</v>
      </c>
      <c r="M397">
        <v>4</v>
      </c>
      <c r="N397" t="str" cm="1">
        <f t="array" ref="N397">_xlfn.IFS(M397=1,"Low",M397=2,"Medium",M397=3,"High",M397=4,"Very High")</f>
        <v>Very High</v>
      </c>
      <c r="O397" t="s">
        <v>42</v>
      </c>
      <c r="P397" s="2">
        <v>61</v>
      </c>
      <c r="Q397">
        <v>3</v>
      </c>
      <c r="R397" t="str" cm="1">
        <f t="array" ref="R397">_xlfn.IFS(Q397=1,"Low",Q397=2,"Medium",Q397=3,"High",Q397=4,"Very High")</f>
        <v>High</v>
      </c>
      <c r="S397">
        <v>1</v>
      </c>
      <c r="T397" t="str" cm="1">
        <f t="array" ref="T397">_xlfn.IFS(S397=1,"Entry Level",S397=2,"Junior",S397=3,"Mid-Level",S397=4,"Senior",S397=5,"Executive")</f>
        <v>Entry Level</v>
      </c>
      <c r="U397" t="s">
        <v>46</v>
      </c>
      <c r="V397">
        <v>4</v>
      </c>
      <c r="W397" t="str" cm="1">
        <f t="array" ref="W397">_xlfn.IFS(V397=1,"Low",V397=2,"Medium",V397=3,"High",V397=4,"Very High")</f>
        <v>Very High</v>
      </c>
      <c r="X397" t="s">
        <v>44</v>
      </c>
      <c r="Y397" s="2">
        <v>2258</v>
      </c>
      <c r="Z397" s="2">
        <v>15238</v>
      </c>
      <c r="AA397">
        <v>7</v>
      </c>
      <c r="AB397" t="s">
        <v>39</v>
      </c>
      <c r="AC397">
        <v>20</v>
      </c>
      <c r="AD397">
        <v>4</v>
      </c>
      <c r="AE397" t="str" cm="1">
        <f t="array" ref="AE397">_xlfn.IFS(AD397=1,"Low",AD397=2,"Good",AD397=3,"Excellent",AD397=4,"Outstanding")</f>
        <v>Outstanding</v>
      </c>
      <c r="AF397">
        <v>1</v>
      </c>
      <c r="AG397" t="str" cm="1">
        <f t="array" ref="AG397">_xlfn.IFS(AF397=1,"Low",AF397=2,"Medium",AF397=3,"High",AF397=4,"Very High")</f>
        <v>Low</v>
      </c>
      <c r="AH397">
        <v>1</v>
      </c>
      <c r="AI397">
        <v>8</v>
      </c>
      <c r="AJ397">
        <v>1</v>
      </c>
      <c r="AK397">
        <v>3</v>
      </c>
      <c r="AL397" t="str" cm="1">
        <f t="array" ref="AL397">_xlfn.IFS(AK397=1,"Low",AK397=2,"Medium",AK397=3,"High",AK397=4,"Very High")</f>
        <v>High</v>
      </c>
      <c r="AM397">
        <v>3</v>
      </c>
      <c r="AN397">
        <v>2</v>
      </c>
      <c r="AO397">
        <v>1</v>
      </c>
      <c r="AP397">
        <v>2</v>
      </c>
    </row>
    <row r="398" spans="1:42">
      <c r="A398">
        <v>43</v>
      </c>
      <c r="B398" t="str" cm="1">
        <f t="array" ref="B398">_xlfn.IFS(A398&lt;=25,"18-25",A398&lt;=35,"26-35",A398&lt;=45,"36-45",A398&lt;=55,"46-55",A398&gt;55,"56+")</f>
        <v>36-45</v>
      </c>
      <c r="C398" t="s">
        <v>39</v>
      </c>
      <c r="D398" t="s">
        <v>33</v>
      </c>
      <c r="E398" s="2">
        <v>1473</v>
      </c>
      <c r="F398" t="s">
        <v>41</v>
      </c>
      <c r="G398">
        <v>8</v>
      </c>
      <c r="H398" t="str">
        <f t="shared" si="6"/>
        <v>1-10 km</v>
      </c>
      <c r="I398">
        <v>4</v>
      </c>
      <c r="J398" t="str" cm="1">
        <f t="array" ref="J398">_xlfn.IFS(I398=1,"Below College",I398=2,"College",I398=3,"Bachelor",I398=4,"Master",I398=5,"Doctor")</f>
        <v>Master</v>
      </c>
      <c r="K398" t="s">
        <v>45</v>
      </c>
      <c r="L398">
        <v>526</v>
      </c>
      <c r="M398">
        <v>3</v>
      </c>
      <c r="N398" t="str" cm="1">
        <f t="array" ref="N398">_xlfn.IFS(M398=1,"Low",M398=2,"Medium",M398=3,"High",M398=4,"Very High")</f>
        <v>High</v>
      </c>
      <c r="O398" t="s">
        <v>36</v>
      </c>
      <c r="P398" s="2">
        <v>74</v>
      </c>
      <c r="Q398">
        <v>3</v>
      </c>
      <c r="R398" t="str" cm="1">
        <f t="array" ref="R398">_xlfn.IFS(Q398=1,"Low",Q398=2,"Medium",Q398=3,"High",Q398=4,"Very High")</f>
        <v>High</v>
      </c>
      <c r="S398">
        <v>2</v>
      </c>
      <c r="T398" t="str" cm="1">
        <f t="array" ref="T398">_xlfn.IFS(S398=1,"Entry Level",S398=2,"Junior",S398=3,"Mid-Level",S398=4,"Senior",S398=5,"Executive")</f>
        <v>Junior</v>
      </c>
      <c r="U398" t="s">
        <v>50</v>
      </c>
      <c r="V398">
        <v>3</v>
      </c>
      <c r="W398" t="str" cm="1">
        <f t="array" ref="W398">_xlfn.IFS(V398=1,"Low",V398=2,"Medium",V398=3,"High",V398=4,"Very High")</f>
        <v>High</v>
      </c>
      <c r="X398" t="s">
        <v>48</v>
      </c>
      <c r="Y398" s="2">
        <v>4522</v>
      </c>
      <c r="Z398" s="2">
        <v>2227</v>
      </c>
      <c r="AA398">
        <v>4</v>
      </c>
      <c r="AB398" t="s">
        <v>32</v>
      </c>
      <c r="AC398">
        <v>14</v>
      </c>
      <c r="AD398">
        <v>3</v>
      </c>
      <c r="AE398" t="str" cm="1">
        <f t="array" ref="AE398">_xlfn.IFS(AD398=1,"Low",AD398=2,"Good",AD398=3,"Excellent",AD398=4,"Outstanding")</f>
        <v>Excellent</v>
      </c>
      <c r="AF398">
        <v>4</v>
      </c>
      <c r="AG398" t="str" cm="1">
        <f t="array" ref="AG398">_xlfn.IFS(AF398=1,"Low",AF398=2,"Medium",AF398=3,"High",AF398=4,"Very High")</f>
        <v>Very High</v>
      </c>
      <c r="AH398">
        <v>0</v>
      </c>
      <c r="AI398">
        <v>8</v>
      </c>
      <c r="AJ398">
        <v>3</v>
      </c>
      <c r="AK398">
        <v>3</v>
      </c>
      <c r="AL398" t="str" cm="1">
        <f t="array" ref="AL398">_xlfn.IFS(AK398=1,"Low",AK398=2,"Medium",AK398=3,"High",AK398=4,"Very High")</f>
        <v>High</v>
      </c>
      <c r="AM398">
        <v>5</v>
      </c>
      <c r="AN398">
        <v>2</v>
      </c>
      <c r="AO398">
        <v>0</v>
      </c>
      <c r="AP398">
        <v>2</v>
      </c>
    </row>
    <row r="399" spans="1:42">
      <c r="A399">
        <v>25</v>
      </c>
      <c r="B399" t="str" cm="1">
        <f t="array" ref="B399">_xlfn.IFS(A399&lt;=25,"18-25",A399&lt;=35,"26-35",A399&lt;=45,"36-45",A399&lt;=55,"46-55",A399&gt;55,"56+")</f>
        <v>18-25</v>
      </c>
      <c r="C399" t="s">
        <v>39</v>
      </c>
      <c r="D399" t="s">
        <v>33</v>
      </c>
      <c r="E399" s="2">
        <v>891</v>
      </c>
      <c r="F399" t="s">
        <v>34</v>
      </c>
      <c r="G399">
        <v>4</v>
      </c>
      <c r="H399" t="str">
        <f t="shared" si="6"/>
        <v>1-10 km</v>
      </c>
      <c r="I399">
        <v>2</v>
      </c>
      <c r="J399" t="str" cm="1">
        <f t="array" ref="J399">_xlfn.IFS(I399=1,"Below College",I399=2,"College",I399=3,"Bachelor",I399=4,"Master",I399=5,"Doctor")</f>
        <v>College</v>
      </c>
      <c r="K399" t="s">
        <v>35</v>
      </c>
      <c r="L399">
        <v>527</v>
      </c>
      <c r="M399">
        <v>2</v>
      </c>
      <c r="N399" t="str" cm="1">
        <f t="array" ref="N399">_xlfn.IFS(M399=1,"Low",M399=2,"Medium",M399=3,"High",M399=4,"Very High")</f>
        <v>Medium</v>
      </c>
      <c r="O399" t="s">
        <v>36</v>
      </c>
      <c r="P399" s="2">
        <v>99</v>
      </c>
      <c r="Q399">
        <v>2</v>
      </c>
      <c r="R399" t="str" cm="1">
        <f t="array" ref="R399">_xlfn.IFS(Q399=1,"Low",Q399=2,"Medium",Q399=3,"High",Q399=4,"Very High")</f>
        <v>Medium</v>
      </c>
      <c r="S399">
        <v>2</v>
      </c>
      <c r="T399" t="str" cm="1">
        <f t="array" ref="T399">_xlfn.IFS(S399=1,"Entry Level",S399=2,"Junior",S399=3,"Mid-Level",S399=4,"Senior",S399=5,"Executive")</f>
        <v>Junior</v>
      </c>
      <c r="U399" t="s">
        <v>37</v>
      </c>
      <c r="V399">
        <v>4</v>
      </c>
      <c r="W399" t="str" cm="1">
        <f t="array" ref="W399">_xlfn.IFS(V399=1,"Low",V399=2,"Medium",V399=3,"High",V399=4,"Very High")</f>
        <v>Very High</v>
      </c>
      <c r="X399" t="s">
        <v>38</v>
      </c>
      <c r="Y399" s="2">
        <v>4487</v>
      </c>
      <c r="Z399" s="2">
        <v>12090</v>
      </c>
      <c r="AA399">
        <v>1</v>
      </c>
      <c r="AB399" t="s">
        <v>32</v>
      </c>
      <c r="AC399">
        <v>11</v>
      </c>
      <c r="AD399">
        <v>3</v>
      </c>
      <c r="AE399" t="str" cm="1">
        <f t="array" ref="AE399">_xlfn.IFS(AD399=1,"Low",AD399=2,"Good",AD399=3,"Excellent",AD399=4,"Outstanding")</f>
        <v>Excellent</v>
      </c>
      <c r="AF399">
        <v>2</v>
      </c>
      <c r="AG399" t="str" cm="1">
        <f t="array" ref="AG399">_xlfn.IFS(AF399=1,"Low",AF399=2,"Medium",AF399=3,"High",AF399=4,"Very High")</f>
        <v>Medium</v>
      </c>
      <c r="AH399">
        <v>0</v>
      </c>
      <c r="AI399">
        <v>5</v>
      </c>
      <c r="AJ399">
        <v>3</v>
      </c>
      <c r="AK399">
        <v>3</v>
      </c>
      <c r="AL399" t="str" cm="1">
        <f t="array" ref="AL399">_xlfn.IFS(AK399=1,"Low",AK399=2,"Medium",AK399=3,"High",AK399=4,"Very High")</f>
        <v>High</v>
      </c>
      <c r="AM399">
        <v>5</v>
      </c>
      <c r="AN399">
        <v>4</v>
      </c>
      <c r="AO399">
        <v>1</v>
      </c>
      <c r="AP399">
        <v>3</v>
      </c>
    </row>
    <row r="400" spans="1:42">
      <c r="A400">
        <v>37</v>
      </c>
      <c r="B400" t="str" cm="1">
        <f t="array" ref="B400">_xlfn.IFS(A400&lt;=25,"18-25",A400&lt;=35,"26-35",A400&lt;=45,"36-45",A400&lt;=55,"46-55",A400&gt;55,"56+")</f>
        <v>36-45</v>
      </c>
      <c r="C400" t="s">
        <v>39</v>
      </c>
      <c r="D400" t="s">
        <v>51</v>
      </c>
      <c r="E400" s="2">
        <v>1063</v>
      </c>
      <c r="F400" t="s">
        <v>41</v>
      </c>
      <c r="G400">
        <v>25</v>
      </c>
      <c r="H400" t="str">
        <f t="shared" si="6"/>
        <v>21-30 km</v>
      </c>
      <c r="I400">
        <v>5</v>
      </c>
      <c r="J400" t="str" cm="1">
        <f t="array" ref="J400">_xlfn.IFS(I400=1,"Below College",I400=2,"College",I400=3,"Bachelor",I400=4,"Master",I400=5,"Doctor")</f>
        <v>Doctor</v>
      </c>
      <c r="K400" t="s">
        <v>47</v>
      </c>
      <c r="L400">
        <v>529</v>
      </c>
      <c r="M400">
        <v>2</v>
      </c>
      <c r="N400" t="str" cm="1">
        <f t="array" ref="N400">_xlfn.IFS(M400=1,"Low",M400=2,"Medium",M400=3,"High",M400=4,"Very High")</f>
        <v>Medium</v>
      </c>
      <c r="O400" t="s">
        <v>36</v>
      </c>
      <c r="P400" s="2">
        <v>72</v>
      </c>
      <c r="Q400">
        <v>3</v>
      </c>
      <c r="R400" t="str" cm="1">
        <f t="array" ref="R400">_xlfn.IFS(Q400=1,"Low",Q400=2,"Medium",Q400=3,"High",Q400=4,"Very High")</f>
        <v>High</v>
      </c>
      <c r="S400">
        <v>2</v>
      </c>
      <c r="T400" t="str" cm="1">
        <f t="array" ref="T400">_xlfn.IFS(S400=1,"Entry Level",S400=2,"Junior",S400=3,"Mid-Level",S400=4,"Senior",S400=5,"Executive")</f>
        <v>Junior</v>
      </c>
      <c r="U400" t="s">
        <v>43</v>
      </c>
      <c r="V400">
        <v>3</v>
      </c>
      <c r="W400" t="str" cm="1">
        <f t="array" ref="W400">_xlfn.IFS(V400=1,"Low",V400=2,"Medium",V400=3,"High",V400=4,"Very High")</f>
        <v>High</v>
      </c>
      <c r="X400" t="s">
        <v>44</v>
      </c>
      <c r="Y400" s="2">
        <v>4449</v>
      </c>
      <c r="Z400" s="2">
        <v>23866</v>
      </c>
      <c r="AA400">
        <v>3</v>
      </c>
      <c r="AB400" t="s">
        <v>32</v>
      </c>
      <c r="AC400">
        <v>15</v>
      </c>
      <c r="AD400">
        <v>3</v>
      </c>
      <c r="AE400" t="str" cm="1">
        <f t="array" ref="AE400">_xlfn.IFS(AD400=1,"Low",AD400=2,"Good",AD400=3,"Excellent",AD400=4,"Outstanding")</f>
        <v>Excellent</v>
      </c>
      <c r="AF400">
        <v>1</v>
      </c>
      <c r="AG400" t="str" cm="1">
        <f t="array" ref="AG400">_xlfn.IFS(AF400=1,"Low",AF400=2,"Medium",AF400=3,"High",AF400=4,"Very High")</f>
        <v>Low</v>
      </c>
      <c r="AH400">
        <v>2</v>
      </c>
      <c r="AI400">
        <v>15</v>
      </c>
      <c r="AJ400">
        <v>2</v>
      </c>
      <c r="AK400">
        <v>3</v>
      </c>
      <c r="AL400" t="str" cm="1">
        <f t="array" ref="AL400">_xlfn.IFS(AK400=1,"Low",AK400=2,"Medium",AK400=3,"High",AK400=4,"Very High")</f>
        <v>High</v>
      </c>
      <c r="AM400">
        <v>13</v>
      </c>
      <c r="AN400">
        <v>11</v>
      </c>
      <c r="AO400">
        <v>10</v>
      </c>
      <c r="AP400">
        <v>7</v>
      </c>
    </row>
    <row r="401" spans="1:42">
      <c r="A401">
        <v>31</v>
      </c>
      <c r="B401" t="str" cm="1">
        <f t="array" ref="B401">_xlfn.IFS(A401&lt;=25,"18-25",A401&lt;=35,"26-35",A401&lt;=45,"36-45",A401&lt;=55,"46-55",A401&gt;55,"56+")</f>
        <v>26-35</v>
      </c>
      <c r="C401" t="s">
        <v>39</v>
      </c>
      <c r="D401" t="s">
        <v>33</v>
      </c>
      <c r="E401" s="2">
        <v>329</v>
      </c>
      <c r="F401" t="s">
        <v>41</v>
      </c>
      <c r="G401">
        <v>1</v>
      </c>
      <c r="H401" t="str">
        <f t="shared" si="6"/>
        <v>1-10 km</v>
      </c>
      <c r="I401">
        <v>2</v>
      </c>
      <c r="J401" t="str" cm="1">
        <f t="array" ref="J401">_xlfn.IFS(I401=1,"Below College",I401=2,"College",I401=3,"Bachelor",I401=4,"Master",I401=5,"Doctor")</f>
        <v>College</v>
      </c>
      <c r="K401" t="s">
        <v>35</v>
      </c>
      <c r="L401">
        <v>530</v>
      </c>
      <c r="M401">
        <v>4</v>
      </c>
      <c r="N401" t="str" cm="1">
        <f t="array" ref="N401">_xlfn.IFS(M401=1,"Low",M401=2,"Medium",M401=3,"High",M401=4,"Very High")</f>
        <v>Very High</v>
      </c>
      <c r="O401" t="s">
        <v>42</v>
      </c>
      <c r="P401" s="2">
        <v>98</v>
      </c>
      <c r="Q401">
        <v>2</v>
      </c>
      <c r="R401" t="str" cm="1">
        <f t="array" ref="R401">_xlfn.IFS(Q401=1,"Low",Q401=2,"Medium",Q401=3,"High",Q401=4,"Very High")</f>
        <v>Medium</v>
      </c>
      <c r="S401">
        <v>1</v>
      </c>
      <c r="T401" t="str" cm="1">
        <f t="array" ref="T401">_xlfn.IFS(S401=1,"Entry Level",S401=2,"Junior",S401=3,"Mid-Level",S401=4,"Senior",S401=5,"Executive")</f>
        <v>Entry Level</v>
      </c>
      <c r="U401" t="s">
        <v>46</v>
      </c>
      <c r="V401">
        <v>1</v>
      </c>
      <c r="W401" t="str" cm="1">
        <f t="array" ref="W401">_xlfn.IFS(V401=1,"Low",V401=2,"Medium",V401=3,"High",V401=4,"Very High")</f>
        <v>Low</v>
      </c>
      <c r="X401" t="s">
        <v>44</v>
      </c>
      <c r="Y401" s="2">
        <v>2218</v>
      </c>
      <c r="Z401" s="2">
        <v>16193</v>
      </c>
      <c r="AA401">
        <v>1</v>
      </c>
      <c r="AB401" t="s">
        <v>39</v>
      </c>
      <c r="AC401">
        <v>12</v>
      </c>
      <c r="AD401">
        <v>3</v>
      </c>
      <c r="AE401" t="str" cm="1">
        <f t="array" ref="AE401">_xlfn.IFS(AD401=1,"Low",AD401=2,"Good",AD401=3,"Excellent",AD401=4,"Outstanding")</f>
        <v>Excellent</v>
      </c>
      <c r="AF401">
        <v>3</v>
      </c>
      <c r="AG401" t="str" cm="1">
        <f t="array" ref="AG401">_xlfn.IFS(AF401=1,"Low",AF401=2,"Medium",AF401=3,"High",AF401=4,"Very High")</f>
        <v>High</v>
      </c>
      <c r="AH401">
        <v>1</v>
      </c>
      <c r="AI401">
        <v>4</v>
      </c>
      <c r="AJ401">
        <v>3</v>
      </c>
      <c r="AK401">
        <v>3</v>
      </c>
      <c r="AL401" t="str" cm="1">
        <f t="array" ref="AL401">_xlfn.IFS(AK401=1,"Low",AK401=2,"Medium",AK401=3,"High",AK401=4,"Very High")</f>
        <v>High</v>
      </c>
      <c r="AM401">
        <v>4</v>
      </c>
      <c r="AN401">
        <v>2</v>
      </c>
      <c r="AO401">
        <v>3</v>
      </c>
      <c r="AP401">
        <v>2</v>
      </c>
    </row>
    <row r="402" spans="1:42">
      <c r="A402">
        <v>39</v>
      </c>
      <c r="B402" t="str" cm="1">
        <f t="array" ref="B402">_xlfn.IFS(A402&lt;=25,"18-25",A402&lt;=35,"26-35",A402&lt;=45,"36-45",A402&lt;=55,"46-55",A402&gt;55,"56+")</f>
        <v>36-45</v>
      </c>
      <c r="C402" t="s">
        <v>39</v>
      </c>
      <c r="D402" t="s">
        <v>40</v>
      </c>
      <c r="E402" s="2">
        <v>1218</v>
      </c>
      <c r="F402" t="s">
        <v>41</v>
      </c>
      <c r="G402">
        <v>1</v>
      </c>
      <c r="H402" t="str">
        <f t="shared" si="6"/>
        <v>1-10 km</v>
      </c>
      <c r="I402">
        <v>1</v>
      </c>
      <c r="J402" t="str" cm="1">
        <f t="array" ref="J402">_xlfn.IFS(I402=1,"Below College",I402=2,"College",I402=3,"Bachelor",I402=4,"Master",I402=5,"Doctor")</f>
        <v>Below College</v>
      </c>
      <c r="K402" t="s">
        <v>35</v>
      </c>
      <c r="L402">
        <v>531</v>
      </c>
      <c r="M402">
        <v>2</v>
      </c>
      <c r="N402" t="str" cm="1">
        <f t="array" ref="N402">_xlfn.IFS(M402=1,"Low",M402=2,"Medium",M402=3,"High",M402=4,"Very High")</f>
        <v>Medium</v>
      </c>
      <c r="O402" t="s">
        <v>42</v>
      </c>
      <c r="P402" s="2">
        <v>52</v>
      </c>
      <c r="Q402">
        <v>3</v>
      </c>
      <c r="R402" t="str" cm="1">
        <f t="array" ref="R402">_xlfn.IFS(Q402=1,"Low",Q402=2,"Medium",Q402=3,"High",Q402=4,"Very High")</f>
        <v>High</v>
      </c>
      <c r="S402">
        <v>5</v>
      </c>
      <c r="T402" t="str" cm="1">
        <f t="array" ref="T402">_xlfn.IFS(S402=1,"Entry Level",S402=2,"Junior",S402=3,"Mid-Level",S402=4,"Senior",S402=5,"Executive")</f>
        <v>Executive</v>
      </c>
      <c r="U402" t="s">
        <v>52</v>
      </c>
      <c r="V402">
        <v>3</v>
      </c>
      <c r="W402" t="str" cm="1">
        <f t="array" ref="W402">_xlfn.IFS(V402=1,"Low",V402=2,"Medium",V402=3,"High",V402=4,"Very High")</f>
        <v>High</v>
      </c>
      <c r="X402" t="s">
        <v>48</v>
      </c>
      <c r="Y402" s="2">
        <v>19197</v>
      </c>
      <c r="Z402" s="2">
        <v>8213</v>
      </c>
      <c r="AA402">
        <v>1</v>
      </c>
      <c r="AB402" t="s">
        <v>32</v>
      </c>
      <c r="AC402">
        <v>14</v>
      </c>
      <c r="AD402">
        <v>3</v>
      </c>
      <c r="AE402" t="str" cm="1">
        <f t="array" ref="AE402">_xlfn.IFS(AD402=1,"Low",AD402=2,"Good",AD402=3,"Excellent",AD402=4,"Outstanding")</f>
        <v>Excellent</v>
      </c>
      <c r="AF402">
        <v>3</v>
      </c>
      <c r="AG402" t="str" cm="1">
        <f t="array" ref="AG402">_xlfn.IFS(AF402=1,"Low",AF402=2,"Medium",AF402=3,"High",AF402=4,"Very High")</f>
        <v>High</v>
      </c>
      <c r="AH402">
        <v>1</v>
      </c>
      <c r="AI402">
        <v>21</v>
      </c>
      <c r="AJ402">
        <v>3</v>
      </c>
      <c r="AK402">
        <v>3</v>
      </c>
      <c r="AL402" t="str" cm="1">
        <f t="array" ref="AL402">_xlfn.IFS(AK402=1,"Low",AK402=2,"Medium",AK402=3,"High",AK402=4,"Very High")</f>
        <v>High</v>
      </c>
      <c r="AM402">
        <v>21</v>
      </c>
      <c r="AN402">
        <v>8</v>
      </c>
      <c r="AO402">
        <v>1</v>
      </c>
      <c r="AP402">
        <v>6</v>
      </c>
    </row>
    <row r="403" spans="1:42">
      <c r="A403">
        <v>56</v>
      </c>
      <c r="B403" t="str" cm="1">
        <f t="array" ref="B403">_xlfn.IFS(A403&lt;=25,"18-25",A403&lt;=35,"26-35",A403&lt;=45,"36-45",A403&lt;=55,"46-55",A403&gt;55,"56+")</f>
        <v>56+</v>
      </c>
      <c r="C403" t="s">
        <v>39</v>
      </c>
      <c r="D403" t="s">
        <v>40</v>
      </c>
      <c r="E403" s="2">
        <v>906</v>
      </c>
      <c r="F403" t="s">
        <v>34</v>
      </c>
      <c r="G403">
        <v>6</v>
      </c>
      <c r="H403" t="str">
        <f t="shared" si="6"/>
        <v>1-10 km</v>
      </c>
      <c r="I403">
        <v>3</v>
      </c>
      <c r="J403" t="str" cm="1">
        <f t="array" ref="J403">_xlfn.IFS(I403=1,"Below College",I403=2,"College",I403=3,"Bachelor",I403=4,"Master",I403=5,"Doctor")</f>
        <v>Bachelor</v>
      </c>
      <c r="K403" t="s">
        <v>35</v>
      </c>
      <c r="L403">
        <v>532</v>
      </c>
      <c r="M403">
        <v>3</v>
      </c>
      <c r="N403" t="str" cm="1">
        <f t="array" ref="N403">_xlfn.IFS(M403=1,"Low",M403=2,"Medium",M403=3,"High",M403=4,"Very High")</f>
        <v>High</v>
      </c>
      <c r="O403" t="s">
        <v>36</v>
      </c>
      <c r="P403" s="2">
        <v>86</v>
      </c>
      <c r="Q403">
        <v>4</v>
      </c>
      <c r="R403" t="str" cm="1">
        <f t="array" ref="R403">_xlfn.IFS(Q403=1,"Low",Q403=2,"Medium",Q403=3,"High",Q403=4,"Very High")</f>
        <v>Very High</v>
      </c>
      <c r="S403">
        <v>4</v>
      </c>
      <c r="T403" t="str" cm="1">
        <f t="array" ref="T403">_xlfn.IFS(S403=1,"Entry Level",S403=2,"Junior",S403=3,"Mid-Level",S403=4,"Senior",S403=5,"Executive")</f>
        <v>Senior</v>
      </c>
      <c r="U403" t="s">
        <v>37</v>
      </c>
      <c r="V403">
        <v>1</v>
      </c>
      <c r="W403" t="str" cm="1">
        <f t="array" ref="W403">_xlfn.IFS(V403=1,"Low",V403=2,"Medium",V403=3,"High",V403=4,"Very High")</f>
        <v>Low</v>
      </c>
      <c r="X403" t="s">
        <v>44</v>
      </c>
      <c r="Y403" s="2">
        <v>13212</v>
      </c>
      <c r="Z403" s="2">
        <v>18256</v>
      </c>
      <c r="AA403">
        <v>9</v>
      </c>
      <c r="AB403" t="s">
        <v>39</v>
      </c>
      <c r="AC403">
        <v>11</v>
      </c>
      <c r="AD403">
        <v>3</v>
      </c>
      <c r="AE403" t="str" cm="1">
        <f t="array" ref="AE403">_xlfn.IFS(AD403=1,"Low",AD403=2,"Good",AD403=3,"Excellent",AD403=4,"Outstanding")</f>
        <v>Excellent</v>
      </c>
      <c r="AF403">
        <v>4</v>
      </c>
      <c r="AG403" t="str" cm="1">
        <f t="array" ref="AG403">_xlfn.IFS(AF403=1,"Low",AF403=2,"Medium",AF403=3,"High",AF403=4,"Very High")</f>
        <v>Very High</v>
      </c>
      <c r="AH403">
        <v>3</v>
      </c>
      <c r="AI403">
        <v>36</v>
      </c>
      <c r="AJ403">
        <v>0</v>
      </c>
      <c r="AK403">
        <v>2</v>
      </c>
      <c r="AL403" t="str" cm="1">
        <f t="array" ref="AL403">_xlfn.IFS(AK403=1,"Low",AK403=2,"Medium",AK403=3,"High",AK403=4,"Very High")</f>
        <v>Medium</v>
      </c>
      <c r="AM403">
        <v>7</v>
      </c>
      <c r="AN403">
        <v>7</v>
      </c>
      <c r="AO403">
        <v>7</v>
      </c>
      <c r="AP403">
        <v>7</v>
      </c>
    </row>
    <row r="404" spans="1:42">
      <c r="A404">
        <v>30</v>
      </c>
      <c r="B404" t="str" cm="1">
        <f t="array" ref="B404">_xlfn.IFS(A404&lt;=25,"18-25",A404&lt;=35,"26-35",A404&lt;=45,"36-45",A404&lt;=55,"46-55",A404&gt;55,"56+")</f>
        <v>26-35</v>
      </c>
      <c r="C404" t="s">
        <v>39</v>
      </c>
      <c r="D404" t="s">
        <v>33</v>
      </c>
      <c r="E404" s="2">
        <v>1082</v>
      </c>
      <c r="F404" t="s">
        <v>34</v>
      </c>
      <c r="G404">
        <v>12</v>
      </c>
      <c r="H404" t="str">
        <f t="shared" si="6"/>
        <v>11-20 km</v>
      </c>
      <c r="I404">
        <v>3</v>
      </c>
      <c r="J404" t="str" cm="1">
        <f t="array" ref="J404">_xlfn.IFS(I404=1,"Below College",I404=2,"College",I404=3,"Bachelor",I404=4,"Master",I404=5,"Doctor")</f>
        <v>Bachelor</v>
      </c>
      <c r="K404" t="s">
        <v>56</v>
      </c>
      <c r="L404">
        <v>533</v>
      </c>
      <c r="M404">
        <v>2</v>
      </c>
      <c r="N404" t="str" cm="1">
        <f t="array" ref="N404">_xlfn.IFS(M404=1,"Low",M404=2,"Medium",M404=3,"High",M404=4,"Very High")</f>
        <v>Medium</v>
      </c>
      <c r="O404" t="s">
        <v>36</v>
      </c>
      <c r="P404" s="2">
        <v>83</v>
      </c>
      <c r="Q404">
        <v>3</v>
      </c>
      <c r="R404" t="str" cm="1">
        <f t="array" ref="R404">_xlfn.IFS(Q404=1,"Low",Q404=2,"Medium",Q404=3,"High",Q404=4,"Very High")</f>
        <v>High</v>
      </c>
      <c r="S404">
        <v>2</v>
      </c>
      <c r="T404" t="str" cm="1">
        <f t="array" ref="T404">_xlfn.IFS(S404=1,"Entry Level",S404=2,"Junior",S404=3,"Mid-Level",S404=4,"Senior",S404=5,"Executive")</f>
        <v>Junior</v>
      </c>
      <c r="U404" t="s">
        <v>37</v>
      </c>
      <c r="V404">
        <v>3</v>
      </c>
      <c r="W404" t="str" cm="1">
        <f t="array" ref="W404">_xlfn.IFS(V404=1,"Low",V404=2,"Medium",V404=3,"High",V404=4,"Very High")</f>
        <v>High</v>
      </c>
      <c r="X404" t="s">
        <v>38</v>
      </c>
      <c r="Y404" s="2">
        <v>6577</v>
      </c>
      <c r="Z404" s="2">
        <v>19558</v>
      </c>
      <c r="AA404">
        <v>0</v>
      </c>
      <c r="AB404" t="s">
        <v>39</v>
      </c>
      <c r="AC404">
        <v>11</v>
      </c>
      <c r="AD404">
        <v>3</v>
      </c>
      <c r="AE404" t="str" cm="1">
        <f t="array" ref="AE404">_xlfn.IFS(AD404=1,"Low",AD404=2,"Good",AD404=3,"Excellent",AD404=4,"Outstanding")</f>
        <v>Excellent</v>
      </c>
      <c r="AF404">
        <v>2</v>
      </c>
      <c r="AG404" t="str" cm="1">
        <f t="array" ref="AG404">_xlfn.IFS(AF404=1,"Low",AF404=2,"Medium",AF404=3,"High",AF404=4,"Very High")</f>
        <v>Medium</v>
      </c>
      <c r="AH404">
        <v>0</v>
      </c>
      <c r="AI404">
        <v>6</v>
      </c>
      <c r="AJ404">
        <v>6</v>
      </c>
      <c r="AK404">
        <v>3</v>
      </c>
      <c r="AL404" t="str" cm="1">
        <f t="array" ref="AL404">_xlfn.IFS(AK404=1,"Low",AK404=2,"Medium",AK404=3,"High",AK404=4,"Very High")</f>
        <v>High</v>
      </c>
      <c r="AM404">
        <v>5</v>
      </c>
      <c r="AN404">
        <v>4</v>
      </c>
      <c r="AO404">
        <v>4</v>
      </c>
      <c r="AP404">
        <v>4</v>
      </c>
    </row>
    <row r="405" spans="1:42">
      <c r="A405">
        <v>41</v>
      </c>
      <c r="B405" t="str" cm="1">
        <f t="array" ref="B405">_xlfn.IFS(A405&lt;=25,"18-25",A405&lt;=35,"26-35",A405&lt;=45,"36-45",A405&lt;=55,"46-55",A405&gt;55,"56+")</f>
        <v>36-45</v>
      </c>
      <c r="C405" t="s">
        <v>39</v>
      </c>
      <c r="D405" t="s">
        <v>33</v>
      </c>
      <c r="E405" s="2">
        <v>645</v>
      </c>
      <c r="F405" t="s">
        <v>34</v>
      </c>
      <c r="G405">
        <v>1</v>
      </c>
      <c r="H405" t="str">
        <f t="shared" si="6"/>
        <v>1-10 km</v>
      </c>
      <c r="I405">
        <v>3</v>
      </c>
      <c r="J405" t="str" cm="1">
        <f t="array" ref="J405">_xlfn.IFS(I405=1,"Below College",I405=2,"College",I405=3,"Bachelor",I405=4,"Master",I405=5,"Doctor")</f>
        <v>Bachelor</v>
      </c>
      <c r="K405" t="s">
        <v>55</v>
      </c>
      <c r="L405">
        <v>534</v>
      </c>
      <c r="M405">
        <v>2</v>
      </c>
      <c r="N405" t="str" cm="1">
        <f t="array" ref="N405">_xlfn.IFS(M405=1,"Low",M405=2,"Medium",M405=3,"High",M405=4,"Very High")</f>
        <v>Medium</v>
      </c>
      <c r="O405" t="s">
        <v>42</v>
      </c>
      <c r="P405" s="2">
        <v>49</v>
      </c>
      <c r="Q405">
        <v>4</v>
      </c>
      <c r="R405" t="str" cm="1">
        <f t="array" ref="R405">_xlfn.IFS(Q405=1,"Low",Q405=2,"Medium",Q405=3,"High",Q405=4,"Very High")</f>
        <v>Very High</v>
      </c>
      <c r="S405">
        <v>3</v>
      </c>
      <c r="T405" t="str" cm="1">
        <f t="array" ref="T405">_xlfn.IFS(S405=1,"Entry Level",S405=2,"Junior",S405=3,"Mid-Level",S405=4,"Senior",S405=5,"Executive")</f>
        <v>Mid-Level</v>
      </c>
      <c r="U405" t="s">
        <v>37</v>
      </c>
      <c r="V405">
        <v>1</v>
      </c>
      <c r="W405" t="str" cm="1">
        <f t="array" ref="W405">_xlfn.IFS(V405=1,"Low",V405=2,"Medium",V405=3,"High",V405=4,"Very High")</f>
        <v>Low</v>
      </c>
      <c r="X405" t="s">
        <v>44</v>
      </c>
      <c r="Y405" s="2">
        <v>8392</v>
      </c>
      <c r="Z405" s="2">
        <v>19566</v>
      </c>
      <c r="AA405">
        <v>1</v>
      </c>
      <c r="AB405" t="s">
        <v>39</v>
      </c>
      <c r="AC405">
        <v>16</v>
      </c>
      <c r="AD405">
        <v>3</v>
      </c>
      <c r="AE405" t="str" cm="1">
        <f t="array" ref="AE405">_xlfn.IFS(AD405=1,"Low",AD405=2,"Good",AD405=3,"Excellent",AD405=4,"Outstanding")</f>
        <v>Excellent</v>
      </c>
      <c r="AF405">
        <v>3</v>
      </c>
      <c r="AG405" t="str" cm="1">
        <f t="array" ref="AG405">_xlfn.IFS(AF405=1,"Low",AF405=2,"Medium",AF405=3,"High",AF405=4,"Very High")</f>
        <v>High</v>
      </c>
      <c r="AH405">
        <v>1</v>
      </c>
      <c r="AI405">
        <v>10</v>
      </c>
      <c r="AJ405">
        <v>2</v>
      </c>
      <c r="AK405">
        <v>3</v>
      </c>
      <c r="AL405" t="str" cm="1">
        <f t="array" ref="AL405">_xlfn.IFS(AK405=1,"Low",AK405=2,"Medium",AK405=3,"High",AK405=4,"Very High")</f>
        <v>High</v>
      </c>
      <c r="AM405">
        <v>10</v>
      </c>
      <c r="AN405">
        <v>7</v>
      </c>
      <c r="AO405">
        <v>0</v>
      </c>
      <c r="AP405">
        <v>7</v>
      </c>
    </row>
    <row r="406" spans="1:42">
      <c r="A406">
        <v>28</v>
      </c>
      <c r="B406" t="str" cm="1">
        <f t="array" ref="B406">_xlfn.IFS(A406&lt;=25,"18-25",A406&lt;=35,"26-35",A406&lt;=45,"36-45",A406&lt;=55,"46-55",A406&gt;55,"56+")</f>
        <v>26-35</v>
      </c>
      <c r="C406" t="s">
        <v>39</v>
      </c>
      <c r="D406" t="s">
        <v>33</v>
      </c>
      <c r="E406" s="2">
        <v>1300</v>
      </c>
      <c r="F406" t="s">
        <v>41</v>
      </c>
      <c r="G406">
        <v>17</v>
      </c>
      <c r="H406" t="str">
        <f t="shared" si="6"/>
        <v>11-20 km</v>
      </c>
      <c r="I406">
        <v>2</v>
      </c>
      <c r="J406" t="str" cm="1">
        <f t="array" ref="J406">_xlfn.IFS(I406=1,"Below College",I406=2,"College",I406=3,"Bachelor",I406=4,"Master",I406=5,"Doctor")</f>
        <v>College</v>
      </c>
      <c r="K406" t="s">
        <v>47</v>
      </c>
      <c r="L406">
        <v>536</v>
      </c>
      <c r="M406">
        <v>3</v>
      </c>
      <c r="N406" t="str" cm="1">
        <f t="array" ref="N406">_xlfn.IFS(M406=1,"Low",M406=2,"Medium",M406=3,"High",M406=4,"Very High")</f>
        <v>High</v>
      </c>
      <c r="O406" t="s">
        <v>42</v>
      </c>
      <c r="P406" s="2">
        <v>79</v>
      </c>
      <c r="Q406">
        <v>3</v>
      </c>
      <c r="R406" t="str" cm="1">
        <f t="array" ref="R406">_xlfn.IFS(Q406=1,"Low",Q406=2,"Medium",Q406=3,"High",Q406=4,"Very High")</f>
        <v>High</v>
      </c>
      <c r="S406">
        <v>2</v>
      </c>
      <c r="T406" t="str" cm="1">
        <f t="array" ref="T406">_xlfn.IFS(S406=1,"Entry Level",S406=2,"Junior",S406=3,"Mid-Level",S406=4,"Senior",S406=5,"Executive")</f>
        <v>Junior</v>
      </c>
      <c r="U406" t="s">
        <v>46</v>
      </c>
      <c r="V406">
        <v>1</v>
      </c>
      <c r="W406" t="str" cm="1">
        <f t="array" ref="W406">_xlfn.IFS(V406=1,"Low",V406=2,"Medium",V406=3,"High",V406=4,"Very High")</f>
        <v>Low</v>
      </c>
      <c r="X406" t="s">
        <v>48</v>
      </c>
      <c r="Y406" s="2">
        <v>4558</v>
      </c>
      <c r="Z406" s="2">
        <v>13535</v>
      </c>
      <c r="AA406">
        <v>1</v>
      </c>
      <c r="AB406" t="s">
        <v>39</v>
      </c>
      <c r="AC406">
        <v>12</v>
      </c>
      <c r="AD406">
        <v>3</v>
      </c>
      <c r="AE406" t="str" cm="1">
        <f t="array" ref="AE406">_xlfn.IFS(AD406=1,"Low",AD406=2,"Good",AD406=3,"Excellent",AD406=4,"Outstanding")</f>
        <v>Excellent</v>
      </c>
      <c r="AF406">
        <v>4</v>
      </c>
      <c r="AG406" t="str" cm="1">
        <f t="array" ref="AG406">_xlfn.IFS(AF406=1,"Low",AF406=2,"Medium",AF406=3,"High",AF406=4,"Very High")</f>
        <v>Very High</v>
      </c>
      <c r="AH406">
        <v>1</v>
      </c>
      <c r="AI406">
        <v>10</v>
      </c>
      <c r="AJ406">
        <v>2</v>
      </c>
      <c r="AK406">
        <v>3</v>
      </c>
      <c r="AL406" t="str" cm="1">
        <f t="array" ref="AL406">_xlfn.IFS(AK406=1,"Low",AK406=2,"Medium",AK406=3,"High",AK406=4,"Very High")</f>
        <v>High</v>
      </c>
      <c r="AM406">
        <v>10</v>
      </c>
      <c r="AN406">
        <v>0</v>
      </c>
      <c r="AO406">
        <v>1</v>
      </c>
      <c r="AP406">
        <v>8</v>
      </c>
    </row>
    <row r="407" spans="1:42">
      <c r="A407">
        <v>25</v>
      </c>
      <c r="B407" t="str" cm="1">
        <f t="array" ref="B407">_xlfn.IFS(A407&lt;=25,"18-25",A407&lt;=35,"26-35",A407&lt;=45,"36-45",A407&lt;=55,"46-55",A407&gt;55,"56+")</f>
        <v>18-25</v>
      </c>
      <c r="C407" t="s">
        <v>32</v>
      </c>
      <c r="D407" t="s">
        <v>33</v>
      </c>
      <c r="E407" s="2">
        <v>688</v>
      </c>
      <c r="F407" t="s">
        <v>41</v>
      </c>
      <c r="G407">
        <v>3</v>
      </c>
      <c r="H407" t="str">
        <f t="shared" si="6"/>
        <v>1-10 km</v>
      </c>
      <c r="I407">
        <v>3</v>
      </c>
      <c r="J407" t="str" cm="1">
        <f t="array" ref="J407">_xlfn.IFS(I407=1,"Below College",I407=2,"College",I407=3,"Bachelor",I407=4,"Master",I407=5,"Doctor")</f>
        <v>Bachelor</v>
      </c>
      <c r="K407" t="s">
        <v>47</v>
      </c>
      <c r="L407">
        <v>538</v>
      </c>
      <c r="M407">
        <v>1</v>
      </c>
      <c r="N407" t="str" cm="1">
        <f t="array" ref="N407">_xlfn.IFS(M407=1,"Low",M407=2,"Medium",M407=3,"High",M407=4,"Very High")</f>
        <v>Low</v>
      </c>
      <c r="O407" t="s">
        <v>42</v>
      </c>
      <c r="P407" s="2">
        <v>91</v>
      </c>
      <c r="Q407">
        <v>3</v>
      </c>
      <c r="R407" t="str" cm="1">
        <f t="array" ref="R407">_xlfn.IFS(Q407=1,"Low",Q407=2,"Medium",Q407=3,"High",Q407=4,"Very High")</f>
        <v>High</v>
      </c>
      <c r="S407">
        <v>1</v>
      </c>
      <c r="T407" t="str" cm="1">
        <f t="array" ref="T407">_xlfn.IFS(S407=1,"Entry Level",S407=2,"Junior",S407=3,"Mid-Level",S407=4,"Senior",S407=5,"Executive")</f>
        <v>Entry Level</v>
      </c>
      <c r="U407" t="s">
        <v>46</v>
      </c>
      <c r="V407">
        <v>1</v>
      </c>
      <c r="W407" t="str" cm="1">
        <f t="array" ref="W407">_xlfn.IFS(V407=1,"Low",V407=2,"Medium",V407=3,"High",V407=4,"Very High")</f>
        <v>Low</v>
      </c>
      <c r="X407" t="s">
        <v>44</v>
      </c>
      <c r="Y407" s="2">
        <v>4031</v>
      </c>
      <c r="Z407" s="2">
        <v>9396</v>
      </c>
      <c r="AA407">
        <v>5</v>
      </c>
      <c r="AB407" t="s">
        <v>39</v>
      </c>
      <c r="AC407">
        <v>13</v>
      </c>
      <c r="AD407">
        <v>3</v>
      </c>
      <c r="AE407" t="str" cm="1">
        <f t="array" ref="AE407">_xlfn.IFS(AD407=1,"Low",AD407=2,"Good",AD407=3,"Excellent",AD407=4,"Outstanding")</f>
        <v>Excellent</v>
      </c>
      <c r="AF407">
        <v>3</v>
      </c>
      <c r="AG407" t="str" cm="1">
        <f t="array" ref="AG407">_xlfn.IFS(AF407=1,"Low",AF407=2,"Medium",AF407=3,"High",AF407=4,"Very High")</f>
        <v>High</v>
      </c>
      <c r="AH407">
        <v>1</v>
      </c>
      <c r="AI407">
        <v>6</v>
      </c>
      <c r="AJ407">
        <v>5</v>
      </c>
      <c r="AK407">
        <v>3</v>
      </c>
      <c r="AL407" t="str" cm="1">
        <f t="array" ref="AL407">_xlfn.IFS(AK407=1,"Low",AK407=2,"Medium",AK407=3,"High",AK407=4,"Very High")</f>
        <v>High</v>
      </c>
      <c r="AM407">
        <v>2</v>
      </c>
      <c r="AN407">
        <v>2</v>
      </c>
      <c r="AO407">
        <v>0</v>
      </c>
      <c r="AP407">
        <v>2</v>
      </c>
    </row>
    <row r="408" spans="1:42">
      <c r="A408">
        <v>52</v>
      </c>
      <c r="B408" t="str" cm="1">
        <f t="array" ref="B408">_xlfn.IFS(A408&lt;=25,"18-25",A408&lt;=35,"26-35",A408&lt;=45,"36-45",A408&lt;=55,"46-55",A408&gt;55,"56+")</f>
        <v>46-55</v>
      </c>
      <c r="C408" t="s">
        <v>39</v>
      </c>
      <c r="D408" t="s">
        <v>33</v>
      </c>
      <c r="E408" s="2">
        <v>319</v>
      </c>
      <c r="F408" t="s">
        <v>41</v>
      </c>
      <c r="G408">
        <v>3</v>
      </c>
      <c r="H408" t="str">
        <f t="shared" si="6"/>
        <v>1-10 km</v>
      </c>
      <c r="I408">
        <v>3</v>
      </c>
      <c r="J408" t="str" cm="1">
        <f t="array" ref="J408">_xlfn.IFS(I408=1,"Below College",I408=2,"College",I408=3,"Bachelor",I408=4,"Master",I408=5,"Doctor")</f>
        <v>Bachelor</v>
      </c>
      <c r="K408" t="s">
        <v>47</v>
      </c>
      <c r="L408">
        <v>543</v>
      </c>
      <c r="M408">
        <v>4</v>
      </c>
      <c r="N408" t="str" cm="1">
        <f t="array" ref="N408">_xlfn.IFS(M408=1,"Low",M408=2,"Medium",M408=3,"High",M408=4,"Very High")</f>
        <v>Very High</v>
      </c>
      <c r="O408" t="s">
        <v>42</v>
      </c>
      <c r="P408" s="2">
        <v>39</v>
      </c>
      <c r="Q408">
        <v>2</v>
      </c>
      <c r="R408" t="str" cm="1">
        <f t="array" ref="R408">_xlfn.IFS(Q408=1,"Low",Q408=2,"Medium",Q408=3,"High",Q408=4,"Very High")</f>
        <v>Medium</v>
      </c>
      <c r="S408">
        <v>3</v>
      </c>
      <c r="T408" t="str" cm="1">
        <f t="array" ref="T408">_xlfn.IFS(S408=1,"Entry Level",S408=2,"Junior",S408=3,"Mid-Level",S408=4,"Senior",S408=5,"Executive")</f>
        <v>Mid-Level</v>
      </c>
      <c r="U408" t="s">
        <v>49</v>
      </c>
      <c r="V408">
        <v>3</v>
      </c>
      <c r="W408" t="str" cm="1">
        <f t="array" ref="W408">_xlfn.IFS(V408=1,"Low",V408=2,"Medium",V408=3,"High",V408=4,"Very High")</f>
        <v>High</v>
      </c>
      <c r="X408" t="s">
        <v>44</v>
      </c>
      <c r="Y408" s="2">
        <v>7969</v>
      </c>
      <c r="Z408" s="2">
        <v>19609</v>
      </c>
      <c r="AA408">
        <v>2</v>
      </c>
      <c r="AB408" t="s">
        <v>32</v>
      </c>
      <c r="AC408">
        <v>14</v>
      </c>
      <c r="AD408">
        <v>3</v>
      </c>
      <c r="AE408" t="str" cm="1">
        <f t="array" ref="AE408">_xlfn.IFS(AD408=1,"Low",AD408=2,"Good",AD408=3,"Excellent",AD408=4,"Outstanding")</f>
        <v>Excellent</v>
      </c>
      <c r="AF408">
        <v>3</v>
      </c>
      <c r="AG408" t="str" cm="1">
        <f t="array" ref="AG408">_xlfn.IFS(AF408=1,"Low",AF408=2,"Medium",AF408=3,"High",AF408=4,"Very High")</f>
        <v>High</v>
      </c>
      <c r="AH408">
        <v>0</v>
      </c>
      <c r="AI408">
        <v>28</v>
      </c>
      <c r="AJ408">
        <v>4</v>
      </c>
      <c r="AK408">
        <v>3</v>
      </c>
      <c r="AL408" t="str" cm="1">
        <f t="array" ref="AL408">_xlfn.IFS(AK408=1,"Low",AK408=2,"Medium",AK408=3,"High",AK408=4,"Very High")</f>
        <v>High</v>
      </c>
      <c r="AM408">
        <v>5</v>
      </c>
      <c r="AN408">
        <v>4</v>
      </c>
      <c r="AO408">
        <v>0</v>
      </c>
      <c r="AP408">
        <v>4</v>
      </c>
    </row>
    <row r="409" spans="1:42">
      <c r="A409">
        <v>45</v>
      </c>
      <c r="B409" t="str" cm="1">
        <f t="array" ref="B409">_xlfn.IFS(A409&lt;=25,"18-25",A409&lt;=35,"26-35",A409&lt;=45,"36-45",A409&lt;=55,"46-55",A409&gt;55,"56+")</f>
        <v>36-45</v>
      </c>
      <c r="C409" t="s">
        <v>39</v>
      </c>
      <c r="D409" t="s">
        <v>33</v>
      </c>
      <c r="E409" s="2">
        <v>192</v>
      </c>
      <c r="F409" t="s">
        <v>41</v>
      </c>
      <c r="G409">
        <v>10</v>
      </c>
      <c r="H409" t="str">
        <f t="shared" si="6"/>
        <v>1-10 km</v>
      </c>
      <c r="I409">
        <v>2</v>
      </c>
      <c r="J409" t="str" cm="1">
        <f t="array" ref="J409">_xlfn.IFS(I409=1,"Below College",I409=2,"College",I409=3,"Bachelor",I409=4,"Master",I409=5,"Doctor")</f>
        <v>College</v>
      </c>
      <c r="K409" t="s">
        <v>35</v>
      </c>
      <c r="L409">
        <v>544</v>
      </c>
      <c r="M409">
        <v>1</v>
      </c>
      <c r="N409" t="str" cm="1">
        <f t="array" ref="N409">_xlfn.IFS(M409=1,"Low",M409=2,"Medium",M409=3,"High",M409=4,"Very High")</f>
        <v>Low</v>
      </c>
      <c r="O409" t="s">
        <v>42</v>
      </c>
      <c r="P409" s="2">
        <v>69</v>
      </c>
      <c r="Q409">
        <v>3</v>
      </c>
      <c r="R409" t="str" cm="1">
        <f t="array" ref="R409">_xlfn.IFS(Q409=1,"Low",Q409=2,"Medium",Q409=3,"High",Q409=4,"Very High")</f>
        <v>High</v>
      </c>
      <c r="S409">
        <v>1</v>
      </c>
      <c r="T409" t="str" cm="1">
        <f t="array" ref="T409">_xlfn.IFS(S409=1,"Entry Level",S409=2,"Junior",S409=3,"Mid-Level",S409=4,"Senior",S409=5,"Executive")</f>
        <v>Entry Level</v>
      </c>
      <c r="U409" t="s">
        <v>43</v>
      </c>
      <c r="V409">
        <v>4</v>
      </c>
      <c r="W409" t="str" cm="1">
        <f t="array" ref="W409">_xlfn.IFS(V409=1,"Low",V409=2,"Medium",V409=3,"High",V409=4,"Very High")</f>
        <v>Very High</v>
      </c>
      <c r="X409" t="s">
        <v>44</v>
      </c>
      <c r="Y409" s="2">
        <v>2654</v>
      </c>
      <c r="Z409" s="2">
        <v>9655</v>
      </c>
      <c r="AA409">
        <v>3</v>
      </c>
      <c r="AB409" t="s">
        <v>39</v>
      </c>
      <c r="AC409">
        <v>21</v>
      </c>
      <c r="AD409">
        <v>4</v>
      </c>
      <c r="AE409" t="str" cm="1">
        <f t="array" ref="AE409">_xlfn.IFS(AD409=1,"Low",AD409=2,"Good",AD409=3,"Excellent",AD409=4,"Outstanding")</f>
        <v>Outstanding</v>
      </c>
      <c r="AF409">
        <v>4</v>
      </c>
      <c r="AG409" t="str" cm="1">
        <f t="array" ref="AG409">_xlfn.IFS(AF409=1,"Low",AF409=2,"Medium",AF409=3,"High",AF409=4,"Very High")</f>
        <v>Very High</v>
      </c>
      <c r="AH409">
        <v>2</v>
      </c>
      <c r="AI409">
        <v>8</v>
      </c>
      <c r="AJ409">
        <v>3</v>
      </c>
      <c r="AK409">
        <v>2</v>
      </c>
      <c r="AL409" t="str" cm="1">
        <f t="array" ref="AL409">_xlfn.IFS(AK409=1,"Low",AK409=2,"Medium",AK409=3,"High",AK409=4,"Very High")</f>
        <v>Medium</v>
      </c>
      <c r="AM409">
        <v>2</v>
      </c>
      <c r="AN409">
        <v>2</v>
      </c>
      <c r="AO409">
        <v>0</v>
      </c>
      <c r="AP409">
        <v>2</v>
      </c>
    </row>
    <row r="410" spans="1:42">
      <c r="A410">
        <v>52</v>
      </c>
      <c r="B410" t="str" cm="1">
        <f t="array" ref="B410">_xlfn.IFS(A410&lt;=25,"18-25",A410&lt;=35,"26-35",A410&lt;=45,"36-45",A410&lt;=55,"46-55",A410&gt;55,"56+")</f>
        <v>46-55</v>
      </c>
      <c r="C410" t="s">
        <v>39</v>
      </c>
      <c r="D410" t="s">
        <v>33</v>
      </c>
      <c r="E410" s="2">
        <v>1490</v>
      </c>
      <c r="F410" t="s">
        <v>41</v>
      </c>
      <c r="G410">
        <v>4</v>
      </c>
      <c r="H410" t="str">
        <f t="shared" si="6"/>
        <v>1-10 km</v>
      </c>
      <c r="I410">
        <v>2</v>
      </c>
      <c r="J410" t="str" cm="1">
        <f t="array" ref="J410">_xlfn.IFS(I410=1,"Below College",I410=2,"College",I410=3,"Bachelor",I410=4,"Master",I410=5,"Doctor")</f>
        <v>College</v>
      </c>
      <c r="K410" t="s">
        <v>35</v>
      </c>
      <c r="L410">
        <v>546</v>
      </c>
      <c r="M410">
        <v>4</v>
      </c>
      <c r="N410" t="str" cm="1">
        <f t="array" ref="N410">_xlfn.IFS(M410=1,"Low",M410=2,"Medium",M410=3,"High",M410=4,"Very High")</f>
        <v>Very High</v>
      </c>
      <c r="O410" t="s">
        <v>36</v>
      </c>
      <c r="P410" s="2">
        <v>30</v>
      </c>
      <c r="Q410">
        <v>3</v>
      </c>
      <c r="R410" t="str" cm="1">
        <f t="array" ref="R410">_xlfn.IFS(Q410=1,"Low",Q410=2,"Medium",Q410=3,"High",Q410=4,"Very High")</f>
        <v>High</v>
      </c>
      <c r="S410">
        <v>4</v>
      </c>
      <c r="T410" t="str" cm="1">
        <f t="array" ref="T410">_xlfn.IFS(S410=1,"Entry Level",S410=2,"Junior",S410=3,"Mid-Level",S410=4,"Senior",S410=5,"Executive")</f>
        <v>Senior</v>
      </c>
      <c r="U410" t="s">
        <v>52</v>
      </c>
      <c r="V410">
        <v>4</v>
      </c>
      <c r="W410" t="str" cm="1">
        <f t="array" ref="W410">_xlfn.IFS(V410=1,"Low",V410=2,"Medium",V410=3,"High",V410=4,"Very High")</f>
        <v>Very High</v>
      </c>
      <c r="X410" t="s">
        <v>44</v>
      </c>
      <c r="Y410" s="2">
        <v>16555</v>
      </c>
      <c r="Z410" s="2">
        <v>10310</v>
      </c>
      <c r="AA410">
        <v>2</v>
      </c>
      <c r="AB410" t="s">
        <v>39</v>
      </c>
      <c r="AC410">
        <v>13</v>
      </c>
      <c r="AD410">
        <v>3</v>
      </c>
      <c r="AE410" t="str" cm="1">
        <f t="array" ref="AE410">_xlfn.IFS(AD410=1,"Low",AD410=2,"Good",AD410=3,"Excellent",AD410=4,"Outstanding")</f>
        <v>Excellent</v>
      </c>
      <c r="AF410">
        <v>4</v>
      </c>
      <c r="AG410" t="str" cm="1">
        <f t="array" ref="AG410">_xlfn.IFS(AF410=1,"Low",AF410=2,"Medium",AF410=3,"High",AF410=4,"Very High")</f>
        <v>Very High</v>
      </c>
      <c r="AH410">
        <v>0</v>
      </c>
      <c r="AI410">
        <v>31</v>
      </c>
      <c r="AJ410">
        <v>2</v>
      </c>
      <c r="AK410">
        <v>1</v>
      </c>
      <c r="AL410" t="str" cm="1">
        <f t="array" ref="AL410">_xlfn.IFS(AK410=1,"Low",AK410=2,"Medium",AK410=3,"High",AK410=4,"Very High")</f>
        <v>Low</v>
      </c>
      <c r="AM410">
        <v>5</v>
      </c>
      <c r="AN410">
        <v>2</v>
      </c>
      <c r="AO410">
        <v>1</v>
      </c>
      <c r="AP410">
        <v>4</v>
      </c>
    </row>
    <row r="411" spans="1:42">
      <c r="A411">
        <v>42</v>
      </c>
      <c r="B411" t="str" cm="1">
        <f t="array" ref="B411">_xlfn.IFS(A411&lt;=25,"18-25",A411&lt;=35,"26-35",A411&lt;=45,"36-45",A411&lt;=55,"46-55",A411&gt;55,"56+")</f>
        <v>36-45</v>
      </c>
      <c r="C411" t="s">
        <v>39</v>
      </c>
      <c r="D411" t="s">
        <v>40</v>
      </c>
      <c r="E411" s="2">
        <v>532</v>
      </c>
      <c r="F411" t="s">
        <v>41</v>
      </c>
      <c r="G411">
        <v>29</v>
      </c>
      <c r="H411" t="str">
        <f t="shared" si="6"/>
        <v>21-30 km</v>
      </c>
      <c r="I411">
        <v>2</v>
      </c>
      <c r="J411" t="str" cm="1">
        <f t="array" ref="J411">_xlfn.IFS(I411=1,"Below College",I411=2,"College",I411=3,"Bachelor",I411=4,"Master",I411=5,"Doctor")</f>
        <v>College</v>
      </c>
      <c r="K411" t="s">
        <v>35</v>
      </c>
      <c r="L411">
        <v>547</v>
      </c>
      <c r="M411">
        <v>1</v>
      </c>
      <c r="N411" t="str" cm="1">
        <f t="array" ref="N411">_xlfn.IFS(M411=1,"Low",M411=2,"Medium",M411=3,"High",M411=4,"Very High")</f>
        <v>Low</v>
      </c>
      <c r="O411" t="s">
        <v>36</v>
      </c>
      <c r="P411" s="2">
        <v>92</v>
      </c>
      <c r="Q411">
        <v>3</v>
      </c>
      <c r="R411" t="str" cm="1">
        <f t="array" ref="R411">_xlfn.IFS(Q411=1,"Low",Q411=2,"Medium",Q411=3,"High",Q411=4,"Very High")</f>
        <v>High</v>
      </c>
      <c r="S411">
        <v>2</v>
      </c>
      <c r="T411" t="str" cm="1">
        <f t="array" ref="T411">_xlfn.IFS(S411=1,"Entry Level",S411=2,"Junior",S411=3,"Mid-Level",S411=4,"Senior",S411=5,"Executive")</f>
        <v>Junior</v>
      </c>
      <c r="U411" t="s">
        <v>43</v>
      </c>
      <c r="V411">
        <v>3</v>
      </c>
      <c r="W411" t="str" cm="1">
        <f t="array" ref="W411">_xlfn.IFS(V411=1,"Low",V411=2,"Medium",V411=3,"High",V411=4,"Very High")</f>
        <v>High</v>
      </c>
      <c r="X411" t="s">
        <v>48</v>
      </c>
      <c r="Y411" s="2">
        <v>4556</v>
      </c>
      <c r="Z411" s="2">
        <v>12932</v>
      </c>
      <c r="AA411">
        <v>2</v>
      </c>
      <c r="AB411" t="s">
        <v>39</v>
      </c>
      <c r="AC411">
        <v>11</v>
      </c>
      <c r="AD411">
        <v>3</v>
      </c>
      <c r="AE411" t="str" cm="1">
        <f t="array" ref="AE411">_xlfn.IFS(AD411=1,"Low",AD411=2,"Good",AD411=3,"Excellent",AD411=4,"Outstanding")</f>
        <v>Excellent</v>
      </c>
      <c r="AF411">
        <v>2</v>
      </c>
      <c r="AG411" t="str" cm="1">
        <f t="array" ref="AG411">_xlfn.IFS(AF411=1,"Low",AF411=2,"Medium",AF411=3,"High",AF411=4,"Very High")</f>
        <v>Medium</v>
      </c>
      <c r="AH411">
        <v>1</v>
      </c>
      <c r="AI411">
        <v>19</v>
      </c>
      <c r="AJ411">
        <v>3</v>
      </c>
      <c r="AK411">
        <v>3</v>
      </c>
      <c r="AL411" t="str" cm="1">
        <f t="array" ref="AL411">_xlfn.IFS(AK411=1,"Low",AK411=2,"Medium",AK411=3,"High",AK411=4,"Very High")</f>
        <v>High</v>
      </c>
      <c r="AM411">
        <v>5</v>
      </c>
      <c r="AN411">
        <v>4</v>
      </c>
      <c r="AO411">
        <v>0</v>
      </c>
      <c r="AP411">
        <v>2</v>
      </c>
    </row>
    <row r="412" spans="1:42">
      <c r="A412">
        <v>30</v>
      </c>
      <c r="B412" t="str" cm="1">
        <f t="array" ref="B412">_xlfn.IFS(A412&lt;=25,"18-25",A412&lt;=35,"26-35",A412&lt;=45,"36-45",A412&lt;=55,"46-55",A412&gt;55,"56+")</f>
        <v>26-35</v>
      </c>
      <c r="C412" t="s">
        <v>39</v>
      </c>
      <c r="D412" t="s">
        <v>33</v>
      </c>
      <c r="E412" s="2">
        <v>317</v>
      </c>
      <c r="F412" t="s">
        <v>41</v>
      </c>
      <c r="G412">
        <v>2</v>
      </c>
      <c r="H412" t="str">
        <f t="shared" si="6"/>
        <v>1-10 km</v>
      </c>
      <c r="I412">
        <v>3</v>
      </c>
      <c r="J412" t="str" cm="1">
        <f t="array" ref="J412">_xlfn.IFS(I412=1,"Below College",I412=2,"College",I412=3,"Bachelor",I412=4,"Master",I412=5,"Doctor")</f>
        <v>Bachelor</v>
      </c>
      <c r="K412" t="s">
        <v>35</v>
      </c>
      <c r="L412">
        <v>548</v>
      </c>
      <c r="M412">
        <v>3</v>
      </c>
      <c r="N412" t="str" cm="1">
        <f t="array" ref="N412">_xlfn.IFS(M412=1,"Low",M412=2,"Medium",M412=3,"High",M412=4,"Very High")</f>
        <v>High</v>
      </c>
      <c r="O412" t="s">
        <v>36</v>
      </c>
      <c r="P412" s="2">
        <v>43</v>
      </c>
      <c r="Q412">
        <v>1</v>
      </c>
      <c r="R412" t="str" cm="1">
        <f t="array" ref="R412">_xlfn.IFS(Q412=1,"Low",Q412=2,"Medium",Q412=3,"High",Q412=4,"Very High")</f>
        <v>Low</v>
      </c>
      <c r="S412">
        <v>2</v>
      </c>
      <c r="T412" t="str" cm="1">
        <f t="array" ref="T412">_xlfn.IFS(S412=1,"Entry Level",S412=2,"Junior",S412=3,"Mid-Level",S412=4,"Senior",S412=5,"Executive")</f>
        <v>Junior</v>
      </c>
      <c r="U412" t="s">
        <v>49</v>
      </c>
      <c r="V412">
        <v>4</v>
      </c>
      <c r="W412" t="str" cm="1">
        <f t="array" ref="W412">_xlfn.IFS(V412=1,"Low",V412=2,"Medium",V412=3,"High",V412=4,"Very High")</f>
        <v>Very High</v>
      </c>
      <c r="X412" t="s">
        <v>38</v>
      </c>
      <c r="Y412" s="2">
        <v>6091</v>
      </c>
      <c r="Z412" s="2">
        <v>24793</v>
      </c>
      <c r="AA412">
        <v>2</v>
      </c>
      <c r="AB412" t="s">
        <v>39</v>
      </c>
      <c r="AC412">
        <v>20</v>
      </c>
      <c r="AD412">
        <v>4</v>
      </c>
      <c r="AE412" t="str" cm="1">
        <f t="array" ref="AE412">_xlfn.IFS(AD412=1,"Low",AD412=2,"Good",AD412=3,"Excellent",AD412=4,"Outstanding")</f>
        <v>Outstanding</v>
      </c>
      <c r="AF412">
        <v>3</v>
      </c>
      <c r="AG412" t="str" cm="1">
        <f t="array" ref="AG412">_xlfn.IFS(AF412=1,"Low",AF412=2,"Medium",AF412=3,"High",AF412=4,"Very High")</f>
        <v>High</v>
      </c>
      <c r="AH412">
        <v>0</v>
      </c>
      <c r="AI412">
        <v>11</v>
      </c>
      <c r="AJ412">
        <v>2</v>
      </c>
      <c r="AK412">
        <v>3</v>
      </c>
      <c r="AL412" t="str" cm="1">
        <f t="array" ref="AL412">_xlfn.IFS(AK412=1,"Low",AK412=2,"Medium",AK412=3,"High",AK412=4,"Very High")</f>
        <v>High</v>
      </c>
      <c r="AM412">
        <v>5</v>
      </c>
      <c r="AN412">
        <v>4</v>
      </c>
      <c r="AO412">
        <v>0</v>
      </c>
      <c r="AP412">
        <v>2</v>
      </c>
    </row>
    <row r="413" spans="1:42">
      <c r="A413">
        <v>60</v>
      </c>
      <c r="B413" t="str" cm="1">
        <f t="array" ref="B413">_xlfn.IFS(A413&lt;=25,"18-25",A413&lt;=35,"26-35",A413&lt;=45,"36-45",A413&lt;=55,"46-55",A413&gt;55,"56+")</f>
        <v>56+</v>
      </c>
      <c r="C413" t="s">
        <v>39</v>
      </c>
      <c r="D413" t="s">
        <v>33</v>
      </c>
      <c r="E413" s="2">
        <v>422</v>
      </c>
      <c r="F413" t="s">
        <v>41</v>
      </c>
      <c r="G413">
        <v>7</v>
      </c>
      <c r="H413" t="str">
        <f t="shared" si="6"/>
        <v>1-10 km</v>
      </c>
      <c r="I413">
        <v>3</v>
      </c>
      <c r="J413" t="str" cm="1">
        <f t="array" ref="J413">_xlfn.IFS(I413=1,"Below College",I413=2,"College",I413=3,"Bachelor",I413=4,"Master",I413=5,"Doctor")</f>
        <v>Bachelor</v>
      </c>
      <c r="K413" t="s">
        <v>35</v>
      </c>
      <c r="L413">
        <v>549</v>
      </c>
      <c r="M413">
        <v>1</v>
      </c>
      <c r="N413" t="str" cm="1">
        <f t="array" ref="N413">_xlfn.IFS(M413=1,"Low",M413=2,"Medium",M413=3,"High",M413=4,"Very High")</f>
        <v>Low</v>
      </c>
      <c r="O413" t="s">
        <v>36</v>
      </c>
      <c r="P413" s="2">
        <v>41</v>
      </c>
      <c r="Q413">
        <v>3</v>
      </c>
      <c r="R413" t="str" cm="1">
        <f t="array" ref="R413">_xlfn.IFS(Q413=1,"Low",Q413=2,"Medium",Q413=3,"High",Q413=4,"Very High")</f>
        <v>High</v>
      </c>
      <c r="S413">
        <v>5</v>
      </c>
      <c r="T413" t="str" cm="1">
        <f t="array" ref="T413">_xlfn.IFS(S413=1,"Entry Level",S413=2,"Junior",S413=3,"Mid-Level",S413=4,"Senior",S413=5,"Executive")</f>
        <v>Executive</v>
      </c>
      <c r="U413" t="s">
        <v>52</v>
      </c>
      <c r="V413">
        <v>1</v>
      </c>
      <c r="W413" t="str" cm="1">
        <f t="array" ref="W413">_xlfn.IFS(V413=1,"Low",V413=2,"Medium",V413=3,"High",V413=4,"Very High")</f>
        <v>Low</v>
      </c>
      <c r="X413" t="s">
        <v>44</v>
      </c>
      <c r="Y413" s="2">
        <v>19566</v>
      </c>
      <c r="Z413" s="2">
        <v>3854</v>
      </c>
      <c r="AA413">
        <v>5</v>
      </c>
      <c r="AB413" t="s">
        <v>39</v>
      </c>
      <c r="AC413">
        <v>11</v>
      </c>
      <c r="AD413">
        <v>3</v>
      </c>
      <c r="AE413" t="str" cm="1">
        <f t="array" ref="AE413">_xlfn.IFS(AD413=1,"Low",AD413=2,"Good",AD413=3,"Excellent",AD413=4,"Outstanding")</f>
        <v>Excellent</v>
      </c>
      <c r="AF413">
        <v>4</v>
      </c>
      <c r="AG413" t="str" cm="1">
        <f t="array" ref="AG413">_xlfn.IFS(AF413=1,"Low",AF413=2,"Medium",AF413=3,"High",AF413=4,"Very High")</f>
        <v>Very High</v>
      </c>
      <c r="AH413">
        <v>0</v>
      </c>
      <c r="AI413">
        <v>33</v>
      </c>
      <c r="AJ413">
        <v>5</v>
      </c>
      <c r="AK413">
        <v>1</v>
      </c>
      <c r="AL413" t="str" cm="1">
        <f t="array" ref="AL413">_xlfn.IFS(AK413=1,"Low",AK413=2,"Medium",AK413=3,"High",AK413=4,"Very High")</f>
        <v>Low</v>
      </c>
      <c r="AM413">
        <v>29</v>
      </c>
      <c r="AN413">
        <v>8</v>
      </c>
      <c r="AO413">
        <v>11</v>
      </c>
      <c r="AP413">
        <v>10</v>
      </c>
    </row>
    <row r="414" spans="1:42">
      <c r="A414">
        <v>46</v>
      </c>
      <c r="B414" t="str" cm="1">
        <f t="array" ref="B414">_xlfn.IFS(A414&lt;=25,"18-25",A414&lt;=35,"26-35",A414&lt;=45,"36-45",A414&lt;=55,"46-55",A414&gt;55,"56+")</f>
        <v>46-55</v>
      </c>
      <c r="C414" t="s">
        <v>39</v>
      </c>
      <c r="D414" t="s">
        <v>33</v>
      </c>
      <c r="E414" s="2">
        <v>1485</v>
      </c>
      <c r="F414" t="s">
        <v>41</v>
      </c>
      <c r="G414">
        <v>18</v>
      </c>
      <c r="H414" t="str">
        <f t="shared" si="6"/>
        <v>11-20 km</v>
      </c>
      <c r="I414">
        <v>3</v>
      </c>
      <c r="J414" t="str" cm="1">
        <f t="array" ref="J414">_xlfn.IFS(I414=1,"Below College",I414=2,"College",I414=3,"Bachelor",I414=4,"Master",I414=5,"Doctor")</f>
        <v>Bachelor</v>
      </c>
      <c r="K414" t="s">
        <v>47</v>
      </c>
      <c r="L414">
        <v>550</v>
      </c>
      <c r="M414">
        <v>3</v>
      </c>
      <c r="N414" t="str" cm="1">
        <f t="array" ref="N414">_xlfn.IFS(M414=1,"Low",M414=2,"Medium",M414=3,"High",M414=4,"Very High")</f>
        <v>High</v>
      </c>
      <c r="O414" t="s">
        <v>36</v>
      </c>
      <c r="P414" s="2">
        <v>87</v>
      </c>
      <c r="Q414">
        <v>3</v>
      </c>
      <c r="R414" t="str" cm="1">
        <f t="array" ref="R414">_xlfn.IFS(Q414=1,"Low",Q414=2,"Medium",Q414=3,"High",Q414=4,"Very High")</f>
        <v>High</v>
      </c>
      <c r="S414">
        <v>2</v>
      </c>
      <c r="T414" t="str" cm="1">
        <f t="array" ref="T414">_xlfn.IFS(S414=1,"Entry Level",S414=2,"Junior",S414=3,"Mid-Level",S414=4,"Senior",S414=5,"Executive")</f>
        <v>Junior</v>
      </c>
      <c r="U414" t="s">
        <v>49</v>
      </c>
      <c r="V414">
        <v>3</v>
      </c>
      <c r="W414" t="str" cm="1">
        <f t="array" ref="W414">_xlfn.IFS(V414=1,"Low",V414=2,"Medium",V414=3,"High",V414=4,"Very High")</f>
        <v>High</v>
      </c>
      <c r="X414" t="s">
        <v>48</v>
      </c>
      <c r="Y414" s="2">
        <v>4810</v>
      </c>
      <c r="Z414" s="2">
        <v>26314</v>
      </c>
      <c r="AA414">
        <v>2</v>
      </c>
      <c r="AB414" t="s">
        <v>39</v>
      </c>
      <c r="AC414">
        <v>14</v>
      </c>
      <c r="AD414">
        <v>3</v>
      </c>
      <c r="AE414" t="str" cm="1">
        <f t="array" ref="AE414">_xlfn.IFS(AD414=1,"Low",AD414=2,"Good",AD414=3,"Excellent",AD414=4,"Outstanding")</f>
        <v>Excellent</v>
      </c>
      <c r="AF414">
        <v>3</v>
      </c>
      <c r="AG414" t="str" cm="1">
        <f t="array" ref="AG414">_xlfn.IFS(AF414=1,"Low",AF414=2,"Medium",AF414=3,"High",AF414=4,"Very High")</f>
        <v>High</v>
      </c>
      <c r="AH414">
        <v>1</v>
      </c>
      <c r="AI414">
        <v>19</v>
      </c>
      <c r="AJ414">
        <v>5</v>
      </c>
      <c r="AK414">
        <v>2</v>
      </c>
      <c r="AL414" t="str" cm="1">
        <f t="array" ref="AL414">_xlfn.IFS(AK414=1,"Low",AK414=2,"Medium",AK414=3,"High",AK414=4,"Very High")</f>
        <v>Medium</v>
      </c>
      <c r="AM414">
        <v>10</v>
      </c>
      <c r="AN414">
        <v>7</v>
      </c>
      <c r="AO414">
        <v>0</v>
      </c>
      <c r="AP414">
        <v>8</v>
      </c>
    </row>
    <row r="415" spans="1:42">
      <c r="A415">
        <v>42</v>
      </c>
      <c r="B415" t="str" cm="1">
        <f t="array" ref="B415">_xlfn.IFS(A415&lt;=25,"18-25",A415&lt;=35,"26-35",A415&lt;=45,"36-45",A415&lt;=55,"46-55",A415&gt;55,"56+")</f>
        <v>36-45</v>
      </c>
      <c r="C415" t="s">
        <v>39</v>
      </c>
      <c r="D415" t="s">
        <v>40</v>
      </c>
      <c r="E415" s="2">
        <v>1368</v>
      </c>
      <c r="F415" t="s">
        <v>41</v>
      </c>
      <c r="G415">
        <v>28</v>
      </c>
      <c r="H415" t="str">
        <f t="shared" si="6"/>
        <v>21-30 km</v>
      </c>
      <c r="I415">
        <v>4</v>
      </c>
      <c r="J415" t="str" cm="1">
        <f t="array" ref="J415">_xlfn.IFS(I415=1,"Below College",I415=2,"College",I415=3,"Bachelor",I415=4,"Master",I415=5,"Doctor")</f>
        <v>Master</v>
      </c>
      <c r="K415" t="s">
        <v>56</v>
      </c>
      <c r="L415">
        <v>551</v>
      </c>
      <c r="M415">
        <v>4</v>
      </c>
      <c r="N415" t="str" cm="1">
        <f t="array" ref="N415">_xlfn.IFS(M415=1,"Low",M415=2,"Medium",M415=3,"High",M415=4,"Very High")</f>
        <v>Very High</v>
      </c>
      <c r="O415" t="s">
        <v>36</v>
      </c>
      <c r="P415" s="2">
        <v>88</v>
      </c>
      <c r="Q415">
        <v>2</v>
      </c>
      <c r="R415" t="str" cm="1">
        <f t="array" ref="R415">_xlfn.IFS(Q415=1,"Low",Q415=2,"Medium",Q415=3,"High",Q415=4,"Very High")</f>
        <v>Medium</v>
      </c>
      <c r="S415">
        <v>2</v>
      </c>
      <c r="T415" t="str" cm="1">
        <f t="array" ref="T415">_xlfn.IFS(S415=1,"Entry Level",S415=2,"Junior",S415=3,"Mid-Level",S415=4,"Senior",S415=5,"Executive")</f>
        <v>Junior</v>
      </c>
      <c r="U415" t="s">
        <v>50</v>
      </c>
      <c r="V415">
        <v>4</v>
      </c>
      <c r="W415" t="str" cm="1">
        <f t="array" ref="W415">_xlfn.IFS(V415=1,"Low",V415=2,"Medium",V415=3,"High",V415=4,"Very High")</f>
        <v>Very High</v>
      </c>
      <c r="X415" t="s">
        <v>44</v>
      </c>
      <c r="Y415" s="2">
        <v>4523</v>
      </c>
      <c r="Z415" s="2">
        <v>4386</v>
      </c>
      <c r="AA415">
        <v>0</v>
      </c>
      <c r="AB415" t="s">
        <v>39</v>
      </c>
      <c r="AC415">
        <v>11</v>
      </c>
      <c r="AD415">
        <v>3</v>
      </c>
      <c r="AE415" t="str" cm="1">
        <f t="array" ref="AE415">_xlfn.IFS(AD415=1,"Low",AD415=2,"Good",AD415=3,"Excellent",AD415=4,"Outstanding")</f>
        <v>Excellent</v>
      </c>
      <c r="AF415">
        <v>4</v>
      </c>
      <c r="AG415" t="str" cm="1">
        <f t="array" ref="AG415">_xlfn.IFS(AF415=1,"Low",AF415=2,"Medium",AF415=3,"High",AF415=4,"Very High")</f>
        <v>Very High</v>
      </c>
      <c r="AH415">
        <v>3</v>
      </c>
      <c r="AI415">
        <v>7</v>
      </c>
      <c r="AJ415">
        <v>4</v>
      </c>
      <c r="AK415">
        <v>4</v>
      </c>
      <c r="AL415" t="str" cm="1">
        <f t="array" ref="AL415">_xlfn.IFS(AK415=1,"Low",AK415=2,"Medium",AK415=3,"High",AK415=4,"Very High")</f>
        <v>Very High</v>
      </c>
      <c r="AM415">
        <v>6</v>
      </c>
      <c r="AN415">
        <v>5</v>
      </c>
      <c r="AO415">
        <v>0</v>
      </c>
      <c r="AP415">
        <v>4</v>
      </c>
    </row>
    <row r="416" spans="1:42">
      <c r="A416">
        <v>24</v>
      </c>
      <c r="B416" t="str" cm="1">
        <f t="array" ref="B416">_xlfn.IFS(A416&lt;=25,"18-25",A416&lt;=35,"26-35",A416&lt;=45,"36-45",A416&lt;=55,"46-55",A416&gt;55,"56+")</f>
        <v>18-25</v>
      </c>
      <c r="C416" t="s">
        <v>32</v>
      </c>
      <c r="D416" t="s">
        <v>33</v>
      </c>
      <c r="E416" s="2">
        <v>1448</v>
      </c>
      <c r="F416" t="s">
        <v>34</v>
      </c>
      <c r="G416">
        <v>1</v>
      </c>
      <c r="H416" t="str">
        <f t="shared" si="6"/>
        <v>1-10 km</v>
      </c>
      <c r="I416">
        <v>1</v>
      </c>
      <c r="J416" t="str" cm="1">
        <f t="array" ref="J416">_xlfn.IFS(I416=1,"Below College",I416=2,"College",I416=3,"Bachelor",I416=4,"Master",I416=5,"Doctor")</f>
        <v>Below College</v>
      </c>
      <c r="K416" t="s">
        <v>56</v>
      </c>
      <c r="L416">
        <v>554</v>
      </c>
      <c r="M416">
        <v>1</v>
      </c>
      <c r="N416" t="str" cm="1">
        <f t="array" ref="N416">_xlfn.IFS(M416=1,"Low",M416=2,"Medium",M416=3,"High",M416=4,"Very High")</f>
        <v>Low</v>
      </c>
      <c r="O416" t="s">
        <v>36</v>
      </c>
      <c r="P416" s="2">
        <v>62</v>
      </c>
      <c r="Q416">
        <v>3</v>
      </c>
      <c r="R416" t="str" cm="1">
        <f t="array" ref="R416">_xlfn.IFS(Q416=1,"Low",Q416=2,"Medium",Q416=3,"High",Q416=4,"Very High")</f>
        <v>High</v>
      </c>
      <c r="S416">
        <v>1</v>
      </c>
      <c r="T416" t="str" cm="1">
        <f t="array" ref="T416">_xlfn.IFS(S416=1,"Entry Level",S416=2,"Junior",S416=3,"Mid-Level",S416=4,"Senior",S416=5,"Executive")</f>
        <v>Entry Level</v>
      </c>
      <c r="U416" t="s">
        <v>53</v>
      </c>
      <c r="V416">
        <v>2</v>
      </c>
      <c r="W416" t="str" cm="1">
        <f t="array" ref="W416">_xlfn.IFS(V416=1,"Low",V416=2,"Medium",V416=3,"High",V416=4,"Very High")</f>
        <v>Medium</v>
      </c>
      <c r="X416" t="s">
        <v>38</v>
      </c>
      <c r="Y416" s="2">
        <v>3202</v>
      </c>
      <c r="Z416" s="2">
        <v>21972</v>
      </c>
      <c r="AA416">
        <v>1</v>
      </c>
      <c r="AB416" t="s">
        <v>32</v>
      </c>
      <c r="AC416">
        <v>16</v>
      </c>
      <c r="AD416">
        <v>3</v>
      </c>
      <c r="AE416" t="str" cm="1">
        <f t="array" ref="AE416">_xlfn.IFS(AD416=1,"Low",AD416=2,"Good",AD416=3,"Excellent",AD416=4,"Outstanding")</f>
        <v>Excellent</v>
      </c>
      <c r="AF416">
        <v>2</v>
      </c>
      <c r="AG416" t="str" cm="1">
        <f t="array" ref="AG416">_xlfn.IFS(AF416=1,"Low",AF416=2,"Medium",AF416=3,"High",AF416=4,"Very High")</f>
        <v>Medium</v>
      </c>
      <c r="AH416">
        <v>0</v>
      </c>
      <c r="AI416">
        <v>6</v>
      </c>
      <c r="AJ416">
        <v>4</v>
      </c>
      <c r="AK416">
        <v>3</v>
      </c>
      <c r="AL416" t="str" cm="1">
        <f t="array" ref="AL416">_xlfn.IFS(AK416=1,"Low",AK416=2,"Medium",AK416=3,"High",AK416=4,"Very High")</f>
        <v>High</v>
      </c>
      <c r="AM416">
        <v>5</v>
      </c>
      <c r="AN416">
        <v>3</v>
      </c>
      <c r="AO416">
        <v>1</v>
      </c>
      <c r="AP416">
        <v>4</v>
      </c>
    </row>
    <row r="417" spans="1:42">
      <c r="A417">
        <v>34</v>
      </c>
      <c r="B417" t="str" cm="1">
        <f t="array" ref="B417">_xlfn.IFS(A417&lt;=25,"18-25",A417&lt;=35,"26-35",A417&lt;=45,"36-45",A417&lt;=55,"46-55",A417&gt;55,"56+")</f>
        <v>26-35</v>
      </c>
      <c r="C417" t="s">
        <v>32</v>
      </c>
      <c r="D417" t="s">
        <v>40</v>
      </c>
      <c r="E417" s="2">
        <v>296</v>
      </c>
      <c r="F417" t="s">
        <v>34</v>
      </c>
      <c r="G417">
        <v>6</v>
      </c>
      <c r="H417" t="str">
        <f t="shared" si="6"/>
        <v>1-10 km</v>
      </c>
      <c r="I417">
        <v>2</v>
      </c>
      <c r="J417" t="str" cm="1">
        <f t="array" ref="J417">_xlfn.IFS(I417=1,"Below College",I417=2,"College",I417=3,"Bachelor",I417=4,"Master",I417=5,"Doctor")</f>
        <v>College</v>
      </c>
      <c r="K417" t="s">
        <v>55</v>
      </c>
      <c r="L417">
        <v>555</v>
      </c>
      <c r="M417">
        <v>4</v>
      </c>
      <c r="N417" t="str" cm="1">
        <f t="array" ref="N417">_xlfn.IFS(M417=1,"Low",M417=2,"Medium",M417=3,"High",M417=4,"Very High")</f>
        <v>Very High</v>
      </c>
      <c r="O417" t="s">
        <v>36</v>
      </c>
      <c r="P417" s="2">
        <v>33</v>
      </c>
      <c r="Q417">
        <v>1</v>
      </c>
      <c r="R417" t="str" cm="1">
        <f t="array" ref="R417">_xlfn.IFS(Q417=1,"Low",Q417=2,"Medium",Q417=3,"High",Q417=4,"Very High")</f>
        <v>Low</v>
      </c>
      <c r="S417">
        <v>1</v>
      </c>
      <c r="T417" t="str" cm="1">
        <f t="array" ref="T417">_xlfn.IFS(S417=1,"Entry Level",S417=2,"Junior",S417=3,"Mid-Level",S417=4,"Senior",S417=5,"Executive")</f>
        <v>Entry Level</v>
      </c>
      <c r="U417" t="s">
        <v>53</v>
      </c>
      <c r="V417">
        <v>3</v>
      </c>
      <c r="W417" t="str" cm="1">
        <f t="array" ref="W417">_xlfn.IFS(V417=1,"Low",V417=2,"Medium",V417=3,"High",V417=4,"Very High")</f>
        <v>High</v>
      </c>
      <c r="X417" t="s">
        <v>48</v>
      </c>
      <c r="Y417" s="2">
        <v>2351</v>
      </c>
      <c r="Z417" s="2">
        <v>12253</v>
      </c>
      <c r="AA417">
        <v>0</v>
      </c>
      <c r="AB417" t="s">
        <v>39</v>
      </c>
      <c r="AC417">
        <v>16</v>
      </c>
      <c r="AD417">
        <v>3</v>
      </c>
      <c r="AE417" t="str" cm="1">
        <f t="array" ref="AE417">_xlfn.IFS(AD417=1,"Low",AD417=2,"Good",AD417=3,"Excellent",AD417=4,"Outstanding")</f>
        <v>Excellent</v>
      </c>
      <c r="AF417">
        <v>4</v>
      </c>
      <c r="AG417" t="str" cm="1">
        <f t="array" ref="AG417">_xlfn.IFS(AF417=1,"Low",AF417=2,"Medium",AF417=3,"High",AF417=4,"Very High")</f>
        <v>Very High</v>
      </c>
      <c r="AH417">
        <v>1</v>
      </c>
      <c r="AI417">
        <v>3</v>
      </c>
      <c r="AJ417">
        <v>3</v>
      </c>
      <c r="AK417">
        <v>2</v>
      </c>
      <c r="AL417" t="str" cm="1">
        <f t="array" ref="AL417">_xlfn.IFS(AK417=1,"Low",AK417=2,"Medium",AK417=3,"High",AK417=4,"Very High")</f>
        <v>Medium</v>
      </c>
      <c r="AM417">
        <v>2</v>
      </c>
      <c r="AN417">
        <v>2</v>
      </c>
      <c r="AO417">
        <v>1</v>
      </c>
      <c r="AP417">
        <v>0</v>
      </c>
    </row>
    <row r="418" spans="1:42">
      <c r="A418">
        <v>38</v>
      </c>
      <c r="B418" t="str" cm="1">
        <f t="array" ref="B418">_xlfn.IFS(A418&lt;=25,"18-25",A418&lt;=35,"26-35",A418&lt;=45,"36-45",A418&lt;=55,"46-55",A418&gt;55,"56+")</f>
        <v>36-45</v>
      </c>
      <c r="C418" t="s">
        <v>39</v>
      </c>
      <c r="D418" t="s">
        <v>40</v>
      </c>
      <c r="E418" s="2">
        <v>1490</v>
      </c>
      <c r="F418" t="s">
        <v>41</v>
      </c>
      <c r="G418">
        <v>2</v>
      </c>
      <c r="H418" t="str">
        <f t="shared" si="6"/>
        <v>1-10 km</v>
      </c>
      <c r="I418">
        <v>2</v>
      </c>
      <c r="J418" t="str" cm="1">
        <f t="array" ref="J418">_xlfn.IFS(I418=1,"Below College",I418=2,"College",I418=3,"Bachelor",I418=4,"Master",I418=5,"Doctor")</f>
        <v>College</v>
      </c>
      <c r="K418" t="s">
        <v>35</v>
      </c>
      <c r="L418">
        <v>556</v>
      </c>
      <c r="M418">
        <v>4</v>
      </c>
      <c r="N418" t="str" cm="1">
        <f t="array" ref="N418">_xlfn.IFS(M418=1,"Low",M418=2,"Medium",M418=3,"High",M418=4,"Very High")</f>
        <v>Very High</v>
      </c>
      <c r="O418" t="s">
        <v>42</v>
      </c>
      <c r="P418" s="2">
        <v>42</v>
      </c>
      <c r="Q418">
        <v>3</v>
      </c>
      <c r="R418" t="str" cm="1">
        <f t="array" ref="R418">_xlfn.IFS(Q418=1,"Low",Q418=2,"Medium",Q418=3,"High",Q418=4,"Very High")</f>
        <v>High</v>
      </c>
      <c r="S418">
        <v>1</v>
      </c>
      <c r="T418" t="str" cm="1">
        <f t="array" ref="T418">_xlfn.IFS(S418=1,"Entry Level",S418=2,"Junior",S418=3,"Mid-Level",S418=4,"Senior",S418=5,"Executive")</f>
        <v>Entry Level</v>
      </c>
      <c r="U418" t="s">
        <v>46</v>
      </c>
      <c r="V418">
        <v>4</v>
      </c>
      <c r="W418" t="str" cm="1">
        <f t="array" ref="W418">_xlfn.IFS(V418=1,"Low",V418=2,"Medium",V418=3,"High",V418=4,"Very High")</f>
        <v>Very High</v>
      </c>
      <c r="X418" t="s">
        <v>44</v>
      </c>
      <c r="Y418" s="2">
        <v>1702</v>
      </c>
      <c r="Z418" s="2">
        <v>12106</v>
      </c>
      <c r="AA418">
        <v>1</v>
      </c>
      <c r="AB418" t="s">
        <v>32</v>
      </c>
      <c r="AC418">
        <v>23</v>
      </c>
      <c r="AD418">
        <v>4</v>
      </c>
      <c r="AE418" t="str" cm="1">
        <f t="array" ref="AE418">_xlfn.IFS(AD418=1,"Low",AD418=2,"Good",AD418=3,"Excellent",AD418=4,"Outstanding")</f>
        <v>Outstanding</v>
      </c>
      <c r="AF418">
        <v>3</v>
      </c>
      <c r="AG418" t="str" cm="1">
        <f t="array" ref="AG418">_xlfn.IFS(AF418=1,"Low",AF418=2,"Medium",AF418=3,"High",AF418=4,"Very High")</f>
        <v>High</v>
      </c>
      <c r="AH418">
        <v>1</v>
      </c>
      <c r="AI418">
        <v>1</v>
      </c>
      <c r="AJ418">
        <v>3</v>
      </c>
      <c r="AK418">
        <v>3</v>
      </c>
      <c r="AL418" t="str" cm="1">
        <f t="array" ref="AL418">_xlfn.IFS(AK418=1,"Low",AK418=2,"Medium",AK418=3,"High",AK418=4,"Very High")</f>
        <v>High</v>
      </c>
      <c r="AM418">
        <v>1</v>
      </c>
      <c r="AN418">
        <v>0</v>
      </c>
      <c r="AO418">
        <v>0</v>
      </c>
      <c r="AP418">
        <v>0</v>
      </c>
    </row>
    <row r="419" spans="1:42">
      <c r="A419">
        <v>40</v>
      </c>
      <c r="B419" t="str" cm="1">
        <f t="array" ref="B419">_xlfn.IFS(A419&lt;=25,"18-25",A419&lt;=35,"26-35",A419&lt;=45,"36-45",A419&lt;=55,"46-55",A419&gt;55,"56+")</f>
        <v>36-45</v>
      </c>
      <c r="C419" t="s">
        <v>39</v>
      </c>
      <c r="D419" t="s">
        <v>33</v>
      </c>
      <c r="E419" s="2">
        <v>1398</v>
      </c>
      <c r="F419" t="s">
        <v>34</v>
      </c>
      <c r="G419">
        <v>2</v>
      </c>
      <c r="H419" t="str">
        <f t="shared" si="6"/>
        <v>1-10 km</v>
      </c>
      <c r="I419">
        <v>4</v>
      </c>
      <c r="J419" t="str" cm="1">
        <f t="array" ref="J419">_xlfn.IFS(I419=1,"Below College",I419=2,"College",I419=3,"Bachelor",I419=4,"Master",I419=5,"Doctor")</f>
        <v>Master</v>
      </c>
      <c r="K419" t="s">
        <v>35</v>
      </c>
      <c r="L419">
        <v>558</v>
      </c>
      <c r="M419">
        <v>3</v>
      </c>
      <c r="N419" t="str" cm="1">
        <f t="array" ref="N419">_xlfn.IFS(M419=1,"Low",M419=2,"Medium",M419=3,"High",M419=4,"Very High")</f>
        <v>High</v>
      </c>
      <c r="O419" t="s">
        <v>36</v>
      </c>
      <c r="P419" s="2">
        <v>79</v>
      </c>
      <c r="Q419">
        <v>3</v>
      </c>
      <c r="R419" t="str" cm="1">
        <f t="array" ref="R419">_xlfn.IFS(Q419=1,"Low",Q419=2,"Medium",Q419=3,"High",Q419=4,"Very High")</f>
        <v>High</v>
      </c>
      <c r="S419">
        <v>5</v>
      </c>
      <c r="T419" t="str" cm="1">
        <f t="array" ref="T419">_xlfn.IFS(S419=1,"Entry Level",S419=2,"Junior",S419=3,"Mid-Level",S419=4,"Senior",S419=5,"Executive")</f>
        <v>Executive</v>
      </c>
      <c r="U419" t="s">
        <v>52</v>
      </c>
      <c r="V419">
        <v>3</v>
      </c>
      <c r="W419" t="str" cm="1">
        <f t="array" ref="W419">_xlfn.IFS(V419=1,"Low",V419=2,"Medium",V419=3,"High",V419=4,"Very High")</f>
        <v>High</v>
      </c>
      <c r="X419" t="s">
        <v>44</v>
      </c>
      <c r="Y419" s="2">
        <v>18041</v>
      </c>
      <c r="Z419" s="2">
        <v>13022</v>
      </c>
      <c r="AA419">
        <v>0</v>
      </c>
      <c r="AB419" t="s">
        <v>39</v>
      </c>
      <c r="AC419">
        <v>14</v>
      </c>
      <c r="AD419">
        <v>3</v>
      </c>
      <c r="AE419" t="str" cm="1">
        <f t="array" ref="AE419">_xlfn.IFS(AD419=1,"Low",AD419=2,"Good",AD419=3,"Excellent",AD419=4,"Outstanding")</f>
        <v>Excellent</v>
      </c>
      <c r="AF419">
        <v>4</v>
      </c>
      <c r="AG419" t="str" cm="1">
        <f t="array" ref="AG419">_xlfn.IFS(AF419=1,"Low",AF419=2,"Medium",AF419=3,"High",AF419=4,"Very High")</f>
        <v>Very High</v>
      </c>
      <c r="AH419">
        <v>0</v>
      </c>
      <c r="AI419">
        <v>21</v>
      </c>
      <c r="AJ419">
        <v>2</v>
      </c>
      <c r="AK419">
        <v>3</v>
      </c>
      <c r="AL419" t="str" cm="1">
        <f t="array" ref="AL419">_xlfn.IFS(AK419=1,"Low",AK419=2,"Medium",AK419=3,"High",AK419=4,"Very High")</f>
        <v>High</v>
      </c>
      <c r="AM419">
        <v>20</v>
      </c>
      <c r="AN419">
        <v>15</v>
      </c>
      <c r="AO419">
        <v>1</v>
      </c>
      <c r="AP419">
        <v>12</v>
      </c>
    </row>
    <row r="420" spans="1:42">
      <c r="A420">
        <v>26</v>
      </c>
      <c r="B420" t="str" cm="1">
        <f t="array" ref="B420">_xlfn.IFS(A420&lt;=25,"18-25",A420&lt;=35,"26-35",A420&lt;=45,"36-45",A420&lt;=55,"46-55",A420&gt;55,"56+")</f>
        <v>26-35</v>
      </c>
      <c r="C420" t="s">
        <v>39</v>
      </c>
      <c r="D420" t="s">
        <v>33</v>
      </c>
      <c r="E420" s="2">
        <v>1349</v>
      </c>
      <c r="F420" t="s">
        <v>41</v>
      </c>
      <c r="G420">
        <v>23</v>
      </c>
      <c r="H420" t="str">
        <f t="shared" si="6"/>
        <v>21-30 km</v>
      </c>
      <c r="I420">
        <v>3</v>
      </c>
      <c r="J420" t="str" cm="1">
        <f t="array" ref="J420">_xlfn.IFS(I420=1,"Below College",I420=2,"College",I420=3,"Bachelor",I420=4,"Master",I420=5,"Doctor")</f>
        <v>Bachelor</v>
      </c>
      <c r="K420" t="s">
        <v>35</v>
      </c>
      <c r="L420">
        <v>560</v>
      </c>
      <c r="M420">
        <v>1</v>
      </c>
      <c r="N420" t="str" cm="1">
        <f t="array" ref="N420">_xlfn.IFS(M420=1,"Low",M420=2,"Medium",M420=3,"High",M420=4,"Very High")</f>
        <v>Low</v>
      </c>
      <c r="O420" t="s">
        <v>36</v>
      </c>
      <c r="P420" s="2">
        <v>90</v>
      </c>
      <c r="Q420">
        <v>3</v>
      </c>
      <c r="R420" t="str" cm="1">
        <f t="array" ref="R420">_xlfn.IFS(Q420=1,"Low",Q420=2,"Medium",Q420=3,"High",Q420=4,"Very High")</f>
        <v>High</v>
      </c>
      <c r="S420">
        <v>1</v>
      </c>
      <c r="T420" t="str" cm="1">
        <f t="array" ref="T420">_xlfn.IFS(S420=1,"Entry Level",S420=2,"Junior",S420=3,"Mid-Level",S420=4,"Senior",S420=5,"Executive")</f>
        <v>Entry Level</v>
      </c>
      <c r="U420" t="s">
        <v>43</v>
      </c>
      <c r="V420">
        <v>4</v>
      </c>
      <c r="W420" t="str" cm="1">
        <f t="array" ref="W420">_xlfn.IFS(V420=1,"Low",V420=2,"Medium",V420=3,"High",V420=4,"Very High")</f>
        <v>Very High</v>
      </c>
      <c r="X420" t="s">
        <v>48</v>
      </c>
      <c r="Y420" s="2">
        <v>2886</v>
      </c>
      <c r="Z420" s="2">
        <v>3032</v>
      </c>
      <c r="AA420">
        <v>1</v>
      </c>
      <c r="AB420" t="s">
        <v>39</v>
      </c>
      <c r="AC420">
        <v>22</v>
      </c>
      <c r="AD420">
        <v>4</v>
      </c>
      <c r="AE420" t="str" cm="1">
        <f t="array" ref="AE420">_xlfn.IFS(AD420=1,"Low",AD420=2,"Good",AD420=3,"Excellent",AD420=4,"Outstanding")</f>
        <v>Outstanding</v>
      </c>
      <c r="AF420">
        <v>2</v>
      </c>
      <c r="AG420" t="str" cm="1">
        <f t="array" ref="AG420">_xlfn.IFS(AF420=1,"Low",AF420=2,"Medium",AF420=3,"High",AF420=4,"Very High")</f>
        <v>Medium</v>
      </c>
      <c r="AH420">
        <v>2</v>
      </c>
      <c r="AI420">
        <v>3</v>
      </c>
      <c r="AJ420">
        <v>3</v>
      </c>
      <c r="AK420">
        <v>1</v>
      </c>
      <c r="AL420" t="str" cm="1">
        <f t="array" ref="AL420">_xlfn.IFS(AK420=1,"Low",AK420=2,"Medium",AK420=3,"High",AK420=4,"Very High")</f>
        <v>Low</v>
      </c>
      <c r="AM420">
        <v>3</v>
      </c>
      <c r="AN420">
        <v>2</v>
      </c>
      <c r="AO420">
        <v>0</v>
      </c>
      <c r="AP420">
        <v>2</v>
      </c>
    </row>
    <row r="421" spans="1:42">
      <c r="A421">
        <v>30</v>
      </c>
      <c r="B421" t="str" cm="1">
        <f t="array" ref="B421">_xlfn.IFS(A421&lt;=25,"18-25",A421&lt;=35,"26-35",A421&lt;=45,"36-45",A421&lt;=55,"46-55",A421&gt;55,"56+")</f>
        <v>26-35</v>
      </c>
      <c r="C421" t="s">
        <v>39</v>
      </c>
      <c r="D421" t="s">
        <v>51</v>
      </c>
      <c r="E421" s="2">
        <v>1400</v>
      </c>
      <c r="F421" t="s">
        <v>41</v>
      </c>
      <c r="G421">
        <v>3</v>
      </c>
      <c r="H421" t="str">
        <f t="shared" si="6"/>
        <v>1-10 km</v>
      </c>
      <c r="I421">
        <v>3</v>
      </c>
      <c r="J421" t="str" cm="1">
        <f t="array" ref="J421">_xlfn.IFS(I421=1,"Below College",I421=2,"College",I421=3,"Bachelor",I421=4,"Master",I421=5,"Doctor")</f>
        <v>Bachelor</v>
      </c>
      <c r="K421" t="s">
        <v>35</v>
      </c>
      <c r="L421">
        <v>562</v>
      </c>
      <c r="M421">
        <v>3</v>
      </c>
      <c r="N421" t="str" cm="1">
        <f t="array" ref="N421">_xlfn.IFS(M421=1,"Low",M421=2,"Medium",M421=3,"High",M421=4,"Very High")</f>
        <v>High</v>
      </c>
      <c r="O421" t="s">
        <v>42</v>
      </c>
      <c r="P421" s="2">
        <v>53</v>
      </c>
      <c r="Q421">
        <v>3</v>
      </c>
      <c r="R421" t="str" cm="1">
        <f t="array" ref="R421">_xlfn.IFS(Q421=1,"Low",Q421=2,"Medium",Q421=3,"High",Q421=4,"Very High")</f>
        <v>High</v>
      </c>
      <c r="S421">
        <v>1</v>
      </c>
      <c r="T421" t="str" cm="1">
        <f t="array" ref="T421">_xlfn.IFS(S421=1,"Entry Level",S421=2,"Junior",S421=3,"Mid-Level",S421=4,"Senior",S421=5,"Executive")</f>
        <v>Entry Level</v>
      </c>
      <c r="U421" t="s">
        <v>46</v>
      </c>
      <c r="V421">
        <v>4</v>
      </c>
      <c r="W421" t="str" cm="1">
        <f t="array" ref="W421">_xlfn.IFS(V421=1,"Low",V421=2,"Medium",V421=3,"High",V421=4,"Very High")</f>
        <v>Very High</v>
      </c>
      <c r="X421" t="s">
        <v>44</v>
      </c>
      <c r="Y421" s="2">
        <v>2097</v>
      </c>
      <c r="Z421" s="2">
        <v>16734</v>
      </c>
      <c r="AA421">
        <v>4</v>
      </c>
      <c r="AB421" t="s">
        <v>39</v>
      </c>
      <c r="AC421">
        <v>15</v>
      </c>
      <c r="AD421">
        <v>3</v>
      </c>
      <c r="AE421" t="str" cm="1">
        <f t="array" ref="AE421">_xlfn.IFS(AD421=1,"Low",AD421=2,"Good",AD421=3,"Excellent",AD421=4,"Outstanding")</f>
        <v>Excellent</v>
      </c>
      <c r="AF421">
        <v>3</v>
      </c>
      <c r="AG421" t="str" cm="1">
        <f t="array" ref="AG421">_xlfn.IFS(AF421=1,"Low",AF421=2,"Medium",AF421=3,"High",AF421=4,"Very High")</f>
        <v>High</v>
      </c>
      <c r="AH421">
        <v>1</v>
      </c>
      <c r="AI421">
        <v>9</v>
      </c>
      <c r="AJ421">
        <v>3</v>
      </c>
      <c r="AK421">
        <v>1</v>
      </c>
      <c r="AL421" t="str" cm="1">
        <f t="array" ref="AL421">_xlfn.IFS(AK421=1,"Low",AK421=2,"Medium",AK421=3,"High",AK421=4,"Very High")</f>
        <v>Low</v>
      </c>
      <c r="AM421">
        <v>5</v>
      </c>
      <c r="AN421">
        <v>3</v>
      </c>
      <c r="AO421">
        <v>1</v>
      </c>
      <c r="AP421">
        <v>4</v>
      </c>
    </row>
    <row r="422" spans="1:42">
      <c r="A422">
        <v>29</v>
      </c>
      <c r="B422" t="str" cm="1">
        <f t="array" ref="B422">_xlfn.IFS(A422&lt;=25,"18-25",A422&lt;=35,"26-35",A422&lt;=45,"36-45",A422&lt;=55,"46-55",A422&gt;55,"56+")</f>
        <v>26-35</v>
      </c>
      <c r="C422" t="s">
        <v>39</v>
      </c>
      <c r="D422" t="s">
        <v>33</v>
      </c>
      <c r="E422" s="2">
        <v>986</v>
      </c>
      <c r="F422" t="s">
        <v>41</v>
      </c>
      <c r="G422">
        <v>3</v>
      </c>
      <c r="H422" t="str">
        <f t="shared" si="6"/>
        <v>1-10 km</v>
      </c>
      <c r="I422">
        <v>4</v>
      </c>
      <c r="J422" t="str" cm="1">
        <f t="array" ref="J422">_xlfn.IFS(I422=1,"Below College",I422=2,"College",I422=3,"Bachelor",I422=4,"Master",I422=5,"Doctor")</f>
        <v>Master</v>
      </c>
      <c r="K422" t="s">
        <v>47</v>
      </c>
      <c r="L422">
        <v>564</v>
      </c>
      <c r="M422">
        <v>2</v>
      </c>
      <c r="N422" t="str" cm="1">
        <f t="array" ref="N422">_xlfn.IFS(M422=1,"Low",M422=2,"Medium",M422=3,"High",M422=4,"Very High")</f>
        <v>Medium</v>
      </c>
      <c r="O422" t="s">
        <v>42</v>
      </c>
      <c r="P422" s="2">
        <v>93</v>
      </c>
      <c r="Q422">
        <v>2</v>
      </c>
      <c r="R422" t="str" cm="1">
        <f t="array" ref="R422">_xlfn.IFS(Q422=1,"Low",Q422=2,"Medium",Q422=3,"High",Q422=4,"Very High")</f>
        <v>Medium</v>
      </c>
      <c r="S422">
        <v>3</v>
      </c>
      <c r="T422" t="str" cm="1">
        <f t="array" ref="T422">_xlfn.IFS(S422=1,"Entry Level",S422=2,"Junior",S422=3,"Mid-Level",S422=4,"Senior",S422=5,"Executive")</f>
        <v>Mid-Level</v>
      </c>
      <c r="U422" t="s">
        <v>54</v>
      </c>
      <c r="V422">
        <v>3</v>
      </c>
      <c r="W422" t="str" cm="1">
        <f t="array" ref="W422">_xlfn.IFS(V422=1,"Low",V422=2,"Medium",V422=3,"High",V422=4,"Very High")</f>
        <v>High</v>
      </c>
      <c r="X422" t="s">
        <v>44</v>
      </c>
      <c r="Y422" s="2">
        <v>11935</v>
      </c>
      <c r="Z422" s="2">
        <v>21526</v>
      </c>
      <c r="AA422">
        <v>1</v>
      </c>
      <c r="AB422" t="s">
        <v>39</v>
      </c>
      <c r="AC422">
        <v>18</v>
      </c>
      <c r="AD422">
        <v>3</v>
      </c>
      <c r="AE422" t="str" cm="1">
        <f t="array" ref="AE422">_xlfn.IFS(AD422=1,"Low",AD422=2,"Good",AD422=3,"Excellent",AD422=4,"Outstanding")</f>
        <v>Excellent</v>
      </c>
      <c r="AF422">
        <v>3</v>
      </c>
      <c r="AG422" t="str" cm="1">
        <f t="array" ref="AG422">_xlfn.IFS(AF422=1,"Low",AF422=2,"Medium",AF422=3,"High",AF422=4,"Very High")</f>
        <v>High</v>
      </c>
      <c r="AH422">
        <v>0</v>
      </c>
      <c r="AI422">
        <v>10</v>
      </c>
      <c r="AJ422">
        <v>2</v>
      </c>
      <c r="AK422">
        <v>3</v>
      </c>
      <c r="AL422" t="str" cm="1">
        <f t="array" ref="AL422">_xlfn.IFS(AK422=1,"Low",AK422=2,"Medium",AK422=3,"High",AK422=4,"Very High")</f>
        <v>High</v>
      </c>
      <c r="AM422">
        <v>10</v>
      </c>
      <c r="AN422">
        <v>2</v>
      </c>
      <c r="AO422">
        <v>0</v>
      </c>
      <c r="AP422">
        <v>7</v>
      </c>
    </row>
    <row r="423" spans="1:42">
      <c r="A423">
        <v>29</v>
      </c>
      <c r="B423" t="str" cm="1">
        <f t="array" ref="B423">_xlfn.IFS(A423&lt;=25,"18-25",A423&lt;=35,"26-35",A423&lt;=45,"36-45",A423&lt;=55,"46-55",A423&gt;55,"56+")</f>
        <v>26-35</v>
      </c>
      <c r="C423" t="s">
        <v>32</v>
      </c>
      <c r="D423" t="s">
        <v>33</v>
      </c>
      <c r="E423" s="2">
        <v>408</v>
      </c>
      <c r="F423" t="s">
        <v>41</v>
      </c>
      <c r="G423">
        <v>25</v>
      </c>
      <c r="H423" t="str">
        <f t="shared" si="6"/>
        <v>21-30 km</v>
      </c>
      <c r="I423">
        <v>5</v>
      </c>
      <c r="J423" t="str" cm="1">
        <f t="array" ref="J423">_xlfn.IFS(I423=1,"Below College",I423=2,"College",I423=3,"Bachelor",I423=4,"Master",I423=5,"Doctor")</f>
        <v>Doctor</v>
      </c>
      <c r="K423" t="s">
        <v>56</v>
      </c>
      <c r="L423">
        <v>565</v>
      </c>
      <c r="M423">
        <v>3</v>
      </c>
      <c r="N423" t="str" cm="1">
        <f t="array" ref="N423">_xlfn.IFS(M423=1,"Low",M423=2,"Medium",M423=3,"High",M423=4,"Very High")</f>
        <v>High</v>
      </c>
      <c r="O423" t="s">
        <v>36</v>
      </c>
      <c r="P423" s="2">
        <v>71</v>
      </c>
      <c r="Q423">
        <v>2</v>
      </c>
      <c r="R423" t="str" cm="1">
        <f t="array" ref="R423">_xlfn.IFS(Q423=1,"Low",Q423=2,"Medium",Q423=3,"High",Q423=4,"Very High")</f>
        <v>Medium</v>
      </c>
      <c r="S423">
        <v>1</v>
      </c>
      <c r="T423" t="str" cm="1">
        <f t="array" ref="T423">_xlfn.IFS(S423=1,"Entry Level",S423=2,"Junior",S423=3,"Mid-Level",S423=4,"Senior",S423=5,"Executive")</f>
        <v>Entry Level</v>
      </c>
      <c r="U423" t="s">
        <v>43</v>
      </c>
      <c r="V423">
        <v>2</v>
      </c>
      <c r="W423" t="str" cm="1">
        <f t="array" ref="W423">_xlfn.IFS(V423=1,"Low",V423=2,"Medium",V423=3,"High",V423=4,"Very High")</f>
        <v>Medium</v>
      </c>
      <c r="X423" t="s">
        <v>44</v>
      </c>
      <c r="Y423" s="2">
        <v>2546</v>
      </c>
      <c r="Z423" s="2">
        <v>18300</v>
      </c>
      <c r="AA423">
        <v>5</v>
      </c>
      <c r="AB423" t="s">
        <v>39</v>
      </c>
      <c r="AC423">
        <v>16</v>
      </c>
      <c r="AD423">
        <v>3</v>
      </c>
      <c r="AE423" t="str" cm="1">
        <f t="array" ref="AE423">_xlfn.IFS(AD423=1,"Low",AD423=2,"Good",AD423=3,"Excellent",AD423=4,"Outstanding")</f>
        <v>Excellent</v>
      </c>
      <c r="AF423">
        <v>2</v>
      </c>
      <c r="AG423" t="str" cm="1">
        <f t="array" ref="AG423">_xlfn.IFS(AF423=1,"Low",AF423=2,"Medium",AF423=3,"High",AF423=4,"Very High")</f>
        <v>Medium</v>
      </c>
      <c r="AH423">
        <v>0</v>
      </c>
      <c r="AI423">
        <v>6</v>
      </c>
      <c r="AJ423">
        <v>2</v>
      </c>
      <c r="AK423">
        <v>4</v>
      </c>
      <c r="AL423" t="str" cm="1">
        <f t="array" ref="AL423">_xlfn.IFS(AK423=1,"Low",AK423=2,"Medium",AK423=3,"High",AK423=4,"Very High")</f>
        <v>Very High</v>
      </c>
      <c r="AM423">
        <v>2</v>
      </c>
      <c r="AN423">
        <v>2</v>
      </c>
      <c r="AO423">
        <v>1</v>
      </c>
      <c r="AP423">
        <v>1</v>
      </c>
    </row>
    <row r="424" spans="1:42">
      <c r="A424">
        <v>19</v>
      </c>
      <c r="B424" t="str" cm="1">
        <f t="array" ref="B424">_xlfn.IFS(A424&lt;=25,"18-25",A424&lt;=35,"26-35",A424&lt;=45,"36-45",A424&lt;=55,"46-55",A424&gt;55,"56+")</f>
        <v>18-25</v>
      </c>
      <c r="C424" t="s">
        <v>32</v>
      </c>
      <c r="D424" t="s">
        <v>33</v>
      </c>
      <c r="E424" s="2">
        <v>489</v>
      </c>
      <c r="F424" t="s">
        <v>57</v>
      </c>
      <c r="G424">
        <v>2</v>
      </c>
      <c r="H424" t="str">
        <f t="shared" si="6"/>
        <v>1-10 km</v>
      </c>
      <c r="I424">
        <v>2</v>
      </c>
      <c r="J424" t="str" cm="1">
        <f t="array" ref="J424">_xlfn.IFS(I424=1,"Below College",I424=2,"College",I424=3,"Bachelor",I424=4,"Master",I424=5,"Doctor")</f>
        <v>College</v>
      </c>
      <c r="K424" t="s">
        <v>56</v>
      </c>
      <c r="L424">
        <v>566</v>
      </c>
      <c r="M424">
        <v>1</v>
      </c>
      <c r="N424" t="str" cm="1">
        <f t="array" ref="N424">_xlfn.IFS(M424=1,"Low",M424=2,"Medium",M424=3,"High",M424=4,"Very High")</f>
        <v>Low</v>
      </c>
      <c r="O424" t="s">
        <v>42</v>
      </c>
      <c r="P424" s="2">
        <v>52</v>
      </c>
      <c r="Q424">
        <v>2</v>
      </c>
      <c r="R424" t="str" cm="1">
        <f t="array" ref="R424">_xlfn.IFS(Q424=1,"Low",Q424=2,"Medium",Q424=3,"High",Q424=4,"Very High")</f>
        <v>Medium</v>
      </c>
      <c r="S424">
        <v>1</v>
      </c>
      <c r="T424" t="str" cm="1">
        <f t="array" ref="T424">_xlfn.IFS(S424=1,"Entry Level",S424=2,"Junior",S424=3,"Mid-Level",S424=4,"Senior",S424=5,"Executive")</f>
        <v>Entry Level</v>
      </c>
      <c r="U424" t="s">
        <v>57</v>
      </c>
      <c r="V424">
        <v>4</v>
      </c>
      <c r="W424" t="str" cm="1">
        <f t="array" ref="W424">_xlfn.IFS(V424=1,"Low",V424=2,"Medium",V424=3,"High",V424=4,"Very High")</f>
        <v>Very High</v>
      </c>
      <c r="X424" t="s">
        <v>38</v>
      </c>
      <c r="Y424" s="2">
        <v>2564</v>
      </c>
      <c r="Z424" s="2">
        <v>18437</v>
      </c>
      <c r="AA424">
        <v>1</v>
      </c>
      <c r="AB424" t="s">
        <v>39</v>
      </c>
      <c r="AC424">
        <v>12</v>
      </c>
      <c r="AD424">
        <v>3</v>
      </c>
      <c r="AE424" t="str" cm="1">
        <f t="array" ref="AE424">_xlfn.IFS(AD424=1,"Low",AD424=2,"Good",AD424=3,"Excellent",AD424=4,"Outstanding")</f>
        <v>Excellent</v>
      </c>
      <c r="AF424">
        <v>3</v>
      </c>
      <c r="AG424" t="str" cm="1">
        <f t="array" ref="AG424">_xlfn.IFS(AF424=1,"Low",AF424=2,"Medium",AF424=3,"High",AF424=4,"Very High")</f>
        <v>High</v>
      </c>
      <c r="AH424">
        <v>0</v>
      </c>
      <c r="AI424">
        <v>1</v>
      </c>
      <c r="AJ424">
        <v>3</v>
      </c>
      <c r="AK424">
        <v>4</v>
      </c>
      <c r="AL424" t="str" cm="1">
        <f t="array" ref="AL424">_xlfn.IFS(AK424=1,"Low",AK424=2,"Medium",AK424=3,"High",AK424=4,"Very High")</f>
        <v>Very High</v>
      </c>
      <c r="AM424">
        <v>1</v>
      </c>
      <c r="AN424">
        <v>0</v>
      </c>
      <c r="AO424">
        <v>0</v>
      </c>
      <c r="AP424">
        <v>0</v>
      </c>
    </row>
    <row r="425" spans="1:42">
      <c r="A425">
        <v>30</v>
      </c>
      <c r="B425" t="str" cm="1">
        <f t="array" ref="B425">_xlfn.IFS(A425&lt;=25,"18-25",A425&lt;=35,"26-35",A425&lt;=45,"36-45",A425&lt;=55,"46-55",A425&gt;55,"56+")</f>
        <v>26-35</v>
      </c>
      <c r="C425" t="s">
        <v>39</v>
      </c>
      <c r="D425" t="s">
        <v>51</v>
      </c>
      <c r="E425" s="2">
        <v>1398</v>
      </c>
      <c r="F425" t="s">
        <v>34</v>
      </c>
      <c r="G425">
        <v>22</v>
      </c>
      <c r="H425" t="str">
        <f t="shared" si="6"/>
        <v>21-30 km</v>
      </c>
      <c r="I425">
        <v>4</v>
      </c>
      <c r="J425" t="str" cm="1">
        <f t="array" ref="J425">_xlfn.IFS(I425=1,"Below College",I425=2,"College",I425=3,"Bachelor",I425=4,"Master",I425=5,"Doctor")</f>
        <v>Master</v>
      </c>
      <c r="K425" t="s">
        <v>45</v>
      </c>
      <c r="L425">
        <v>567</v>
      </c>
      <c r="M425">
        <v>3</v>
      </c>
      <c r="N425" t="str" cm="1">
        <f t="array" ref="N425">_xlfn.IFS(M425=1,"Low",M425=2,"Medium",M425=3,"High",M425=4,"Very High")</f>
        <v>High</v>
      </c>
      <c r="O425" t="s">
        <v>36</v>
      </c>
      <c r="P425" s="2">
        <v>69</v>
      </c>
      <c r="Q425">
        <v>3</v>
      </c>
      <c r="R425" t="str" cm="1">
        <f t="array" ref="R425">_xlfn.IFS(Q425=1,"Low",Q425=2,"Medium",Q425=3,"High",Q425=4,"Very High")</f>
        <v>High</v>
      </c>
      <c r="S425">
        <v>3</v>
      </c>
      <c r="T425" t="str" cm="1">
        <f t="array" ref="T425">_xlfn.IFS(S425=1,"Entry Level",S425=2,"Junior",S425=3,"Mid-Level",S425=4,"Senior",S425=5,"Executive")</f>
        <v>Mid-Level</v>
      </c>
      <c r="U425" t="s">
        <v>37</v>
      </c>
      <c r="V425">
        <v>1</v>
      </c>
      <c r="W425" t="str" cm="1">
        <f t="array" ref="W425">_xlfn.IFS(V425=1,"Low",V425=2,"Medium",V425=3,"High",V425=4,"Very High")</f>
        <v>Low</v>
      </c>
      <c r="X425" t="s">
        <v>44</v>
      </c>
      <c r="Y425" s="2">
        <v>8412</v>
      </c>
      <c r="Z425" s="2">
        <v>2890</v>
      </c>
      <c r="AA425">
        <v>0</v>
      </c>
      <c r="AB425" t="s">
        <v>39</v>
      </c>
      <c r="AC425">
        <v>11</v>
      </c>
      <c r="AD425">
        <v>3</v>
      </c>
      <c r="AE425" t="str" cm="1">
        <f t="array" ref="AE425">_xlfn.IFS(AD425=1,"Low",AD425=2,"Good",AD425=3,"Excellent",AD425=4,"Outstanding")</f>
        <v>Excellent</v>
      </c>
      <c r="AF425">
        <v>3</v>
      </c>
      <c r="AG425" t="str" cm="1">
        <f t="array" ref="AG425">_xlfn.IFS(AF425=1,"Low",AF425=2,"Medium",AF425=3,"High",AF425=4,"Very High")</f>
        <v>High</v>
      </c>
      <c r="AH425">
        <v>0</v>
      </c>
      <c r="AI425">
        <v>10</v>
      </c>
      <c r="AJ425">
        <v>3</v>
      </c>
      <c r="AK425">
        <v>3</v>
      </c>
      <c r="AL425" t="str" cm="1">
        <f t="array" ref="AL425">_xlfn.IFS(AK425=1,"Low",AK425=2,"Medium",AK425=3,"High",AK425=4,"Very High")</f>
        <v>High</v>
      </c>
      <c r="AM425">
        <v>9</v>
      </c>
      <c r="AN425">
        <v>8</v>
      </c>
      <c r="AO425">
        <v>7</v>
      </c>
      <c r="AP425">
        <v>8</v>
      </c>
    </row>
    <row r="426" spans="1:42">
      <c r="A426">
        <v>57</v>
      </c>
      <c r="B426" t="str" cm="1">
        <f t="array" ref="B426">_xlfn.IFS(A426&lt;=25,"18-25",A426&lt;=35,"26-35",A426&lt;=45,"36-45",A426&lt;=55,"46-55",A426&gt;55,"56+")</f>
        <v>56+</v>
      </c>
      <c r="C426" t="s">
        <v>39</v>
      </c>
      <c r="D426" t="s">
        <v>33</v>
      </c>
      <c r="E426" s="2">
        <v>210</v>
      </c>
      <c r="F426" t="s">
        <v>34</v>
      </c>
      <c r="G426">
        <v>29</v>
      </c>
      <c r="H426" t="str">
        <f t="shared" si="6"/>
        <v>21-30 km</v>
      </c>
      <c r="I426">
        <v>3</v>
      </c>
      <c r="J426" t="str" cm="1">
        <f t="array" ref="J426">_xlfn.IFS(I426=1,"Below College",I426=2,"College",I426=3,"Bachelor",I426=4,"Master",I426=5,"Doctor")</f>
        <v>Bachelor</v>
      </c>
      <c r="K426" t="s">
        <v>55</v>
      </c>
      <c r="L426">
        <v>568</v>
      </c>
      <c r="M426">
        <v>1</v>
      </c>
      <c r="N426" t="str" cm="1">
        <f t="array" ref="N426">_xlfn.IFS(M426=1,"Low",M426=2,"Medium",M426=3,"High",M426=4,"Very High")</f>
        <v>Low</v>
      </c>
      <c r="O426" t="s">
        <v>42</v>
      </c>
      <c r="P426" s="2">
        <v>56</v>
      </c>
      <c r="Q426">
        <v>2</v>
      </c>
      <c r="R426" t="str" cm="1">
        <f t="array" ref="R426">_xlfn.IFS(Q426=1,"Low",Q426=2,"Medium",Q426=3,"High",Q426=4,"Very High")</f>
        <v>Medium</v>
      </c>
      <c r="S426">
        <v>4</v>
      </c>
      <c r="T426" t="str" cm="1">
        <f t="array" ref="T426">_xlfn.IFS(S426=1,"Entry Level",S426=2,"Junior",S426=3,"Mid-Level",S426=4,"Senior",S426=5,"Executive")</f>
        <v>Senior</v>
      </c>
      <c r="U426" t="s">
        <v>52</v>
      </c>
      <c r="V426">
        <v>4</v>
      </c>
      <c r="W426" t="str" cm="1">
        <f t="array" ref="W426">_xlfn.IFS(V426=1,"Low",V426=2,"Medium",V426=3,"High",V426=4,"Very High")</f>
        <v>Very High</v>
      </c>
      <c r="X426" t="s">
        <v>48</v>
      </c>
      <c r="Y426" s="2">
        <v>14118</v>
      </c>
      <c r="Z426" s="2">
        <v>22102</v>
      </c>
      <c r="AA426">
        <v>3</v>
      </c>
      <c r="AB426" t="s">
        <v>39</v>
      </c>
      <c r="AC426">
        <v>12</v>
      </c>
      <c r="AD426">
        <v>3</v>
      </c>
      <c r="AE426" t="str" cm="1">
        <f t="array" ref="AE426">_xlfn.IFS(AD426=1,"Low",AD426=2,"Good",AD426=3,"Excellent",AD426=4,"Outstanding")</f>
        <v>Excellent</v>
      </c>
      <c r="AF426">
        <v>3</v>
      </c>
      <c r="AG426" t="str" cm="1">
        <f t="array" ref="AG426">_xlfn.IFS(AF426=1,"Low",AF426=2,"Medium",AF426=3,"High",AF426=4,"Very High")</f>
        <v>High</v>
      </c>
      <c r="AH426">
        <v>1</v>
      </c>
      <c r="AI426">
        <v>32</v>
      </c>
      <c r="AJ426">
        <v>3</v>
      </c>
      <c r="AK426">
        <v>2</v>
      </c>
      <c r="AL426" t="str" cm="1">
        <f t="array" ref="AL426">_xlfn.IFS(AK426=1,"Low",AK426=2,"Medium",AK426=3,"High",AK426=4,"Very High")</f>
        <v>Medium</v>
      </c>
      <c r="AM426">
        <v>1</v>
      </c>
      <c r="AN426">
        <v>0</v>
      </c>
      <c r="AO426">
        <v>0</v>
      </c>
      <c r="AP426">
        <v>0</v>
      </c>
    </row>
    <row r="427" spans="1:42">
      <c r="A427">
        <v>50</v>
      </c>
      <c r="B427" t="str" cm="1">
        <f t="array" ref="B427">_xlfn.IFS(A427&lt;=25,"18-25",A427&lt;=35,"26-35",A427&lt;=45,"36-45",A427&lt;=55,"46-55",A427&gt;55,"56+")</f>
        <v>46-55</v>
      </c>
      <c r="C427" t="s">
        <v>39</v>
      </c>
      <c r="D427" t="s">
        <v>33</v>
      </c>
      <c r="E427" s="2">
        <v>1099</v>
      </c>
      <c r="F427" t="s">
        <v>41</v>
      </c>
      <c r="G427">
        <v>29</v>
      </c>
      <c r="H427" t="str">
        <f t="shared" si="6"/>
        <v>21-30 km</v>
      </c>
      <c r="I427">
        <v>4</v>
      </c>
      <c r="J427" t="str" cm="1">
        <f t="array" ref="J427">_xlfn.IFS(I427=1,"Below College",I427=2,"College",I427=3,"Bachelor",I427=4,"Master",I427=5,"Doctor")</f>
        <v>Master</v>
      </c>
      <c r="K427" t="s">
        <v>35</v>
      </c>
      <c r="L427">
        <v>569</v>
      </c>
      <c r="M427">
        <v>2</v>
      </c>
      <c r="N427" t="str" cm="1">
        <f t="array" ref="N427">_xlfn.IFS(M427=1,"Low",M427=2,"Medium",M427=3,"High",M427=4,"Very High")</f>
        <v>Medium</v>
      </c>
      <c r="O427" t="s">
        <v>42</v>
      </c>
      <c r="P427" s="2">
        <v>88</v>
      </c>
      <c r="Q427">
        <v>2</v>
      </c>
      <c r="R427" t="str" cm="1">
        <f t="array" ref="R427">_xlfn.IFS(Q427=1,"Low",Q427=2,"Medium",Q427=3,"High",Q427=4,"Very High")</f>
        <v>Medium</v>
      </c>
      <c r="S427">
        <v>4</v>
      </c>
      <c r="T427" t="str" cm="1">
        <f t="array" ref="T427">_xlfn.IFS(S427=1,"Entry Level",S427=2,"Junior",S427=3,"Mid-Level",S427=4,"Senior",S427=5,"Executive")</f>
        <v>Senior</v>
      </c>
      <c r="U427" t="s">
        <v>52</v>
      </c>
      <c r="V427">
        <v>3</v>
      </c>
      <c r="W427" t="str" cm="1">
        <f t="array" ref="W427">_xlfn.IFS(V427=1,"Low",V427=2,"Medium",V427=3,"High",V427=4,"Very High")</f>
        <v>High</v>
      </c>
      <c r="X427" t="s">
        <v>44</v>
      </c>
      <c r="Y427" s="2">
        <v>17046</v>
      </c>
      <c r="Z427" s="2">
        <v>9314</v>
      </c>
      <c r="AA427">
        <v>0</v>
      </c>
      <c r="AB427" t="s">
        <v>39</v>
      </c>
      <c r="AC427">
        <v>15</v>
      </c>
      <c r="AD427">
        <v>3</v>
      </c>
      <c r="AE427" t="str" cm="1">
        <f t="array" ref="AE427">_xlfn.IFS(AD427=1,"Low",AD427=2,"Good",AD427=3,"Excellent",AD427=4,"Outstanding")</f>
        <v>Excellent</v>
      </c>
      <c r="AF427">
        <v>2</v>
      </c>
      <c r="AG427" t="str" cm="1">
        <f t="array" ref="AG427">_xlfn.IFS(AF427=1,"Low",AF427=2,"Medium",AF427=3,"High",AF427=4,"Very High")</f>
        <v>Medium</v>
      </c>
      <c r="AH427">
        <v>1</v>
      </c>
      <c r="AI427">
        <v>28</v>
      </c>
      <c r="AJ427">
        <v>2</v>
      </c>
      <c r="AK427">
        <v>3</v>
      </c>
      <c r="AL427" t="str" cm="1">
        <f t="array" ref="AL427">_xlfn.IFS(AK427=1,"Low",AK427=2,"Medium",AK427=3,"High",AK427=4,"Very High")</f>
        <v>High</v>
      </c>
      <c r="AM427">
        <v>27</v>
      </c>
      <c r="AN427">
        <v>10</v>
      </c>
      <c r="AO427">
        <v>15</v>
      </c>
      <c r="AP427">
        <v>7</v>
      </c>
    </row>
    <row r="428" spans="1:42">
      <c r="A428">
        <v>30</v>
      </c>
      <c r="B428" t="str" cm="1">
        <f t="array" ref="B428">_xlfn.IFS(A428&lt;=25,"18-25",A428&lt;=35,"26-35",A428&lt;=45,"36-45",A428&lt;=55,"46-55",A428&gt;55,"56+")</f>
        <v>26-35</v>
      </c>
      <c r="C428" t="s">
        <v>39</v>
      </c>
      <c r="D428" t="s">
        <v>51</v>
      </c>
      <c r="E428" s="2">
        <v>1116</v>
      </c>
      <c r="F428" t="s">
        <v>41</v>
      </c>
      <c r="G428">
        <v>2</v>
      </c>
      <c r="H428" t="str">
        <f t="shared" si="6"/>
        <v>1-10 km</v>
      </c>
      <c r="I428">
        <v>3</v>
      </c>
      <c r="J428" t="str" cm="1">
        <f t="array" ref="J428">_xlfn.IFS(I428=1,"Below College",I428=2,"College",I428=3,"Bachelor",I428=4,"Master",I428=5,"Doctor")</f>
        <v>Bachelor</v>
      </c>
      <c r="K428" t="s">
        <v>47</v>
      </c>
      <c r="L428">
        <v>571</v>
      </c>
      <c r="M428">
        <v>3</v>
      </c>
      <c r="N428" t="str" cm="1">
        <f t="array" ref="N428">_xlfn.IFS(M428=1,"Low",M428=2,"Medium",M428=3,"High",M428=4,"Very High")</f>
        <v>High</v>
      </c>
      <c r="O428" t="s">
        <v>36</v>
      </c>
      <c r="P428" s="2">
        <v>49</v>
      </c>
      <c r="Q428">
        <v>3</v>
      </c>
      <c r="R428" t="str" cm="1">
        <f t="array" ref="R428">_xlfn.IFS(Q428=1,"Low",Q428=2,"Medium",Q428=3,"High",Q428=4,"Very High")</f>
        <v>High</v>
      </c>
      <c r="S428">
        <v>1</v>
      </c>
      <c r="T428" t="str" cm="1">
        <f t="array" ref="T428">_xlfn.IFS(S428=1,"Entry Level",S428=2,"Junior",S428=3,"Mid-Level",S428=4,"Senior",S428=5,"Executive")</f>
        <v>Entry Level</v>
      </c>
      <c r="U428" t="s">
        <v>46</v>
      </c>
      <c r="V428">
        <v>4</v>
      </c>
      <c r="W428" t="str" cm="1">
        <f t="array" ref="W428">_xlfn.IFS(V428=1,"Low",V428=2,"Medium",V428=3,"High",V428=4,"Very High")</f>
        <v>Very High</v>
      </c>
      <c r="X428" t="s">
        <v>38</v>
      </c>
      <c r="Y428" s="2">
        <v>2564</v>
      </c>
      <c r="Z428" s="2">
        <v>7181</v>
      </c>
      <c r="AA428">
        <v>0</v>
      </c>
      <c r="AB428" t="s">
        <v>39</v>
      </c>
      <c r="AC428">
        <v>14</v>
      </c>
      <c r="AD428">
        <v>3</v>
      </c>
      <c r="AE428" t="str" cm="1">
        <f t="array" ref="AE428">_xlfn.IFS(AD428=1,"Low",AD428=2,"Good",AD428=3,"Excellent",AD428=4,"Outstanding")</f>
        <v>Excellent</v>
      </c>
      <c r="AF428">
        <v>3</v>
      </c>
      <c r="AG428" t="str" cm="1">
        <f t="array" ref="AG428">_xlfn.IFS(AF428=1,"Low",AF428=2,"Medium",AF428=3,"High",AF428=4,"Very High")</f>
        <v>High</v>
      </c>
      <c r="AH428">
        <v>0</v>
      </c>
      <c r="AI428">
        <v>12</v>
      </c>
      <c r="AJ428">
        <v>2</v>
      </c>
      <c r="AK428">
        <v>2</v>
      </c>
      <c r="AL428" t="str" cm="1">
        <f t="array" ref="AL428">_xlfn.IFS(AK428=1,"Low",AK428=2,"Medium",AK428=3,"High",AK428=4,"Very High")</f>
        <v>Medium</v>
      </c>
      <c r="AM428">
        <v>11</v>
      </c>
      <c r="AN428">
        <v>7</v>
      </c>
      <c r="AO428">
        <v>6</v>
      </c>
      <c r="AP428">
        <v>7</v>
      </c>
    </row>
    <row r="429" spans="1:42">
      <c r="A429">
        <v>60</v>
      </c>
      <c r="B429" t="str" cm="1">
        <f t="array" ref="B429">_xlfn.IFS(A429&lt;=25,"18-25",A429&lt;=35,"26-35",A429&lt;=45,"36-45",A429&lt;=55,"46-55",A429&gt;55,"56+")</f>
        <v>56+</v>
      </c>
      <c r="C429" t="s">
        <v>39</v>
      </c>
      <c r="D429" t="s">
        <v>40</v>
      </c>
      <c r="E429" s="2">
        <v>1499</v>
      </c>
      <c r="F429" t="s">
        <v>34</v>
      </c>
      <c r="G429">
        <v>28</v>
      </c>
      <c r="H429" t="str">
        <f t="shared" si="6"/>
        <v>21-30 km</v>
      </c>
      <c r="I429">
        <v>3</v>
      </c>
      <c r="J429" t="str" cm="1">
        <f t="array" ref="J429">_xlfn.IFS(I429=1,"Below College",I429=2,"College",I429=3,"Bachelor",I429=4,"Master",I429=5,"Doctor")</f>
        <v>Bachelor</v>
      </c>
      <c r="K429" t="s">
        <v>55</v>
      </c>
      <c r="L429">
        <v>573</v>
      </c>
      <c r="M429">
        <v>3</v>
      </c>
      <c r="N429" t="str" cm="1">
        <f t="array" ref="N429">_xlfn.IFS(M429=1,"Low",M429=2,"Medium",M429=3,"High",M429=4,"Very High")</f>
        <v>High</v>
      </c>
      <c r="O429" t="s">
        <v>36</v>
      </c>
      <c r="P429" s="2">
        <v>80</v>
      </c>
      <c r="Q429">
        <v>2</v>
      </c>
      <c r="R429" t="str" cm="1">
        <f t="array" ref="R429">_xlfn.IFS(Q429=1,"Low",Q429=2,"Medium",Q429=3,"High",Q429=4,"Very High")</f>
        <v>Medium</v>
      </c>
      <c r="S429">
        <v>3</v>
      </c>
      <c r="T429" t="str" cm="1">
        <f t="array" ref="T429">_xlfn.IFS(S429=1,"Entry Level",S429=2,"Junior",S429=3,"Mid-Level",S429=4,"Senior",S429=5,"Executive")</f>
        <v>Mid-Level</v>
      </c>
      <c r="U429" t="s">
        <v>37</v>
      </c>
      <c r="V429">
        <v>1</v>
      </c>
      <c r="W429" t="str" cm="1">
        <f t="array" ref="W429">_xlfn.IFS(V429=1,"Low",V429=2,"Medium",V429=3,"High",V429=4,"Very High")</f>
        <v>Low</v>
      </c>
      <c r="X429" t="s">
        <v>44</v>
      </c>
      <c r="Y429" s="2">
        <v>10266</v>
      </c>
      <c r="Z429" s="2">
        <v>2845</v>
      </c>
      <c r="AA429">
        <v>4</v>
      </c>
      <c r="AB429" t="s">
        <v>39</v>
      </c>
      <c r="AC429">
        <v>19</v>
      </c>
      <c r="AD429">
        <v>3</v>
      </c>
      <c r="AE429" t="str" cm="1">
        <f t="array" ref="AE429">_xlfn.IFS(AD429=1,"Low",AD429=2,"Good",AD429=3,"Excellent",AD429=4,"Outstanding")</f>
        <v>Excellent</v>
      </c>
      <c r="AF429">
        <v>4</v>
      </c>
      <c r="AG429" t="str" cm="1">
        <f t="array" ref="AG429">_xlfn.IFS(AF429=1,"Low",AF429=2,"Medium",AF429=3,"High",AF429=4,"Very High")</f>
        <v>Very High</v>
      </c>
      <c r="AH429">
        <v>0</v>
      </c>
      <c r="AI429">
        <v>22</v>
      </c>
      <c r="AJ429">
        <v>5</v>
      </c>
      <c r="AK429">
        <v>4</v>
      </c>
      <c r="AL429" t="str" cm="1">
        <f t="array" ref="AL429">_xlfn.IFS(AK429=1,"Low",AK429=2,"Medium",AK429=3,"High",AK429=4,"Very High")</f>
        <v>Very High</v>
      </c>
      <c r="AM429">
        <v>18</v>
      </c>
      <c r="AN429">
        <v>13</v>
      </c>
      <c r="AO429">
        <v>13</v>
      </c>
      <c r="AP429">
        <v>11</v>
      </c>
    </row>
    <row r="430" spans="1:42">
      <c r="A430">
        <v>47</v>
      </c>
      <c r="B430" t="str" cm="1">
        <f t="array" ref="B430">_xlfn.IFS(A430&lt;=25,"18-25",A430&lt;=35,"26-35",A430&lt;=45,"36-45",A430&lt;=55,"46-55",A430&gt;55,"56+")</f>
        <v>46-55</v>
      </c>
      <c r="C430" t="s">
        <v>39</v>
      </c>
      <c r="D430" t="s">
        <v>33</v>
      </c>
      <c r="E430" s="2">
        <v>983</v>
      </c>
      <c r="F430" t="s">
        <v>41</v>
      </c>
      <c r="G430">
        <v>2</v>
      </c>
      <c r="H430" t="str">
        <f t="shared" si="6"/>
        <v>1-10 km</v>
      </c>
      <c r="I430">
        <v>2</v>
      </c>
      <c r="J430" t="str" cm="1">
        <f t="array" ref="J430">_xlfn.IFS(I430=1,"Below College",I430=2,"College",I430=3,"Bachelor",I430=4,"Master",I430=5,"Doctor")</f>
        <v>College</v>
      </c>
      <c r="K430" t="s">
        <v>47</v>
      </c>
      <c r="L430">
        <v>574</v>
      </c>
      <c r="M430">
        <v>1</v>
      </c>
      <c r="N430" t="str" cm="1">
        <f t="array" ref="N430">_xlfn.IFS(M430=1,"Low",M430=2,"Medium",M430=3,"High",M430=4,"Very High")</f>
        <v>Low</v>
      </c>
      <c r="O430" t="s">
        <v>36</v>
      </c>
      <c r="P430" s="2">
        <v>65</v>
      </c>
      <c r="Q430">
        <v>3</v>
      </c>
      <c r="R430" t="str" cm="1">
        <f t="array" ref="R430">_xlfn.IFS(Q430=1,"Low",Q430=2,"Medium",Q430=3,"High",Q430=4,"Very High")</f>
        <v>High</v>
      </c>
      <c r="S430">
        <v>2</v>
      </c>
      <c r="T430" t="str" cm="1">
        <f t="array" ref="T430">_xlfn.IFS(S430=1,"Entry Level",S430=2,"Junior",S430=3,"Mid-Level",S430=4,"Senior",S430=5,"Executive")</f>
        <v>Junior</v>
      </c>
      <c r="U430" t="s">
        <v>49</v>
      </c>
      <c r="V430">
        <v>4</v>
      </c>
      <c r="W430" t="str" cm="1">
        <f t="array" ref="W430">_xlfn.IFS(V430=1,"Low",V430=2,"Medium",V430=3,"High",V430=4,"Very High")</f>
        <v>Very High</v>
      </c>
      <c r="X430" t="s">
        <v>48</v>
      </c>
      <c r="Y430" s="2">
        <v>5070</v>
      </c>
      <c r="Z430" s="2">
        <v>7389</v>
      </c>
      <c r="AA430">
        <v>5</v>
      </c>
      <c r="AB430" t="s">
        <v>39</v>
      </c>
      <c r="AC430">
        <v>13</v>
      </c>
      <c r="AD430">
        <v>3</v>
      </c>
      <c r="AE430" t="str" cm="1">
        <f t="array" ref="AE430">_xlfn.IFS(AD430=1,"Low",AD430=2,"Good",AD430=3,"Excellent",AD430=4,"Outstanding")</f>
        <v>Excellent</v>
      </c>
      <c r="AF430">
        <v>3</v>
      </c>
      <c r="AG430" t="str" cm="1">
        <f t="array" ref="AG430">_xlfn.IFS(AF430=1,"Low",AF430=2,"Medium",AF430=3,"High",AF430=4,"Very High")</f>
        <v>High</v>
      </c>
      <c r="AH430">
        <v>3</v>
      </c>
      <c r="AI430">
        <v>20</v>
      </c>
      <c r="AJ430">
        <v>2</v>
      </c>
      <c r="AK430">
        <v>3</v>
      </c>
      <c r="AL430" t="str" cm="1">
        <f t="array" ref="AL430">_xlfn.IFS(AK430=1,"Low",AK430=2,"Medium",AK430=3,"High",AK430=4,"Very High")</f>
        <v>High</v>
      </c>
      <c r="AM430">
        <v>5</v>
      </c>
      <c r="AN430">
        <v>0</v>
      </c>
      <c r="AO430">
        <v>0</v>
      </c>
      <c r="AP430">
        <v>4</v>
      </c>
    </row>
    <row r="431" spans="1:42">
      <c r="A431">
        <v>46</v>
      </c>
      <c r="B431" t="str" cm="1">
        <f t="array" ref="B431">_xlfn.IFS(A431&lt;=25,"18-25",A431&lt;=35,"26-35",A431&lt;=45,"36-45",A431&lt;=55,"46-55",A431&gt;55,"56+")</f>
        <v>46-55</v>
      </c>
      <c r="C431" t="s">
        <v>39</v>
      </c>
      <c r="D431" t="s">
        <v>33</v>
      </c>
      <c r="E431" s="2">
        <v>1009</v>
      </c>
      <c r="F431" t="s">
        <v>41</v>
      </c>
      <c r="G431">
        <v>2</v>
      </c>
      <c r="H431" t="str">
        <f t="shared" si="6"/>
        <v>1-10 km</v>
      </c>
      <c r="I431">
        <v>3</v>
      </c>
      <c r="J431" t="str" cm="1">
        <f t="array" ref="J431">_xlfn.IFS(I431=1,"Below College",I431=2,"College",I431=3,"Bachelor",I431=4,"Master",I431=5,"Doctor")</f>
        <v>Bachelor</v>
      </c>
      <c r="K431" t="s">
        <v>35</v>
      </c>
      <c r="L431">
        <v>575</v>
      </c>
      <c r="M431">
        <v>1</v>
      </c>
      <c r="N431" t="str" cm="1">
        <f t="array" ref="N431">_xlfn.IFS(M431=1,"Low",M431=2,"Medium",M431=3,"High",M431=4,"Very High")</f>
        <v>Low</v>
      </c>
      <c r="O431" t="s">
        <v>42</v>
      </c>
      <c r="P431" s="2">
        <v>51</v>
      </c>
      <c r="Q431">
        <v>3</v>
      </c>
      <c r="R431" t="str" cm="1">
        <f t="array" ref="R431">_xlfn.IFS(Q431=1,"Low",Q431=2,"Medium",Q431=3,"High",Q431=4,"Very High")</f>
        <v>High</v>
      </c>
      <c r="S431">
        <v>4</v>
      </c>
      <c r="T431" t="str" cm="1">
        <f t="array" ref="T431">_xlfn.IFS(S431=1,"Entry Level",S431=2,"Junior",S431=3,"Mid-Level",S431=4,"Senior",S431=5,"Executive")</f>
        <v>Senior</v>
      </c>
      <c r="U431" t="s">
        <v>54</v>
      </c>
      <c r="V431">
        <v>3</v>
      </c>
      <c r="W431" t="str" cm="1">
        <f t="array" ref="W431">_xlfn.IFS(V431=1,"Low",V431=2,"Medium",V431=3,"High",V431=4,"Very High")</f>
        <v>High</v>
      </c>
      <c r="X431" t="s">
        <v>44</v>
      </c>
      <c r="Y431" s="2">
        <v>17861</v>
      </c>
      <c r="Z431" s="2">
        <v>2288</v>
      </c>
      <c r="AA431">
        <v>6</v>
      </c>
      <c r="AB431" t="s">
        <v>39</v>
      </c>
      <c r="AC431">
        <v>13</v>
      </c>
      <c r="AD431">
        <v>3</v>
      </c>
      <c r="AE431" t="str" cm="1">
        <f t="array" ref="AE431">_xlfn.IFS(AD431=1,"Low",AD431=2,"Good",AD431=3,"Excellent",AD431=4,"Outstanding")</f>
        <v>Excellent</v>
      </c>
      <c r="AF431">
        <v>3</v>
      </c>
      <c r="AG431" t="str" cm="1">
        <f t="array" ref="AG431">_xlfn.IFS(AF431=1,"Low",AF431=2,"Medium",AF431=3,"High",AF431=4,"Very High")</f>
        <v>High</v>
      </c>
      <c r="AH431">
        <v>0</v>
      </c>
      <c r="AI431">
        <v>26</v>
      </c>
      <c r="AJ431">
        <v>2</v>
      </c>
      <c r="AK431">
        <v>1</v>
      </c>
      <c r="AL431" t="str" cm="1">
        <f t="array" ref="AL431">_xlfn.IFS(AK431=1,"Low",AK431=2,"Medium",AK431=3,"High",AK431=4,"Very High")</f>
        <v>Low</v>
      </c>
      <c r="AM431">
        <v>3</v>
      </c>
      <c r="AN431">
        <v>2</v>
      </c>
      <c r="AO431">
        <v>0</v>
      </c>
      <c r="AP431">
        <v>1</v>
      </c>
    </row>
    <row r="432" spans="1:42">
      <c r="A432">
        <v>35</v>
      </c>
      <c r="B432" t="str" cm="1">
        <f t="array" ref="B432">_xlfn.IFS(A432&lt;=25,"18-25",A432&lt;=35,"26-35",A432&lt;=45,"36-45",A432&lt;=55,"46-55",A432&gt;55,"56+")</f>
        <v>26-35</v>
      </c>
      <c r="C432" t="s">
        <v>39</v>
      </c>
      <c r="D432" t="s">
        <v>33</v>
      </c>
      <c r="E432" s="2">
        <v>144</v>
      </c>
      <c r="F432" t="s">
        <v>41</v>
      </c>
      <c r="G432">
        <v>22</v>
      </c>
      <c r="H432" t="str">
        <f t="shared" si="6"/>
        <v>21-30 km</v>
      </c>
      <c r="I432">
        <v>3</v>
      </c>
      <c r="J432" t="str" cm="1">
        <f t="array" ref="J432">_xlfn.IFS(I432=1,"Below College",I432=2,"College",I432=3,"Bachelor",I432=4,"Master",I432=5,"Doctor")</f>
        <v>Bachelor</v>
      </c>
      <c r="K432" t="s">
        <v>35</v>
      </c>
      <c r="L432">
        <v>577</v>
      </c>
      <c r="M432">
        <v>4</v>
      </c>
      <c r="N432" t="str" cm="1">
        <f t="array" ref="N432">_xlfn.IFS(M432=1,"Low",M432=2,"Medium",M432=3,"High",M432=4,"Very High")</f>
        <v>Very High</v>
      </c>
      <c r="O432" t="s">
        <v>42</v>
      </c>
      <c r="P432" s="2">
        <v>46</v>
      </c>
      <c r="Q432">
        <v>1</v>
      </c>
      <c r="R432" t="str" cm="1">
        <f t="array" ref="R432">_xlfn.IFS(Q432=1,"Low",Q432=2,"Medium",Q432=3,"High",Q432=4,"Very High")</f>
        <v>Low</v>
      </c>
      <c r="S432">
        <v>1</v>
      </c>
      <c r="T432" t="str" cm="1">
        <f t="array" ref="T432">_xlfn.IFS(S432=1,"Entry Level",S432=2,"Junior",S432=3,"Mid-Level",S432=4,"Senior",S432=5,"Executive")</f>
        <v>Entry Level</v>
      </c>
      <c r="U432" t="s">
        <v>46</v>
      </c>
      <c r="V432">
        <v>3</v>
      </c>
      <c r="W432" t="str" cm="1">
        <f t="array" ref="W432">_xlfn.IFS(V432=1,"Low",V432=2,"Medium",V432=3,"High",V432=4,"Very High")</f>
        <v>High</v>
      </c>
      <c r="X432" t="s">
        <v>38</v>
      </c>
      <c r="Y432" s="2">
        <v>4230</v>
      </c>
      <c r="Z432" s="2">
        <v>19225</v>
      </c>
      <c r="AA432">
        <v>0</v>
      </c>
      <c r="AB432" t="s">
        <v>39</v>
      </c>
      <c r="AC432">
        <v>15</v>
      </c>
      <c r="AD432">
        <v>3</v>
      </c>
      <c r="AE432" t="str" cm="1">
        <f t="array" ref="AE432">_xlfn.IFS(AD432=1,"Low",AD432=2,"Good",AD432=3,"Excellent",AD432=4,"Outstanding")</f>
        <v>Excellent</v>
      </c>
      <c r="AF432">
        <v>3</v>
      </c>
      <c r="AG432" t="str" cm="1">
        <f t="array" ref="AG432">_xlfn.IFS(AF432=1,"Low",AF432=2,"Medium",AF432=3,"High",AF432=4,"Very High")</f>
        <v>High</v>
      </c>
      <c r="AH432">
        <v>0</v>
      </c>
      <c r="AI432">
        <v>6</v>
      </c>
      <c r="AJ432">
        <v>2</v>
      </c>
      <c r="AK432">
        <v>3</v>
      </c>
      <c r="AL432" t="str" cm="1">
        <f t="array" ref="AL432">_xlfn.IFS(AK432=1,"Low",AK432=2,"Medium",AK432=3,"High",AK432=4,"Very High")</f>
        <v>High</v>
      </c>
      <c r="AM432">
        <v>5</v>
      </c>
      <c r="AN432">
        <v>4</v>
      </c>
      <c r="AO432">
        <v>4</v>
      </c>
      <c r="AP432">
        <v>3</v>
      </c>
    </row>
    <row r="433" spans="1:42">
      <c r="A433">
        <v>54</v>
      </c>
      <c r="B433" t="str" cm="1">
        <f t="array" ref="B433">_xlfn.IFS(A433&lt;=25,"18-25",A433&lt;=35,"26-35",A433&lt;=45,"36-45",A433&lt;=55,"46-55",A433&gt;55,"56+")</f>
        <v>46-55</v>
      </c>
      <c r="C433" t="s">
        <v>39</v>
      </c>
      <c r="D433" t="s">
        <v>33</v>
      </c>
      <c r="E433" s="2">
        <v>548</v>
      </c>
      <c r="F433" t="s">
        <v>41</v>
      </c>
      <c r="G433">
        <v>8</v>
      </c>
      <c r="H433" t="str">
        <f t="shared" si="6"/>
        <v>1-10 km</v>
      </c>
      <c r="I433">
        <v>4</v>
      </c>
      <c r="J433" t="str" cm="1">
        <f t="array" ref="J433">_xlfn.IFS(I433=1,"Below College",I433=2,"College",I433=3,"Bachelor",I433=4,"Master",I433=5,"Doctor")</f>
        <v>Master</v>
      </c>
      <c r="K433" t="s">
        <v>35</v>
      </c>
      <c r="L433">
        <v>578</v>
      </c>
      <c r="M433">
        <v>3</v>
      </c>
      <c r="N433" t="str" cm="1">
        <f t="array" ref="N433">_xlfn.IFS(M433=1,"Low",M433=2,"Medium",M433=3,"High",M433=4,"Very High")</f>
        <v>High</v>
      </c>
      <c r="O433" t="s">
        <v>36</v>
      </c>
      <c r="P433" s="2">
        <v>42</v>
      </c>
      <c r="Q433">
        <v>3</v>
      </c>
      <c r="R433" t="str" cm="1">
        <f t="array" ref="R433">_xlfn.IFS(Q433=1,"Low",Q433=2,"Medium",Q433=3,"High",Q433=4,"Very High")</f>
        <v>High</v>
      </c>
      <c r="S433">
        <v>2</v>
      </c>
      <c r="T433" t="str" cm="1">
        <f t="array" ref="T433">_xlfn.IFS(S433=1,"Entry Level",S433=2,"Junior",S433=3,"Mid-Level",S433=4,"Senior",S433=5,"Executive")</f>
        <v>Junior</v>
      </c>
      <c r="U433" t="s">
        <v>46</v>
      </c>
      <c r="V433">
        <v>3</v>
      </c>
      <c r="W433" t="str" cm="1">
        <f t="array" ref="W433">_xlfn.IFS(V433=1,"Low",V433=2,"Medium",V433=3,"High",V433=4,"Very High")</f>
        <v>High</v>
      </c>
      <c r="X433" t="s">
        <v>38</v>
      </c>
      <c r="Y433" s="2">
        <v>3780</v>
      </c>
      <c r="Z433" s="2">
        <v>23428</v>
      </c>
      <c r="AA433">
        <v>7</v>
      </c>
      <c r="AB433" t="s">
        <v>39</v>
      </c>
      <c r="AC433">
        <v>11</v>
      </c>
      <c r="AD433">
        <v>3</v>
      </c>
      <c r="AE433" t="str" cm="1">
        <f t="array" ref="AE433">_xlfn.IFS(AD433=1,"Low",AD433=2,"Good",AD433=3,"Excellent",AD433=4,"Outstanding")</f>
        <v>Excellent</v>
      </c>
      <c r="AF433">
        <v>3</v>
      </c>
      <c r="AG433" t="str" cm="1">
        <f t="array" ref="AG433">_xlfn.IFS(AF433=1,"Low",AF433=2,"Medium",AF433=3,"High",AF433=4,"Very High")</f>
        <v>High</v>
      </c>
      <c r="AH433">
        <v>0</v>
      </c>
      <c r="AI433">
        <v>19</v>
      </c>
      <c r="AJ433">
        <v>3</v>
      </c>
      <c r="AK433">
        <v>3</v>
      </c>
      <c r="AL433" t="str" cm="1">
        <f t="array" ref="AL433">_xlfn.IFS(AK433=1,"Low",AK433=2,"Medium",AK433=3,"High",AK433=4,"Very High")</f>
        <v>High</v>
      </c>
      <c r="AM433">
        <v>1</v>
      </c>
      <c r="AN433">
        <v>0</v>
      </c>
      <c r="AO433">
        <v>0</v>
      </c>
      <c r="AP433">
        <v>0</v>
      </c>
    </row>
    <row r="434" spans="1:42">
      <c r="A434">
        <v>34</v>
      </c>
      <c r="B434" t="str" cm="1">
        <f t="array" ref="B434">_xlfn.IFS(A434&lt;=25,"18-25",A434&lt;=35,"26-35",A434&lt;=45,"36-45",A434&lt;=55,"46-55",A434&gt;55,"56+")</f>
        <v>26-35</v>
      </c>
      <c r="C434" t="s">
        <v>39</v>
      </c>
      <c r="D434" t="s">
        <v>33</v>
      </c>
      <c r="E434" s="2">
        <v>1303</v>
      </c>
      <c r="F434" t="s">
        <v>41</v>
      </c>
      <c r="G434">
        <v>2</v>
      </c>
      <c r="H434" t="str">
        <f t="shared" si="6"/>
        <v>1-10 km</v>
      </c>
      <c r="I434">
        <v>4</v>
      </c>
      <c r="J434" t="str" cm="1">
        <f t="array" ref="J434">_xlfn.IFS(I434=1,"Below College",I434=2,"College",I434=3,"Bachelor",I434=4,"Master",I434=5,"Doctor")</f>
        <v>Master</v>
      </c>
      <c r="K434" t="s">
        <v>35</v>
      </c>
      <c r="L434">
        <v>579</v>
      </c>
      <c r="M434">
        <v>4</v>
      </c>
      <c r="N434" t="str" cm="1">
        <f t="array" ref="N434">_xlfn.IFS(M434=1,"Low",M434=2,"Medium",M434=3,"High",M434=4,"Very High")</f>
        <v>Very High</v>
      </c>
      <c r="O434" t="s">
        <v>42</v>
      </c>
      <c r="P434" s="2">
        <v>62</v>
      </c>
      <c r="Q434">
        <v>2</v>
      </c>
      <c r="R434" t="str" cm="1">
        <f t="array" ref="R434">_xlfn.IFS(Q434=1,"Low",Q434=2,"Medium",Q434=3,"High",Q434=4,"Very High")</f>
        <v>Medium</v>
      </c>
      <c r="S434">
        <v>1</v>
      </c>
      <c r="T434" t="str" cm="1">
        <f t="array" ref="T434">_xlfn.IFS(S434=1,"Entry Level",S434=2,"Junior",S434=3,"Mid-Level",S434=4,"Senior",S434=5,"Executive")</f>
        <v>Entry Level</v>
      </c>
      <c r="U434" t="s">
        <v>43</v>
      </c>
      <c r="V434">
        <v>3</v>
      </c>
      <c r="W434" t="str" cm="1">
        <f t="array" ref="W434">_xlfn.IFS(V434=1,"Low",V434=2,"Medium",V434=3,"High",V434=4,"Very High")</f>
        <v>High</v>
      </c>
      <c r="X434" t="s">
        <v>48</v>
      </c>
      <c r="Y434" s="2">
        <v>2768</v>
      </c>
      <c r="Z434" s="2">
        <v>8416</v>
      </c>
      <c r="AA434">
        <v>3</v>
      </c>
      <c r="AB434" t="s">
        <v>39</v>
      </c>
      <c r="AC434">
        <v>12</v>
      </c>
      <c r="AD434">
        <v>3</v>
      </c>
      <c r="AE434" t="str" cm="1">
        <f t="array" ref="AE434">_xlfn.IFS(AD434=1,"Low",AD434=2,"Good",AD434=3,"Excellent",AD434=4,"Outstanding")</f>
        <v>Excellent</v>
      </c>
      <c r="AF434">
        <v>3</v>
      </c>
      <c r="AG434" t="str" cm="1">
        <f t="array" ref="AG434">_xlfn.IFS(AF434=1,"Low",AF434=2,"Medium",AF434=3,"High",AF434=4,"Very High")</f>
        <v>High</v>
      </c>
      <c r="AH434">
        <v>1</v>
      </c>
      <c r="AI434">
        <v>14</v>
      </c>
      <c r="AJ434">
        <v>3</v>
      </c>
      <c r="AK434">
        <v>3</v>
      </c>
      <c r="AL434" t="str" cm="1">
        <f t="array" ref="AL434">_xlfn.IFS(AK434=1,"Low",AK434=2,"Medium",AK434=3,"High",AK434=4,"Very High")</f>
        <v>High</v>
      </c>
      <c r="AM434">
        <v>7</v>
      </c>
      <c r="AN434">
        <v>3</v>
      </c>
      <c r="AO434">
        <v>5</v>
      </c>
      <c r="AP434">
        <v>7</v>
      </c>
    </row>
    <row r="435" spans="1:42">
      <c r="A435">
        <v>46</v>
      </c>
      <c r="B435" t="str" cm="1">
        <f t="array" ref="B435">_xlfn.IFS(A435&lt;=25,"18-25",A435&lt;=35,"26-35",A435&lt;=45,"36-45",A435&lt;=55,"46-55",A435&gt;55,"56+")</f>
        <v>46-55</v>
      </c>
      <c r="C435" t="s">
        <v>39</v>
      </c>
      <c r="D435" t="s">
        <v>33</v>
      </c>
      <c r="E435" s="2">
        <v>1125</v>
      </c>
      <c r="F435" t="s">
        <v>34</v>
      </c>
      <c r="G435">
        <v>10</v>
      </c>
      <c r="H435" t="str">
        <f t="shared" si="6"/>
        <v>1-10 km</v>
      </c>
      <c r="I435">
        <v>3</v>
      </c>
      <c r="J435" t="str" cm="1">
        <f t="array" ref="J435">_xlfn.IFS(I435=1,"Below College",I435=2,"College",I435=3,"Bachelor",I435=4,"Master",I435=5,"Doctor")</f>
        <v>Bachelor</v>
      </c>
      <c r="K435" t="s">
        <v>55</v>
      </c>
      <c r="L435">
        <v>580</v>
      </c>
      <c r="M435">
        <v>3</v>
      </c>
      <c r="N435" t="str" cm="1">
        <f t="array" ref="N435">_xlfn.IFS(M435=1,"Low",M435=2,"Medium",M435=3,"High",M435=4,"Very High")</f>
        <v>High</v>
      </c>
      <c r="O435" t="s">
        <v>36</v>
      </c>
      <c r="P435" s="2">
        <v>94</v>
      </c>
      <c r="Q435">
        <v>2</v>
      </c>
      <c r="R435" t="str" cm="1">
        <f t="array" ref="R435">_xlfn.IFS(Q435=1,"Low",Q435=2,"Medium",Q435=3,"High",Q435=4,"Very High")</f>
        <v>Medium</v>
      </c>
      <c r="S435">
        <v>3</v>
      </c>
      <c r="T435" t="str" cm="1">
        <f t="array" ref="T435">_xlfn.IFS(S435=1,"Entry Level",S435=2,"Junior",S435=3,"Mid-Level",S435=4,"Senior",S435=5,"Executive")</f>
        <v>Mid-Level</v>
      </c>
      <c r="U435" t="s">
        <v>37</v>
      </c>
      <c r="V435">
        <v>4</v>
      </c>
      <c r="W435" t="str" cm="1">
        <f t="array" ref="W435">_xlfn.IFS(V435=1,"Low",V435=2,"Medium",V435=3,"High",V435=4,"Very High")</f>
        <v>Very High</v>
      </c>
      <c r="X435" t="s">
        <v>44</v>
      </c>
      <c r="Y435" s="2">
        <v>9071</v>
      </c>
      <c r="Z435" s="2">
        <v>11563</v>
      </c>
      <c r="AA435">
        <v>2</v>
      </c>
      <c r="AB435" t="s">
        <v>32</v>
      </c>
      <c r="AC435">
        <v>19</v>
      </c>
      <c r="AD435">
        <v>3</v>
      </c>
      <c r="AE435" t="str" cm="1">
        <f t="array" ref="AE435">_xlfn.IFS(AD435=1,"Low",AD435=2,"Good",AD435=3,"Excellent",AD435=4,"Outstanding")</f>
        <v>Excellent</v>
      </c>
      <c r="AF435">
        <v>3</v>
      </c>
      <c r="AG435" t="str" cm="1">
        <f t="array" ref="AG435">_xlfn.IFS(AF435=1,"Low",AF435=2,"Medium",AF435=3,"High",AF435=4,"Very High")</f>
        <v>High</v>
      </c>
      <c r="AH435">
        <v>1</v>
      </c>
      <c r="AI435">
        <v>15</v>
      </c>
      <c r="AJ435">
        <v>3</v>
      </c>
      <c r="AK435">
        <v>3</v>
      </c>
      <c r="AL435" t="str" cm="1">
        <f t="array" ref="AL435">_xlfn.IFS(AK435=1,"Low",AK435=2,"Medium",AK435=3,"High",AK435=4,"Very High")</f>
        <v>High</v>
      </c>
      <c r="AM435">
        <v>3</v>
      </c>
      <c r="AN435">
        <v>2</v>
      </c>
      <c r="AO435">
        <v>1</v>
      </c>
      <c r="AP435">
        <v>2</v>
      </c>
    </row>
    <row r="436" spans="1:42">
      <c r="A436">
        <v>31</v>
      </c>
      <c r="B436" t="str" cm="1">
        <f t="array" ref="B436">_xlfn.IFS(A436&lt;=25,"18-25",A436&lt;=35,"26-35",A436&lt;=45,"36-45",A436&lt;=55,"46-55",A436&gt;55,"56+")</f>
        <v>26-35</v>
      </c>
      <c r="C436" t="s">
        <v>39</v>
      </c>
      <c r="D436" t="s">
        <v>33</v>
      </c>
      <c r="E436" s="2">
        <v>1274</v>
      </c>
      <c r="F436" t="s">
        <v>41</v>
      </c>
      <c r="G436">
        <v>9</v>
      </c>
      <c r="H436" t="str">
        <f t="shared" si="6"/>
        <v>1-10 km</v>
      </c>
      <c r="I436">
        <v>1</v>
      </c>
      <c r="J436" t="str" cm="1">
        <f t="array" ref="J436">_xlfn.IFS(I436=1,"Below College",I436=2,"College",I436=3,"Bachelor",I436=4,"Master",I436=5,"Doctor")</f>
        <v>Below College</v>
      </c>
      <c r="K436" t="s">
        <v>35</v>
      </c>
      <c r="L436">
        <v>581</v>
      </c>
      <c r="M436">
        <v>3</v>
      </c>
      <c r="N436" t="str" cm="1">
        <f t="array" ref="N436">_xlfn.IFS(M436=1,"Low",M436=2,"Medium",M436=3,"High",M436=4,"Very High")</f>
        <v>High</v>
      </c>
      <c r="O436" t="s">
        <v>42</v>
      </c>
      <c r="P436" s="2">
        <v>33</v>
      </c>
      <c r="Q436">
        <v>3</v>
      </c>
      <c r="R436" t="str" cm="1">
        <f t="array" ref="R436">_xlfn.IFS(Q436=1,"Low",Q436=2,"Medium",Q436=3,"High",Q436=4,"Very High")</f>
        <v>High</v>
      </c>
      <c r="S436">
        <v>3</v>
      </c>
      <c r="T436" t="str" cm="1">
        <f t="array" ref="T436">_xlfn.IFS(S436=1,"Entry Level",S436=2,"Junior",S436=3,"Mid-Level",S436=4,"Senior",S436=5,"Executive")</f>
        <v>Mid-Level</v>
      </c>
      <c r="U436" t="s">
        <v>49</v>
      </c>
      <c r="V436">
        <v>2</v>
      </c>
      <c r="W436" t="str" cm="1">
        <f t="array" ref="W436">_xlfn.IFS(V436=1,"Low",V436=2,"Medium",V436=3,"High",V436=4,"Very High")</f>
        <v>Medium</v>
      </c>
      <c r="X436" t="s">
        <v>48</v>
      </c>
      <c r="Y436" s="2">
        <v>10648</v>
      </c>
      <c r="Z436" s="2">
        <v>14394</v>
      </c>
      <c r="AA436">
        <v>1</v>
      </c>
      <c r="AB436" t="s">
        <v>39</v>
      </c>
      <c r="AC436">
        <v>25</v>
      </c>
      <c r="AD436">
        <v>4</v>
      </c>
      <c r="AE436" t="str" cm="1">
        <f t="array" ref="AE436">_xlfn.IFS(AD436=1,"Low",AD436=2,"Good",AD436=3,"Excellent",AD436=4,"Outstanding")</f>
        <v>Outstanding</v>
      </c>
      <c r="AF436">
        <v>4</v>
      </c>
      <c r="AG436" t="str" cm="1">
        <f t="array" ref="AG436">_xlfn.IFS(AF436=1,"Low",AF436=2,"Medium",AF436=3,"High",AF436=4,"Very High")</f>
        <v>Very High</v>
      </c>
      <c r="AH436">
        <v>1</v>
      </c>
      <c r="AI436">
        <v>13</v>
      </c>
      <c r="AJ436">
        <v>6</v>
      </c>
      <c r="AK436">
        <v>4</v>
      </c>
      <c r="AL436" t="str" cm="1">
        <f t="array" ref="AL436">_xlfn.IFS(AK436=1,"Low",AK436=2,"Medium",AK436=3,"High",AK436=4,"Very High")</f>
        <v>Very High</v>
      </c>
      <c r="AM436">
        <v>13</v>
      </c>
      <c r="AN436">
        <v>8</v>
      </c>
      <c r="AO436">
        <v>0</v>
      </c>
      <c r="AP436">
        <v>8</v>
      </c>
    </row>
    <row r="437" spans="1:42">
      <c r="A437">
        <v>33</v>
      </c>
      <c r="B437" t="str" cm="1">
        <f t="array" ref="B437">_xlfn.IFS(A437&lt;=25,"18-25",A437&lt;=35,"26-35",A437&lt;=45,"36-45",A437&lt;=55,"46-55",A437&gt;55,"56+")</f>
        <v>26-35</v>
      </c>
      <c r="C437" t="s">
        <v>32</v>
      </c>
      <c r="D437" t="s">
        <v>33</v>
      </c>
      <c r="E437" s="2">
        <v>1277</v>
      </c>
      <c r="F437" t="s">
        <v>41</v>
      </c>
      <c r="G437">
        <v>15</v>
      </c>
      <c r="H437" t="str">
        <f t="shared" si="6"/>
        <v>11-20 km</v>
      </c>
      <c r="I437">
        <v>1</v>
      </c>
      <c r="J437" t="str" cm="1">
        <f t="array" ref="J437">_xlfn.IFS(I437=1,"Below College",I437=2,"College",I437=3,"Bachelor",I437=4,"Master",I437=5,"Doctor")</f>
        <v>Below College</v>
      </c>
      <c r="K437" t="s">
        <v>47</v>
      </c>
      <c r="L437">
        <v>582</v>
      </c>
      <c r="M437">
        <v>2</v>
      </c>
      <c r="N437" t="str" cm="1">
        <f t="array" ref="N437">_xlfn.IFS(M437=1,"Low",M437=2,"Medium",M437=3,"High",M437=4,"Very High")</f>
        <v>Medium</v>
      </c>
      <c r="O437" t="s">
        <v>42</v>
      </c>
      <c r="P437" s="2">
        <v>56</v>
      </c>
      <c r="Q437">
        <v>3</v>
      </c>
      <c r="R437" t="str" cm="1">
        <f t="array" ref="R437">_xlfn.IFS(Q437=1,"Low",Q437=2,"Medium",Q437=3,"High",Q437=4,"Very High")</f>
        <v>High</v>
      </c>
      <c r="S437">
        <v>3</v>
      </c>
      <c r="T437" t="str" cm="1">
        <f t="array" ref="T437">_xlfn.IFS(S437=1,"Entry Level",S437=2,"Junior",S437=3,"Mid-Level",S437=4,"Senior",S437=5,"Executive")</f>
        <v>Mid-Level</v>
      </c>
      <c r="U437" t="s">
        <v>52</v>
      </c>
      <c r="V437">
        <v>3</v>
      </c>
      <c r="W437" t="str" cm="1">
        <f t="array" ref="W437">_xlfn.IFS(V437=1,"Low",V437=2,"Medium",V437=3,"High",V437=4,"Very High")</f>
        <v>High</v>
      </c>
      <c r="X437" t="s">
        <v>44</v>
      </c>
      <c r="Y437" s="2">
        <v>13610</v>
      </c>
      <c r="Z437" s="2">
        <v>24619</v>
      </c>
      <c r="AA437">
        <v>7</v>
      </c>
      <c r="AB437" t="s">
        <v>32</v>
      </c>
      <c r="AC437">
        <v>12</v>
      </c>
      <c r="AD437">
        <v>3</v>
      </c>
      <c r="AE437" t="str" cm="1">
        <f t="array" ref="AE437">_xlfn.IFS(AD437=1,"Low",AD437=2,"Good",AD437=3,"Excellent",AD437=4,"Outstanding")</f>
        <v>Excellent</v>
      </c>
      <c r="AF437">
        <v>4</v>
      </c>
      <c r="AG437" t="str" cm="1">
        <f t="array" ref="AG437">_xlfn.IFS(AF437=1,"Low",AF437=2,"Medium",AF437=3,"High",AF437=4,"Very High")</f>
        <v>Very High</v>
      </c>
      <c r="AH437">
        <v>0</v>
      </c>
      <c r="AI437">
        <v>15</v>
      </c>
      <c r="AJ437">
        <v>2</v>
      </c>
      <c r="AK437">
        <v>4</v>
      </c>
      <c r="AL437" t="str" cm="1">
        <f t="array" ref="AL437">_xlfn.IFS(AK437=1,"Low",AK437=2,"Medium",AK437=3,"High",AK437=4,"Very High")</f>
        <v>Very High</v>
      </c>
      <c r="AM437">
        <v>7</v>
      </c>
      <c r="AN437">
        <v>6</v>
      </c>
      <c r="AO437">
        <v>7</v>
      </c>
      <c r="AP437">
        <v>7</v>
      </c>
    </row>
    <row r="438" spans="1:42">
      <c r="A438">
        <v>33</v>
      </c>
      <c r="B438" t="str" cm="1">
        <f t="array" ref="B438">_xlfn.IFS(A438&lt;=25,"18-25",A438&lt;=35,"26-35",A438&lt;=45,"36-45",A438&lt;=55,"46-55",A438&gt;55,"56+")</f>
        <v>26-35</v>
      </c>
      <c r="C438" t="s">
        <v>32</v>
      </c>
      <c r="D438" t="s">
        <v>33</v>
      </c>
      <c r="E438" s="2">
        <v>587</v>
      </c>
      <c r="F438" t="s">
        <v>41</v>
      </c>
      <c r="G438">
        <v>10</v>
      </c>
      <c r="H438" t="str">
        <f t="shared" si="6"/>
        <v>1-10 km</v>
      </c>
      <c r="I438">
        <v>1</v>
      </c>
      <c r="J438" t="str" cm="1">
        <f t="array" ref="J438">_xlfn.IFS(I438=1,"Below College",I438=2,"College",I438=3,"Bachelor",I438=4,"Master",I438=5,"Doctor")</f>
        <v>Below College</v>
      </c>
      <c r="K438" t="s">
        <v>47</v>
      </c>
      <c r="L438">
        <v>584</v>
      </c>
      <c r="M438">
        <v>1</v>
      </c>
      <c r="N438" t="str" cm="1">
        <f t="array" ref="N438">_xlfn.IFS(M438=1,"Low",M438=2,"Medium",M438=3,"High",M438=4,"Very High")</f>
        <v>Low</v>
      </c>
      <c r="O438" t="s">
        <v>42</v>
      </c>
      <c r="P438" s="2">
        <v>38</v>
      </c>
      <c r="Q438">
        <v>1</v>
      </c>
      <c r="R438" t="str" cm="1">
        <f t="array" ref="R438">_xlfn.IFS(Q438=1,"Low",Q438=2,"Medium",Q438=3,"High",Q438=4,"Very High")</f>
        <v>Low</v>
      </c>
      <c r="S438">
        <v>1</v>
      </c>
      <c r="T438" t="str" cm="1">
        <f t="array" ref="T438">_xlfn.IFS(S438=1,"Entry Level",S438=2,"Junior",S438=3,"Mid-Level",S438=4,"Senior",S438=5,"Executive")</f>
        <v>Entry Level</v>
      </c>
      <c r="U438" t="s">
        <v>46</v>
      </c>
      <c r="V438">
        <v>4</v>
      </c>
      <c r="W438" t="str" cm="1">
        <f t="array" ref="W438">_xlfn.IFS(V438=1,"Low",V438=2,"Medium",V438=3,"High",V438=4,"Very High")</f>
        <v>Very High</v>
      </c>
      <c r="X438" t="s">
        <v>48</v>
      </c>
      <c r="Y438" s="2">
        <v>3408</v>
      </c>
      <c r="Z438" s="2">
        <v>6705</v>
      </c>
      <c r="AA438">
        <v>7</v>
      </c>
      <c r="AB438" t="s">
        <v>39</v>
      </c>
      <c r="AC438">
        <v>13</v>
      </c>
      <c r="AD438">
        <v>3</v>
      </c>
      <c r="AE438" t="str" cm="1">
        <f t="array" ref="AE438">_xlfn.IFS(AD438=1,"Low",AD438=2,"Good",AD438=3,"Excellent",AD438=4,"Outstanding")</f>
        <v>Excellent</v>
      </c>
      <c r="AF438">
        <v>1</v>
      </c>
      <c r="AG438" t="str" cm="1">
        <f t="array" ref="AG438">_xlfn.IFS(AF438=1,"Low",AF438=2,"Medium",AF438=3,"High",AF438=4,"Very High")</f>
        <v>Low</v>
      </c>
      <c r="AH438">
        <v>3</v>
      </c>
      <c r="AI438">
        <v>8</v>
      </c>
      <c r="AJ438">
        <v>2</v>
      </c>
      <c r="AK438">
        <v>3</v>
      </c>
      <c r="AL438" t="str" cm="1">
        <f t="array" ref="AL438">_xlfn.IFS(AK438=1,"Low",AK438=2,"Medium",AK438=3,"High",AK438=4,"Very High")</f>
        <v>High</v>
      </c>
      <c r="AM438">
        <v>4</v>
      </c>
      <c r="AN438">
        <v>3</v>
      </c>
      <c r="AO438">
        <v>1</v>
      </c>
      <c r="AP438">
        <v>3</v>
      </c>
    </row>
    <row r="439" spans="1:42">
      <c r="A439">
        <v>30</v>
      </c>
      <c r="B439" t="str" cm="1">
        <f t="array" ref="B439">_xlfn.IFS(A439&lt;=25,"18-25",A439&lt;=35,"26-35",A439&lt;=45,"36-45",A439&lt;=55,"46-55",A439&gt;55,"56+")</f>
        <v>26-35</v>
      </c>
      <c r="C439" t="s">
        <v>39</v>
      </c>
      <c r="D439" t="s">
        <v>33</v>
      </c>
      <c r="E439" s="2">
        <v>413</v>
      </c>
      <c r="F439" t="s">
        <v>34</v>
      </c>
      <c r="G439">
        <v>7</v>
      </c>
      <c r="H439" t="str">
        <f t="shared" si="6"/>
        <v>1-10 km</v>
      </c>
      <c r="I439">
        <v>1</v>
      </c>
      <c r="J439" t="str" cm="1">
        <f t="array" ref="J439">_xlfn.IFS(I439=1,"Below College",I439=2,"College",I439=3,"Bachelor",I439=4,"Master",I439=5,"Doctor")</f>
        <v>Below College</v>
      </c>
      <c r="K439" t="s">
        <v>55</v>
      </c>
      <c r="L439">
        <v>585</v>
      </c>
      <c r="M439">
        <v>4</v>
      </c>
      <c r="N439" t="str" cm="1">
        <f t="array" ref="N439">_xlfn.IFS(M439=1,"Low",M439=2,"Medium",M439=3,"High",M439=4,"Very High")</f>
        <v>Very High</v>
      </c>
      <c r="O439" t="s">
        <v>42</v>
      </c>
      <c r="P439" s="2">
        <v>57</v>
      </c>
      <c r="Q439">
        <v>3</v>
      </c>
      <c r="R439" t="str" cm="1">
        <f t="array" ref="R439">_xlfn.IFS(Q439=1,"Low",Q439=2,"Medium",Q439=3,"High",Q439=4,"Very High")</f>
        <v>High</v>
      </c>
      <c r="S439">
        <v>1</v>
      </c>
      <c r="T439" t="str" cm="1">
        <f t="array" ref="T439">_xlfn.IFS(S439=1,"Entry Level",S439=2,"Junior",S439=3,"Mid-Level",S439=4,"Senior",S439=5,"Executive")</f>
        <v>Entry Level</v>
      </c>
      <c r="U439" t="s">
        <v>53</v>
      </c>
      <c r="V439">
        <v>2</v>
      </c>
      <c r="W439" t="str" cm="1">
        <f t="array" ref="W439">_xlfn.IFS(V439=1,"Low",V439=2,"Medium",V439=3,"High",V439=4,"Very High")</f>
        <v>Medium</v>
      </c>
      <c r="X439" t="s">
        <v>38</v>
      </c>
      <c r="Y439" s="2">
        <v>2983</v>
      </c>
      <c r="Z439" s="2">
        <v>18398</v>
      </c>
      <c r="AA439">
        <v>0</v>
      </c>
      <c r="AB439" t="s">
        <v>39</v>
      </c>
      <c r="AC439">
        <v>14</v>
      </c>
      <c r="AD439">
        <v>3</v>
      </c>
      <c r="AE439" t="str" cm="1">
        <f t="array" ref="AE439">_xlfn.IFS(AD439=1,"Low",AD439=2,"Good",AD439=3,"Excellent",AD439=4,"Outstanding")</f>
        <v>Excellent</v>
      </c>
      <c r="AF439">
        <v>1</v>
      </c>
      <c r="AG439" t="str" cm="1">
        <f t="array" ref="AG439">_xlfn.IFS(AF439=1,"Low",AF439=2,"Medium",AF439=3,"High",AF439=4,"Very High")</f>
        <v>Low</v>
      </c>
      <c r="AH439">
        <v>0</v>
      </c>
      <c r="AI439">
        <v>4</v>
      </c>
      <c r="AJ439">
        <v>3</v>
      </c>
      <c r="AK439">
        <v>3</v>
      </c>
      <c r="AL439" t="str" cm="1">
        <f t="array" ref="AL439">_xlfn.IFS(AK439=1,"Low",AK439=2,"Medium",AK439=3,"High",AK439=4,"Very High")</f>
        <v>High</v>
      </c>
      <c r="AM439">
        <v>3</v>
      </c>
      <c r="AN439">
        <v>2</v>
      </c>
      <c r="AO439">
        <v>1</v>
      </c>
      <c r="AP439">
        <v>2</v>
      </c>
    </row>
    <row r="440" spans="1:42">
      <c r="A440">
        <v>35</v>
      </c>
      <c r="B440" t="str" cm="1">
        <f t="array" ref="B440">_xlfn.IFS(A440&lt;=25,"18-25",A440&lt;=35,"26-35",A440&lt;=45,"36-45",A440&lt;=55,"46-55",A440&gt;55,"56+")</f>
        <v>26-35</v>
      </c>
      <c r="C440" t="s">
        <v>39</v>
      </c>
      <c r="D440" t="s">
        <v>33</v>
      </c>
      <c r="E440" s="2">
        <v>1276</v>
      </c>
      <c r="F440" t="s">
        <v>41</v>
      </c>
      <c r="G440">
        <v>16</v>
      </c>
      <c r="H440" t="str">
        <f t="shared" si="6"/>
        <v>11-20 km</v>
      </c>
      <c r="I440">
        <v>3</v>
      </c>
      <c r="J440" t="str" cm="1">
        <f t="array" ref="J440">_xlfn.IFS(I440=1,"Below College",I440=2,"College",I440=3,"Bachelor",I440=4,"Master",I440=5,"Doctor")</f>
        <v>Bachelor</v>
      </c>
      <c r="K440" t="s">
        <v>35</v>
      </c>
      <c r="L440">
        <v>586</v>
      </c>
      <c r="M440">
        <v>4</v>
      </c>
      <c r="N440" t="str" cm="1">
        <f t="array" ref="N440">_xlfn.IFS(M440=1,"Low",M440=2,"Medium",M440=3,"High",M440=4,"Very High")</f>
        <v>Very High</v>
      </c>
      <c r="O440" t="s">
        <v>42</v>
      </c>
      <c r="P440" s="2">
        <v>72</v>
      </c>
      <c r="Q440">
        <v>3</v>
      </c>
      <c r="R440" t="str" cm="1">
        <f t="array" ref="R440">_xlfn.IFS(Q440=1,"Low",Q440=2,"Medium",Q440=3,"High",Q440=4,"Very High")</f>
        <v>High</v>
      </c>
      <c r="S440">
        <v>3</v>
      </c>
      <c r="T440" t="str" cm="1">
        <f t="array" ref="T440">_xlfn.IFS(S440=1,"Entry Level",S440=2,"Junior",S440=3,"Mid-Level",S440=4,"Senior",S440=5,"Executive")</f>
        <v>Mid-Level</v>
      </c>
      <c r="U440" t="s">
        <v>50</v>
      </c>
      <c r="V440">
        <v>3</v>
      </c>
      <c r="W440" t="str" cm="1">
        <f t="array" ref="W440">_xlfn.IFS(V440=1,"Low",V440=2,"Medium",V440=3,"High",V440=4,"Very High")</f>
        <v>High</v>
      </c>
      <c r="X440" t="s">
        <v>44</v>
      </c>
      <c r="Y440" s="2">
        <v>7632</v>
      </c>
      <c r="Z440" s="2">
        <v>14295</v>
      </c>
      <c r="AA440">
        <v>4</v>
      </c>
      <c r="AB440" t="s">
        <v>32</v>
      </c>
      <c r="AC440">
        <v>12</v>
      </c>
      <c r="AD440">
        <v>3</v>
      </c>
      <c r="AE440" t="str" cm="1">
        <f t="array" ref="AE440">_xlfn.IFS(AD440=1,"Low",AD440=2,"Good",AD440=3,"Excellent",AD440=4,"Outstanding")</f>
        <v>Excellent</v>
      </c>
      <c r="AF440">
        <v>3</v>
      </c>
      <c r="AG440" t="str" cm="1">
        <f t="array" ref="AG440">_xlfn.IFS(AF440=1,"Low",AF440=2,"Medium",AF440=3,"High",AF440=4,"Very High")</f>
        <v>High</v>
      </c>
      <c r="AH440">
        <v>0</v>
      </c>
      <c r="AI440">
        <v>10</v>
      </c>
      <c r="AJ440">
        <v>2</v>
      </c>
      <c r="AK440">
        <v>3</v>
      </c>
      <c r="AL440" t="str" cm="1">
        <f t="array" ref="AL440">_xlfn.IFS(AK440=1,"Low",AK440=2,"Medium",AK440=3,"High",AK440=4,"Very High")</f>
        <v>High</v>
      </c>
      <c r="AM440">
        <v>8</v>
      </c>
      <c r="AN440">
        <v>7</v>
      </c>
      <c r="AO440">
        <v>0</v>
      </c>
      <c r="AP440">
        <v>0</v>
      </c>
    </row>
    <row r="441" spans="1:42">
      <c r="A441">
        <v>31</v>
      </c>
      <c r="B441" t="str" cm="1">
        <f t="array" ref="B441">_xlfn.IFS(A441&lt;=25,"18-25",A441&lt;=35,"26-35",A441&lt;=45,"36-45",A441&lt;=55,"46-55",A441&gt;55,"56+")</f>
        <v>26-35</v>
      </c>
      <c r="C441" t="s">
        <v>32</v>
      </c>
      <c r="D441" t="s">
        <v>40</v>
      </c>
      <c r="E441" s="2">
        <v>534</v>
      </c>
      <c r="F441" t="s">
        <v>41</v>
      </c>
      <c r="G441">
        <v>20</v>
      </c>
      <c r="H441" t="str">
        <f t="shared" si="6"/>
        <v>11-20 km</v>
      </c>
      <c r="I441">
        <v>3</v>
      </c>
      <c r="J441" t="str" cm="1">
        <f t="array" ref="J441">_xlfn.IFS(I441=1,"Below College",I441=2,"College",I441=3,"Bachelor",I441=4,"Master",I441=5,"Doctor")</f>
        <v>Bachelor</v>
      </c>
      <c r="K441" t="s">
        <v>35</v>
      </c>
      <c r="L441">
        <v>587</v>
      </c>
      <c r="M441">
        <v>1</v>
      </c>
      <c r="N441" t="str" cm="1">
        <f t="array" ref="N441">_xlfn.IFS(M441=1,"Low",M441=2,"Medium",M441=3,"High",M441=4,"Very High")</f>
        <v>Low</v>
      </c>
      <c r="O441" t="s">
        <v>42</v>
      </c>
      <c r="P441" s="2">
        <v>66</v>
      </c>
      <c r="Q441">
        <v>3</v>
      </c>
      <c r="R441" t="str" cm="1">
        <f t="array" ref="R441">_xlfn.IFS(Q441=1,"Low",Q441=2,"Medium",Q441=3,"High",Q441=4,"Very High")</f>
        <v>High</v>
      </c>
      <c r="S441">
        <v>3</v>
      </c>
      <c r="T441" t="str" cm="1">
        <f t="array" ref="T441">_xlfn.IFS(S441=1,"Entry Level",S441=2,"Junior",S441=3,"Mid-Level",S441=4,"Senior",S441=5,"Executive")</f>
        <v>Mid-Level</v>
      </c>
      <c r="U441" t="s">
        <v>50</v>
      </c>
      <c r="V441">
        <v>3</v>
      </c>
      <c r="W441" t="str" cm="1">
        <f t="array" ref="W441">_xlfn.IFS(V441=1,"Low",V441=2,"Medium",V441=3,"High",V441=4,"Very High")</f>
        <v>High</v>
      </c>
      <c r="X441" t="s">
        <v>44</v>
      </c>
      <c r="Y441" s="2">
        <v>9824</v>
      </c>
      <c r="Z441" s="2">
        <v>22908</v>
      </c>
      <c r="AA441">
        <v>3</v>
      </c>
      <c r="AB441" t="s">
        <v>39</v>
      </c>
      <c r="AC441">
        <v>12</v>
      </c>
      <c r="AD441">
        <v>3</v>
      </c>
      <c r="AE441" t="str" cm="1">
        <f t="array" ref="AE441">_xlfn.IFS(AD441=1,"Low",AD441=2,"Good",AD441=3,"Excellent",AD441=4,"Outstanding")</f>
        <v>Excellent</v>
      </c>
      <c r="AF441">
        <v>1</v>
      </c>
      <c r="AG441" t="str" cm="1">
        <f t="array" ref="AG441">_xlfn.IFS(AF441=1,"Low",AF441=2,"Medium",AF441=3,"High",AF441=4,"Very High")</f>
        <v>Low</v>
      </c>
      <c r="AH441">
        <v>0</v>
      </c>
      <c r="AI441">
        <v>12</v>
      </c>
      <c r="AJ441">
        <v>2</v>
      </c>
      <c r="AK441">
        <v>3</v>
      </c>
      <c r="AL441" t="str" cm="1">
        <f t="array" ref="AL441">_xlfn.IFS(AK441=1,"Low",AK441=2,"Medium",AK441=3,"High",AK441=4,"Very High")</f>
        <v>High</v>
      </c>
      <c r="AM441">
        <v>1</v>
      </c>
      <c r="AN441">
        <v>0</v>
      </c>
      <c r="AO441">
        <v>0</v>
      </c>
      <c r="AP441">
        <v>0</v>
      </c>
    </row>
    <row r="442" spans="1:42">
      <c r="A442">
        <v>34</v>
      </c>
      <c r="B442" t="str" cm="1">
        <f t="array" ref="B442">_xlfn.IFS(A442&lt;=25,"18-25",A442&lt;=35,"26-35",A442&lt;=45,"36-45",A442&lt;=55,"46-55",A442&gt;55,"56+")</f>
        <v>26-35</v>
      </c>
      <c r="C442" t="s">
        <v>32</v>
      </c>
      <c r="D442" t="s">
        <v>40</v>
      </c>
      <c r="E442" s="2">
        <v>988</v>
      </c>
      <c r="F442" t="s">
        <v>57</v>
      </c>
      <c r="G442">
        <v>23</v>
      </c>
      <c r="H442" t="str">
        <f t="shared" si="6"/>
        <v>21-30 km</v>
      </c>
      <c r="I442">
        <v>3</v>
      </c>
      <c r="J442" t="str" cm="1">
        <f t="array" ref="J442">_xlfn.IFS(I442=1,"Below College",I442=2,"College",I442=3,"Bachelor",I442=4,"Master",I442=5,"Doctor")</f>
        <v>Bachelor</v>
      </c>
      <c r="K442" t="s">
        <v>57</v>
      </c>
      <c r="L442">
        <v>590</v>
      </c>
      <c r="M442">
        <v>2</v>
      </c>
      <c r="N442" t="str" cm="1">
        <f t="array" ref="N442">_xlfn.IFS(M442=1,"Low",M442=2,"Medium",M442=3,"High",M442=4,"Very High")</f>
        <v>Medium</v>
      </c>
      <c r="O442" t="s">
        <v>36</v>
      </c>
      <c r="P442" s="2">
        <v>43</v>
      </c>
      <c r="Q442">
        <v>3</v>
      </c>
      <c r="R442" t="str" cm="1">
        <f t="array" ref="R442">_xlfn.IFS(Q442=1,"Low",Q442=2,"Medium",Q442=3,"High",Q442=4,"Very High")</f>
        <v>High</v>
      </c>
      <c r="S442">
        <v>3</v>
      </c>
      <c r="T442" t="str" cm="1">
        <f t="array" ref="T442">_xlfn.IFS(S442=1,"Entry Level",S442=2,"Junior",S442=3,"Mid-Level",S442=4,"Senior",S442=5,"Executive")</f>
        <v>Mid-Level</v>
      </c>
      <c r="U442" t="s">
        <v>57</v>
      </c>
      <c r="V442">
        <v>1</v>
      </c>
      <c r="W442" t="str" cm="1">
        <f t="array" ref="W442">_xlfn.IFS(V442=1,"Low",V442=2,"Medium",V442=3,"High",V442=4,"Very High")</f>
        <v>Low</v>
      </c>
      <c r="X442" t="s">
        <v>48</v>
      </c>
      <c r="Y442" s="2">
        <v>9950</v>
      </c>
      <c r="Z442" s="2">
        <v>11533</v>
      </c>
      <c r="AA442">
        <v>9</v>
      </c>
      <c r="AB442" t="s">
        <v>32</v>
      </c>
      <c r="AC442">
        <v>15</v>
      </c>
      <c r="AD442">
        <v>3</v>
      </c>
      <c r="AE442" t="str" cm="1">
        <f t="array" ref="AE442">_xlfn.IFS(AD442=1,"Low",AD442=2,"Good",AD442=3,"Excellent",AD442=4,"Outstanding")</f>
        <v>Excellent</v>
      </c>
      <c r="AF442">
        <v>3</v>
      </c>
      <c r="AG442" t="str" cm="1">
        <f t="array" ref="AG442">_xlfn.IFS(AF442=1,"Low",AF442=2,"Medium",AF442=3,"High",AF442=4,"Very High")</f>
        <v>High</v>
      </c>
      <c r="AH442">
        <v>3</v>
      </c>
      <c r="AI442">
        <v>11</v>
      </c>
      <c r="AJ442">
        <v>2</v>
      </c>
      <c r="AK442">
        <v>3</v>
      </c>
      <c r="AL442" t="str" cm="1">
        <f t="array" ref="AL442">_xlfn.IFS(AK442=1,"Low",AK442=2,"Medium",AK442=3,"High",AK442=4,"Very High")</f>
        <v>High</v>
      </c>
      <c r="AM442">
        <v>3</v>
      </c>
      <c r="AN442">
        <v>2</v>
      </c>
      <c r="AO442">
        <v>0</v>
      </c>
      <c r="AP442">
        <v>2</v>
      </c>
    </row>
    <row r="443" spans="1:42">
      <c r="A443">
        <v>42</v>
      </c>
      <c r="B443" t="str" cm="1">
        <f t="array" ref="B443">_xlfn.IFS(A443&lt;=25,"18-25",A443&lt;=35,"26-35",A443&lt;=45,"36-45",A443&lt;=55,"46-55",A443&gt;55,"56+")</f>
        <v>36-45</v>
      </c>
      <c r="C443" t="s">
        <v>39</v>
      </c>
      <c r="D443" t="s">
        <v>40</v>
      </c>
      <c r="E443" s="2">
        <v>1474</v>
      </c>
      <c r="F443" t="s">
        <v>41</v>
      </c>
      <c r="G443">
        <v>5</v>
      </c>
      <c r="H443" t="str">
        <f t="shared" si="6"/>
        <v>1-10 km</v>
      </c>
      <c r="I443">
        <v>2</v>
      </c>
      <c r="J443" t="str" cm="1">
        <f t="array" ref="J443">_xlfn.IFS(I443=1,"Below College",I443=2,"College",I443=3,"Bachelor",I443=4,"Master",I443=5,"Doctor")</f>
        <v>College</v>
      </c>
      <c r="K443" t="s">
        <v>45</v>
      </c>
      <c r="L443">
        <v>591</v>
      </c>
      <c r="M443">
        <v>2</v>
      </c>
      <c r="N443" t="str" cm="1">
        <f t="array" ref="N443">_xlfn.IFS(M443=1,"Low",M443=2,"Medium",M443=3,"High",M443=4,"Very High")</f>
        <v>Medium</v>
      </c>
      <c r="O443" t="s">
        <v>42</v>
      </c>
      <c r="P443" s="2">
        <v>97</v>
      </c>
      <c r="Q443">
        <v>3</v>
      </c>
      <c r="R443" t="str" cm="1">
        <f t="array" ref="R443">_xlfn.IFS(Q443=1,"Low",Q443=2,"Medium",Q443=3,"High",Q443=4,"Very High")</f>
        <v>High</v>
      </c>
      <c r="S443">
        <v>1</v>
      </c>
      <c r="T443" t="str" cm="1">
        <f t="array" ref="T443">_xlfn.IFS(S443=1,"Entry Level",S443=2,"Junior",S443=3,"Mid-Level",S443=4,"Senior",S443=5,"Executive")</f>
        <v>Entry Level</v>
      </c>
      <c r="U443" t="s">
        <v>46</v>
      </c>
      <c r="V443">
        <v>3</v>
      </c>
      <c r="W443" t="str" cm="1">
        <f t="array" ref="W443">_xlfn.IFS(V443=1,"Low",V443=2,"Medium",V443=3,"High",V443=4,"Very High")</f>
        <v>High</v>
      </c>
      <c r="X443" t="s">
        <v>44</v>
      </c>
      <c r="Y443" s="2">
        <v>2093</v>
      </c>
      <c r="Z443" s="2">
        <v>9260</v>
      </c>
      <c r="AA443">
        <v>4</v>
      </c>
      <c r="AB443" t="s">
        <v>39</v>
      </c>
      <c r="AC443">
        <v>17</v>
      </c>
      <c r="AD443">
        <v>3</v>
      </c>
      <c r="AE443" t="str" cm="1">
        <f t="array" ref="AE443">_xlfn.IFS(AD443=1,"Low",AD443=2,"Good",AD443=3,"Excellent",AD443=4,"Outstanding")</f>
        <v>Excellent</v>
      </c>
      <c r="AF443">
        <v>4</v>
      </c>
      <c r="AG443" t="str" cm="1">
        <f t="array" ref="AG443">_xlfn.IFS(AF443=1,"Low",AF443=2,"Medium",AF443=3,"High",AF443=4,"Very High")</f>
        <v>Very High</v>
      </c>
      <c r="AH443">
        <v>1</v>
      </c>
      <c r="AI443">
        <v>8</v>
      </c>
      <c r="AJ443">
        <v>4</v>
      </c>
      <c r="AK443">
        <v>3</v>
      </c>
      <c r="AL443" t="str" cm="1">
        <f t="array" ref="AL443">_xlfn.IFS(AK443=1,"Low",AK443=2,"Medium",AK443=3,"High",AK443=4,"Very High")</f>
        <v>High</v>
      </c>
      <c r="AM443">
        <v>2</v>
      </c>
      <c r="AN443">
        <v>2</v>
      </c>
      <c r="AO443">
        <v>2</v>
      </c>
      <c r="AP443">
        <v>0</v>
      </c>
    </row>
    <row r="444" spans="1:42">
      <c r="A444">
        <v>36</v>
      </c>
      <c r="B444" t="str" cm="1">
        <f t="array" ref="B444">_xlfn.IFS(A444&lt;=25,"18-25",A444&lt;=35,"26-35",A444&lt;=45,"36-45",A444&lt;=55,"46-55",A444&gt;55,"56+")</f>
        <v>36-45</v>
      </c>
      <c r="C444" t="s">
        <v>39</v>
      </c>
      <c r="D444" t="s">
        <v>51</v>
      </c>
      <c r="E444" s="2">
        <v>635</v>
      </c>
      <c r="F444" t="s">
        <v>34</v>
      </c>
      <c r="G444">
        <v>10</v>
      </c>
      <c r="H444" t="str">
        <f t="shared" si="6"/>
        <v>1-10 km</v>
      </c>
      <c r="I444">
        <v>4</v>
      </c>
      <c r="J444" t="str" cm="1">
        <f t="array" ref="J444">_xlfn.IFS(I444=1,"Below College",I444=2,"College",I444=3,"Bachelor",I444=4,"Master",I444=5,"Doctor")</f>
        <v>Master</v>
      </c>
      <c r="K444" t="s">
        <v>47</v>
      </c>
      <c r="L444">
        <v>592</v>
      </c>
      <c r="M444">
        <v>2</v>
      </c>
      <c r="N444" t="str" cm="1">
        <f t="array" ref="N444">_xlfn.IFS(M444=1,"Low",M444=2,"Medium",M444=3,"High",M444=4,"Very High")</f>
        <v>Medium</v>
      </c>
      <c r="O444" t="s">
        <v>42</v>
      </c>
      <c r="P444" s="2">
        <v>32</v>
      </c>
      <c r="Q444">
        <v>3</v>
      </c>
      <c r="R444" t="str" cm="1">
        <f t="array" ref="R444">_xlfn.IFS(Q444=1,"Low",Q444=2,"Medium",Q444=3,"High",Q444=4,"Very High")</f>
        <v>High</v>
      </c>
      <c r="S444">
        <v>3</v>
      </c>
      <c r="T444" t="str" cm="1">
        <f t="array" ref="T444">_xlfn.IFS(S444=1,"Entry Level",S444=2,"Junior",S444=3,"Mid-Level",S444=4,"Senior",S444=5,"Executive")</f>
        <v>Mid-Level</v>
      </c>
      <c r="U444" t="s">
        <v>37</v>
      </c>
      <c r="V444">
        <v>4</v>
      </c>
      <c r="W444" t="str" cm="1">
        <f t="array" ref="W444">_xlfn.IFS(V444=1,"Low",V444=2,"Medium",V444=3,"High",V444=4,"Very High")</f>
        <v>Very High</v>
      </c>
      <c r="X444" t="s">
        <v>38</v>
      </c>
      <c r="Y444" s="2">
        <v>9980</v>
      </c>
      <c r="Z444" s="2">
        <v>15318</v>
      </c>
      <c r="AA444">
        <v>1</v>
      </c>
      <c r="AB444" t="s">
        <v>39</v>
      </c>
      <c r="AC444">
        <v>14</v>
      </c>
      <c r="AD444">
        <v>3</v>
      </c>
      <c r="AE444" t="str" cm="1">
        <f t="array" ref="AE444">_xlfn.IFS(AD444=1,"Low",AD444=2,"Good",AD444=3,"Excellent",AD444=4,"Outstanding")</f>
        <v>Excellent</v>
      </c>
      <c r="AF444">
        <v>4</v>
      </c>
      <c r="AG444" t="str" cm="1">
        <f t="array" ref="AG444">_xlfn.IFS(AF444=1,"Low",AF444=2,"Medium",AF444=3,"High",AF444=4,"Very High")</f>
        <v>Very High</v>
      </c>
      <c r="AH444">
        <v>0</v>
      </c>
      <c r="AI444">
        <v>10</v>
      </c>
      <c r="AJ444">
        <v>3</v>
      </c>
      <c r="AK444">
        <v>2</v>
      </c>
      <c r="AL444" t="str" cm="1">
        <f t="array" ref="AL444">_xlfn.IFS(AK444=1,"Low",AK444=2,"Medium",AK444=3,"High",AK444=4,"Very High")</f>
        <v>Medium</v>
      </c>
      <c r="AM444">
        <v>10</v>
      </c>
      <c r="AN444">
        <v>3</v>
      </c>
      <c r="AO444">
        <v>9</v>
      </c>
      <c r="AP444">
        <v>7</v>
      </c>
    </row>
    <row r="445" spans="1:42">
      <c r="A445">
        <v>22</v>
      </c>
      <c r="B445" t="str" cm="1">
        <f t="array" ref="B445">_xlfn.IFS(A445&lt;=25,"18-25",A445&lt;=35,"26-35",A445&lt;=45,"36-45",A445&lt;=55,"46-55",A445&gt;55,"56+")</f>
        <v>18-25</v>
      </c>
      <c r="C445" t="s">
        <v>32</v>
      </c>
      <c r="D445" t="s">
        <v>40</v>
      </c>
      <c r="E445" s="2">
        <v>1368</v>
      </c>
      <c r="F445" t="s">
        <v>41</v>
      </c>
      <c r="G445">
        <v>4</v>
      </c>
      <c r="H445" t="str">
        <f t="shared" si="6"/>
        <v>1-10 km</v>
      </c>
      <c r="I445">
        <v>1</v>
      </c>
      <c r="J445" t="str" cm="1">
        <f t="array" ref="J445">_xlfn.IFS(I445=1,"Below College",I445=2,"College",I445=3,"Bachelor",I445=4,"Master",I445=5,"Doctor")</f>
        <v>Below College</v>
      </c>
      <c r="K445" t="s">
        <v>56</v>
      </c>
      <c r="L445">
        <v>593</v>
      </c>
      <c r="M445">
        <v>3</v>
      </c>
      <c r="N445" t="str" cm="1">
        <f t="array" ref="N445">_xlfn.IFS(M445=1,"Low",M445=2,"Medium",M445=3,"High",M445=4,"Very High")</f>
        <v>High</v>
      </c>
      <c r="O445" t="s">
        <v>42</v>
      </c>
      <c r="P445" s="2">
        <v>99</v>
      </c>
      <c r="Q445">
        <v>2</v>
      </c>
      <c r="R445" t="str" cm="1">
        <f t="array" ref="R445">_xlfn.IFS(Q445=1,"Low",Q445=2,"Medium",Q445=3,"High",Q445=4,"Very High")</f>
        <v>Medium</v>
      </c>
      <c r="S445">
        <v>1</v>
      </c>
      <c r="T445" t="str" cm="1">
        <f t="array" ref="T445">_xlfn.IFS(S445=1,"Entry Level",S445=2,"Junior",S445=3,"Mid-Level",S445=4,"Senior",S445=5,"Executive")</f>
        <v>Entry Level</v>
      </c>
      <c r="U445" t="s">
        <v>46</v>
      </c>
      <c r="V445">
        <v>3</v>
      </c>
      <c r="W445" t="str" cm="1">
        <f t="array" ref="W445">_xlfn.IFS(V445=1,"Low",V445=2,"Medium",V445=3,"High",V445=4,"Very High")</f>
        <v>High</v>
      </c>
      <c r="X445" t="s">
        <v>38</v>
      </c>
      <c r="Y445" s="2">
        <v>3894</v>
      </c>
      <c r="Z445" s="2">
        <v>9129</v>
      </c>
      <c r="AA445">
        <v>5</v>
      </c>
      <c r="AB445" t="s">
        <v>39</v>
      </c>
      <c r="AC445">
        <v>16</v>
      </c>
      <c r="AD445">
        <v>3</v>
      </c>
      <c r="AE445" t="str" cm="1">
        <f t="array" ref="AE445">_xlfn.IFS(AD445=1,"Low",AD445=2,"Good",AD445=3,"Excellent",AD445=4,"Outstanding")</f>
        <v>Excellent</v>
      </c>
      <c r="AF445">
        <v>3</v>
      </c>
      <c r="AG445" t="str" cm="1">
        <f t="array" ref="AG445">_xlfn.IFS(AF445=1,"Low",AF445=2,"Medium",AF445=3,"High",AF445=4,"Very High")</f>
        <v>High</v>
      </c>
      <c r="AH445">
        <v>0</v>
      </c>
      <c r="AI445">
        <v>4</v>
      </c>
      <c r="AJ445">
        <v>3</v>
      </c>
      <c r="AK445">
        <v>3</v>
      </c>
      <c r="AL445" t="str" cm="1">
        <f t="array" ref="AL445">_xlfn.IFS(AK445=1,"Low",AK445=2,"Medium",AK445=3,"High",AK445=4,"Very High")</f>
        <v>High</v>
      </c>
      <c r="AM445">
        <v>2</v>
      </c>
      <c r="AN445">
        <v>2</v>
      </c>
      <c r="AO445">
        <v>1</v>
      </c>
      <c r="AP445">
        <v>2</v>
      </c>
    </row>
    <row r="446" spans="1:42">
      <c r="A446">
        <v>48</v>
      </c>
      <c r="B446" t="str" cm="1">
        <f t="array" ref="B446">_xlfn.IFS(A446&lt;=25,"18-25",A446&lt;=35,"26-35",A446&lt;=45,"36-45",A446&lt;=55,"46-55",A446&gt;55,"56+")</f>
        <v>46-55</v>
      </c>
      <c r="C446" t="s">
        <v>39</v>
      </c>
      <c r="D446" t="s">
        <v>33</v>
      </c>
      <c r="E446" s="2">
        <v>163</v>
      </c>
      <c r="F446" t="s">
        <v>34</v>
      </c>
      <c r="G446">
        <v>2</v>
      </c>
      <c r="H446" t="str">
        <f t="shared" si="6"/>
        <v>1-10 km</v>
      </c>
      <c r="I446">
        <v>5</v>
      </c>
      <c r="J446" t="str" cm="1">
        <f t="array" ref="J446">_xlfn.IFS(I446=1,"Below College",I446=2,"College",I446=3,"Bachelor",I446=4,"Master",I446=5,"Doctor")</f>
        <v>Doctor</v>
      </c>
      <c r="K446" t="s">
        <v>55</v>
      </c>
      <c r="L446">
        <v>595</v>
      </c>
      <c r="M446">
        <v>2</v>
      </c>
      <c r="N446" t="str" cm="1">
        <f t="array" ref="N446">_xlfn.IFS(M446=1,"Low",M446=2,"Medium",M446=3,"High",M446=4,"Very High")</f>
        <v>Medium</v>
      </c>
      <c r="O446" t="s">
        <v>36</v>
      </c>
      <c r="P446" s="2">
        <v>37</v>
      </c>
      <c r="Q446">
        <v>3</v>
      </c>
      <c r="R446" t="str" cm="1">
        <f t="array" ref="R446">_xlfn.IFS(Q446=1,"Low",Q446=2,"Medium",Q446=3,"High",Q446=4,"Very High")</f>
        <v>High</v>
      </c>
      <c r="S446">
        <v>2</v>
      </c>
      <c r="T446" t="str" cm="1">
        <f t="array" ref="T446">_xlfn.IFS(S446=1,"Entry Level",S446=2,"Junior",S446=3,"Mid-Level",S446=4,"Senior",S446=5,"Executive")</f>
        <v>Junior</v>
      </c>
      <c r="U446" t="s">
        <v>37</v>
      </c>
      <c r="V446">
        <v>4</v>
      </c>
      <c r="W446" t="str" cm="1">
        <f t="array" ref="W446">_xlfn.IFS(V446=1,"Low",V446=2,"Medium",V446=3,"High",V446=4,"Very High")</f>
        <v>Very High</v>
      </c>
      <c r="X446" t="s">
        <v>44</v>
      </c>
      <c r="Y446" s="2">
        <v>4051</v>
      </c>
      <c r="Z446" s="2">
        <v>19658</v>
      </c>
      <c r="AA446">
        <v>2</v>
      </c>
      <c r="AB446" t="s">
        <v>39</v>
      </c>
      <c r="AC446">
        <v>14</v>
      </c>
      <c r="AD446">
        <v>3</v>
      </c>
      <c r="AE446" t="str" cm="1">
        <f t="array" ref="AE446">_xlfn.IFS(AD446=1,"Low",AD446=2,"Good",AD446=3,"Excellent",AD446=4,"Outstanding")</f>
        <v>Excellent</v>
      </c>
      <c r="AF446">
        <v>1</v>
      </c>
      <c r="AG446" t="str" cm="1">
        <f t="array" ref="AG446">_xlfn.IFS(AF446=1,"Low",AF446=2,"Medium",AF446=3,"High",AF446=4,"Very High")</f>
        <v>Low</v>
      </c>
      <c r="AH446">
        <v>1</v>
      </c>
      <c r="AI446">
        <v>14</v>
      </c>
      <c r="AJ446">
        <v>2</v>
      </c>
      <c r="AK446">
        <v>3</v>
      </c>
      <c r="AL446" t="str" cm="1">
        <f t="array" ref="AL446">_xlfn.IFS(AK446=1,"Low",AK446=2,"Medium",AK446=3,"High",AK446=4,"Very High")</f>
        <v>High</v>
      </c>
      <c r="AM446">
        <v>9</v>
      </c>
      <c r="AN446">
        <v>7</v>
      </c>
      <c r="AO446">
        <v>6</v>
      </c>
      <c r="AP446">
        <v>7</v>
      </c>
    </row>
    <row r="447" spans="1:42">
      <c r="A447">
        <v>55</v>
      </c>
      <c r="B447" t="str" cm="1">
        <f t="array" ref="B447">_xlfn.IFS(A447&lt;=25,"18-25",A447&lt;=35,"26-35",A447&lt;=45,"36-45",A447&lt;=55,"46-55",A447&gt;55,"56+")</f>
        <v>46-55</v>
      </c>
      <c r="C447" t="s">
        <v>39</v>
      </c>
      <c r="D447" t="s">
        <v>33</v>
      </c>
      <c r="E447" s="2">
        <v>1117</v>
      </c>
      <c r="F447" t="s">
        <v>34</v>
      </c>
      <c r="G447">
        <v>18</v>
      </c>
      <c r="H447" t="str">
        <f t="shared" si="6"/>
        <v>11-20 km</v>
      </c>
      <c r="I447">
        <v>5</v>
      </c>
      <c r="J447" t="str" cm="1">
        <f t="array" ref="J447">_xlfn.IFS(I447=1,"Below College",I447=2,"College",I447=3,"Bachelor",I447=4,"Master",I447=5,"Doctor")</f>
        <v>Doctor</v>
      </c>
      <c r="K447" t="s">
        <v>35</v>
      </c>
      <c r="L447">
        <v>597</v>
      </c>
      <c r="M447">
        <v>1</v>
      </c>
      <c r="N447" t="str" cm="1">
        <f t="array" ref="N447">_xlfn.IFS(M447=1,"Low",M447=2,"Medium",M447=3,"High",M447=4,"Very High")</f>
        <v>Low</v>
      </c>
      <c r="O447" t="s">
        <v>36</v>
      </c>
      <c r="P447" s="2">
        <v>83</v>
      </c>
      <c r="Q447">
        <v>3</v>
      </c>
      <c r="R447" t="str" cm="1">
        <f t="array" ref="R447">_xlfn.IFS(Q447=1,"Low",Q447=2,"Medium",Q447=3,"High",Q447=4,"Very High")</f>
        <v>High</v>
      </c>
      <c r="S447">
        <v>4</v>
      </c>
      <c r="T447" t="str" cm="1">
        <f t="array" ref="T447">_xlfn.IFS(S447=1,"Entry Level",S447=2,"Junior",S447=3,"Mid-Level",S447=4,"Senior",S447=5,"Executive")</f>
        <v>Senior</v>
      </c>
      <c r="U447" t="s">
        <v>52</v>
      </c>
      <c r="V447">
        <v>2</v>
      </c>
      <c r="W447" t="str" cm="1">
        <f t="array" ref="W447">_xlfn.IFS(V447=1,"Low",V447=2,"Medium",V447=3,"High",V447=4,"Very High")</f>
        <v>Medium</v>
      </c>
      <c r="X447" t="s">
        <v>38</v>
      </c>
      <c r="Y447" s="2">
        <v>16835</v>
      </c>
      <c r="Z447" s="2">
        <v>9873</v>
      </c>
      <c r="AA447">
        <v>3</v>
      </c>
      <c r="AB447" t="s">
        <v>39</v>
      </c>
      <c r="AC447">
        <v>23</v>
      </c>
      <c r="AD447">
        <v>4</v>
      </c>
      <c r="AE447" t="str" cm="1">
        <f t="array" ref="AE447">_xlfn.IFS(AD447=1,"Low",AD447=2,"Good",AD447=3,"Excellent",AD447=4,"Outstanding")</f>
        <v>Outstanding</v>
      </c>
      <c r="AF447">
        <v>4</v>
      </c>
      <c r="AG447" t="str" cm="1">
        <f t="array" ref="AG447">_xlfn.IFS(AF447=1,"Low",AF447=2,"Medium",AF447=3,"High",AF447=4,"Very High")</f>
        <v>Very High</v>
      </c>
      <c r="AH447">
        <v>0</v>
      </c>
      <c r="AI447">
        <v>37</v>
      </c>
      <c r="AJ447">
        <v>2</v>
      </c>
      <c r="AK447">
        <v>3</v>
      </c>
      <c r="AL447" t="str" cm="1">
        <f t="array" ref="AL447">_xlfn.IFS(AK447=1,"Low",AK447=2,"Medium",AK447=3,"High",AK447=4,"Very High")</f>
        <v>High</v>
      </c>
      <c r="AM447">
        <v>10</v>
      </c>
      <c r="AN447">
        <v>9</v>
      </c>
      <c r="AO447">
        <v>7</v>
      </c>
      <c r="AP447">
        <v>7</v>
      </c>
    </row>
    <row r="448" spans="1:42">
      <c r="A448">
        <v>41</v>
      </c>
      <c r="B448" t="str" cm="1">
        <f t="array" ref="B448">_xlfn.IFS(A448&lt;=25,"18-25",A448&lt;=35,"26-35",A448&lt;=45,"36-45",A448&lt;=55,"46-55",A448&gt;55,"56+")</f>
        <v>36-45</v>
      </c>
      <c r="C448" t="s">
        <v>39</v>
      </c>
      <c r="D448" t="s">
        <v>51</v>
      </c>
      <c r="E448" s="2">
        <v>267</v>
      </c>
      <c r="F448" t="s">
        <v>34</v>
      </c>
      <c r="G448">
        <v>10</v>
      </c>
      <c r="H448" t="str">
        <f t="shared" si="6"/>
        <v>1-10 km</v>
      </c>
      <c r="I448">
        <v>2</v>
      </c>
      <c r="J448" t="str" cm="1">
        <f t="array" ref="J448">_xlfn.IFS(I448=1,"Below College",I448=2,"College",I448=3,"Bachelor",I448=4,"Master",I448=5,"Doctor")</f>
        <v>College</v>
      </c>
      <c r="K448" t="s">
        <v>35</v>
      </c>
      <c r="L448">
        <v>599</v>
      </c>
      <c r="M448">
        <v>4</v>
      </c>
      <c r="N448" t="str" cm="1">
        <f t="array" ref="N448">_xlfn.IFS(M448=1,"Low",M448=2,"Medium",M448=3,"High",M448=4,"Very High")</f>
        <v>Very High</v>
      </c>
      <c r="O448" t="s">
        <v>42</v>
      </c>
      <c r="P448" s="2">
        <v>56</v>
      </c>
      <c r="Q448">
        <v>3</v>
      </c>
      <c r="R448" t="str" cm="1">
        <f t="array" ref="R448">_xlfn.IFS(Q448=1,"Low",Q448=2,"Medium",Q448=3,"High",Q448=4,"Very High")</f>
        <v>High</v>
      </c>
      <c r="S448">
        <v>2</v>
      </c>
      <c r="T448" t="str" cm="1">
        <f t="array" ref="T448">_xlfn.IFS(S448=1,"Entry Level",S448=2,"Junior",S448=3,"Mid-Level",S448=4,"Senior",S448=5,"Executive")</f>
        <v>Junior</v>
      </c>
      <c r="U448" t="s">
        <v>37</v>
      </c>
      <c r="V448">
        <v>4</v>
      </c>
      <c r="W448" t="str" cm="1">
        <f t="array" ref="W448">_xlfn.IFS(V448=1,"Low",V448=2,"Medium",V448=3,"High",V448=4,"Very High")</f>
        <v>Very High</v>
      </c>
      <c r="X448" t="s">
        <v>38</v>
      </c>
      <c r="Y448" s="2">
        <v>6230</v>
      </c>
      <c r="Z448" s="2">
        <v>13430</v>
      </c>
      <c r="AA448">
        <v>7</v>
      </c>
      <c r="AB448" t="s">
        <v>39</v>
      </c>
      <c r="AC448">
        <v>14</v>
      </c>
      <c r="AD448">
        <v>3</v>
      </c>
      <c r="AE448" t="str" cm="1">
        <f t="array" ref="AE448">_xlfn.IFS(AD448=1,"Low",AD448=2,"Good",AD448=3,"Excellent",AD448=4,"Outstanding")</f>
        <v>Excellent</v>
      </c>
      <c r="AF448">
        <v>4</v>
      </c>
      <c r="AG448" t="str" cm="1">
        <f t="array" ref="AG448">_xlfn.IFS(AF448=1,"Low",AF448=2,"Medium",AF448=3,"High",AF448=4,"Very High")</f>
        <v>Very High</v>
      </c>
      <c r="AH448">
        <v>0</v>
      </c>
      <c r="AI448">
        <v>16</v>
      </c>
      <c r="AJ448">
        <v>3</v>
      </c>
      <c r="AK448">
        <v>3</v>
      </c>
      <c r="AL448" t="str" cm="1">
        <f t="array" ref="AL448">_xlfn.IFS(AK448=1,"Low",AK448=2,"Medium",AK448=3,"High",AK448=4,"Very High")</f>
        <v>High</v>
      </c>
      <c r="AM448">
        <v>14</v>
      </c>
      <c r="AN448">
        <v>3</v>
      </c>
      <c r="AO448">
        <v>1</v>
      </c>
      <c r="AP448">
        <v>10</v>
      </c>
    </row>
    <row r="449" spans="1:42">
      <c r="A449">
        <v>35</v>
      </c>
      <c r="B449" t="str" cm="1">
        <f t="array" ref="B449">_xlfn.IFS(A449&lt;=25,"18-25",A449&lt;=35,"26-35",A449&lt;=45,"36-45",A449&lt;=55,"46-55",A449&gt;55,"56+")</f>
        <v>26-35</v>
      </c>
      <c r="C449" t="s">
        <v>39</v>
      </c>
      <c r="D449" t="s">
        <v>33</v>
      </c>
      <c r="E449" s="2">
        <v>619</v>
      </c>
      <c r="F449" t="s">
        <v>34</v>
      </c>
      <c r="G449">
        <v>1</v>
      </c>
      <c r="H449" t="str">
        <f t="shared" si="6"/>
        <v>1-10 km</v>
      </c>
      <c r="I449">
        <v>3</v>
      </c>
      <c r="J449" t="str" cm="1">
        <f t="array" ref="J449">_xlfn.IFS(I449=1,"Below College",I449=2,"College",I449=3,"Bachelor",I449=4,"Master",I449=5,"Doctor")</f>
        <v>Bachelor</v>
      </c>
      <c r="K449" t="s">
        <v>55</v>
      </c>
      <c r="L449">
        <v>600</v>
      </c>
      <c r="M449">
        <v>2</v>
      </c>
      <c r="N449" t="str" cm="1">
        <f t="array" ref="N449">_xlfn.IFS(M449=1,"Low",M449=2,"Medium",M449=3,"High",M449=4,"Very High")</f>
        <v>Medium</v>
      </c>
      <c r="O449" t="s">
        <v>42</v>
      </c>
      <c r="P449" s="2">
        <v>85</v>
      </c>
      <c r="Q449">
        <v>3</v>
      </c>
      <c r="R449" t="str" cm="1">
        <f t="array" ref="R449">_xlfn.IFS(Q449=1,"Low",Q449=2,"Medium",Q449=3,"High",Q449=4,"Very High")</f>
        <v>High</v>
      </c>
      <c r="S449">
        <v>2</v>
      </c>
      <c r="T449" t="str" cm="1">
        <f t="array" ref="T449">_xlfn.IFS(S449=1,"Entry Level",S449=2,"Junior",S449=3,"Mid-Level",S449=4,"Senior",S449=5,"Executive")</f>
        <v>Junior</v>
      </c>
      <c r="U449" t="s">
        <v>37</v>
      </c>
      <c r="V449">
        <v>3</v>
      </c>
      <c r="W449" t="str" cm="1">
        <f t="array" ref="W449">_xlfn.IFS(V449=1,"Low",V449=2,"Medium",V449=3,"High",V449=4,"Very High")</f>
        <v>High</v>
      </c>
      <c r="X449" t="s">
        <v>44</v>
      </c>
      <c r="Y449" s="2">
        <v>4717</v>
      </c>
      <c r="Z449" s="2">
        <v>18659</v>
      </c>
      <c r="AA449">
        <v>9</v>
      </c>
      <c r="AB449" t="s">
        <v>39</v>
      </c>
      <c r="AC449">
        <v>11</v>
      </c>
      <c r="AD449">
        <v>3</v>
      </c>
      <c r="AE449" t="str" cm="1">
        <f t="array" ref="AE449">_xlfn.IFS(AD449=1,"Low",AD449=2,"Good",AD449=3,"Excellent",AD449=4,"Outstanding")</f>
        <v>Excellent</v>
      </c>
      <c r="AF449">
        <v>3</v>
      </c>
      <c r="AG449" t="str" cm="1">
        <f t="array" ref="AG449">_xlfn.IFS(AF449=1,"Low",AF449=2,"Medium",AF449=3,"High",AF449=4,"Very High")</f>
        <v>High</v>
      </c>
      <c r="AH449">
        <v>0</v>
      </c>
      <c r="AI449">
        <v>15</v>
      </c>
      <c r="AJ449">
        <v>2</v>
      </c>
      <c r="AK449">
        <v>3</v>
      </c>
      <c r="AL449" t="str" cm="1">
        <f t="array" ref="AL449">_xlfn.IFS(AK449=1,"Low",AK449=2,"Medium",AK449=3,"High",AK449=4,"Very High")</f>
        <v>High</v>
      </c>
      <c r="AM449">
        <v>11</v>
      </c>
      <c r="AN449">
        <v>9</v>
      </c>
      <c r="AO449">
        <v>6</v>
      </c>
      <c r="AP449">
        <v>9</v>
      </c>
    </row>
    <row r="450" spans="1:42">
      <c r="A450">
        <v>40</v>
      </c>
      <c r="B450" t="str" cm="1">
        <f t="array" ref="B450">_xlfn.IFS(A450&lt;=25,"18-25",A450&lt;=35,"26-35",A450&lt;=45,"36-45",A450&lt;=55,"46-55",A450&gt;55,"56+")</f>
        <v>36-45</v>
      </c>
      <c r="C450" t="s">
        <v>39</v>
      </c>
      <c r="D450" t="s">
        <v>33</v>
      </c>
      <c r="E450" s="2">
        <v>302</v>
      </c>
      <c r="F450" t="s">
        <v>41</v>
      </c>
      <c r="G450">
        <v>6</v>
      </c>
      <c r="H450" t="str">
        <f t="shared" si="6"/>
        <v>1-10 km</v>
      </c>
      <c r="I450">
        <v>3</v>
      </c>
      <c r="J450" t="str" cm="1">
        <f t="array" ref="J450">_xlfn.IFS(I450=1,"Below College",I450=2,"College",I450=3,"Bachelor",I450=4,"Master",I450=5,"Doctor")</f>
        <v>Bachelor</v>
      </c>
      <c r="K450" t="s">
        <v>35</v>
      </c>
      <c r="L450">
        <v>601</v>
      </c>
      <c r="M450">
        <v>2</v>
      </c>
      <c r="N450" t="str" cm="1">
        <f t="array" ref="N450">_xlfn.IFS(M450=1,"Low",M450=2,"Medium",M450=3,"High",M450=4,"Very High")</f>
        <v>Medium</v>
      </c>
      <c r="O450" t="s">
        <v>36</v>
      </c>
      <c r="P450" s="2">
        <v>75</v>
      </c>
      <c r="Q450">
        <v>3</v>
      </c>
      <c r="R450" t="str" cm="1">
        <f t="array" ref="R450">_xlfn.IFS(Q450=1,"Low",Q450=2,"Medium",Q450=3,"High",Q450=4,"Very High")</f>
        <v>High</v>
      </c>
      <c r="S450">
        <v>4</v>
      </c>
      <c r="T450" t="str" cm="1">
        <f t="array" ref="T450">_xlfn.IFS(S450=1,"Entry Level",S450=2,"Junior",S450=3,"Mid-Level",S450=4,"Senior",S450=5,"Executive")</f>
        <v>Senior</v>
      </c>
      <c r="U450" t="s">
        <v>49</v>
      </c>
      <c r="V450">
        <v>3</v>
      </c>
      <c r="W450" t="str" cm="1">
        <f t="array" ref="W450">_xlfn.IFS(V450=1,"Low",V450=2,"Medium",V450=3,"High",V450=4,"Very High")</f>
        <v>High</v>
      </c>
      <c r="X450" t="s">
        <v>38</v>
      </c>
      <c r="Y450" s="2">
        <v>13237</v>
      </c>
      <c r="Z450" s="2">
        <v>20364</v>
      </c>
      <c r="AA450">
        <v>7</v>
      </c>
      <c r="AB450" t="s">
        <v>39</v>
      </c>
      <c r="AC450">
        <v>15</v>
      </c>
      <c r="AD450">
        <v>3</v>
      </c>
      <c r="AE450" t="str" cm="1">
        <f t="array" ref="AE450">_xlfn.IFS(AD450=1,"Low",AD450=2,"Good",AD450=3,"Excellent",AD450=4,"Outstanding")</f>
        <v>Excellent</v>
      </c>
      <c r="AF450">
        <v>3</v>
      </c>
      <c r="AG450" t="str" cm="1">
        <f t="array" ref="AG450">_xlfn.IFS(AF450=1,"Low",AF450=2,"Medium",AF450=3,"High",AF450=4,"Very High")</f>
        <v>High</v>
      </c>
      <c r="AH450">
        <v>0</v>
      </c>
      <c r="AI450">
        <v>22</v>
      </c>
      <c r="AJ450">
        <v>3</v>
      </c>
      <c r="AK450">
        <v>3</v>
      </c>
      <c r="AL450" t="str" cm="1">
        <f t="array" ref="AL450">_xlfn.IFS(AK450=1,"Low",AK450=2,"Medium",AK450=3,"High",AK450=4,"Very High")</f>
        <v>High</v>
      </c>
      <c r="AM450">
        <v>20</v>
      </c>
      <c r="AN450">
        <v>6</v>
      </c>
      <c r="AO450">
        <v>5</v>
      </c>
      <c r="AP450">
        <v>13</v>
      </c>
    </row>
    <row r="451" spans="1:42">
      <c r="A451">
        <v>39</v>
      </c>
      <c r="B451" t="str" cm="1">
        <f t="array" ref="B451">_xlfn.IFS(A451&lt;=25,"18-25",A451&lt;=35,"26-35",A451&lt;=45,"36-45",A451&lt;=55,"46-55",A451&gt;55,"56+")</f>
        <v>36-45</v>
      </c>
      <c r="C451" t="s">
        <v>39</v>
      </c>
      <c r="D451" t="s">
        <v>40</v>
      </c>
      <c r="E451" s="2">
        <v>443</v>
      </c>
      <c r="F451" t="s">
        <v>41</v>
      </c>
      <c r="G451">
        <v>8</v>
      </c>
      <c r="H451" t="str">
        <f t="shared" ref="H451:H514" si="7">IF(G451&lt;=10,"1-10 km",IF(G451&lt;=20,"11-20 km",IF(G451&lt;=30,"21-30 km","31+ km")))</f>
        <v>1-10 km</v>
      </c>
      <c r="I451">
        <v>1</v>
      </c>
      <c r="J451" t="str" cm="1">
        <f t="array" ref="J451">_xlfn.IFS(I451=1,"Below College",I451=2,"College",I451=3,"Bachelor",I451=4,"Master",I451=5,"Doctor")</f>
        <v>Below College</v>
      </c>
      <c r="K451" t="s">
        <v>35</v>
      </c>
      <c r="L451">
        <v>602</v>
      </c>
      <c r="M451">
        <v>3</v>
      </c>
      <c r="N451" t="str" cm="1">
        <f t="array" ref="N451">_xlfn.IFS(M451=1,"Low",M451=2,"Medium",M451=3,"High",M451=4,"Very High")</f>
        <v>High</v>
      </c>
      <c r="O451" t="s">
        <v>36</v>
      </c>
      <c r="P451" s="2">
        <v>48</v>
      </c>
      <c r="Q451">
        <v>3</v>
      </c>
      <c r="R451" t="str" cm="1">
        <f t="array" ref="R451">_xlfn.IFS(Q451=1,"Low",Q451=2,"Medium",Q451=3,"High",Q451=4,"Very High")</f>
        <v>High</v>
      </c>
      <c r="S451">
        <v>1</v>
      </c>
      <c r="T451" t="str" cm="1">
        <f t="array" ref="T451">_xlfn.IFS(S451=1,"Entry Level",S451=2,"Junior",S451=3,"Mid-Level",S451=4,"Senior",S451=5,"Executive")</f>
        <v>Entry Level</v>
      </c>
      <c r="U451" t="s">
        <v>46</v>
      </c>
      <c r="V451">
        <v>3</v>
      </c>
      <c r="W451" t="str" cm="1">
        <f t="array" ref="W451">_xlfn.IFS(V451=1,"Low",V451=2,"Medium",V451=3,"High",V451=4,"Very High")</f>
        <v>High</v>
      </c>
      <c r="X451" t="s">
        <v>44</v>
      </c>
      <c r="Y451" s="2">
        <v>3755</v>
      </c>
      <c r="Z451" s="2">
        <v>17872</v>
      </c>
      <c r="AA451">
        <v>1</v>
      </c>
      <c r="AB451" t="s">
        <v>39</v>
      </c>
      <c r="AC451">
        <v>11</v>
      </c>
      <c r="AD451">
        <v>3</v>
      </c>
      <c r="AE451" t="str" cm="1">
        <f t="array" ref="AE451">_xlfn.IFS(AD451=1,"Low",AD451=2,"Good",AD451=3,"Excellent",AD451=4,"Outstanding")</f>
        <v>Excellent</v>
      </c>
      <c r="AF451">
        <v>1</v>
      </c>
      <c r="AG451" t="str" cm="1">
        <f t="array" ref="AG451">_xlfn.IFS(AF451=1,"Low",AF451=2,"Medium",AF451=3,"High",AF451=4,"Very High")</f>
        <v>Low</v>
      </c>
      <c r="AH451">
        <v>1</v>
      </c>
      <c r="AI451">
        <v>8</v>
      </c>
      <c r="AJ451">
        <v>3</v>
      </c>
      <c r="AK451">
        <v>3</v>
      </c>
      <c r="AL451" t="str" cm="1">
        <f t="array" ref="AL451">_xlfn.IFS(AK451=1,"Low",AK451=2,"Medium",AK451=3,"High",AK451=4,"Very High")</f>
        <v>High</v>
      </c>
      <c r="AM451">
        <v>8</v>
      </c>
      <c r="AN451">
        <v>3</v>
      </c>
      <c r="AO451">
        <v>0</v>
      </c>
      <c r="AP451">
        <v>7</v>
      </c>
    </row>
    <row r="452" spans="1:42">
      <c r="A452">
        <v>31</v>
      </c>
      <c r="B452" t="str" cm="1">
        <f t="array" ref="B452">_xlfn.IFS(A452&lt;=25,"18-25",A452&lt;=35,"26-35",A452&lt;=45,"36-45",A452&lt;=55,"46-55",A452&gt;55,"56+")</f>
        <v>26-35</v>
      </c>
      <c r="C452" t="s">
        <v>39</v>
      </c>
      <c r="D452" t="s">
        <v>33</v>
      </c>
      <c r="E452" s="2">
        <v>828</v>
      </c>
      <c r="F452" t="s">
        <v>34</v>
      </c>
      <c r="G452">
        <v>2</v>
      </c>
      <c r="H452" t="str">
        <f t="shared" si="7"/>
        <v>1-10 km</v>
      </c>
      <c r="I452">
        <v>1</v>
      </c>
      <c r="J452" t="str" cm="1">
        <f t="array" ref="J452">_xlfn.IFS(I452=1,"Below College",I452=2,"College",I452=3,"Bachelor",I452=4,"Master",I452=5,"Doctor")</f>
        <v>Below College</v>
      </c>
      <c r="K452" t="s">
        <v>35</v>
      </c>
      <c r="L452">
        <v>604</v>
      </c>
      <c r="M452">
        <v>2</v>
      </c>
      <c r="N452" t="str" cm="1">
        <f t="array" ref="N452">_xlfn.IFS(M452=1,"Low",M452=2,"Medium",M452=3,"High",M452=4,"Very High")</f>
        <v>Medium</v>
      </c>
      <c r="O452" t="s">
        <v>42</v>
      </c>
      <c r="P452" s="2">
        <v>77</v>
      </c>
      <c r="Q452">
        <v>3</v>
      </c>
      <c r="R452" t="str" cm="1">
        <f t="array" ref="R452">_xlfn.IFS(Q452=1,"Low",Q452=2,"Medium",Q452=3,"High",Q452=4,"Very High")</f>
        <v>High</v>
      </c>
      <c r="S452">
        <v>2</v>
      </c>
      <c r="T452" t="str" cm="1">
        <f t="array" ref="T452">_xlfn.IFS(S452=1,"Entry Level",S452=2,"Junior",S452=3,"Mid-Level",S452=4,"Senior",S452=5,"Executive")</f>
        <v>Junior</v>
      </c>
      <c r="U452" t="s">
        <v>37</v>
      </c>
      <c r="V452">
        <v>4</v>
      </c>
      <c r="W452" t="str" cm="1">
        <f t="array" ref="W452">_xlfn.IFS(V452=1,"Low",V452=2,"Medium",V452=3,"High",V452=4,"Very High")</f>
        <v>Very High</v>
      </c>
      <c r="X452" t="s">
        <v>38</v>
      </c>
      <c r="Y452" s="2">
        <v>6582</v>
      </c>
      <c r="Z452" s="2">
        <v>8346</v>
      </c>
      <c r="AA452">
        <v>4</v>
      </c>
      <c r="AB452" t="s">
        <v>32</v>
      </c>
      <c r="AC452">
        <v>13</v>
      </c>
      <c r="AD452">
        <v>3</v>
      </c>
      <c r="AE452" t="str" cm="1">
        <f t="array" ref="AE452">_xlfn.IFS(AD452=1,"Low",AD452=2,"Good",AD452=3,"Excellent",AD452=4,"Outstanding")</f>
        <v>Excellent</v>
      </c>
      <c r="AF452">
        <v>3</v>
      </c>
      <c r="AG452" t="str" cm="1">
        <f t="array" ref="AG452">_xlfn.IFS(AF452=1,"Low",AF452=2,"Medium",AF452=3,"High",AF452=4,"Very High")</f>
        <v>High</v>
      </c>
      <c r="AH452">
        <v>0</v>
      </c>
      <c r="AI452">
        <v>10</v>
      </c>
      <c r="AJ452">
        <v>2</v>
      </c>
      <c r="AK452">
        <v>4</v>
      </c>
      <c r="AL452" t="str" cm="1">
        <f t="array" ref="AL452">_xlfn.IFS(AK452=1,"Low",AK452=2,"Medium",AK452=3,"High",AK452=4,"Very High")</f>
        <v>Very High</v>
      </c>
      <c r="AM452">
        <v>6</v>
      </c>
      <c r="AN452">
        <v>5</v>
      </c>
      <c r="AO452">
        <v>0</v>
      </c>
      <c r="AP452">
        <v>5</v>
      </c>
    </row>
    <row r="453" spans="1:42">
      <c r="A453">
        <v>42</v>
      </c>
      <c r="B453" t="str" cm="1">
        <f t="array" ref="B453">_xlfn.IFS(A453&lt;=25,"18-25",A453&lt;=35,"26-35",A453&lt;=45,"36-45",A453&lt;=55,"46-55",A453&gt;55,"56+")</f>
        <v>36-45</v>
      </c>
      <c r="C453" t="s">
        <v>39</v>
      </c>
      <c r="D453" t="s">
        <v>33</v>
      </c>
      <c r="E453" s="2">
        <v>319</v>
      </c>
      <c r="F453" t="s">
        <v>41</v>
      </c>
      <c r="G453">
        <v>24</v>
      </c>
      <c r="H453" t="str">
        <f t="shared" si="7"/>
        <v>21-30 km</v>
      </c>
      <c r="I453">
        <v>3</v>
      </c>
      <c r="J453" t="str" cm="1">
        <f t="array" ref="J453">_xlfn.IFS(I453=1,"Below College",I453=2,"College",I453=3,"Bachelor",I453=4,"Master",I453=5,"Doctor")</f>
        <v>Bachelor</v>
      </c>
      <c r="K453" t="s">
        <v>47</v>
      </c>
      <c r="L453">
        <v>605</v>
      </c>
      <c r="M453">
        <v>4</v>
      </c>
      <c r="N453" t="str" cm="1">
        <f t="array" ref="N453">_xlfn.IFS(M453=1,"Low",M453=2,"Medium",M453=3,"High",M453=4,"Very High")</f>
        <v>Very High</v>
      </c>
      <c r="O453" t="s">
        <v>42</v>
      </c>
      <c r="P453" s="2">
        <v>56</v>
      </c>
      <c r="Q453">
        <v>3</v>
      </c>
      <c r="R453" t="str" cm="1">
        <f t="array" ref="R453">_xlfn.IFS(Q453=1,"Low",Q453=2,"Medium",Q453=3,"High",Q453=4,"Very High")</f>
        <v>High</v>
      </c>
      <c r="S453">
        <v>3</v>
      </c>
      <c r="T453" t="str" cm="1">
        <f t="array" ref="T453">_xlfn.IFS(S453=1,"Entry Level",S453=2,"Junior",S453=3,"Mid-Level",S453=4,"Senior",S453=5,"Executive")</f>
        <v>Mid-Level</v>
      </c>
      <c r="U453" t="s">
        <v>49</v>
      </c>
      <c r="V453">
        <v>1</v>
      </c>
      <c r="W453" t="str" cm="1">
        <f t="array" ref="W453">_xlfn.IFS(V453=1,"Low",V453=2,"Medium",V453=3,"High",V453=4,"Very High")</f>
        <v>Low</v>
      </c>
      <c r="X453" t="s">
        <v>44</v>
      </c>
      <c r="Y453" s="2">
        <v>7406</v>
      </c>
      <c r="Z453" s="2">
        <v>6950</v>
      </c>
      <c r="AA453">
        <v>1</v>
      </c>
      <c r="AB453" t="s">
        <v>32</v>
      </c>
      <c r="AC453">
        <v>21</v>
      </c>
      <c r="AD453">
        <v>4</v>
      </c>
      <c r="AE453" t="str" cm="1">
        <f t="array" ref="AE453">_xlfn.IFS(AD453=1,"Low",AD453=2,"Good",AD453=3,"Excellent",AD453=4,"Outstanding")</f>
        <v>Outstanding</v>
      </c>
      <c r="AF453">
        <v>4</v>
      </c>
      <c r="AG453" t="str" cm="1">
        <f t="array" ref="AG453">_xlfn.IFS(AF453=1,"Low",AF453=2,"Medium",AF453=3,"High",AF453=4,"Very High")</f>
        <v>Very High</v>
      </c>
      <c r="AH453">
        <v>1</v>
      </c>
      <c r="AI453">
        <v>10</v>
      </c>
      <c r="AJ453">
        <v>5</v>
      </c>
      <c r="AK453">
        <v>2</v>
      </c>
      <c r="AL453" t="str" cm="1">
        <f t="array" ref="AL453">_xlfn.IFS(AK453=1,"Low",AK453=2,"Medium",AK453=3,"High",AK453=4,"Very High")</f>
        <v>Medium</v>
      </c>
      <c r="AM453">
        <v>10</v>
      </c>
      <c r="AN453">
        <v>9</v>
      </c>
      <c r="AO453">
        <v>5</v>
      </c>
      <c r="AP453">
        <v>8</v>
      </c>
    </row>
    <row r="454" spans="1:42">
      <c r="A454">
        <v>45</v>
      </c>
      <c r="B454" t="str" cm="1">
        <f t="array" ref="B454">_xlfn.IFS(A454&lt;=25,"18-25",A454&lt;=35,"26-35",A454&lt;=45,"36-45",A454&lt;=55,"46-55",A454&gt;55,"56+")</f>
        <v>36-45</v>
      </c>
      <c r="C454" t="s">
        <v>39</v>
      </c>
      <c r="D454" t="s">
        <v>33</v>
      </c>
      <c r="E454" s="2">
        <v>561</v>
      </c>
      <c r="F454" t="s">
        <v>34</v>
      </c>
      <c r="G454">
        <v>2</v>
      </c>
      <c r="H454" t="str">
        <f t="shared" si="7"/>
        <v>1-10 km</v>
      </c>
      <c r="I454">
        <v>3</v>
      </c>
      <c r="J454" t="str" cm="1">
        <f t="array" ref="J454">_xlfn.IFS(I454=1,"Below College",I454=2,"College",I454=3,"Bachelor",I454=4,"Master",I454=5,"Doctor")</f>
        <v>Bachelor</v>
      </c>
      <c r="K454" t="s">
        <v>45</v>
      </c>
      <c r="L454">
        <v>606</v>
      </c>
      <c r="M454">
        <v>4</v>
      </c>
      <c r="N454" t="str" cm="1">
        <f t="array" ref="N454">_xlfn.IFS(M454=1,"Low",M454=2,"Medium",M454=3,"High",M454=4,"Very High")</f>
        <v>Very High</v>
      </c>
      <c r="O454" t="s">
        <v>42</v>
      </c>
      <c r="P454" s="2">
        <v>61</v>
      </c>
      <c r="Q454">
        <v>3</v>
      </c>
      <c r="R454" t="str" cm="1">
        <f t="array" ref="R454">_xlfn.IFS(Q454=1,"Low",Q454=2,"Medium",Q454=3,"High",Q454=4,"Very High")</f>
        <v>High</v>
      </c>
      <c r="S454">
        <v>2</v>
      </c>
      <c r="T454" t="str" cm="1">
        <f t="array" ref="T454">_xlfn.IFS(S454=1,"Entry Level",S454=2,"Junior",S454=3,"Mid-Level",S454=4,"Senior",S454=5,"Executive")</f>
        <v>Junior</v>
      </c>
      <c r="U454" t="s">
        <v>37</v>
      </c>
      <c r="V454">
        <v>2</v>
      </c>
      <c r="W454" t="str" cm="1">
        <f t="array" ref="W454">_xlfn.IFS(V454=1,"Low",V454=2,"Medium",V454=3,"High",V454=4,"Very High")</f>
        <v>Medium</v>
      </c>
      <c r="X454" t="s">
        <v>44</v>
      </c>
      <c r="Y454" s="2">
        <v>4805</v>
      </c>
      <c r="Z454" s="2">
        <v>16177</v>
      </c>
      <c r="AA454">
        <v>0</v>
      </c>
      <c r="AB454" t="s">
        <v>39</v>
      </c>
      <c r="AC454">
        <v>19</v>
      </c>
      <c r="AD454">
        <v>3</v>
      </c>
      <c r="AE454" t="str" cm="1">
        <f t="array" ref="AE454">_xlfn.IFS(AD454=1,"Low",AD454=2,"Good",AD454=3,"Excellent",AD454=4,"Outstanding")</f>
        <v>Excellent</v>
      </c>
      <c r="AF454">
        <v>2</v>
      </c>
      <c r="AG454" t="str" cm="1">
        <f t="array" ref="AG454">_xlfn.IFS(AF454=1,"Low",AF454=2,"Medium",AF454=3,"High",AF454=4,"Very High")</f>
        <v>Medium</v>
      </c>
      <c r="AH454">
        <v>1</v>
      </c>
      <c r="AI454">
        <v>9</v>
      </c>
      <c r="AJ454">
        <v>3</v>
      </c>
      <c r="AK454">
        <v>4</v>
      </c>
      <c r="AL454" t="str" cm="1">
        <f t="array" ref="AL454">_xlfn.IFS(AK454=1,"Low",AK454=2,"Medium",AK454=3,"High",AK454=4,"Very High")</f>
        <v>Very High</v>
      </c>
      <c r="AM454">
        <v>8</v>
      </c>
      <c r="AN454">
        <v>7</v>
      </c>
      <c r="AO454">
        <v>3</v>
      </c>
      <c r="AP454">
        <v>7</v>
      </c>
    </row>
    <row r="455" spans="1:42">
      <c r="A455">
        <v>26</v>
      </c>
      <c r="B455" t="str" cm="1">
        <f t="array" ref="B455">_xlfn.IFS(A455&lt;=25,"18-25",A455&lt;=35,"26-35",A455&lt;=45,"36-45",A455&lt;=55,"46-55",A455&gt;55,"56+")</f>
        <v>26-35</v>
      </c>
      <c r="C455" t="s">
        <v>32</v>
      </c>
      <c r="D455" t="s">
        <v>40</v>
      </c>
      <c r="E455" s="2">
        <v>426</v>
      </c>
      <c r="F455" t="s">
        <v>57</v>
      </c>
      <c r="G455">
        <v>17</v>
      </c>
      <c r="H455" t="str">
        <f t="shared" si="7"/>
        <v>11-20 km</v>
      </c>
      <c r="I455">
        <v>4</v>
      </c>
      <c r="J455" t="str" cm="1">
        <f t="array" ref="J455">_xlfn.IFS(I455=1,"Below College",I455=2,"College",I455=3,"Bachelor",I455=4,"Master",I455=5,"Doctor")</f>
        <v>Master</v>
      </c>
      <c r="K455" t="s">
        <v>35</v>
      </c>
      <c r="L455">
        <v>608</v>
      </c>
      <c r="M455">
        <v>2</v>
      </c>
      <c r="N455" t="str" cm="1">
        <f t="array" ref="N455">_xlfn.IFS(M455=1,"Low",M455=2,"Medium",M455=3,"High",M455=4,"Very High")</f>
        <v>Medium</v>
      </c>
      <c r="O455" t="s">
        <v>36</v>
      </c>
      <c r="P455" s="2">
        <v>58</v>
      </c>
      <c r="Q455">
        <v>3</v>
      </c>
      <c r="R455" t="str" cm="1">
        <f t="array" ref="R455">_xlfn.IFS(Q455=1,"Low",Q455=2,"Medium",Q455=3,"High",Q455=4,"Very High")</f>
        <v>High</v>
      </c>
      <c r="S455">
        <v>1</v>
      </c>
      <c r="T455" t="str" cm="1">
        <f t="array" ref="T455">_xlfn.IFS(S455=1,"Entry Level",S455=2,"Junior",S455=3,"Mid-Level",S455=4,"Senior",S455=5,"Executive")</f>
        <v>Entry Level</v>
      </c>
      <c r="U455" t="s">
        <v>57</v>
      </c>
      <c r="V455">
        <v>3</v>
      </c>
      <c r="W455" t="str" cm="1">
        <f t="array" ref="W455">_xlfn.IFS(V455=1,"Low",V455=2,"Medium",V455=3,"High",V455=4,"Very High")</f>
        <v>High</v>
      </c>
      <c r="X455" t="s">
        <v>48</v>
      </c>
      <c r="Y455" s="2">
        <v>2741</v>
      </c>
      <c r="Z455" s="2">
        <v>22808</v>
      </c>
      <c r="AA455">
        <v>0</v>
      </c>
      <c r="AB455" t="s">
        <v>32</v>
      </c>
      <c r="AC455">
        <v>11</v>
      </c>
      <c r="AD455">
        <v>3</v>
      </c>
      <c r="AE455" t="str" cm="1">
        <f t="array" ref="AE455">_xlfn.IFS(AD455=1,"Low",AD455=2,"Good",AD455=3,"Excellent",AD455=4,"Outstanding")</f>
        <v>Excellent</v>
      </c>
      <c r="AF455">
        <v>2</v>
      </c>
      <c r="AG455" t="str" cm="1">
        <f t="array" ref="AG455">_xlfn.IFS(AF455=1,"Low",AF455=2,"Medium",AF455=3,"High",AF455=4,"Very High")</f>
        <v>Medium</v>
      </c>
      <c r="AH455">
        <v>1</v>
      </c>
      <c r="AI455">
        <v>8</v>
      </c>
      <c r="AJ455">
        <v>2</v>
      </c>
      <c r="AK455">
        <v>2</v>
      </c>
      <c r="AL455" t="str" cm="1">
        <f t="array" ref="AL455">_xlfn.IFS(AK455=1,"Low",AK455=2,"Medium",AK455=3,"High",AK455=4,"Very High")</f>
        <v>Medium</v>
      </c>
      <c r="AM455">
        <v>7</v>
      </c>
      <c r="AN455">
        <v>7</v>
      </c>
      <c r="AO455">
        <v>1</v>
      </c>
      <c r="AP455">
        <v>0</v>
      </c>
    </row>
    <row r="456" spans="1:42">
      <c r="A456">
        <v>29</v>
      </c>
      <c r="B456" t="str" cm="1">
        <f t="array" ref="B456">_xlfn.IFS(A456&lt;=25,"18-25",A456&lt;=35,"26-35",A456&lt;=45,"36-45",A456&lt;=55,"46-55",A456&gt;55,"56+")</f>
        <v>26-35</v>
      </c>
      <c r="C456" t="s">
        <v>39</v>
      </c>
      <c r="D456" t="s">
        <v>33</v>
      </c>
      <c r="E456" s="2">
        <v>232</v>
      </c>
      <c r="F456" t="s">
        <v>41</v>
      </c>
      <c r="G456">
        <v>19</v>
      </c>
      <c r="H456" t="str">
        <f t="shared" si="7"/>
        <v>11-20 km</v>
      </c>
      <c r="I456">
        <v>3</v>
      </c>
      <c r="J456" t="str" cm="1">
        <f t="array" ref="J456">_xlfn.IFS(I456=1,"Below College",I456=2,"College",I456=3,"Bachelor",I456=4,"Master",I456=5,"Doctor")</f>
        <v>Bachelor</v>
      </c>
      <c r="K456" t="s">
        <v>56</v>
      </c>
      <c r="L456">
        <v>611</v>
      </c>
      <c r="M456">
        <v>4</v>
      </c>
      <c r="N456" t="str" cm="1">
        <f t="array" ref="N456">_xlfn.IFS(M456=1,"Low",M456=2,"Medium",M456=3,"High",M456=4,"Very High")</f>
        <v>Very High</v>
      </c>
      <c r="O456" t="s">
        <v>42</v>
      </c>
      <c r="P456" s="2">
        <v>34</v>
      </c>
      <c r="Q456">
        <v>3</v>
      </c>
      <c r="R456" t="str" cm="1">
        <f t="array" ref="R456">_xlfn.IFS(Q456=1,"Low",Q456=2,"Medium",Q456=3,"High",Q456=4,"Very High")</f>
        <v>High</v>
      </c>
      <c r="S456">
        <v>2</v>
      </c>
      <c r="T456" t="str" cm="1">
        <f t="array" ref="T456">_xlfn.IFS(S456=1,"Entry Level",S456=2,"Junior",S456=3,"Mid-Level",S456=4,"Senior",S456=5,"Executive")</f>
        <v>Junior</v>
      </c>
      <c r="U456" t="s">
        <v>49</v>
      </c>
      <c r="V456">
        <v>4</v>
      </c>
      <c r="W456" t="str" cm="1">
        <f t="array" ref="W456">_xlfn.IFS(V456=1,"Low",V456=2,"Medium",V456=3,"High",V456=4,"Very High")</f>
        <v>Very High</v>
      </c>
      <c r="X456" t="s">
        <v>48</v>
      </c>
      <c r="Y456" s="2">
        <v>4262</v>
      </c>
      <c r="Z456" s="2">
        <v>22645</v>
      </c>
      <c r="AA456">
        <v>4</v>
      </c>
      <c r="AB456" t="s">
        <v>39</v>
      </c>
      <c r="AC456">
        <v>12</v>
      </c>
      <c r="AD456">
        <v>3</v>
      </c>
      <c r="AE456" t="str" cm="1">
        <f t="array" ref="AE456">_xlfn.IFS(AD456=1,"Low",AD456=2,"Good",AD456=3,"Excellent",AD456=4,"Outstanding")</f>
        <v>Excellent</v>
      </c>
      <c r="AF456">
        <v>2</v>
      </c>
      <c r="AG456" t="str" cm="1">
        <f t="array" ref="AG456">_xlfn.IFS(AF456=1,"Low",AF456=2,"Medium",AF456=3,"High",AF456=4,"Very High")</f>
        <v>Medium</v>
      </c>
      <c r="AH456">
        <v>2</v>
      </c>
      <c r="AI456">
        <v>8</v>
      </c>
      <c r="AJ456">
        <v>2</v>
      </c>
      <c r="AK456">
        <v>4</v>
      </c>
      <c r="AL456" t="str" cm="1">
        <f t="array" ref="AL456">_xlfn.IFS(AK456=1,"Low",AK456=2,"Medium",AK456=3,"High",AK456=4,"Very High")</f>
        <v>Very High</v>
      </c>
      <c r="AM456">
        <v>3</v>
      </c>
      <c r="AN456">
        <v>2</v>
      </c>
      <c r="AO456">
        <v>1</v>
      </c>
      <c r="AP456">
        <v>2</v>
      </c>
    </row>
    <row r="457" spans="1:42">
      <c r="A457">
        <v>33</v>
      </c>
      <c r="B457" t="str" cm="1">
        <f t="array" ref="B457">_xlfn.IFS(A457&lt;=25,"18-25",A457&lt;=35,"26-35",A457&lt;=45,"36-45",A457&lt;=55,"46-55",A457&gt;55,"56+")</f>
        <v>26-35</v>
      </c>
      <c r="C457" t="s">
        <v>39</v>
      </c>
      <c r="D457" t="s">
        <v>33</v>
      </c>
      <c r="E457" s="2">
        <v>922</v>
      </c>
      <c r="F457" t="s">
        <v>41</v>
      </c>
      <c r="G457">
        <v>1</v>
      </c>
      <c r="H457" t="str">
        <f t="shared" si="7"/>
        <v>1-10 km</v>
      </c>
      <c r="I457">
        <v>5</v>
      </c>
      <c r="J457" t="str" cm="1">
        <f t="array" ref="J457">_xlfn.IFS(I457=1,"Below College",I457=2,"College",I457=3,"Bachelor",I457=4,"Master",I457=5,"Doctor")</f>
        <v>Doctor</v>
      </c>
      <c r="K457" t="s">
        <v>47</v>
      </c>
      <c r="L457">
        <v>612</v>
      </c>
      <c r="M457">
        <v>1</v>
      </c>
      <c r="N457" t="str" cm="1">
        <f t="array" ref="N457">_xlfn.IFS(M457=1,"Low",M457=2,"Medium",M457=3,"High",M457=4,"Very High")</f>
        <v>Low</v>
      </c>
      <c r="O457" t="s">
        <v>36</v>
      </c>
      <c r="P457" s="2">
        <v>95</v>
      </c>
      <c r="Q457">
        <v>4</v>
      </c>
      <c r="R457" t="str" cm="1">
        <f t="array" ref="R457">_xlfn.IFS(Q457=1,"Low",Q457=2,"Medium",Q457=3,"High",Q457=4,"Very High")</f>
        <v>Very High</v>
      </c>
      <c r="S457">
        <v>4</v>
      </c>
      <c r="T457" t="str" cm="1">
        <f t="array" ref="T457">_xlfn.IFS(S457=1,"Entry Level",S457=2,"Junior",S457=3,"Mid-Level",S457=4,"Senior",S457=5,"Executive")</f>
        <v>Senior</v>
      </c>
      <c r="U457" t="s">
        <v>54</v>
      </c>
      <c r="V457">
        <v>3</v>
      </c>
      <c r="W457" t="str" cm="1">
        <f t="array" ref="W457">_xlfn.IFS(V457=1,"Low",V457=2,"Medium",V457=3,"High",V457=4,"Very High")</f>
        <v>High</v>
      </c>
      <c r="X457" t="s">
        <v>48</v>
      </c>
      <c r="Y457" s="2">
        <v>16184</v>
      </c>
      <c r="Z457" s="2">
        <v>22578</v>
      </c>
      <c r="AA457">
        <v>4</v>
      </c>
      <c r="AB457" t="s">
        <v>39</v>
      </c>
      <c r="AC457">
        <v>19</v>
      </c>
      <c r="AD457">
        <v>3</v>
      </c>
      <c r="AE457" t="str" cm="1">
        <f t="array" ref="AE457">_xlfn.IFS(AD457=1,"Low",AD457=2,"Good",AD457=3,"Excellent",AD457=4,"Outstanding")</f>
        <v>Excellent</v>
      </c>
      <c r="AF457">
        <v>3</v>
      </c>
      <c r="AG457" t="str" cm="1">
        <f t="array" ref="AG457">_xlfn.IFS(AF457=1,"Low",AF457=2,"Medium",AF457=3,"High",AF457=4,"Very High")</f>
        <v>High</v>
      </c>
      <c r="AH457">
        <v>1</v>
      </c>
      <c r="AI457">
        <v>10</v>
      </c>
      <c r="AJ457">
        <v>2</v>
      </c>
      <c r="AK457">
        <v>3</v>
      </c>
      <c r="AL457" t="str" cm="1">
        <f t="array" ref="AL457">_xlfn.IFS(AK457=1,"Low",AK457=2,"Medium",AK457=3,"High",AK457=4,"Very High")</f>
        <v>High</v>
      </c>
      <c r="AM457">
        <v>6</v>
      </c>
      <c r="AN457">
        <v>1</v>
      </c>
      <c r="AO457">
        <v>0</v>
      </c>
      <c r="AP457">
        <v>5</v>
      </c>
    </row>
    <row r="458" spans="1:42">
      <c r="A458">
        <v>31</v>
      </c>
      <c r="B458" t="str" cm="1">
        <f t="array" ref="B458">_xlfn.IFS(A458&lt;=25,"18-25",A458&lt;=35,"26-35",A458&lt;=45,"36-45",A458&lt;=55,"46-55",A458&gt;55,"56+")</f>
        <v>26-35</v>
      </c>
      <c r="C458" t="s">
        <v>39</v>
      </c>
      <c r="D458" t="s">
        <v>33</v>
      </c>
      <c r="E458" s="2">
        <v>688</v>
      </c>
      <c r="F458" t="s">
        <v>34</v>
      </c>
      <c r="G458">
        <v>7</v>
      </c>
      <c r="H458" t="str">
        <f t="shared" si="7"/>
        <v>1-10 km</v>
      </c>
      <c r="I458">
        <v>3</v>
      </c>
      <c r="J458" t="str" cm="1">
        <f t="array" ref="J458">_xlfn.IFS(I458=1,"Below College",I458=2,"College",I458=3,"Bachelor",I458=4,"Master",I458=5,"Doctor")</f>
        <v>Bachelor</v>
      </c>
      <c r="K458" t="s">
        <v>35</v>
      </c>
      <c r="L458">
        <v>613</v>
      </c>
      <c r="M458">
        <v>3</v>
      </c>
      <c r="N458" t="str" cm="1">
        <f t="array" ref="N458">_xlfn.IFS(M458=1,"Low",M458=2,"Medium",M458=3,"High",M458=4,"Very High")</f>
        <v>High</v>
      </c>
      <c r="O458" t="s">
        <v>42</v>
      </c>
      <c r="P458" s="2">
        <v>44</v>
      </c>
      <c r="Q458">
        <v>2</v>
      </c>
      <c r="R458" t="str" cm="1">
        <f t="array" ref="R458">_xlfn.IFS(Q458=1,"Low",Q458=2,"Medium",Q458=3,"High",Q458=4,"Very High")</f>
        <v>Medium</v>
      </c>
      <c r="S458">
        <v>3</v>
      </c>
      <c r="T458" t="str" cm="1">
        <f t="array" ref="T458">_xlfn.IFS(S458=1,"Entry Level",S458=2,"Junior",S458=3,"Mid-Level",S458=4,"Senior",S458=5,"Executive")</f>
        <v>Mid-Level</v>
      </c>
      <c r="U458" t="s">
        <v>52</v>
      </c>
      <c r="V458">
        <v>4</v>
      </c>
      <c r="W458" t="str" cm="1">
        <f t="array" ref="W458">_xlfn.IFS(V458=1,"Low",V458=2,"Medium",V458=3,"High",V458=4,"Very High")</f>
        <v>Very High</v>
      </c>
      <c r="X458" t="s">
        <v>48</v>
      </c>
      <c r="Y458" s="2">
        <v>11557</v>
      </c>
      <c r="Z458" s="2">
        <v>25291</v>
      </c>
      <c r="AA458">
        <v>9</v>
      </c>
      <c r="AB458" t="s">
        <v>39</v>
      </c>
      <c r="AC458">
        <v>21</v>
      </c>
      <c r="AD458">
        <v>4</v>
      </c>
      <c r="AE458" t="str" cm="1">
        <f t="array" ref="AE458">_xlfn.IFS(AD458=1,"Low",AD458=2,"Good",AD458=3,"Excellent",AD458=4,"Outstanding")</f>
        <v>Outstanding</v>
      </c>
      <c r="AF458">
        <v>3</v>
      </c>
      <c r="AG458" t="str" cm="1">
        <f t="array" ref="AG458">_xlfn.IFS(AF458=1,"Low",AF458=2,"Medium",AF458=3,"High",AF458=4,"Very High")</f>
        <v>High</v>
      </c>
      <c r="AH458">
        <v>1</v>
      </c>
      <c r="AI458">
        <v>10</v>
      </c>
      <c r="AJ458">
        <v>3</v>
      </c>
      <c r="AK458">
        <v>2</v>
      </c>
      <c r="AL458" t="str" cm="1">
        <f t="array" ref="AL458">_xlfn.IFS(AK458=1,"Low",AK458=2,"Medium",AK458=3,"High",AK458=4,"Very High")</f>
        <v>Medium</v>
      </c>
      <c r="AM458">
        <v>5</v>
      </c>
      <c r="AN458">
        <v>4</v>
      </c>
      <c r="AO458">
        <v>0</v>
      </c>
      <c r="AP458">
        <v>1</v>
      </c>
    </row>
    <row r="459" spans="1:42">
      <c r="A459">
        <v>18</v>
      </c>
      <c r="B459" t="str" cm="1">
        <f t="array" ref="B459">_xlfn.IFS(A459&lt;=25,"18-25",A459&lt;=35,"26-35",A459&lt;=45,"36-45",A459&lt;=55,"46-55",A459&gt;55,"56+")</f>
        <v>18-25</v>
      </c>
      <c r="C459" t="s">
        <v>32</v>
      </c>
      <c r="D459" t="s">
        <v>40</v>
      </c>
      <c r="E459" s="2">
        <v>1306</v>
      </c>
      <c r="F459" t="s">
        <v>34</v>
      </c>
      <c r="G459">
        <v>5</v>
      </c>
      <c r="H459" t="str">
        <f t="shared" si="7"/>
        <v>1-10 km</v>
      </c>
      <c r="I459">
        <v>3</v>
      </c>
      <c r="J459" t="str" cm="1">
        <f t="array" ref="J459">_xlfn.IFS(I459=1,"Below College",I459=2,"College",I459=3,"Bachelor",I459=4,"Master",I459=5,"Doctor")</f>
        <v>Bachelor</v>
      </c>
      <c r="K459" t="s">
        <v>55</v>
      </c>
      <c r="L459">
        <v>614</v>
      </c>
      <c r="M459">
        <v>2</v>
      </c>
      <c r="N459" t="str" cm="1">
        <f t="array" ref="N459">_xlfn.IFS(M459=1,"Low",M459=2,"Medium",M459=3,"High",M459=4,"Very High")</f>
        <v>Medium</v>
      </c>
      <c r="O459" t="s">
        <v>42</v>
      </c>
      <c r="P459" s="2">
        <v>69</v>
      </c>
      <c r="Q459">
        <v>3</v>
      </c>
      <c r="R459" t="str" cm="1">
        <f t="array" ref="R459">_xlfn.IFS(Q459=1,"Low",Q459=2,"Medium",Q459=3,"High",Q459=4,"Very High")</f>
        <v>High</v>
      </c>
      <c r="S459">
        <v>1</v>
      </c>
      <c r="T459" t="str" cm="1">
        <f t="array" ref="T459">_xlfn.IFS(S459=1,"Entry Level",S459=2,"Junior",S459=3,"Mid-Level",S459=4,"Senior",S459=5,"Executive")</f>
        <v>Entry Level</v>
      </c>
      <c r="U459" t="s">
        <v>53</v>
      </c>
      <c r="V459">
        <v>2</v>
      </c>
      <c r="W459" t="str" cm="1">
        <f t="array" ref="W459">_xlfn.IFS(V459=1,"Low",V459=2,"Medium",V459=3,"High",V459=4,"Very High")</f>
        <v>Medium</v>
      </c>
      <c r="X459" t="s">
        <v>38</v>
      </c>
      <c r="Y459" s="2">
        <v>1878</v>
      </c>
      <c r="Z459" s="2">
        <v>8059</v>
      </c>
      <c r="AA459">
        <v>1</v>
      </c>
      <c r="AB459" t="s">
        <v>32</v>
      </c>
      <c r="AC459">
        <v>14</v>
      </c>
      <c r="AD459">
        <v>3</v>
      </c>
      <c r="AE459" t="str" cm="1">
        <f t="array" ref="AE459">_xlfn.IFS(AD459=1,"Low",AD459=2,"Good",AD459=3,"Excellent",AD459=4,"Outstanding")</f>
        <v>Excellent</v>
      </c>
      <c r="AF459">
        <v>4</v>
      </c>
      <c r="AG459" t="str" cm="1">
        <f t="array" ref="AG459">_xlfn.IFS(AF459=1,"Low",AF459=2,"Medium",AF459=3,"High",AF459=4,"Very High")</f>
        <v>Very High</v>
      </c>
      <c r="AH459">
        <v>0</v>
      </c>
      <c r="AI459">
        <v>0</v>
      </c>
      <c r="AJ459">
        <v>3</v>
      </c>
      <c r="AK459">
        <v>3</v>
      </c>
      <c r="AL459" t="str" cm="1">
        <f t="array" ref="AL459">_xlfn.IFS(AK459=1,"Low",AK459=2,"Medium",AK459=3,"High",AK459=4,"Very High")</f>
        <v>High</v>
      </c>
      <c r="AM459">
        <v>0</v>
      </c>
      <c r="AN459">
        <v>0</v>
      </c>
      <c r="AO459">
        <v>0</v>
      </c>
      <c r="AP459">
        <v>0</v>
      </c>
    </row>
    <row r="460" spans="1:42">
      <c r="A460">
        <v>40</v>
      </c>
      <c r="B460" t="str" cm="1">
        <f t="array" ref="B460">_xlfn.IFS(A460&lt;=25,"18-25",A460&lt;=35,"26-35",A460&lt;=45,"36-45",A460&lt;=55,"46-55",A460&gt;55,"56+")</f>
        <v>36-45</v>
      </c>
      <c r="C460" t="s">
        <v>39</v>
      </c>
      <c r="D460" t="s">
        <v>51</v>
      </c>
      <c r="E460" s="2">
        <v>1094</v>
      </c>
      <c r="F460" t="s">
        <v>34</v>
      </c>
      <c r="G460">
        <v>28</v>
      </c>
      <c r="H460" t="str">
        <f t="shared" si="7"/>
        <v>21-30 km</v>
      </c>
      <c r="I460">
        <v>3</v>
      </c>
      <c r="J460" t="str" cm="1">
        <f t="array" ref="J460">_xlfn.IFS(I460=1,"Below College",I460=2,"College",I460=3,"Bachelor",I460=4,"Master",I460=5,"Doctor")</f>
        <v>Bachelor</v>
      </c>
      <c r="K460" t="s">
        <v>45</v>
      </c>
      <c r="L460">
        <v>615</v>
      </c>
      <c r="M460">
        <v>3</v>
      </c>
      <c r="N460" t="str" cm="1">
        <f t="array" ref="N460">_xlfn.IFS(M460=1,"Low",M460=2,"Medium",M460=3,"High",M460=4,"Very High")</f>
        <v>High</v>
      </c>
      <c r="O460" t="s">
        <v>42</v>
      </c>
      <c r="P460" s="2">
        <v>58</v>
      </c>
      <c r="Q460">
        <v>1</v>
      </c>
      <c r="R460" t="str" cm="1">
        <f t="array" ref="R460">_xlfn.IFS(Q460=1,"Low",Q460=2,"Medium",Q460=3,"High",Q460=4,"Very High")</f>
        <v>Low</v>
      </c>
      <c r="S460">
        <v>3</v>
      </c>
      <c r="T460" t="str" cm="1">
        <f t="array" ref="T460">_xlfn.IFS(S460=1,"Entry Level",S460=2,"Junior",S460=3,"Mid-Level",S460=4,"Senior",S460=5,"Executive")</f>
        <v>Mid-Level</v>
      </c>
      <c r="U460" t="s">
        <v>37</v>
      </c>
      <c r="V460">
        <v>1</v>
      </c>
      <c r="W460" t="str" cm="1">
        <f t="array" ref="W460">_xlfn.IFS(V460=1,"Low",V460=2,"Medium",V460=3,"High",V460=4,"Very High")</f>
        <v>Low</v>
      </c>
      <c r="X460" t="s">
        <v>48</v>
      </c>
      <c r="Y460" s="2">
        <v>10932</v>
      </c>
      <c r="Z460" s="2">
        <v>11373</v>
      </c>
      <c r="AA460">
        <v>3</v>
      </c>
      <c r="AB460" t="s">
        <v>39</v>
      </c>
      <c r="AC460">
        <v>15</v>
      </c>
      <c r="AD460">
        <v>3</v>
      </c>
      <c r="AE460" t="str" cm="1">
        <f t="array" ref="AE460">_xlfn.IFS(AD460=1,"Low",AD460=2,"Good",AD460=3,"Excellent",AD460=4,"Outstanding")</f>
        <v>Excellent</v>
      </c>
      <c r="AF460">
        <v>3</v>
      </c>
      <c r="AG460" t="str" cm="1">
        <f t="array" ref="AG460">_xlfn.IFS(AF460=1,"Low",AF460=2,"Medium",AF460=3,"High",AF460=4,"Very High")</f>
        <v>High</v>
      </c>
      <c r="AH460">
        <v>1</v>
      </c>
      <c r="AI460">
        <v>20</v>
      </c>
      <c r="AJ460">
        <v>2</v>
      </c>
      <c r="AK460">
        <v>3</v>
      </c>
      <c r="AL460" t="str" cm="1">
        <f t="array" ref="AL460">_xlfn.IFS(AK460=1,"Low",AK460=2,"Medium",AK460=3,"High",AK460=4,"Very High")</f>
        <v>High</v>
      </c>
      <c r="AM460">
        <v>1</v>
      </c>
      <c r="AN460">
        <v>0</v>
      </c>
      <c r="AO460">
        <v>0</v>
      </c>
      <c r="AP460">
        <v>1</v>
      </c>
    </row>
    <row r="461" spans="1:42">
      <c r="A461">
        <v>41</v>
      </c>
      <c r="B461" t="str" cm="1">
        <f t="array" ref="B461">_xlfn.IFS(A461&lt;=25,"18-25",A461&lt;=35,"26-35",A461&lt;=45,"36-45",A461&lt;=55,"46-55",A461&gt;55,"56+")</f>
        <v>36-45</v>
      </c>
      <c r="C461" t="s">
        <v>39</v>
      </c>
      <c r="D461" t="s">
        <v>51</v>
      </c>
      <c r="E461" s="2">
        <v>509</v>
      </c>
      <c r="F461" t="s">
        <v>41</v>
      </c>
      <c r="G461">
        <v>2</v>
      </c>
      <c r="H461" t="str">
        <f t="shared" si="7"/>
        <v>1-10 km</v>
      </c>
      <c r="I461">
        <v>4</v>
      </c>
      <c r="J461" t="str" cm="1">
        <f t="array" ref="J461">_xlfn.IFS(I461=1,"Below College",I461=2,"College",I461=3,"Bachelor",I461=4,"Master",I461=5,"Doctor")</f>
        <v>Master</v>
      </c>
      <c r="K461" t="s">
        <v>45</v>
      </c>
      <c r="L461">
        <v>616</v>
      </c>
      <c r="M461">
        <v>1</v>
      </c>
      <c r="N461" t="str" cm="1">
        <f t="array" ref="N461">_xlfn.IFS(M461=1,"Low",M461=2,"Medium",M461=3,"High",M461=4,"Very High")</f>
        <v>Low</v>
      </c>
      <c r="O461" t="s">
        <v>36</v>
      </c>
      <c r="P461" s="2">
        <v>62</v>
      </c>
      <c r="Q461">
        <v>2</v>
      </c>
      <c r="R461" t="str" cm="1">
        <f t="array" ref="R461">_xlfn.IFS(Q461=1,"Low",Q461=2,"Medium",Q461=3,"High",Q461=4,"Very High")</f>
        <v>Medium</v>
      </c>
      <c r="S461">
        <v>2</v>
      </c>
      <c r="T461" t="str" cm="1">
        <f t="array" ref="T461">_xlfn.IFS(S461=1,"Entry Level",S461=2,"Junior",S461=3,"Mid-Level",S461=4,"Senior",S461=5,"Executive")</f>
        <v>Junior</v>
      </c>
      <c r="U461" t="s">
        <v>50</v>
      </c>
      <c r="V461">
        <v>3</v>
      </c>
      <c r="W461" t="str" cm="1">
        <f t="array" ref="W461">_xlfn.IFS(V461=1,"Low",V461=2,"Medium",V461=3,"High",V461=4,"Very High")</f>
        <v>High</v>
      </c>
      <c r="X461" t="s">
        <v>38</v>
      </c>
      <c r="Y461" s="2">
        <v>6811</v>
      </c>
      <c r="Z461" s="2">
        <v>2112</v>
      </c>
      <c r="AA461">
        <v>2</v>
      </c>
      <c r="AB461" t="s">
        <v>32</v>
      </c>
      <c r="AC461">
        <v>17</v>
      </c>
      <c r="AD461">
        <v>3</v>
      </c>
      <c r="AE461" t="str" cm="1">
        <f t="array" ref="AE461">_xlfn.IFS(AD461=1,"Low",AD461=2,"Good",AD461=3,"Excellent",AD461=4,"Outstanding")</f>
        <v>Excellent</v>
      </c>
      <c r="AF461">
        <v>1</v>
      </c>
      <c r="AG461" t="str" cm="1">
        <f t="array" ref="AG461">_xlfn.IFS(AF461=1,"Low",AF461=2,"Medium",AF461=3,"High",AF461=4,"Very High")</f>
        <v>Low</v>
      </c>
      <c r="AH461">
        <v>0</v>
      </c>
      <c r="AI461">
        <v>10</v>
      </c>
      <c r="AJ461">
        <v>3</v>
      </c>
      <c r="AK461">
        <v>3</v>
      </c>
      <c r="AL461" t="str" cm="1">
        <f t="array" ref="AL461">_xlfn.IFS(AK461=1,"Low",AK461=2,"Medium",AK461=3,"High",AK461=4,"Very High")</f>
        <v>High</v>
      </c>
      <c r="AM461">
        <v>8</v>
      </c>
      <c r="AN461">
        <v>7</v>
      </c>
      <c r="AO461">
        <v>0</v>
      </c>
      <c r="AP461">
        <v>7</v>
      </c>
    </row>
    <row r="462" spans="1:42">
      <c r="A462">
        <v>26</v>
      </c>
      <c r="B462" t="str" cm="1">
        <f t="array" ref="B462">_xlfn.IFS(A462&lt;=25,"18-25",A462&lt;=35,"26-35",A462&lt;=45,"36-45",A462&lt;=55,"46-55",A462&gt;55,"56+")</f>
        <v>26-35</v>
      </c>
      <c r="C462" t="s">
        <v>39</v>
      </c>
      <c r="D462" t="s">
        <v>33</v>
      </c>
      <c r="E462" s="2">
        <v>775</v>
      </c>
      <c r="F462" t="s">
        <v>34</v>
      </c>
      <c r="G462">
        <v>29</v>
      </c>
      <c r="H462" t="str">
        <f t="shared" si="7"/>
        <v>21-30 km</v>
      </c>
      <c r="I462">
        <v>2</v>
      </c>
      <c r="J462" t="str" cm="1">
        <f t="array" ref="J462">_xlfn.IFS(I462=1,"Below College",I462=2,"College",I462=3,"Bachelor",I462=4,"Master",I462=5,"Doctor")</f>
        <v>College</v>
      </c>
      <c r="K462" t="s">
        <v>47</v>
      </c>
      <c r="L462">
        <v>618</v>
      </c>
      <c r="M462">
        <v>1</v>
      </c>
      <c r="N462" t="str" cm="1">
        <f t="array" ref="N462">_xlfn.IFS(M462=1,"Low",M462=2,"Medium",M462=3,"High",M462=4,"Very High")</f>
        <v>Low</v>
      </c>
      <c r="O462" t="s">
        <v>42</v>
      </c>
      <c r="P462" s="2">
        <v>45</v>
      </c>
      <c r="Q462">
        <v>3</v>
      </c>
      <c r="R462" t="str" cm="1">
        <f t="array" ref="R462">_xlfn.IFS(Q462=1,"Low",Q462=2,"Medium",Q462=3,"High",Q462=4,"Very High")</f>
        <v>High</v>
      </c>
      <c r="S462">
        <v>2</v>
      </c>
      <c r="T462" t="str" cm="1">
        <f t="array" ref="T462">_xlfn.IFS(S462=1,"Entry Level",S462=2,"Junior",S462=3,"Mid-Level",S462=4,"Senior",S462=5,"Executive")</f>
        <v>Junior</v>
      </c>
      <c r="U462" t="s">
        <v>37</v>
      </c>
      <c r="V462">
        <v>3</v>
      </c>
      <c r="W462" t="str" cm="1">
        <f t="array" ref="W462">_xlfn.IFS(V462=1,"Low",V462=2,"Medium",V462=3,"High",V462=4,"Very High")</f>
        <v>High</v>
      </c>
      <c r="X462" t="s">
        <v>48</v>
      </c>
      <c r="Y462" s="2">
        <v>4306</v>
      </c>
      <c r="Z462" s="2">
        <v>4267</v>
      </c>
      <c r="AA462">
        <v>5</v>
      </c>
      <c r="AB462" t="s">
        <v>39</v>
      </c>
      <c r="AC462">
        <v>12</v>
      </c>
      <c r="AD462">
        <v>3</v>
      </c>
      <c r="AE462" t="str" cm="1">
        <f t="array" ref="AE462">_xlfn.IFS(AD462=1,"Low",AD462=2,"Good",AD462=3,"Excellent",AD462=4,"Outstanding")</f>
        <v>Excellent</v>
      </c>
      <c r="AF462">
        <v>1</v>
      </c>
      <c r="AG462" t="str" cm="1">
        <f t="array" ref="AG462">_xlfn.IFS(AF462=1,"Low",AF462=2,"Medium",AF462=3,"High",AF462=4,"Very High")</f>
        <v>Low</v>
      </c>
      <c r="AH462">
        <v>2</v>
      </c>
      <c r="AI462">
        <v>8</v>
      </c>
      <c r="AJ462">
        <v>5</v>
      </c>
      <c r="AK462">
        <v>3</v>
      </c>
      <c r="AL462" t="str" cm="1">
        <f t="array" ref="AL462">_xlfn.IFS(AK462=1,"Low",AK462=2,"Medium",AK462=3,"High",AK462=4,"Very High")</f>
        <v>High</v>
      </c>
      <c r="AM462">
        <v>0</v>
      </c>
      <c r="AN462">
        <v>0</v>
      </c>
      <c r="AO462">
        <v>0</v>
      </c>
      <c r="AP462">
        <v>0</v>
      </c>
    </row>
    <row r="463" spans="1:42">
      <c r="A463">
        <v>35</v>
      </c>
      <c r="B463" t="str" cm="1">
        <f t="array" ref="B463">_xlfn.IFS(A463&lt;=25,"18-25",A463&lt;=35,"26-35",A463&lt;=45,"36-45",A463&lt;=55,"46-55",A463&gt;55,"56+")</f>
        <v>26-35</v>
      </c>
      <c r="C463" t="s">
        <v>39</v>
      </c>
      <c r="D463" t="s">
        <v>33</v>
      </c>
      <c r="E463" s="2">
        <v>195</v>
      </c>
      <c r="F463" t="s">
        <v>34</v>
      </c>
      <c r="G463">
        <v>1</v>
      </c>
      <c r="H463" t="str">
        <f t="shared" si="7"/>
        <v>1-10 km</v>
      </c>
      <c r="I463">
        <v>3</v>
      </c>
      <c r="J463" t="str" cm="1">
        <f t="array" ref="J463">_xlfn.IFS(I463=1,"Below College",I463=2,"College",I463=3,"Bachelor",I463=4,"Master",I463=5,"Doctor")</f>
        <v>Bachelor</v>
      </c>
      <c r="K463" t="s">
        <v>47</v>
      </c>
      <c r="L463">
        <v>620</v>
      </c>
      <c r="M463">
        <v>1</v>
      </c>
      <c r="N463" t="str" cm="1">
        <f t="array" ref="N463">_xlfn.IFS(M463=1,"Low",M463=2,"Medium",M463=3,"High",M463=4,"Very High")</f>
        <v>Low</v>
      </c>
      <c r="O463" t="s">
        <v>36</v>
      </c>
      <c r="P463" s="2">
        <v>80</v>
      </c>
      <c r="Q463">
        <v>3</v>
      </c>
      <c r="R463" t="str" cm="1">
        <f t="array" ref="R463">_xlfn.IFS(Q463=1,"Low",Q463=2,"Medium",Q463=3,"High",Q463=4,"Very High")</f>
        <v>High</v>
      </c>
      <c r="S463">
        <v>2</v>
      </c>
      <c r="T463" t="str" cm="1">
        <f t="array" ref="T463">_xlfn.IFS(S463=1,"Entry Level",S463=2,"Junior",S463=3,"Mid-Level",S463=4,"Senior",S463=5,"Executive")</f>
        <v>Junior</v>
      </c>
      <c r="U463" t="s">
        <v>37</v>
      </c>
      <c r="V463">
        <v>3</v>
      </c>
      <c r="W463" t="str" cm="1">
        <f t="array" ref="W463">_xlfn.IFS(V463=1,"Low",V463=2,"Medium",V463=3,"High",V463=4,"Very High")</f>
        <v>High</v>
      </c>
      <c r="X463" t="s">
        <v>38</v>
      </c>
      <c r="Y463" s="2">
        <v>4859</v>
      </c>
      <c r="Z463" s="2">
        <v>6698</v>
      </c>
      <c r="AA463">
        <v>1</v>
      </c>
      <c r="AB463" t="s">
        <v>39</v>
      </c>
      <c r="AC463">
        <v>16</v>
      </c>
      <c r="AD463">
        <v>3</v>
      </c>
      <c r="AE463" t="str" cm="1">
        <f t="array" ref="AE463">_xlfn.IFS(AD463=1,"Low",AD463=2,"Good",AD463=3,"Excellent",AD463=4,"Outstanding")</f>
        <v>Excellent</v>
      </c>
      <c r="AF463">
        <v>4</v>
      </c>
      <c r="AG463" t="str" cm="1">
        <f t="array" ref="AG463">_xlfn.IFS(AF463=1,"Low",AF463=2,"Medium",AF463=3,"High",AF463=4,"Very High")</f>
        <v>Very High</v>
      </c>
      <c r="AH463">
        <v>0</v>
      </c>
      <c r="AI463">
        <v>5</v>
      </c>
      <c r="AJ463">
        <v>3</v>
      </c>
      <c r="AK463">
        <v>3</v>
      </c>
      <c r="AL463" t="str" cm="1">
        <f t="array" ref="AL463">_xlfn.IFS(AK463=1,"Low",AK463=2,"Medium",AK463=3,"High",AK463=4,"Very High")</f>
        <v>High</v>
      </c>
      <c r="AM463">
        <v>5</v>
      </c>
      <c r="AN463">
        <v>4</v>
      </c>
      <c r="AO463">
        <v>0</v>
      </c>
      <c r="AP463">
        <v>3</v>
      </c>
    </row>
    <row r="464" spans="1:42">
      <c r="A464">
        <v>34</v>
      </c>
      <c r="B464" t="str" cm="1">
        <f t="array" ref="B464">_xlfn.IFS(A464&lt;=25,"18-25",A464&lt;=35,"26-35",A464&lt;=45,"36-45",A464&lt;=55,"46-55",A464&gt;55,"56+")</f>
        <v>26-35</v>
      </c>
      <c r="C464" t="s">
        <v>39</v>
      </c>
      <c r="D464" t="s">
        <v>33</v>
      </c>
      <c r="E464" s="2">
        <v>258</v>
      </c>
      <c r="F464" t="s">
        <v>34</v>
      </c>
      <c r="G464">
        <v>21</v>
      </c>
      <c r="H464" t="str">
        <f t="shared" si="7"/>
        <v>21-30 km</v>
      </c>
      <c r="I464">
        <v>4</v>
      </c>
      <c r="J464" t="str" cm="1">
        <f t="array" ref="J464">_xlfn.IFS(I464=1,"Below College",I464=2,"College",I464=3,"Bachelor",I464=4,"Master",I464=5,"Doctor")</f>
        <v>Master</v>
      </c>
      <c r="K464" t="s">
        <v>35</v>
      </c>
      <c r="L464">
        <v>621</v>
      </c>
      <c r="M464">
        <v>4</v>
      </c>
      <c r="N464" t="str" cm="1">
        <f t="array" ref="N464">_xlfn.IFS(M464=1,"Low",M464=2,"Medium",M464=3,"High",M464=4,"Very High")</f>
        <v>Very High</v>
      </c>
      <c r="O464" t="s">
        <v>42</v>
      </c>
      <c r="P464" s="2">
        <v>74</v>
      </c>
      <c r="Q464">
        <v>4</v>
      </c>
      <c r="R464" t="str" cm="1">
        <f t="array" ref="R464">_xlfn.IFS(Q464=1,"Low",Q464=2,"Medium",Q464=3,"High",Q464=4,"Very High")</f>
        <v>Very High</v>
      </c>
      <c r="S464">
        <v>2</v>
      </c>
      <c r="T464" t="str" cm="1">
        <f t="array" ref="T464">_xlfn.IFS(S464=1,"Entry Level",S464=2,"Junior",S464=3,"Mid-Level",S464=4,"Senior",S464=5,"Executive")</f>
        <v>Junior</v>
      </c>
      <c r="U464" t="s">
        <v>37</v>
      </c>
      <c r="V464">
        <v>4</v>
      </c>
      <c r="W464" t="str" cm="1">
        <f t="array" ref="W464">_xlfn.IFS(V464=1,"Low",V464=2,"Medium",V464=3,"High",V464=4,"Very High")</f>
        <v>Very High</v>
      </c>
      <c r="X464" t="s">
        <v>38</v>
      </c>
      <c r="Y464" s="2">
        <v>5337</v>
      </c>
      <c r="Z464" s="2">
        <v>19921</v>
      </c>
      <c r="AA464">
        <v>1</v>
      </c>
      <c r="AB464" t="s">
        <v>39</v>
      </c>
      <c r="AC464">
        <v>12</v>
      </c>
      <c r="AD464">
        <v>3</v>
      </c>
      <c r="AE464" t="str" cm="1">
        <f t="array" ref="AE464">_xlfn.IFS(AD464=1,"Low",AD464=2,"Good",AD464=3,"Excellent",AD464=4,"Outstanding")</f>
        <v>Excellent</v>
      </c>
      <c r="AF464">
        <v>4</v>
      </c>
      <c r="AG464" t="str" cm="1">
        <f t="array" ref="AG464">_xlfn.IFS(AF464=1,"Low",AF464=2,"Medium",AF464=3,"High",AF464=4,"Very High")</f>
        <v>Very High</v>
      </c>
      <c r="AH464">
        <v>0</v>
      </c>
      <c r="AI464">
        <v>10</v>
      </c>
      <c r="AJ464">
        <v>3</v>
      </c>
      <c r="AK464">
        <v>3</v>
      </c>
      <c r="AL464" t="str" cm="1">
        <f t="array" ref="AL464">_xlfn.IFS(AK464=1,"Low",AK464=2,"Medium",AK464=3,"High",AK464=4,"Very High")</f>
        <v>High</v>
      </c>
      <c r="AM464">
        <v>10</v>
      </c>
      <c r="AN464">
        <v>7</v>
      </c>
      <c r="AO464">
        <v>5</v>
      </c>
      <c r="AP464">
        <v>7</v>
      </c>
    </row>
    <row r="465" spans="1:42">
      <c r="A465">
        <v>26</v>
      </c>
      <c r="B465" t="str" cm="1">
        <f t="array" ref="B465">_xlfn.IFS(A465&lt;=25,"18-25",A465&lt;=35,"26-35",A465&lt;=45,"36-45",A465&lt;=55,"46-55",A465&gt;55,"56+")</f>
        <v>26-35</v>
      </c>
      <c r="C465" t="s">
        <v>32</v>
      </c>
      <c r="D465" t="s">
        <v>33</v>
      </c>
      <c r="E465" s="2">
        <v>471</v>
      </c>
      <c r="F465" t="s">
        <v>41</v>
      </c>
      <c r="G465">
        <v>24</v>
      </c>
      <c r="H465" t="str">
        <f t="shared" si="7"/>
        <v>21-30 km</v>
      </c>
      <c r="I465">
        <v>3</v>
      </c>
      <c r="J465" t="str" cm="1">
        <f t="array" ref="J465">_xlfn.IFS(I465=1,"Below College",I465=2,"College",I465=3,"Bachelor",I465=4,"Master",I465=5,"Doctor")</f>
        <v>Bachelor</v>
      </c>
      <c r="K465" t="s">
        <v>56</v>
      </c>
      <c r="L465">
        <v>622</v>
      </c>
      <c r="M465">
        <v>3</v>
      </c>
      <c r="N465" t="str" cm="1">
        <f t="array" ref="N465">_xlfn.IFS(M465=1,"Low",M465=2,"Medium",M465=3,"High",M465=4,"Very High")</f>
        <v>High</v>
      </c>
      <c r="O465" t="s">
        <v>42</v>
      </c>
      <c r="P465" s="2">
        <v>66</v>
      </c>
      <c r="Q465">
        <v>1</v>
      </c>
      <c r="R465" t="str" cm="1">
        <f t="array" ref="R465">_xlfn.IFS(Q465=1,"Low",Q465=2,"Medium",Q465=3,"High",Q465=4,"Very High")</f>
        <v>Low</v>
      </c>
      <c r="S465">
        <v>1</v>
      </c>
      <c r="T465" t="str" cm="1">
        <f t="array" ref="T465">_xlfn.IFS(S465=1,"Entry Level",S465=2,"Junior",S465=3,"Mid-Level",S465=4,"Senior",S465=5,"Executive")</f>
        <v>Entry Level</v>
      </c>
      <c r="U465" t="s">
        <v>46</v>
      </c>
      <c r="V465">
        <v>4</v>
      </c>
      <c r="W465" t="str" cm="1">
        <f t="array" ref="W465">_xlfn.IFS(V465=1,"Low",V465=2,"Medium",V465=3,"High",V465=4,"Very High")</f>
        <v>Very High</v>
      </c>
      <c r="X465" t="s">
        <v>38</v>
      </c>
      <c r="Y465" s="2">
        <v>2340</v>
      </c>
      <c r="Z465" s="2">
        <v>23213</v>
      </c>
      <c r="AA465">
        <v>1</v>
      </c>
      <c r="AB465" t="s">
        <v>32</v>
      </c>
      <c r="AC465">
        <v>18</v>
      </c>
      <c r="AD465">
        <v>3</v>
      </c>
      <c r="AE465" t="str" cm="1">
        <f t="array" ref="AE465">_xlfn.IFS(AD465=1,"Low",AD465=2,"Good",AD465=3,"Excellent",AD465=4,"Outstanding")</f>
        <v>Excellent</v>
      </c>
      <c r="AF465">
        <v>2</v>
      </c>
      <c r="AG465" t="str" cm="1">
        <f t="array" ref="AG465">_xlfn.IFS(AF465=1,"Low",AF465=2,"Medium",AF465=3,"High",AF465=4,"Very High")</f>
        <v>Medium</v>
      </c>
      <c r="AH465">
        <v>0</v>
      </c>
      <c r="AI465">
        <v>1</v>
      </c>
      <c r="AJ465">
        <v>3</v>
      </c>
      <c r="AK465">
        <v>1</v>
      </c>
      <c r="AL465" t="str" cm="1">
        <f t="array" ref="AL465">_xlfn.IFS(AK465=1,"Low",AK465=2,"Medium",AK465=3,"High",AK465=4,"Very High")</f>
        <v>Low</v>
      </c>
      <c r="AM465">
        <v>1</v>
      </c>
      <c r="AN465">
        <v>0</v>
      </c>
      <c r="AO465">
        <v>0</v>
      </c>
      <c r="AP465">
        <v>0</v>
      </c>
    </row>
    <row r="466" spans="1:42">
      <c r="A466">
        <v>37</v>
      </c>
      <c r="B466" t="str" cm="1">
        <f t="array" ref="B466">_xlfn.IFS(A466&lt;=25,"18-25",A466&lt;=35,"26-35",A466&lt;=45,"36-45",A466&lt;=55,"46-55",A466&gt;55,"56+")</f>
        <v>36-45</v>
      </c>
      <c r="C466" t="s">
        <v>39</v>
      </c>
      <c r="D466" t="s">
        <v>33</v>
      </c>
      <c r="E466" s="2">
        <v>799</v>
      </c>
      <c r="F466" t="s">
        <v>41</v>
      </c>
      <c r="G466">
        <v>1</v>
      </c>
      <c r="H466" t="str">
        <f t="shared" si="7"/>
        <v>1-10 km</v>
      </c>
      <c r="I466">
        <v>3</v>
      </c>
      <c r="J466" t="str" cm="1">
        <f t="array" ref="J466">_xlfn.IFS(I466=1,"Below College",I466=2,"College",I466=3,"Bachelor",I466=4,"Master",I466=5,"Doctor")</f>
        <v>Bachelor</v>
      </c>
      <c r="K466" t="s">
        <v>56</v>
      </c>
      <c r="L466">
        <v>623</v>
      </c>
      <c r="M466">
        <v>2</v>
      </c>
      <c r="N466" t="str" cm="1">
        <f t="array" ref="N466">_xlfn.IFS(M466=1,"Low",M466=2,"Medium",M466=3,"High",M466=4,"Very High")</f>
        <v>Medium</v>
      </c>
      <c r="O466" t="s">
        <v>36</v>
      </c>
      <c r="P466" s="2">
        <v>59</v>
      </c>
      <c r="Q466">
        <v>3</v>
      </c>
      <c r="R466" t="str" cm="1">
        <f t="array" ref="R466">_xlfn.IFS(Q466=1,"Low",Q466=2,"Medium",Q466=3,"High",Q466=4,"Very High")</f>
        <v>High</v>
      </c>
      <c r="S466">
        <v>3</v>
      </c>
      <c r="T466" t="str" cm="1">
        <f t="array" ref="T466">_xlfn.IFS(S466=1,"Entry Level",S466=2,"Junior",S466=3,"Mid-Level",S466=4,"Senior",S466=5,"Executive")</f>
        <v>Mid-Level</v>
      </c>
      <c r="U466" t="s">
        <v>49</v>
      </c>
      <c r="V466">
        <v>4</v>
      </c>
      <c r="W466" t="str" cm="1">
        <f t="array" ref="W466">_xlfn.IFS(V466=1,"Low",V466=2,"Medium",V466=3,"High",V466=4,"Very High")</f>
        <v>Very High</v>
      </c>
      <c r="X466" t="s">
        <v>38</v>
      </c>
      <c r="Y466" s="2">
        <v>7491</v>
      </c>
      <c r="Z466" s="2">
        <v>23848</v>
      </c>
      <c r="AA466">
        <v>4</v>
      </c>
      <c r="AB466" t="s">
        <v>39</v>
      </c>
      <c r="AC466">
        <v>17</v>
      </c>
      <c r="AD466">
        <v>3</v>
      </c>
      <c r="AE466" t="str" cm="1">
        <f t="array" ref="AE466">_xlfn.IFS(AD466=1,"Low",AD466=2,"Good",AD466=3,"Excellent",AD466=4,"Outstanding")</f>
        <v>Excellent</v>
      </c>
      <c r="AF466">
        <v>4</v>
      </c>
      <c r="AG466" t="str" cm="1">
        <f t="array" ref="AG466">_xlfn.IFS(AF466=1,"Low",AF466=2,"Medium",AF466=3,"High",AF466=4,"Very High")</f>
        <v>Very High</v>
      </c>
      <c r="AH466">
        <v>0</v>
      </c>
      <c r="AI466">
        <v>12</v>
      </c>
      <c r="AJ466">
        <v>3</v>
      </c>
      <c r="AK466">
        <v>4</v>
      </c>
      <c r="AL466" t="str" cm="1">
        <f t="array" ref="AL466">_xlfn.IFS(AK466=1,"Low",AK466=2,"Medium",AK466=3,"High",AK466=4,"Very High")</f>
        <v>Very High</v>
      </c>
      <c r="AM466">
        <v>6</v>
      </c>
      <c r="AN466">
        <v>5</v>
      </c>
      <c r="AO466">
        <v>1</v>
      </c>
      <c r="AP466">
        <v>2</v>
      </c>
    </row>
    <row r="467" spans="1:42">
      <c r="A467">
        <v>46</v>
      </c>
      <c r="B467" t="str" cm="1">
        <f t="array" ref="B467">_xlfn.IFS(A467&lt;=25,"18-25",A467&lt;=35,"26-35",A467&lt;=45,"36-45",A467&lt;=55,"46-55",A467&gt;55,"56+")</f>
        <v>46-55</v>
      </c>
      <c r="C467" t="s">
        <v>39</v>
      </c>
      <c r="D467" t="s">
        <v>40</v>
      </c>
      <c r="E467" s="2">
        <v>1034</v>
      </c>
      <c r="F467" t="s">
        <v>41</v>
      </c>
      <c r="G467">
        <v>18</v>
      </c>
      <c r="H467" t="str">
        <f t="shared" si="7"/>
        <v>11-20 km</v>
      </c>
      <c r="I467">
        <v>1</v>
      </c>
      <c r="J467" t="str" cm="1">
        <f t="array" ref="J467">_xlfn.IFS(I467=1,"Below College",I467=2,"College",I467=3,"Bachelor",I467=4,"Master",I467=5,"Doctor")</f>
        <v>Below College</v>
      </c>
      <c r="K467" t="s">
        <v>47</v>
      </c>
      <c r="L467">
        <v>624</v>
      </c>
      <c r="M467">
        <v>1</v>
      </c>
      <c r="N467" t="str" cm="1">
        <f t="array" ref="N467">_xlfn.IFS(M467=1,"Low",M467=2,"Medium",M467=3,"High",M467=4,"Very High")</f>
        <v>Low</v>
      </c>
      <c r="O467" t="s">
        <v>36</v>
      </c>
      <c r="P467" s="2">
        <v>86</v>
      </c>
      <c r="Q467">
        <v>3</v>
      </c>
      <c r="R467" t="str" cm="1">
        <f t="array" ref="R467">_xlfn.IFS(Q467=1,"Low",Q467=2,"Medium",Q467=3,"High",Q467=4,"Very High")</f>
        <v>High</v>
      </c>
      <c r="S467">
        <v>3</v>
      </c>
      <c r="T467" t="str" cm="1">
        <f t="array" ref="T467">_xlfn.IFS(S467=1,"Entry Level",S467=2,"Junior",S467=3,"Mid-Level",S467=4,"Senior",S467=5,"Executive")</f>
        <v>Mid-Level</v>
      </c>
      <c r="U467" t="s">
        <v>50</v>
      </c>
      <c r="V467">
        <v>3</v>
      </c>
      <c r="W467" t="str" cm="1">
        <f t="array" ref="W467">_xlfn.IFS(V467=1,"Low",V467=2,"Medium",V467=3,"High",V467=4,"Very High")</f>
        <v>High</v>
      </c>
      <c r="X467" t="s">
        <v>44</v>
      </c>
      <c r="Y467" s="2">
        <v>10527</v>
      </c>
      <c r="Z467" s="2">
        <v>8984</v>
      </c>
      <c r="AA467">
        <v>5</v>
      </c>
      <c r="AB467" t="s">
        <v>39</v>
      </c>
      <c r="AC467">
        <v>11</v>
      </c>
      <c r="AD467">
        <v>3</v>
      </c>
      <c r="AE467" t="str" cm="1">
        <f t="array" ref="AE467">_xlfn.IFS(AD467=1,"Low",AD467=2,"Good",AD467=3,"Excellent",AD467=4,"Outstanding")</f>
        <v>Excellent</v>
      </c>
      <c r="AF467">
        <v>4</v>
      </c>
      <c r="AG467" t="str" cm="1">
        <f t="array" ref="AG467">_xlfn.IFS(AF467=1,"Low",AF467=2,"Medium",AF467=3,"High",AF467=4,"Very High")</f>
        <v>Very High</v>
      </c>
      <c r="AH467">
        <v>0</v>
      </c>
      <c r="AI467">
        <v>28</v>
      </c>
      <c r="AJ467">
        <v>3</v>
      </c>
      <c r="AK467">
        <v>2</v>
      </c>
      <c r="AL467" t="str" cm="1">
        <f t="array" ref="AL467">_xlfn.IFS(AK467=1,"Low",AK467=2,"Medium",AK467=3,"High",AK467=4,"Very High")</f>
        <v>Medium</v>
      </c>
      <c r="AM467">
        <v>2</v>
      </c>
      <c r="AN467">
        <v>2</v>
      </c>
      <c r="AO467">
        <v>1</v>
      </c>
      <c r="AP467">
        <v>2</v>
      </c>
    </row>
    <row r="468" spans="1:42">
      <c r="A468">
        <v>41</v>
      </c>
      <c r="B468" t="str" cm="1">
        <f t="array" ref="B468">_xlfn.IFS(A468&lt;=25,"18-25",A468&lt;=35,"26-35",A468&lt;=45,"36-45",A468&lt;=55,"46-55",A468&gt;55,"56+")</f>
        <v>36-45</v>
      </c>
      <c r="C468" t="s">
        <v>39</v>
      </c>
      <c r="D468" t="s">
        <v>33</v>
      </c>
      <c r="E468" s="2">
        <v>1276</v>
      </c>
      <c r="F468" t="s">
        <v>34</v>
      </c>
      <c r="G468">
        <v>2</v>
      </c>
      <c r="H468" t="str">
        <f t="shared" si="7"/>
        <v>1-10 km</v>
      </c>
      <c r="I468">
        <v>5</v>
      </c>
      <c r="J468" t="str" cm="1">
        <f t="array" ref="J468">_xlfn.IFS(I468=1,"Below College",I468=2,"College",I468=3,"Bachelor",I468=4,"Master",I468=5,"Doctor")</f>
        <v>Doctor</v>
      </c>
      <c r="K468" t="s">
        <v>35</v>
      </c>
      <c r="L468">
        <v>625</v>
      </c>
      <c r="M468">
        <v>2</v>
      </c>
      <c r="N468" t="str" cm="1">
        <f t="array" ref="N468">_xlfn.IFS(M468=1,"Low",M468=2,"Medium",M468=3,"High",M468=4,"Very High")</f>
        <v>Medium</v>
      </c>
      <c r="O468" t="s">
        <v>36</v>
      </c>
      <c r="P468" s="2">
        <v>91</v>
      </c>
      <c r="Q468">
        <v>3</v>
      </c>
      <c r="R468" t="str" cm="1">
        <f t="array" ref="R468">_xlfn.IFS(Q468=1,"Low",Q468=2,"Medium",Q468=3,"High",Q468=4,"Very High")</f>
        <v>High</v>
      </c>
      <c r="S468">
        <v>4</v>
      </c>
      <c r="T468" t="str" cm="1">
        <f t="array" ref="T468">_xlfn.IFS(S468=1,"Entry Level",S468=2,"Junior",S468=3,"Mid-Level",S468=4,"Senior",S468=5,"Executive")</f>
        <v>Senior</v>
      </c>
      <c r="U468" t="s">
        <v>52</v>
      </c>
      <c r="V468">
        <v>1</v>
      </c>
      <c r="W468" t="str" cm="1">
        <f t="array" ref="W468">_xlfn.IFS(V468=1,"Low",V468=2,"Medium",V468=3,"High",V468=4,"Very High")</f>
        <v>Low</v>
      </c>
      <c r="X468" t="s">
        <v>44</v>
      </c>
      <c r="Y468" s="2">
        <v>16595</v>
      </c>
      <c r="Z468" s="2">
        <v>5626</v>
      </c>
      <c r="AA468">
        <v>7</v>
      </c>
      <c r="AB468" t="s">
        <v>39</v>
      </c>
      <c r="AC468">
        <v>16</v>
      </c>
      <c r="AD468">
        <v>3</v>
      </c>
      <c r="AE468" t="str" cm="1">
        <f t="array" ref="AE468">_xlfn.IFS(AD468=1,"Low",AD468=2,"Good",AD468=3,"Excellent",AD468=4,"Outstanding")</f>
        <v>Excellent</v>
      </c>
      <c r="AF468">
        <v>2</v>
      </c>
      <c r="AG468" t="str" cm="1">
        <f t="array" ref="AG468">_xlfn.IFS(AF468=1,"Low",AF468=2,"Medium",AF468=3,"High",AF468=4,"Very High")</f>
        <v>Medium</v>
      </c>
      <c r="AH468">
        <v>1</v>
      </c>
      <c r="AI468">
        <v>22</v>
      </c>
      <c r="AJ468">
        <v>2</v>
      </c>
      <c r="AK468">
        <v>3</v>
      </c>
      <c r="AL468" t="str" cm="1">
        <f t="array" ref="AL468">_xlfn.IFS(AK468=1,"Low",AK468=2,"Medium",AK468=3,"High",AK468=4,"Very High")</f>
        <v>High</v>
      </c>
      <c r="AM468">
        <v>18</v>
      </c>
      <c r="AN468">
        <v>16</v>
      </c>
      <c r="AO468">
        <v>11</v>
      </c>
      <c r="AP468">
        <v>8</v>
      </c>
    </row>
    <row r="469" spans="1:42">
      <c r="A469">
        <v>37</v>
      </c>
      <c r="B469" t="str" cm="1">
        <f t="array" ref="B469">_xlfn.IFS(A469&lt;=25,"18-25",A469&lt;=35,"26-35",A469&lt;=45,"36-45",A469&lt;=55,"46-55",A469&gt;55,"56+")</f>
        <v>36-45</v>
      </c>
      <c r="C469" t="s">
        <v>39</v>
      </c>
      <c r="D469" t="s">
        <v>51</v>
      </c>
      <c r="E469" s="2">
        <v>142</v>
      </c>
      <c r="F469" t="s">
        <v>34</v>
      </c>
      <c r="G469">
        <v>9</v>
      </c>
      <c r="H469" t="str">
        <f t="shared" si="7"/>
        <v>1-10 km</v>
      </c>
      <c r="I469">
        <v>4</v>
      </c>
      <c r="J469" t="str" cm="1">
        <f t="array" ref="J469">_xlfn.IFS(I469=1,"Below College",I469=2,"College",I469=3,"Bachelor",I469=4,"Master",I469=5,"Doctor")</f>
        <v>Master</v>
      </c>
      <c r="K469" t="s">
        <v>47</v>
      </c>
      <c r="L469">
        <v>626</v>
      </c>
      <c r="M469">
        <v>1</v>
      </c>
      <c r="N469" t="str" cm="1">
        <f t="array" ref="N469">_xlfn.IFS(M469=1,"Low",M469=2,"Medium",M469=3,"High",M469=4,"Very High")</f>
        <v>Low</v>
      </c>
      <c r="O469" t="s">
        <v>42</v>
      </c>
      <c r="P469" s="2">
        <v>69</v>
      </c>
      <c r="Q469">
        <v>3</v>
      </c>
      <c r="R469" t="str" cm="1">
        <f t="array" ref="R469">_xlfn.IFS(Q469=1,"Low",Q469=2,"Medium",Q469=3,"High",Q469=4,"Very High")</f>
        <v>High</v>
      </c>
      <c r="S469">
        <v>3</v>
      </c>
      <c r="T469" t="str" cm="1">
        <f t="array" ref="T469">_xlfn.IFS(S469=1,"Entry Level",S469=2,"Junior",S469=3,"Mid-Level",S469=4,"Senior",S469=5,"Executive")</f>
        <v>Mid-Level</v>
      </c>
      <c r="U469" t="s">
        <v>37</v>
      </c>
      <c r="V469">
        <v>2</v>
      </c>
      <c r="W469" t="str" cm="1">
        <f t="array" ref="W469">_xlfn.IFS(V469=1,"Low",V469=2,"Medium",V469=3,"High",V469=4,"Very High")</f>
        <v>Medium</v>
      </c>
      <c r="X469" t="s">
        <v>48</v>
      </c>
      <c r="Y469" s="2">
        <v>8834</v>
      </c>
      <c r="Z469" s="2">
        <v>24666</v>
      </c>
      <c r="AA469">
        <v>1</v>
      </c>
      <c r="AB469" t="s">
        <v>39</v>
      </c>
      <c r="AC469">
        <v>13</v>
      </c>
      <c r="AD469">
        <v>3</v>
      </c>
      <c r="AE469" t="str" cm="1">
        <f t="array" ref="AE469">_xlfn.IFS(AD469=1,"Low",AD469=2,"Good",AD469=3,"Excellent",AD469=4,"Outstanding")</f>
        <v>Excellent</v>
      </c>
      <c r="AF469">
        <v>4</v>
      </c>
      <c r="AG469" t="str" cm="1">
        <f t="array" ref="AG469">_xlfn.IFS(AF469=1,"Low",AF469=2,"Medium",AF469=3,"High",AF469=4,"Very High")</f>
        <v>Very High</v>
      </c>
      <c r="AH469">
        <v>1</v>
      </c>
      <c r="AI469">
        <v>9</v>
      </c>
      <c r="AJ469">
        <v>6</v>
      </c>
      <c r="AK469">
        <v>3</v>
      </c>
      <c r="AL469" t="str" cm="1">
        <f t="array" ref="AL469">_xlfn.IFS(AK469=1,"Low",AK469=2,"Medium",AK469=3,"High",AK469=4,"Very High")</f>
        <v>High</v>
      </c>
      <c r="AM469">
        <v>9</v>
      </c>
      <c r="AN469">
        <v>5</v>
      </c>
      <c r="AO469">
        <v>7</v>
      </c>
      <c r="AP469">
        <v>7</v>
      </c>
    </row>
    <row r="470" spans="1:42">
      <c r="A470">
        <v>52</v>
      </c>
      <c r="B470" t="str" cm="1">
        <f t="array" ref="B470">_xlfn.IFS(A470&lt;=25,"18-25",A470&lt;=35,"26-35",A470&lt;=45,"36-45",A470&lt;=55,"46-55",A470&gt;55,"56+")</f>
        <v>46-55</v>
      </c>
      <c r="C470" t="s">
        <v>39</v>
      </c>
      <c r="D470" t="s">
        <v>33</v>
      </c>
      <c r="E470" s="2">
        <v>956</v>
      </c>
      <c r="F470" t="s">
        <v>41</v>
      </c>
      <c r="G470">
        <v>6</v>
      </c>
      <c r="H470" t="str">
        <f t="shared" si="7"/>
        <v>1-10 km</v>
      </c>
      <c r="I470">
        <v>2</v>
      </c>
      <c r="J470" t="str" cm="1">
        <f t="array" ref="J470">_xlfn.IFS(I470=1,"Below College",I470=2,"College",I470=3,"Bachelor",I470=4,"Master",I470=5,"Doctor")</f>
        <v>College</v>
      </c>
      <c r="K470" t="s">
        <v>56</v>
      </c>
      <c r="L470">
        <v>630</v>
      </c>
      <c r="M470">
        <v>4</v>
      </c>
      <c r="N470" t="str" cm="1">
        <f t="array" ref="N470">_xlfn.IFS(M470=1,"Low",M470=2,"Medium",M470=3,"High",M470=4,"Very High")</f>
        <v>Very High</v>
      </c>
      <c r="O470" t="s">
        <v>42</v>
      </c>
      <c r="P470" s="2">
        <v>78</v>
      </c>
      <c r="Q470">
        <v>3</v>
      </c>
      <c r="R470" t="str" cm="1">
        <f t="array" ref="R470">_xlfn.IFS(Q470=1,"Low",Q470=2,"Medium",Q470=3,"High",Q470=4,"Very High")</f>
        <v>High</v>
      </c>
      <c r="S470">
        <v>2</v>
      </c>
      <c r="T470" t="str" cm="1">
        <f t="array" ref="T470">_xlfn.IFS(S470=1,"Entry Level",S470=2,"Junior",S470=3,"Mid-Level",S470=4,"Senior",S470=5,"Executive")</f>
        <v>Junior</v>
      </c>
      <c r="U470" t="s">
        <v>43</v>
      </c>
      <c r="V470">
        <v>1</v>
      </c>
      <c r="W470" t="str" cm="1">
        <f t="array" ref="W470">_xlfn.IFS(V470=1,"Low",V470=2,"Medium",V470=3,"High",V470=4,"Very High")</f>
        <v>Low</v>
      </c>
      <c r="X470" t="s">
        <v>48</v>
      </c>
      <c r="Y470" s="2">
        <v>5577</v>
      </c>
      <c r="Z470" s="2">
        <v>22087</v>
      </c>
      <c r="AA470">
        <v>3</v>
      </c>
      <c r="AB470" t="s">
        <v>32</v>
      </c>
      <c r="AC470">
        <v>12</v>
      </c>
      <c r="AD470">
        <v>3</v>
      </c>
      <c r="AE470" t="str" cm="1">
        <f t="array" ref="AE470">_xlfn.IFS(AD470=1,"Low",AD470=2,"Good",AD470=3,"Excellent",AD470=4,"Outstanding")</f>
        <v>Excellent</v>
      </c>
      <c r="AF470">
        <v>2</v>
      </c>
      <c r="AG470" t="str" cm="1">
        <f t="array" ref="AG470">_xlfn.IFS(AF470=1,"Low",AF470=2,"Medium",AF470=3,"High",AF470=4,"Very High")</f>
        <v>Medium</v>
      </c>
      <c r="AH470">
        <v>2</v>
      </c>
      <c r="AI470">
        <v>18</v>
      </c>
      <c r="AJ470">
        <v>3</v>
      </c>
      <c r="AK470">
        <v>3</v>
      </c>
      <c r="AL470" t="str" cm="1">
        <f t="array" ref="AL470">_xlfn.IFS(AK470=1,"Low",AK470=2,"Medium",AK470=3,"High",AK470=4,"Very High")</f>
        <v>High</v>
      </c>
      <c r="AM470">
        <v>10</v>
      </c>
      <c r="AN470">
        <v>9</v>
      </c>
      <c r="AO470">
        <v>6</v>
      </c>
      <c r="AP470">
        <v>9</v>
      </c>
    </row>
    <row r="471" spans="1:42">
      <c r="A471">
        <v>32</v>
      </c>
      <c r="B471" t="str" cm="1">
        <f t="array" ref="B471">_xlfn.IFS(A471&lt;=25,"18-25",A471&lt;=35,"26-35",A471&lt;=45,"36-45",A471&lt;=55,"46-55",A471&gt;55,"56+")</f>
        <v>26-35</v>
      </c>
      <c r="C471" t="s">
        <v>32</v>
      </c>
      <c r="D471" t="s">
        <v>51</v>
      </c>
      <c r="E471" s="2">
        <v>1474</v>
      </c>
      <c r="F471" t="s">
        <v>34</v>
      </c>
      <c r="G471">
        <v>11</v>
      </c>
      <c r="H471" t="str">
        <f t="shared" si="7"/>
        <v>11-20 km</v>
      </c>
      <c r="I471">
        <v>4</v>
      </c>
      <c r="J471" t="str" cm="1">
        <f t="array" ref="J471">_xlfn.IFS(I471=1,"Below College",I471=2,"College",I471=3,"Bachelor",I471=4,"Master",I471=5,"Doctor")</f>
        <v>Master</v>
      </c>
      <c r="K471" t="s">
        <v>45</v>
      </c>
      <c r="L471">
        <v>631</v>
      </c>
      <c r="M471">
        <v>4</v>
      </c>
      <c r="N471" t="str" cm="1">
        <f t="array" ref="N471">_xlfn.IFS(M471=1,"Low",M471=2,"Medium",M471=3,"High",M471=4,"Very High")</f>
        <v>Very High</v>
      </c>
      <c r="O471" t="s">
        <v>42</v>
      </c>
      <c r="P471" s="2">
        <v>60</v>
      </c>
      <c r="Q471">
        <v>4</v>
      </c>
      <c r="R471" t="str" cm="1">
        <f t="array" ref="R471">_xlfn.IFS(Q471=1,"Low",Q471=2,"Medium",Q471=3,"High",Q471=4,"Very High")</f>
        <v>Very High</v>
      </c>
      <c r="S471">
        <v>2</v>
      </c>
      <c r="T471" t="str" cm="1">
        <f t="array" ref="T471">_xlfn.IFS(S471=1,"Entry Level",S471=2,"Junior",S471=3,"Mid-Level",S471=4,"Senior",S471=5,"Executive")</f>
        <v>Junior</v>
      </c>
      <c r="U471" t="s">
        <v>37</v>
      </c>
      <c r="V471">
        <v>3</v>
      </c>
      <c r="W471" t="str" cm="1">
        <f t="array" ref="W471">_xlfn.IFS(V471=1,"Low",V471=2,"Medium",V471=3,"High",V471=4,"Very High")</f>
        <v>High</v>
      </c>
      <c r="X471" t="s">
        <v>44</v>
      </c>
      <c r="Y471" s="2">
        <v>4707</v>
      </c>
      <c r="Z471" s="2">
        <v>23914</v>
      </c>
      <c r="AA471">
        <v>8</v>
      </c>
      <c r="AB471" t="s">
        <v>39</v>
      </c>
      <c r="AC471">
        <v>12</v>
      </c>
      <c r="AD471">
        <v>3</v>
      </c>
      <c r="AE471" t="str" cm="1">
        <f t="array" ref="AE471">_xlfn.IFS(AD471=1,"Low",AD471=2,"Good",AD471=3,"Excellent",AD471=4,"Outstanding")</f>
        <v>Excellent</v>
      </c>
      <c r="AF471">
        <v>4</v>
      </c>
      <c r="AG471" t="str" cm="1">
        <f t="array" ref="AG471">_xlfn.IFS(AF471=1,"Low",AF471=2,"Medium",AF471=3,"High",AF471=4,"Very High")</f>
        <v>Very High</v>
      </c>
      <c r="AH471">
        <v>0</v>
      </c>
      <c r="AI471">
        <v>6</v>
      </c>
      <c r="AJ471">
        <v>2</v>
      </c>
      <c r="AK471">
        <v>3</v>
      </c>
      <c r="AL471" t="str" cm="1">
        <f t="array" ref="AL471">_xlfn.IFS(AK471=1,"Low",AK471=2,"Medium",AK471=3,"High",AK471=4,"Very High")</f>
        <v>High</v>
      </c>
      <c r="AM471">
        <v>4</v>
      </c>
      <c r="AN471">
        <v>2</v>
      </c>
      <c r="AO471">
        <v>1</v>
      </c>
      <c r="AP471">
        <v>2</v>
      </c>
    </row>
    <row r="472" spans="1:42">
      <c r="A472">
        <v>24</v>
      </c>
      <c r="B472" t="str" cm="1">
        <f t="array" ref="B472">_xlfn.IFS(A472&lt;=25,"18-25",A472&lt;=35,"26-35",A472&lt;=45,"36-45",A472&lt;=55,"46-55",A472&gt;55,"56+")</f>
        <v>18-25</v>
      </c>
      <c r="C472" t="s">
        <v>39</v>
      </c>
      <c r="D472" t="s">
        <v>40</v>
      </c>
      <c r="E472" s="2">
        <v>535</v>
      </c>
      <c r="F472" t="s">
        <v>34</v>
      </c>
      <c r="G472">
        <v>24</v>
      </c>
      <c r="H472" t="str">
        <f t="shared" si="7"/>
        <v>21-30 km</v>
      </c>
      <c r="I472">
        <v>3</v>
      </c>
      <c r="J472" t="str" cm="1">
        <f t="array" ref="J472">_xlfn.IFS(I472=1,"Below College",I472=2,"College",I472=3,"Bachelor",I472=4,"Master",I472=5,"Doctor")</f>
        <v>Bachelor</v>
      </c>
      <c r="K472" t="s">
        <v>47</v>
      </c>
      <c r="L472">
        <v>632</v>
      </c>
      <c r="M472">
        <v>4</v>
      </c>
      <c r="N472" t="str" cm="1">
        <f t="array" ref="N472">_xlfn.IFS(M472=1,"Low",M472=2,"Medium",M472=3,"High",M472=4,"Very High")</f>
        <v>Very High</v>
      </c>
      <c r="O472" t="s">
        <v>42</v>
      </c>
      <c r="P472" s="2">
        <v>38</v>
      </c>
      <c r="Q472">
        <v>3</v>
      </c>
      <c r="R472" t="str" cm="1">
        <f t="array" ref="R472">_xlfn.IFS(Q472=1,"Low",Q472=2,"Medium",Q472=3,"High",Q472=4,"Very High")</f>
        <v>High</v>
      </c>
      <c r="S472">
        <v>1</v>
      </c>
      <c r="T472" t="str" cm="1">
        <f t="array" ref="T472">_xlfn.IFS(S472=1,"Entry Level",S472=2,"Junior",S472=3,"Mid-Level",S472=4,"Senior",S472=5,"Executive")</f>
        <v>Entry Level</v>
      </c>
      <c r="U472" t="s">
        <v>53</v>
      </c>
      <c r="V472">
        <v>4</v>
      </c>
      <c r="W472" t="str" cm="1">
        <f t="array" ref="W472">_xlfn.IFS(V472=1,"Low",V472=2,"Medium",V472=3,"High",V472=4,"Very High")</f>
        <v>Very High</v>
      </c>
      <c r="X472" t="s">
        <v>44</v>
      </c>
      <c r="Y472" s="2">
        <v>2400</v>
      </c>
      <c r="Z472" s="2">
        <v>5530</v>
      </c>
      <c r="AA472">
        <v>0</v>
      </c>
      <c r="AB472" t="s">
        <v>39</v>
      </c>
      <c r="AC472">
        <v>13</v>
      </c>
      <c r="AD472">
        <v>3</v>
      </c>
      <c r="AE472" t="str" cm="1">
        <f t="array" ref="AE472">_xlfn.IFS(AD472=1,"Low",AD472=2,"Good",AD472=3,"Excellent",AD472=4,"Outstanding")</f>
        <v>Excellent</v>
      </c>
      <c r="AF472">
        <v>3</v>
      </c>
      <c r="AG472" t="str" cm="1">
        <f t="array" ref="AG472">_xlfn.IFS(AF472=1,"Low",AF472=2,"Medium",AF472=3,"High",AF472=4,"Very High")</f>
        <v>High</v>
      </c>
      <c r="AH472">
        <v>2</v>
      </c>
      <c r="AI472">
        <v>3</v>
      </c>
      <c r="AJ472">
        <v>3</v>
      </c>
      <c r="AK472">
        <v>3</v>
      </c>
      <c r="AL472" t="str" cm="1">
        <f t="array" ref="AL472">_xlfn.IFS(AK472=1,"Low",AK472=2,"Medium",AK472=3,"High",AK472=4,"Very High")</f>
        <v>High</v>
      </c>
      <c r="AM472">
        <v>2</v>
      </c>
      <c r="AN472">
        <v>2</v>
      </c>
      <c r="AO472">
        <v>2</v>
      </c>
      <c r="AP472">
        <v>1</v>
      </c>
    </row>
    <row r="473" spans="1:42">
      <c r="A473">
        <v>38</v>
      </c>
      <c r="B473" t="str" cm="1">
        <f t="array" ref="B473">_xlfn.IFS(A473&lt;=25,"18-25",A473&lt;=35,"26-35",A473&lt;=45,"36-45",A473&lt;=55,"46-55",A473&gt;55,"56+")</f>
        <v>36-45</v>
      </c>
      <c r="C473" t="s">
        <v>39</v>
      </c>
      <c r="D473" t="s">
        <v>33</v>
      </c>
      <c r="E473" s="2">
        <v>1495</v>
      </c>
      <c r="F473" t="s">
        <v>41</v>
      </c>
      <c r="G473">
        <v>10</v>
      </c>
      <c r="H473" t="str">
        <f t="shared" si="7"/>
        <v>1-10 km</v>
      </c>
      <c r="I473">
        <v>3</v>
      </c>
      <c r="J473" t="str" cm="1">
        <f t="array" ref="J473">_xlfn.IFS(I473=1,"Below College",I473=2,"College",I473=3,"Bachelor",I473=4,"Master",I473=5,"Doctor")</f>
        <v>Bachelor</v>
      </c>
      <c r="K473" t="s">
        <v>47</v>
      </c>
      <c r="L473">
        <v>634</v>
      </c>
      <c r="M473">
        <v>3</v>
      </c>
      <c r="N473" t="str" cm="1">
        <f t="array" ref="N473">_xlfn.IFS(M473=1,"Low",M473=2,"Medium",M473=3,"High",M473=4,"Very High")</f>
        <v>High</v>
      </c>
      <c r="O473" t="s">
        <v>36</v>
      </c>
      <c r="P473" s="2">
        <v>76</v>
      </c>
      <c r="Q473">
        <v>3</v>
      </c>
      <c r="R473" t="str" cm="1">
        <f t="array" ref="R473">_xlfn.IFS(Q473=1,"Low",Q473=2,"Medium",Q473=3,"High",Q473=4,"Very High")</f>
        <v>High</v>
      </c>
      <c r="S473">
        <v>2</v>
      </c>
      <c r="T473" t="str" cm="1">
        <f t="array" ref="T473">_xlfn.IFS(S473=1,"Entry Level",S473=2,"Junior",S473=3,"Mid-Level",S473=4,"Senior",S473=5,"Executive")</f>
        <v>Junior</v>
      </c>
      <c r="U473" t="s">
        <v>50</v>
      </c>
      <c r="V473">
        <v>3</v>
      </c>
      <c r="W473" t="str" cm="1">
        <f t="array" ref="W473">_xlfn.IFS(V473=1,"Low",V473=2,"Medium",V473=3,"High",V473=4,"Very High")</f>
        <v>High</v>
      </c>
      <c r="X473" t="s">
        <v>44</v>
      </c>
      <c r="Y473" s="2">
        <v>9824</v>
      </c>
      <c r="Z473" s="2">
        <v>22174</v>
      </c>
      <c r="AA473">
        <v>3</v>
      </c>
      <c r="AB473" t="s">
        <v>39</v>
      </c>
      <c r="AC473">
        <v>19</v>
      </c>
      <c r="AD473">
        <v>3</v>
      </c>
      <c r="AE473" t="str" cm="1">
        <f t="array" ref="AE473">_xlfn.IFS(AD473=1,"Low",AD473=2,"Good",AD473=3,"Excellent",AD473=4,"Outstanding")</f>
        <v>Excellent</v>
      </c>
      <c r="AF473">
        <v>3</v>
      </c>
      <c r="AG473" t="str" cm="1">
        <f t="array" ref="AG473">_xlfn.IFS(AF473=1,"Low",AF473=2,"Medium",AF473=3,"High",AF473=4,"Very High")</f>
        <v>High</v>
      </c>
      <c r="AH473">
        <v>1</v>
      </c>
      <c r="AI473">
        <v>18</v>
      </c>
      <c r="AJ473">
        <v>4</v>
      </c>
      <c r="AK473">
        <v>3</v>
      </c>
      <c r="AL473" t="str" cm="1">
        <f t="array" ref="AL473">_xlfn.IFS(AK473=1,"Low",AK473=2,"Medium",AK473=3,"High",AK473=4,"Very High")</f>
        <v>High</v>
      </c>
      <c r="AM473">
        <v>1</v>
      </c>
      <c r="AN473">
        <v>0</v>
      </c>
      <c r="AO473">
        <v>0</v>
      </c>
      <c r="AP473">
        <v>0</v>
      </c>
    </row>
    <row r="474" spans="1:42">
      <c r="A474">
        <v>37</v>
      </c>
      <c r="B474" t="str" cm="1">
        <f t="array" ref="B474">_xlfn.IFS(A474&lt;=25,"18-25",A474&lt;=35,"26-35",A474&lt;=45,"36-45",A474&lt;=55,"46-55",A474&gt;55,"56+")</f>
        <v>36-45</v>
      </c>
      <c r="C474" t="s">
        <v>39</v>
      </c>
      <c r="D474" t="s">
        <v>33</v>
      </c>
      <c r="E474" s="2">
        <v>446</v>
      </c>
      <c r="F474" t="s">
        <v>41</v>
      </c>
      <c r="G474">
        <v>1</v>
      </c>
      <c r="H474" t="str">
        <f t="shared" si="7"/>
        <v>1-10 km</v>
      </c>
      <c r="I474">
        <v>4</v>
      </c>
      <c r="J474" t="str" cm="1">
        <f t="array" ref="J474">_xlfn.IFS(I474=1,"Below College",I474=2,"College",I474=3,"Bachelor",I474=4,"Master",I474=5,"Doctor")</f>
        <v>Master</v>
      </c>
      <c r="K474" t="s">
        <v>35</v>
      </c>
      <c r="L474">
        <v>635</v>
      </c>
      <c r="M474">
        <v>2</v>
      </c>
      <c r="N474" t="str" cm="1">
        <f t="array" ref="N474">_xlfn.IFS(M474=1,"Low",M474=2,"Medium",M474=3,"High",M474=4,"Very High")</f>
        <v>Medium</v>
      </c>
      <c r="O474" t="s">
        <v>36</v>
      </c>
      <c r="P474" s="2">
        <v>65</v>
      </c>
      <c r="Q474">
        <v>3</v>
      </c>
      <c r="R474" t="str" cm="1">
        <f t="array" ref="R474">_xlfn.IFS(Q474=1,"Low",Q474=2,"Medium",Q474=3,"High",Q474=4,"Very High")</f>
        <v>High</v>
      </c>
      <c r="S474">
        <v>2</v>
      </c>
      <c r="T474" t="str" cm="1">
        <f t="array" ref="T474">_xlfn.IFS(S474=1,"Entry Level",S474=2,"Junior",S474=3,"Mid-Level",S474=4,"Senior",S474=5,"Executive")</f>
        <v>Junior</v>
      </c>
      <c r="U474" t="s">
        <v>49</v>
      </c>
      <c r="V474">
        <v>2</v>
      </c>
      <c r="W474" t="str" cm="1">
        <f t="array" ref="W474">_xlfn.IFS(V474=1,"Low",V474=2,"Medium",V474=3,"High",V474=4,"Very High")</f>
        <v>Medium</v>
      </c>
      <c r="X474" t="s">
        <v>44</v>
      </c>
      <c r="Y474" s="2">
        <v>6447</v>
      </c>
      <c r="Z474" s="2">
        <v>15701</v>
      </c>
      <c r="AA474">
        <v>6</v>
      </c>
      <c r="AB474" t="s">
        <v>39</v>
      </c>
      <c r="AC474">
        <v>12</v>
      </c>
      <c r="AD474">
        <v>3</v>
      </c>
      <c r="AE474" t="str" cm="1">
        <f t="array" ref="AE474">_xlfn.IFS(AD474=1,"Low",AD474=2,"Good",AD474=3,"Excellent",AD474=4,"Outstanding")</f>
        <v>Excellent</v>
      </c>
      <c r="AF474">
        <v>2</v>
      </c>
      <c r="AG474" t="str" cm="1">
        <f t="array" ref="AG474">_xlfn.IFS(AF474=1,"Low",AF474=2,"Medium",AF474=3,"High",AF474=4,"Very High")</f>
        <v>Medium</v>
      </c>
      <c r="AH474">
        <v>1</v>
      </c>
      <c r="AI474">
        <v>8</v>
      </c>
      <c r="AJ474">
        <v>2</v>
      </c>
      <c r="AK474">
        <v>2</v>
      </c>
      <c r="AL474" t="str" cm="1">
        <f t="array" ref="AL474">_xlfn.IFS(AK474=1,"Low",AK474=2,"Medium",AK474=3,"High",AK474=4,"Very High")</f>
        <v>Medium</v>
      </c>
      <c r="AM474">
        <v>6</v>
      </c>
      <c r="AN474">
        <v>5</v>
      </c>
      <c r="AO474">
        <v>4</v>
      </c>
      <c r="AP474">
        <v>3</v>
      </c>
    </row>
    <row r="475" spans="1:42">
      <c r="A475">
        <v>49</v>
      </c>
      <c r="B475" t="str" cm="1">
        <f t="array" ref="B475">_xlfn.IFS(A475&lt;=25,"18-25",A475&lt;=35,"26-35",A475&lt;=45,"36-45",A475&lt;=55,"46-55",A475&gt;55,"56+")</f>
        <v>46-55</v>
      </c>
      <c r="C475" t="s">
        <v>39</v>
      </c>
      <c r="D475" t="s">
        <v>33</v>
      </c>
      <c r="E475" s="2">
        <v>1245</v>
      </c>
      <c r="F475" t="s">
        <v>41</v>
      </c>
      <c r="G475">
        <v>18</v>
      </c>
      <c r="H475" t="str">
        <f t="shared" si="7"/>
        <v>11-20 km</v>
      </c>
      <c r="I475">
        <v>4</v>
      </c>
      <c r="J475" t="str" cm="1">
        <f t="array" ref="J475">_xlfn.IFS(I475=1,"Below College",I475=2,"College",I475=3,"Bachelor",I475=4,"Master",I475=5,"Doctor")</f>
        <v>Master</v>
      </c>
      <c r="K475" t="s">
        <v>35</v>
      </c>
      <c r="L475">
        <v>638</v>
      </c>
      <c r="M475">
        <v>4</v>
      </c>
      <c r="N475" t="str" cm="1">
        <f t="array" ref="N475">_xlfn.IFS(M475=1,"Low",M475=2,"Medium",M475=3,"High",M475=4,"Very High")</f>
        <v>Very High</v>
      </c>
      <c r="O475" t="s">
        <v>42</v>
      </c>
      <c r="P475" s="2">
        <v>58</v>
      </c>
      <c r="Q475">
        <v>2</v>
      </c>
      <c r="R475" t="str" cm="1">
        <f t="array" ref="R475">_xlfn.IFS(Q475=1,"Low",Q475=2,"Medium",Q475=3,"High",Q475=4,"Very High")</f>
        <v>Medium</v>
      </c>
      <c r="S475">
        <v>5</v>
      </c>
      <c r="T475" t="str" cm="1">
        <f t="array" ref="T475">_xlfn.IFS(S475=1,"Entry Level",S475=2,"Junior",S475=3,"Mid-Level",S475=4,"Senior",S475=5,"Executive")</f>
        <v>Executive</v>
      </c>
      <c r="U475" t="s">
        <v>54</v>
      </c>
      <c r="V475">
        <v>3</v>
      </c>
      <c r="W475" t="str" cm="1">
        <f t="array" ref="W475">_xlfn.IFS(V475=1,"Low",V475=2,"Medium",V475=3,"High",V475=4,"Very High")</f>
        <v>High</v>
      </c>
      <c r="X475" t="s">
        <v>48</v>
      </c>
      <c r="Y475" s="2">
        <v>19502</v>
      </c>
      <c r="Z475" s="2">
        <v>2125</v>
      </c>
      <c r="AA475">
        <v>1</v>
      </c>
      <c r="AB475" t="s">
        <v>32</v>
      </c>
      <c r="AC475">
        <v>17</v>
      </c>
      <c r="AD475">
        <v>3</v>
      </c>
      <c r="AE475" t="str" cm="1">
        <f t="array" ref="AE475">_xlfn.IFS(AD475=1,"Low",AD475=2,"Good",AD475=3,"Excellent",AD475=4,"Outstanding")</f>
        <v>Excellent</v>
      </c>
      <c r="AF475">
        <v>3</v>
      </c>
      <c r="AG475" t="str" cm="1">
        <f t="array" ref="AG475">_xlfn.IFS(AF475=1,"Low",AF475=2,"Medium",AF475=3,"High",AF475=4,"Very High")</f>
        <v>High</v>
      </c>
      <c r="AH475">
        <v>1</v>
      </c>
      <c r="AI475">
        <v>31</v>
      </c>
      <c r="AJ475">
        <v>5</v>
      </c>
      <c r="AK475">
        <v>3</v>
      </c>
      <c r="AL475" t="str" cm="1">
        <f t="array" ref="AL475">_xlfn.IFS(AK475=1,"Low",AK475=2,"Medium",AK475=3,"High",AK475=4,"Very High")</f>
        <v>High</v>
      </c>
      <c r="AM475">
        <v>31</v>
      </c>
      <c r="AN475">
        <v>9</v>
      </c>
      <c r="AO475">
        <v>0</v>
      </c>
      <c r="AP475">
        <v>9</v>
      </c>
    </row>
    <row r="476" spans="1:42">
      <c r="A476">
        <v>24</v>
      </c>
      <c r="B476" t="str" cm="1">
        <f t="array" ref="B476">_xlfn.IFS(A476&lt;=25,"18-25",A476&lt;=35,"26-35",A476&lt;=45,"36-45",A476&lt;=55,"46-55",A476&gt;55,"56+")</f>
        <v>18-25</v>
      </c>
      <c r="C476" t="s">
        <v>39</v>
      </c>
      <c r="D476" t="s">
        <v>33</v>
      </c>
      <c r="E476" s="2">
        <v>691</v>
      </c>
      <c r="F476" t="s">
        <v>41</v>
      </c>
      <c r="G476">
        <v>23</v>
      </c>
      <c r="H476" t="str">
        <f t="shared" si="7"/>
        <v>21-30 km</v>
      </c>
      <c r="I476">
        <v>3</v>
      </c>
      <c r="J476" t="str" cm="1">
        <f t="array" ref="J476">_xlfn.IFS(I476=1,"Below College",I476=2,"College",I476=3,"Bachelor",I476=4,"Master",I476=5,"Doctor")</f>
        <v>Bachelor</v>
      </c>
      <c r="K476" t="s">
        <v>47</v>
      </c>
      <c r="L476">
        <v>639</v>
      </c>
      <c r="M476">
        <v>2</v>
      </c>
      <c r="N476" t="str" cm="1">
        <f t="array" ref="N476">_xlfn.IFS(M476=1,"Low",M476=2,"Medium",M476=3,"High",M476=4,"Very High")</f>
        <v>Medium</v>
      </c>
      <c r="O476" t="s">
        <v>42</v>
      </c>
      <c r="P476" s="2">
        <v>89</v>
      </c>
      <c r="Q476">
        <v>4</v>
      </c>
      <c r="R476" t="str" cm="1">
        <f t="array" ref="R476">_xlfn.IFS(Q476=1,"Low",Q476=2,"Medium",Q476=3,"High",Q476=4,"Very High")</f>
        <v>Very High</v>
      </c>
      <c r="S476">
        <v>1</v>
      </c>
      <c r="T476" t="str" cm="1">
        <f t="array" ref="T476">_xlfn.IFS(S476=1,"Entry Level",S476=2,"Junior",S476=3,"Mid-Level",S476=4,"Senior",S476=5,"Executive")</f>
        <v>Entry Level</v>
      </c>
      <c r="U476" t="s">
        <v>43</v>
      </c>
      <c r="V476">
        <v>4</v>
      </c>
      <c r="W476" t="str" cm="1">
        <f t="array" ref="W476">_xlfn.IFS(V476=1,"Low",V476=2,"Medium",V476=3,"High",V476=4,"Very High")</f>
        <v>Very High</v>
      </c>
      <c r="X476" t="s">
        <v>44</v>
      </c>
      <c r="Y476" s="2">
        <v>2725</v>
      </c>
      <c r="Z476" s="2">
        <v>21630</v>
      </c>
      <c r="AA476">
        <v>1</v>
      </c>
      <c r="AB476" t="s">
        <v>32</v>
      </c>
      <c r="AC476">
        <v>11</v>
      </c>
      <c r="AD476">
        <v>3</v>
      </c>
      <c r="AE476" t="str" cm="1">
        <f t="array" ref="AE476">_xlfn.IFS(AD476=1,"Low",AD476=2,"Good",AD476=3,"Excellent",AD476=4,"Outstanding")</f>
        <v>Excellent</v>
      </c>
      <c r="AF476">
        <v>2</v>
      </c>
      <c r="AG476" t="str" cm="1">
        <f t="array" ref="AG476">_xlfn.IFS(AF476=1,"Low",AF476=2,"Medium",AF476=3,"High",AF476=4,"Very High")</f>
        <v>Medium</v>
      </c>
      <c r="AH476">
        <v>2</v>
      </c>
      <c r="AI476">
        <v>6</v>
      </c>
      <c r="AJ476">
        <v>3</v>
      </c>
      <c r="AK476">
        <v>3</v>
      </c>
      <c r="AL476" t="str" cm="1">
        <f t="array" ref="AL476">_xlfn.IFS(AK476=1,"Low",AK476=2,"Medium",AK476=3,"High",AK476=4,"Very High")</f>
        <v>High</v>
      </c>
      <c r="AM476">
        <v>6</v>
      </c>
      <c r="AN476">
        <v>5</v>
      </c>
      <c r="AO476">
        <v>1</v>
      </c>
      <c r="AP476">
        <v>4</v>
      </c>
    </row>
    <row r="477" spans="1:42">
      <c r="A477">
        <v>26</v>
      </c>
      <c r="B477" t="str" cm="1">
        <f t="array" ref="B477">_xlfn.IFS(A477&lt;=25,"18-25",A477&lt;=35,"26-35",A477&lt;=45,"36-45",A477&lt;=55,"46-55",A477&gt;55,"56+")</f>
        <v>26-35</v>
      </c>
      <c r="C477" t="s">
        <v>39</v>
      </c>
      <c r="D477" t="s">
        <v>33</v>
      </c>
      <c r="E477" s="2">
        <v>703</v>
      </c>
      <c r="F477" t="s">
        <v>34</v>
      </c>
      <c r="G477">
        <v>28</v>
      </c>
      <c r="H477" t="str">
        <f t="shared" si="7"/>
        <v>21-30 km</v>
      </c>
      <c r="I477">
        <v>2</v>
      </c>
      <c r="J477" t="str" cm="1">
        <f t="array" ref="J477">_xlfn.IFS(I477=1,"Below College",I477=2,"College",I477=3,"Bachelor",I477=4,"Master",I477=5,"Doctor")</f>
        <v>College</v>
      </c>
      <c r="K477" t="s">
        <v>55</v>
      </c>
      <c r="L477">
        <v>641</v>
      </c>
      <c r="M477">
        <v>1</v>
      </c>
      <c r="N477" t="str" cm="1">
        <f t="array" ref="N477">_xlfn.IFS(M477=1,"Low",M477=2,"Medium",M477=3,"High",M477=4,"Very High")</f>
        <v>Low</v>
      </c>
      <c r="O477" t="s">
        <v>42</v>
      </c>
      <c r="P477" s="2">
        <v>66</v>
      </c>
      <c r="Q477">
        <v>3</v>
      </c>
      <c r="R477" t="str" cm="1">
        <f t="array" ref="R477">_xlfn.IFS(Q477=1,"Low",Q477=2,"Medium",Q477=3,"High",Q477=4,"Very High")</f>
        <v>High</v>
      </c>
      <c r="S477">
        <v>2</v>
      </c>
      <c r="T477" t="str" cm="1">
        <f t="array" ref="T477">_xlfn.IFS(S477=1,"Entry Level",S477=2,"Junior",S477=3,"Mid-Level",S477=4,"Senior",S477=5,"Executive")</f>
        <v>Junior</v>
      </c>
      <c r="U477" t="s">
        <v>37</v>
      </c>
      <c r="V477">
        <v>2</v>
      </c>
      <c r="W477" t="str" cm="1">
        <f t="array" ref="W477">_xlfn.IFS(V477=1,"Low",V477=2,"Medium",V477=3,"High",V477=4,"Very High")</f>
        <v>Medium</v>
      </c>
      <c r="X477" t="s">
        <v>44</v>
      </c>
      <c r="Y477" s="2">
        <v>6272</v>
      </c>
      <c r="Z477" s="2">
        <v>7428</v>
      </c>
      <c r="AA477">
        <v>1</v>
      </c>
      <c r="AB477" t="s">
        <v>39</v>
      </c>
      <c r="AC477">
        <v>20</v>
      </c>
      <c r="AD477">
        <v>4</v>
      </c>
      <c r="AE477" t="str" cm="1">
        <f t="array" ref="AE477">_xlfn.IFS(AD477=1,"Low",AD477=2,"Good",AD477=3,"Excellent",AD477=4,"Outstanding")</f>
        <v>Outstanding</v>
      </c>
      <c r="AF477">
        <v>4</v>
      </c>
      <c r="AG477" t="str" cm="1">
        <f t="array" ref="AG477">_xlfn.IFS(AF477=1,"Low",AF477=2,"Medium",AF477=3,"High",AF477=4,"Very High")</f>
        <v>Very High</v>
      </c>
      <c r="AH477">
        <v>2</v>
      </c>
      <c r="AI477">
        <v>6</v>
      </c>
      <c r="AJ477">
        <v>5</v>
      </c>
      <c r="AK477">
        <v>4</v>
      </c>
      <c r="AL477" t="str" cm="1">
        <f t="array" ref="AL477">_xlfn.IFS(AK477=1,"Low",AK477=2,"Medium",AK477=3,"High",AK477=4,"Very High")</f>
        <v>Very High</v>
      </c>
      <c r="AM477">
        <v>5</v>
      </c>
      <c r="AN477">
        <v>3</v>
      </c>
      <c r="AO477">
        <v>1</v>
      </c>
      <c r="AP477">
        <v>4</v>
      </c>
    </row>
    <row r="478" spans="1:42">
      <c r="A478">
        <v>24</v>
      </c>
      <c r="B478" t="str" cm="1">
        <f t="array" ref="B478">_xlfn.IFS(A478&lt;=25,"18-25",A478&lt;=35,"26-35",A478&lt;=45,"36-45",A478&lt;=55,"46-55",A478&gt;55,"56+")</f>
        <v>18-25</v>
      </c>
      <c r="C478" t="s">
        <v>39</v>
      </c>
      <c r="D478" t="s">
        <v>33</v>
      </c>
      <c r="E478" s="2">
        <v>823</v>
      </c>
      <c r="F478" t="s">
        <v>41</v>
      </c>
      <c r="G478">
        <v>17</v>
      </c>
      <c r="H478" t="str">
        <f t="shared" si="7"/>
        <v>11-20 km</v>
      </c>
      <c r="I478">
        <v>2</v>
      </c>
      <c r="J478" t="str" cm="1">
        <f t="array" ref="J478">_xlfn.IFS(I478=1,"Below College",I478=2,"College",I478=3,"Bachelor",I478=4,"Master",I478=5,"Doctor")</f>
        <v>College</v>
      </c>
      <c r="K478" t="s">
        <v>45</v>
      </c>
      <c r="L478">
        <v>643</v>
      </c>
      <c r="M478">
        <v>4</v>
      </c>
      <c r="N478" t="str" cm="1">
        <f t="array" ref="N478">_xlfn.IFS(M478=1,"Low",M478=2,"Medium",M478=3,"High",M478=4,"Very High")</f>
        <v>Very High</v>
      </c>
      <c r="O478" t="s">
        <v>42</v>
      </c>
      <c r="P478" s="2">
        <v>94</v>
      </c>
      <c r="Q478">
        <v>2</v>
      </c>
      <c r="R478" t="str" cm="1">
        <f t="array" ref="R478">_xlfn.IFS(Q478=1,"Low",Q478=2,"Medium",Q478=3,"High",Q478=4,"Very High")</f>
        <v>Medium</v>
      </c>
      <c r="S478">
        <v>1</v>
      </c>
      <c r="T478" t="str" cm="1">
        <f t="array" ref="T478">_xlfn.IFS(S478=1,"Entry Level",S478=2,"Junior",S478=3,"Mid-Level",S478=4,"Senior",S478=5,"Executive")</f>
        <v>Entry Level</v>
      </c>
      <c r="U478" t="s">
        <v>46</v>
      </c>
      <c r="V478">
        <v>2</v>
      </c>
      <c r="W478" t="str" cm="1">
        <f t="array" ref="W478">_xlfn.IFS(V478=1,"Low",V478=2,"Medium",V478=3,"High",V478=4,"Very High")</f>
        <v>Medium</v>
      </c>
      <c r="X478" t="s">
        <v>44</v>
      </c>
      <c r="Y478" s="2">
        <v>2127</v>
      </c>
      <c r="Z478" s="2">
        <v>9100</v>
      </c>
      <c r="AA478">
        <v>1</v>
      </c>
      <c r="AB478" t="s">
        <v>39</v>
      </c>
      <c r="AC478">
        <v>21</v>
      </c>
      <c r="AD478">
        <v>4</v>
      </c>
      <c r="AE478" t="str" cm="1">
        <f t="array" ref="AE478">_xlfn.IFS(AD478=1,"Low",AD478=2,"Good",AD478=3,"Excellent",AD478=4,"Outstanding")</f>
        <v>Outstanding</v>
      </c>
      <c r="AF478">
        <v>4</v>
      </c>
      <c r="AG478" t="str" cm="1">
        <f t="array" ref="AG478">_xlfn.IFS(AF478=1,"Low",AF478=2,"Medium",AF478=3,"High",AF478=4,"Very High")</f>
        <v>Very High</v>
      </c>
      <c r="AH478">
        <v>1</v>
      </c>
      <c r="AI478">
        <v>1</v>
      </c>
      <c r="AJ478">
        <v>2</v>
      </c>
      <c r="AK478">
        <v>3</v>
      </c>
      <c r="AL478" t="str" cm="1">
        <f t="array" ref="AL478">_xlfn.IFS(AK478=1,"Low",AK478=2,"Medium",AK478=3,"High",AK478=4,"Very High")</f>
        <v>High</v>
      </c>
      <c r="AM478">
        <v>1</v>
      </c>
      <c r="AN478">
        <v>0</v>
      </c>
      <c r="AO478">
        <v>0</v>
      </c>
      <c r="AP478">
        <v>0</v>
      </c>
    </row>
    <row r="479" spans="1:42">
      <c r="A479">
        <v>50</v>
      </c>
      <c r="B479" t="str" cm="1">
        <f t="array" ref="B479">_xlfn.IFS(A479&lt;=25,"18-25",A479&lt;=35,"26-35",A479&lt;=45,"36-45",A479&lt;=55,"46-55",A479&gt;55,"56+")</f>
        <v>46-55</v>
      </c>
      <c r="C479" t="s">
        <v>39</v>
      </c>
      <c r="D479" t="s">
        <v>40</v>
      </c>
      <c r="E479" s="2">
        <v>1246</v>
      </c>
      <c r="F479" t="s">
        <v>57</v>
      </c>
      <c r="G479">
        <v>3</v>
      </c>
      <c r="H479" t="str">
        <f t="shared" si="7"/>
        <v>1-10 km</v>
      </c>
      <c r="I479">
        <v>3</v>
      </c>
      <c r="J479" t="str" cm="1">
        <f t="array" ref="J479">_xlfn.IFS(I479=1,"Below College",I479=2,"College",I479=3,"Bachelor",I479=4,"Master",I479=5,"Doctor")</f>
        <v>Bachelor</v>
      </c>
      <c r="K479" t="s">
        <v>47</v>
      </c>
      <c r="L479">
        <v>644</v>
      </c>
      <c r="M479">
        <v>1</v>
      </c>
      <c r="N479" t="str" cm="1">
        <f t="array" ref="N479">_xlfn.IFS(M479=1,"Low",M479=2,"Medium",M479=3,"High",M479=4,"Very High")</f>
        <v>Low</v>
      </c>
      <c r="O479" t="s">
        <v>42</v>
      </c>
      <c r="P479" s="2">
        <v>99</v>
      </c>
      <c r="Q479">
        <v>3</v>
      </c>
      <c r="R479" t="str" cm="1">
        <f t="array" ref="R479">_xlfn.IFS(Q479=1,"Low",Q479=2,"Medium",Q479=3,"High",Q479=4,"Very High")</f>
        <v>High</v>
      </c>
      <c r="S479">
        <v>5</v>
      </c>
      <c r="T479" t="str" cm="1">
        <f t="array" ref="T479">_xlfn.IFS(S479=1,"Entry Level",S479=2,"Junior",S479=3,"Mid-Level",S479=4,"Senior",S479=5,"Executive")</f>
        <v>Executive</v>
      </c>
      <c r="U479" t="s">
        <v>52</v>
      </c>
      <c r="V479">
        <v>2</v>
      </c>
      <c r="W479" t="str" cm="1">
        <f t="array" ref="W479">_xlfn.IFS(V479=1,"Low",V479=2,"Medium",V479=3,"High",V479=4,"Very High")</f>
        <v>Medium</v>
      </c>
      <c r="X479" t="s">
        <v>44</v>
      </c>
      <c r="Y479" s="2">
        <v>18200</v>
      </c>
      <c r="Z479" s="2">
        <v>7999</v>
      </c>
      <c r="AA479">
        <v>1</v>
      </c>
      <c r="AB479" t="s">
        <v>39</v>
      </c>
      <c r="AC479">
        <v>11</v>
      </c>
      <c r="AD479">
        <v>3</v>
      </c>
      <c r="AE479" t="str" cm="1">
        <f t="array" ref="AE479">_xlfn.IFS(AD479=1,"Low",AD479=2,"Good",AD479=3,"Excellent",AD479=4,"Outstanding")</f>
        <v>Excellent</v>
      </c>
      <c r="AF479">
        <v>3</v>
      </c>
      <c r="AG479" t="str" cm="1">
        <f t="array" ref="AG479">_xlfn.IFS(AF479=1,"Low",AF479=2,"Medium",AF479=3,"High",AF479=4,"Very High")</f>
        <v>High</v>
      </c>
      <c r="AH479">
        <v>1</v>
      </c>
      <c r="AI479">
        <v>32</v>
      </c>
      <c r="AJ479">
        <v>2</v>
      </c>
      <c r="AK479">
        <v>3</v>
      </c>
      <c r="AL479" t="str" cm="1">
        <f t="array" ref="AL479">_xlfn.IFS(AK479=1,"Low",AK479=2,"Medium",AK479=3,"High",AK479=4,"Very High")</f>
        <v>High</v>
      </c>
      <c r="AM479">
        <v>32</v>
      </c>
      <c r="AN479">
        <v>5</v>
      </c>
      <c r="AO479">
        <v>10</v>
      </c>
      <c r="AP479">
        <v>7</v>
      </c>
    </row>
    <row r="480" spans="1:42">
      <c r="A480">
        <v>25</v>
      </c>
      <c r="B480" t="str" cm="1">
        <f t="array" ref="B480">_xlfn.IFS(A480&lt;=25,"18-25",A480&lt;=35,"26-35",A480&lt;=45,"36-45",A480&lt;=55,"46-55",A480&gt;55,"56+")</f>
        <v>18-25</v>
      </c>
      <c r="C480" t="s">
        <v>39</v>
      </c>
      <c r="D480" t="s">
        <v>33</v>
      </c>
      <c r="E480" s="2">
        <v>622</v>
      </c>
      <c r="F480" t="s">
        <v>34</v>
      </c>
      <c r="G480">
        <v>13</v>
      </c>
      <c r="H480" t="str">
        <f t="shared" si="7"/>
        <v>11-20 km</v>
      </c>
      <c r="I480">
        <v>1</v>
      </c>
      <c r="J480" t="str" cm="1">
        <f t="array" ref="J480">_xlfn.IFS(I480=1,"Below College",I480=2,"College",I480=3,"Bachelor",I480=4,"Master",I480=5,"Doctor")</f>
        <v>Below College</v>
      </c>
      <c r="K480" t="s">
        <v>47</v>
      </c>
      <c r="L480">
        <v>645</v>
      </c>
      <c r="M480">
        <v>2</v>
      </c>
      <c r="N480" t="str" cm="1">
        <f t="array" ref="N480">_xlfn.IFS(M480=1,"Low",M480=2,"Medium",M480=3,"High",M480=4,"Very High")</f>
        <v>Medium</v>
      </c>
      <c r="O480" t="s">
        <v>42</v>
      </c>
      <c r="P480" s="2">
        <v>40</v>
      </c>
      <c r="Q480">
        <v>3</v>
      </c>
      <c r="R480" t="str" cm="1">
        <f t="array" ref="R480">_xlfn.IFS(Q480=1,"Low",Q480=2,"Medium",Q480=3,"High",Q480=4,"Very High")</f>
        <v>High</v>
      </c>
      <c r="S480">
        <v>1</v>
      </c>
      <c r="T480" t="str" cm="1">
        <f t="array" ref="T480">_xlfn.IFS(S480=1,"Entry Level",S480=2,"Junior",S480=3,"Mid-Level",S480=4,"Senior",S480=5,"Executive")</f>
        <v>Entry Level</v>
      </c>
      <c r="U480" t="s">
        <v>53</v>
      </c>
      <c r="V480">
        <v>3</v>
      </c>
      <c r="W480" t="str" cm="1">
        <f t="array" ref="W480">_xlfn.IFS(V480=1,"Low",V480=2,"Medium",V480=3,"High",V480=4,"Very High")</f>
        <v>High</v>
      </c>
      <c r="X480" t="s">
        <v>44</v>
      </c>
      <c r="Y480" s="2">
        <v>2096</v>
      </c>
      <c r="Z480" s="2">
        <v>26376</v>
      </c>
      <c r="AA480">
        <v>1</v>
      </c>
      <c r="AB480" t="s">
        <v>39</v>
      </c>
      <c r="AC480">
        <v>11</v>
      </c>
      <c r="AD480">
        <v>3</v>
      </c>
      <c r="AE480" t="str" cm="1">
        <f t="array" ref="AE480">_xlfn.IFS(AD480=1,"Low",AD480=2,"Good",AD480=3,"Excellent",AD480=4,"Outstanding")</f>
        <v>Excellent</v>
      </c>
      <c r="AF480">
        <v>3</v>
      </c>
      <c r="AG480" t="str" cm="1">
        <f t="array" ref="AG480">_xlfn.IFS(AF480=1,"Low",AF480=2,"Medium",AF480=3,"High",AF480=4,"Very High")</f>
        <v>High</v>
      </c>
      <c r="AH480">
        <v>0</v>
      </c>
      <c r="AI480">
        <v>7</v>
      </c>
      <c r="AJ480">
        <v>1</v>
      </c>
      <c r="AK480">
        <v>3</v>
      </c>
      <c r="AL480" t="str" cm="1">
        <f t="array" ref="AL480">_xlfn.IFS(AK480=1,"Low",AK480=2,"Medium",AK480=3,"High",AK480=4,"Very High")</f>
        <v>High</v>
      </c>
      <c r="AM480">
        <v>7</v>
      </c>
      <c r="AN480">
        <v>4</v>
      </c>
      <c r="AO480">
        <v>0</v>
      </c>
      <c r="AP480">
        <v>6</v>
      </c>
    </row>
    <row r="481" spans="1:42">
      <c r="A481">
        <v>24</v>
      </c>
      <c r="B481" t="str" cm="1">
        <f t="array" ref="B481">_xlfn.IFS(A481&lt;=25,"18-25",A481&lt;=35,"26-35",A481&lt;=45,"36-45",A481&lt;=55,"46-55",A481&gt;55,"56+")</f>
        <v>18-25</v>
      </c>
      <c r="C481" t="s">
        <v>32</v>
      </c>
      <c r="D481" t="s">
        <v>40</v>
      </c>
      <c r="E481" s="2">
        <v>1287</v>
      </c>
      <c r="F481" t="s">
        <v>41</v>
      </c>
      <c r="G481">
        <v>7</v>
      </c>
      <c r="H481" t="str">
        <f t="shared" si="7"/>
        <v>1-10 km</v>
      </c>
      <c r="I481">
        <v>3</v>
      </c>
      <c r="J481" t="str" cm="1">
        <f t="array" ref="J481">_xlfn.IFS(I481=1,"Below College",I481=2,"College",I481=3,"Bachelor",I481=4,"Master",I481=5,"Doctor")</f>
        <v>Bachelor</v>
      </c>
      <c r="K481" t="s">
        <v>35</v>
      </c>
      <c r="L481">
        <v>647</v>
      </c>
      <c r="M481">
        <v>1</v>
      </c>
      <c r="N481" t="str" cm="1">
        <f t="array" ref="N481">_xlfn.IFS(M481=1,"Low",M481=2,"Medium",M481=3,"High",M481=4,"Very High")</f>
        <v>Low</v>
      </c>
      <c r="O481" t="s">
        <v>36</v>
      </c>
      <c r="P481" s="2">
        <v>55</v>
      </c>
      <c r="Q481">
        <v>3</v>
      </c>
      <c r="R481" t="str" cm="1">
        <f t="array" ref="R481">_xlfn.IFS(Q481=1,"Low",Q481=2,"Medium",Q481=3,"High",Q481=4,"Very High")</f>
        <v>High</v>
      </c>
      <c r="S481">
        <v>1</v>
      </c>
      <c r="T481" t="str" cm="1">
        <f t="array" ref="T481">_xlfn.IFS(S481=1,"Entry Level",S481=2,"Junior",S481=3,"Mid-Level",S481=4,"Senior",S481=5,"Executive")</f>
        <v>Entry Level</v>
      </c>
      <c r="U481" t="s">
        <v>46</v>
      </c>
      <c r="V481">
        <v>3</v>
      </c>
      <c r="W481" t="str" cm="1">
        <f t="array" ref="W481">_xlfn.IFS(V481=1,"Low",V481=2,"Medium",V481=3,"High",V481=4,"Very High")</f>
        <v>High</v>
      </c>
      <c r="X481" t="s">
        <v>44</v>
      </c>
      <c r="Y481" s="2">
        <v>2886</v>
      </c>
      <c r="Z481" s="2">
        <v>14168</v>
      </c>
      <c r="AA481">
        <v>1</v>
      </c>
      <c r="AB481" t="s">
        <v>32</v>
      </c>
      <c r="AC481">
        <v>16</v>
      </c>
      <c r="AD481">
        <v>3</v>
      </c>
      <c r="AE481" t="str" cm="1">
        <f t="array" ref="AE481">_xlfn.IFS(AD481=1,"Low",AD481=2,"Good",AD481=3,"Excellent",AD481=4,"Outstanding")</f>
        <v>Excellent</v>
      </c>
      <c r="AF481">
        <v>4</v>
      </c>
      <c r="AG481" t="str" cm="1">
        <f t="array" ref="AG481">_xlfn.IFS(AF481=1,"Low",AF481=2,"Medium",AF481=3,"High",AF481=4,"Very High")</f>
        <v>Very High</v>
      </c>
      <c r="AH481">
        <v>1</v>
      </c>
      <c r="AI481">
        <v>6</v>
      </c>
      <c r="AJ481">
        <v>4</v>
      </c>
      <c r="AK481">
        <v>3</v>
      </c>
      <c r="AL481" t="str" cm="1">
        <f t="array" ref="AL481">_xlfn.IFS(AK481=1,"Low",AK481=2,"Medium",AK481=3,"High",AK481=4,"Very High")</f>
        <v>High</v>
      </c>
      <c r="AM481">
        <v>6</v>
      </c>
      <c r="AN481">
        <v>3</v>
      </c>
      <c r="AO481">
        <v>1</v>
      </c>
      <c r="AP481">
        <v>2</v>
      </c>
    </row>
    <row r="482" spans="1:42">
      <c r="A482">
        <v>30</v>
      </c>
      <c r="B482" t="str" cm="1">
        <f t="array" ref="B482">_xlfn.IFS(A482&lt;=25,"18-25",A482&lt;=35,"26-35",A482&lt;=45,"36-45",A482&lt;=55,"46-55",A482&gt;55,"56+")</f>
        <v>26-35</v>
      </c>
      <c r="C482" t="s">
        <v>32</v>
      </c>
      <c r="D482" t="s">
        <v>40</v>
      </c>
      <c r="E482" s="2">
        <v>448</v>
      </c>
      <c r="F482" t="s">
        <v>34</v>
      </c>
      <c r="G482">
        <v>12</v>
      </c>
      <c r="H482" t="str">
        <f t="shared" si="7"/>
        <v>11-20 km</v>
      </c>
      <c r="I482">
        <v>4</v>
      </c>
      <c r="J482" t="str" cm="1">
        <f t="array" ref="J482">_xlfn.IFS(I482=1,"Below College",I482=2,"College",I482=3,"Bachelor",I482=4,"Master",I482=5,"Doctor")</f>
        <v>Master</v>
      </c>
      <c r="K482" t="s">
        <v>35</v>
      </c>
      <c r="L482">
        <v>648</v>
      </c>
      <c r="M482">
        <v>2</v>
      </c>
      <c r="N482" t="str" cm="1">
        <f t="array" ref="N482">_xlfn.IFS(M482=1,"Low",M482=2,"Medium",M482=3,"High",M482=4,"Very High")</f>
        <v>Medium</v>
      </c>
      <c r="O482" t="s">
        <v>42</v>
      </c>
      <c r="P482" s="2">
        <v>74</v>
      </c>
      <c r="Q482">
        <v>2</v>
      </c>
      <c r="R482" t="str" cm="1">
        <f t="array" ref="R482">_xlfn.IFS(Q482=1,"Low",Q482=2,"Medium",Q482=3,"High",Q482=4,"Very High")</f>
        <v>Medium</v>
      </c>
      <c r="S482">
        <v>1</v>
      </c>
      <c r="T482" t="str" cm="1">
        <f t="array" ref="T482">_xlfn.IFS(S482=1,"Entry Level",S482=2,"Junior",S482=3,"Mid-Level",S482=4,"Senior",S482=5,"Executive")</f>
        <v>Entry Level</v>
      </c>
      <c r="U482" t="s">
        <v>53</v>
      </c>
      <c r="V482">
        <v>1</v>
      </c>
      <c r="W482" t="str" cm="1">
        <f t="array" ref="W482">_xlfn.IFS(V482=1,"Low",V482=2,"Medium",V482=3,"High",V482=4,"Very High")</f>
        <v>Low</v>
      </c>
      <c r="X482" t="s">
        <v>44</v>
      </c>
      <c r="Y482" s="2">
        <v>2033</v>
      </c>
      <c r="Z482" s="2">
        <v>14470</v>
      </c>
      <c r="AA482">
        <v>1</v>
      </c>
      <c r="AB482" t="s">
        <v>39</v>
      </c>
      <c r="AC482">
        <v>18</v>
      </c>
      <c r="AD482">
        <v>3</v>
      </c>
      <c r="AE482" t="str" cm="1">
        <f t="array" ref="AE482">_xlfn.IFS(AD482=1,"Low",AD482=2,"Good",AD482=3,"Excellent",AD482=4,"Outstanding")</f>
        <v>Excellent</v>
      </c>
      <c r="AF482">
        <v>3</v>
      </c>
      <c r="AG482" t="str" cm="1">
        <f t="array" ref="AG482">_xlfn.IFS(AF482=1,"Low",AF482=2,"Medium",AF482=3,"High",AF482=4,"Very High")</f>
        <v>High</v>
      </c>
      <c r="AH482">
        <v>1</v>
      </c>
      <c r="AI482">
        <v>1</v>
      </c>
      <c r="AJ482">
        <v>2</v>
      </c>
      <c r="AK482">
        <v>4</v>
      </c>
      <c r="AL482" t="str" cm="1">
        <f t="array" ref="AL482">_xlfn.IFS(AK482=1,"Low",AK482=2,"Medium",AK482=3,"High",AK482=4,"Very High")</f>
        <v>Very High</v>
      </c>
      <c r="AM482">
        <v>1</v>
      </c>
      <c r="AN482">
        <v>0</v>
      </c>
      <c r="AO482">
        <v>0</v>
      </c>
      <c r="AP482">
        <v>0</v>
      </c>
    </row>
    <row r="483" spans="1:42">
      <c r="A483">
        <v>34</v>
      </c>
      <c r="B483" t="str" cm="1">
        <f t="array" ref="B483">_xlfn.IFS(A483&lt;=25,"18-25",A483&lt;=35,"26-35",A483&lt;=45,"36-45",A483&lt;=55,"46-55",A483&gt;55,"56+")</f>
        <v>26-35</v>
      </c>
      <c r="C483" t="s">
        <v>39</v>
      </c>
      <c r="D483" t="s">
        <v>33</v>
      </c>
      <c r="E483" s="2">
        <v>254</v>
      </c>
      <c r="F483" t="s">
        <v>41</v>
      </c>
      <c r="G483">
        <v>1</v>
      </c>
      <c r="H483" t="str">
        <f t="shared" si="7"/>
        <v>1-10 km</v>
      </c>
      <c r="I483">
        <v>2</v>
      </c>
      <c r="J483" t="str" cm="1">
        <f t="array" ref="J483">_xlfn.IFS(I483=1,"Below College",I483=2,"College",I483=3,"Bachelor",I483=4,"Master",I483=5,"Doctor")</f>
        <v>College</v>
      </c>
      <c r="K483" t="s">
        <v>35</v>
      </c>
      <c r="L483">
        <v>649</v>
      </c>
      <c r="M483">
        <v>2</v>
      </c>
      <c r="N483" t="str" cm="1">
        <f t="array" ref="N483">_xlfn.IFS(M483=1,"Low",M483=2,"Medium",M483=3,"High",M483=4,"Very High")</f>
        <v>Medium</v>
      </c>
      <c r="O483" t="s">
        <v>42</v>
      </c>
      <c r="P483" s="2">
        <v>83</v>
      </c>
      <c r="Q483">
        <v>2</v>
      </c>
      <c r="R483" t="str" cm="1">
        <f t="array" ref="R483">_xlfn.IFS(Q483=1,"Low",Q483=2,"Medium",Q483=3,"High",Q483=4,"Very High")</f>
        <v>Medium</v>
      </c>
      <c r="S483">
        <v>1</v>
      </c>
      <c r="T483" t="str" cm="1">
        <f t="array" ref="T483">_xlfn.IFS(S483=1,"Entry Level",S483=2,"Junior",S483=3,"Mid-Level",S483=4,"Senior",S483=5,"Executive")</f>
        <v>Entry Level</v>
      </c>
      <c r="U483" t="s">
        <v>43</v>
      </c>
      <c r="V483">
        <v>4</v>
      </c>
      <c r="W483" t="str" cm="1">
        <f t="array" ref="W483">_xlfn.IFS(V483=1,"Low",V483=2,"Medium",V483=3,"High",V483=4,"Very High")</f>
        <v>Very High</v>
      </c>
      <c r="X483" t="s">
        <v>44</v>
      </c>
      <c r="Y483" s="2">
        <v>3622</v>
      </c>
      <c r="Z483" s="2">
        <v>22794</v>
      </c>
      <c r="AA483">
        <v>1</v>
      </c>
      <c r="AB483" t="s">
        <v>32</v>
      </c>
      <c r="AC483">
        <v>13</v>
      </c>
      <c r="AD483">
        <v>3</v>
      </c>
      <c r="AE483" t="str" cm="1">
        <f t="array" ref="AE483">_xlfn.IFS(AD483=1,"Low",AD483=2,"Good",AD483=3,"Excellent",AD483=4,"Outstanding")</f>
        <v>Excellent</v>
      </c>
      <c r="AF483">
        <v>4</v>
      </c>
      <c r="AG483" t="str" cm="1">
        <f t="array" ref="AG483">_xlfn.IFS(AF483=1,"Low",AF483=2,"Medium",AF483=3,"High",AF483=4,"Very High")</f>
        <v>Very High</v>
      </c>
      <c r="AH483">
        <v>1</v>
      </c>
      <c r="AI483">
        <v>6</v>
      </c>
      <c r="AJ483">
        <v>3</v>
      </c>
      <c r="AK483">
        <v>3</v>
      </c>
      <c r="AL483" t="str" cm="1">
        <f t="array" ref="AL483">_xlfn.IFS(AK483=1,"Low",AK483=2,"Medium",AK483=3,"High",AK483=4,"Very High")</f>
        <v>High</v>
      </c>
      <c r="AM483">
        <v>6</v>
      </c>
      <c r="AN483">
        <v>5</v>
      </c>
      <c r="AO483">
        <v>1</v>
      </c>
      <c r="AP483">
        <v>3</v>
      </c>
    </row>
    <row r="484" spans="1:42">
      <c r="A484">
        <v>31</v>
      </c>
      <c r="B484" t="str" cm="1">
        <f t="array" ref="B484">_xlfn.IFS(A484&lt;=25,"18-25",A484&lt;=35,"26-35",A484&lt;=45,"36-45",A484&lt;=55,"46-55",A484&gt;55,"56+")</f>
        <v>26-35</v>
      </c>
      <c r="C484" t="s">
        <v>32</v>
      </c>
      <c r="D484" t="s">
        <v>33</v>
      </c>
      <c r="E484" s="2">
        <v>1365</v>
      </c>
      <c r="F484" t="s">
        <v>34</v>
      </c>
      <c r="G484">
        <v>13</v>
      </c>
      <c r="H484" t="str">
        <f t="shared" si="7"/>
        <v>11-20 km</v>
      </c>
      <c r="I484">
        <v>4</v>
      </c>
      <c r="J484" t="str" cm="1">
        <f t="array" ref="J484">_xlfn.IFS(I484=1,"Below College",I484=2,"College",I484=3,"Bachelor",I484=4,"Master",I484=5,"Doctor")</f>
        <v>Master</v>
      </c>
      <c r="K484" t="s">
        <v>47</v>
      </c>
      <c r="L484">
        <v>650</v>
      </c>
      <c r="M484">
        <v>2</v>
      </c>
      <c r="N484" t="str" cm="1">
        <f t="array" ref="N484">_xlfn.IFS(M484=1,"Low",M484=2,"Medium",M484=3,"High",M484=4,"Very High")</f>
        <v>Medium</v>
      </c>
      <c r="O484" t="s">
        <v>42</v>
      </c>
      <c r="P484" s="2">
        <v>46</v>
      </c>
      <c r="Q484">
        <v>3</v>
      </c>
      <c r="R484" t="str" cm="1">
        <f t="array" ref="R484">_xlfn.IFS(Q484=1,"Low",Q484=2,"Medium",Q484=3,"High",Q484=4,"Very High")</f>
        <v>High</v>
      </c>
      <c r="S484">
        <v>2</v>
      </c>
      <c r="T484" t="str" cm="1">
        <f t="array" ref="T484">_xlfn.IFS(S484=1,"Entry Level",S484=2,"Junior",S484=3,"Mid-Level",S484=4,"Senior",S484=5,"Executive")</f>
        <v>Junior</v>
      </c>
      <c r="U484" t="s">
        <v>37</v>
      </c>
      <c r="V484">
        <v>1</v>
      </c>
      <c r="W484" t="str" cm="1">
        <f t="array" ref="W484">_xlfn.IFS(V484=1,"Low",V484=2,"Medium",V484=3,"High",V484=4,"Very High")</f>
        <v>Low</v>
      </c>
      <c r="X484" t="s">
        <v>48</v>
      </c>
      <c r="Y484" s="2">
        <v>4233</v>
      </c>
      <c r="Z484" s="2">
        <v>11512</v>
      </c>
      <c r="AA484">
        <v>2</v>
      </c>
      <c r="AB484" t="s">
        <v>39</v>
      </c>
      <c r="AC484">
        <v>17</v>
      </c>
      <c r="AD484">
        <v>3</v>
      </c>
      <c r="AE484" t="str" cm="1">
        <f t="array" ref="AE484">_xlfn.IFS(AD484=1,"Low",AD484=2,"Good",AD484=3,"Excellent",AD484=4,"Outstanding")</f>
        <v>Excellent</v>
      </c>
      <c r="AF484">
        <v>3</v>
      </c>
      <c r="AG484" t="str" cm="1">
        <f t="array" ref="AG484">_xlfn.IFS(AF484=1,"Low",AF484=2,"Medium",AF484=3,"High",AF484=4,"Very High")</f>
        <v>High</v>
      </c>
      <c r="AH484">
        <v>0</v>
      </c>
      <c r="AI484">
        <v>9</v>
      </c>
      <c r="AJ484">
        <v>2</v>
      </c>
      <c r="AK484">
        <v>1</v>
      </c>
      <c r="AL484" t="str" cm="1">
        <f t="array" ref="AL484">_xlfn.IFS(AK484=1,"Low",AK484=2,"Medium",AK484=3,"High",AK484=4,"Very High")</f>
        <v>Low</v>
      </c>
      <c r="AM484">
        <v>3</v>
      </c>
      <c r="AN484">
        <v>1</v>
      </c>
      <c r="AO484">
        <v>1</v>
      </c>
      <c r="AP484">
        <v>2</v>
      </c>
    </row>
    <row r="485" spans="1:42">
      <c r="A485">
        <v>35</v>
      </c>
      <c r="B485" t="str" cm="1">
        <f t="array" ref="B485">_xlfn.IFS(A485&lt;=25,"18-25",A485&lt;=35,"26-35",A485&lt;=45,"36-45",A485&lt;=55,"46-55",A485&gt;55,"56+")</f>
        <v>26-35</v>
      </c>
      <c r="C485" t="s">
        <v>39</v>
      </c>
      <c r="D485" t="s">
        <v>33</v>
      </c>
      <c r="E485" s="2">
        <v>538</v>
      </c>
      <c r="F485" t="s">
        <v>41</v>
      </c>
      <c r="G485">
        <v>25</v>
      </c>
      <c r="H485" t="str">
        <f t="shared" si="7"/>
        <v>21-30 km</v>
      </c>
      <c r="I485">
        <v>2</v>
      </c>
      <c r="J485" t="str" cm="1">
        <f t="array" ref="J485">_xlfn.IFS(I485=1,"Below College",I485=2,"College",I485=3,"Bachelor",I485=4,"Master",I485=5,"Doctor")</f>
        <v>College</v>
      </c>
      <c r="K485" t="s">
        <v>45</v>
      </c>
      <c r="L485">
        <v>652</v>
      </c>
      <c r="M485">
        <v>1</v>
      </c>
      <c r="N485" t="str" cm="1">
        <f t="array" ref="N485">_xlfn.IFS(M485=1,"Low",M485=2,"Medium",M485=3,"High",M485=4,"Very High")</f>
        <v>Low</v>
      </c>
      <c r="O485" t="s">
        <v>42</v>
      </c>
      <c r="P485" s="2">
        <v>54</v>
      </c>
      <c r="Q485">
        <v>2</v>
      </c>
      <c r="R485" t="str" cm="1">
        <f t="array" ref="R485">_xlfn.IFS(Q485=1,"Low",Q485=2,"Medium",Q485=3,"High",Q485=4,"Very High")</f>
        <v>Medium</v>
      </c>
      <c r="S485">
        <v>2</v>
      </c>
      <c r="T485" t="str" cm="1">
        <f t="array" ref="T485">_xlfn.IFS(S485=1,"Entry Level",S485=2,"Junior",S485=3,"Mid-Level",S485=4,"Senior",S485=5,"Executive")</f>
        <v>Junior</v>
      </c>
      <c r="U485" t="s">
        <v>46</v>
      </c>
      <c r="V485">
        <v>4</v>
      </c>
      <c r="W485" t="str" cm="1">
        <f t="array" ref="W485">_xlfn.IFS(V485=1,"Low",V485=2,"Medium",V485=3,"High",V485=4,"Very High")</f>
        <v>Very High</v>
      </c>
      <c r="X485" t="s">
        <v>38</v>
      </c>
      <c r="Y485" s="2">
        <v>3681</v>
      </c>
      <c r="Z485" s="2">
        <v>14004</v>
      </c>
      <c r="AA485">
        <v>4</v>
      </c>
      <c r="AB485" t="s">
        <v>39</v>
      </c>
      <c r="AC485">
        <v>14</v>
      </c>
      <c r="AD485">
        <v>3</v>
      </c>
      <c r="AE485" t="str" cm="1">
        <f t="array" ref="AE485">_xlfn.IFS(AD485=1,"Low",AD485=2,"Good",AD485=3,"Excellent",AD485=4,"Outstanding")</f>
        <v>Excellent</v>
      </c>
      <c r="AF485">
        <v>4</v>
      </c>
      <c r="AG485" t="str" cm="1">
        <f t="array" ref="AG485">_xlfn.IFS(AF485=1,"Low",AF485=2,"Medium",AF485=3,"High",AF485=4,"Very High")</f>
        <v>Very High</v>
      </c>
      <c r="AH485">
        <v>0</v>
      </c>
      <c r="AI485">
        <v>9</v>
      </c>
      <c r="AJ485">
        <v>3</v>
      </c>
      <c r="AK485">
        <v>3</v>
      </c>
      <c r="AL485" t="str" cm="1">
        <f t="array" ref="AL485">_xlfn.IFS(AK485=1,"Low",AK485=2,"Medium",AK485=3,"High",AK485=4,"Very High")</f>
        <v>High</v>
      </c>
      <c r="AM485">
        <v>3</v>
      </c>
      <c r="AN485">
        <v>2</v>
      </c>
      <c r="AO485">
        <v>0</v>
      </c>
      <c r="AP485">
        <v>2</v>
      </c>
    </row>
    <row r="486" spans="1:42">
      <c r="A486">
        <v>31</v>
      </c>
      <c r="B486" t="str" cm="1">
        <f t="array" ref="B486">_xlfn.IFS(A486&lt;=25,"18-25",A486&lt;=35,"26-35",A486&lt;=45,"36-45",A486&lt;=55,"46-55",A486&gt;55,"56+")</f>
        <v>26-35</v>
      </c>
      <c r="C486" t="s">
        <v>39</v>
      </c>
      <c r="D486" t="s">
        <v>33</v>
      </c>
      <c r="E486" s="2">
        <v>525</v>
      </c>
      <c r="F486" t="s">
        <v>34</v>
      </c>
      <c r="G486">
        <v>6</v>
      </c>
      <c r="H486" t="str">
        <f t="shared" si="7"/>
        <v>1-10 km</v>
      </c>
      <c r="I486">
        <v>4</v>
      </c>
      <c r="J486" t="str" cm="1">
        <f t="array" ref="J486">_xlfn.IFS(I486=1,"Below College",I486=2,"College",I486=3,"Bachelor",I486=4,"Master",I486=5,"Doctor")</f>
        <v>Master</v>
      </c>
      <c r="K486" t="s">
        <v>47</v>
      </c>
      <c r="L486">
        <v>653</v>
      </c>
      <c r="M486">
        <v>1</v>
      </c>
      <c r="N486" t="str" cm="1">
        <f t="array" ref="N486">_xlfn.IFS(M486=1,"Low",M486=2,"Medium",M486=3,"High",M486=4,"Very High")</f>
        <v>Low</v>
      </c>
      <c r="O486" t="s">
        <v>42</v>
      </c>
      <c r="P486" s="2">
        <v>66</v>
      </c>
      <c r="Q486">
        <v>4</v>
      </c>
      <c r="R486" t="str" cm="1">
        <f t="array" ref="R486">_xlfn.IFS(Q486=1,"Low",Q486=2,"Medium",Q486=3,"High",Q486=4,"Very High")</f>
        <v>Very High</v>
      </c>
      <c r="S486">
        <v>2</v>
      </c>
      <c r="T486" t="str" cm="1">
        <f t="array" ref="T486">_xlfn.IFS(S486=1,"Entry Level",S486=2,"Junior",S486=3,"Mid-Level",S486=4,"Senior",S486=5,"Executive")</f>
        <v>Junior</v>
      </c>
      <c r="U486" t="s">
        <v>37</v>
      </c>
      <c r="V486">
        <v>4</v>
      </c>
      <c r="W486" t="str" cm="1">
        <f t="array" ref="W486">_xlfn.IFS(V486=1,"Low",V486=2,"Medium",V486=3,"High",V486=4,"Very High")</f>
        <v>Very High</v>
      </c>
      <c r="X486" t="s">
        <v>48</v>
      </c>
      <c r="Y486" s="2">
        <v>5460</v>
      </c>
      <c r="Z486" s="2">
        <v>6219</v>
      </c>
      <c r="AA486">
        <v>4</v>
      </c>
      <c r="AB486" t="s">
        <v>39</v>
      </c>
      <c r="AC486">
        <v>22</v>
      </c>
      <c r="AD486">
        <v>4</v>
      </c>
      <c r="AE486" t="str" cm="1">
        <f t="array" ref="AE486">_xlfn.IFS(AD486=1,"Low",AD486=2,"Good",AD486=3,"Excellent",AD486=4,"Outstanding")</f>
        <v>Outstanding</v>
      </c>
      <c r="AF486">
        <v>4</v>
      </c>
      <c r="AG486" t="str" cm="1">
        <f t="array" ref="AG486">_xlfn.IFS(AF486=1,"Low",AF486=2,"Medium",AF486=3,"High",AF486=4,"Very High")</f>
        <v>Very High</v>
      </c>
      <c r="AH486">
        <v>2</v>
      </c>
      <c r="AI486">
        <v>13</v>
      </c>
      <c r="AJ486">
        <v>4</v>
      </c>
      <c r="AK486">
        <v>4</v>
      </c>
      <c r="AL486" t="str" cm="1">
        <f t="array" ref="AL486">_xlfn.IFS(AK486=1,"Low",AK486=2,"Medium",AK486=3,"High",AK486=4,"Very High")</f>
        <v>Very High</v>
      </c>
      <c r="AM486">
        <v>7</v>
      </c>
      <c r="AN486">
        <v>7</v>
      </c>
      <c r="AO486">
        <v>5</v>
      </c>
      <c r="AP486">
        <v>7</v>
      </c>
    </row>
    <row r="487" spans="1:42">
      <c r="A487">
        <v>27</v>
      </c>
      <c r="B487" t="str" cm="1">
        <f t="array" ref="B487">_xlfn.IFS(A487&lt;=25,"18-25",A487&lt;=35,"26-35",A487&lt;=45,"36-45",A487&lt;=55,"46-55",A487&gt;55,"56+")</f>
        <v>26-35</v>
      </c>
      <c r="C487" t="s">
        <v>39</v>
      </c>
      <c r="D487" t="s">
        <v>33</v>
      </c>
      <c r="E487" s="2">
        <v>798</v>
      </c>
      <c r="F487" t="s">
        <v>41</v>
      </c>
      <c r="G487">
        <v>6</v>
      </c>
      <c r="H487" t="str">
        <f t="shared" si="7"/>
        <v>1-10 km</v>
      </c>
      <c r="I487">
        <v>4</v>
      </c>
      <c r="J487" t="str" cm="1">
        <f t="array" ref="J487">_xlfn.IFS(I487=1,"Below College",I487=2,"College",I487=3,"Bachelor",I487=4,"Master",I487=5,"Doctor")</f>
        <v>Master</v>
      </c>
      <c r="K487" t="s">
        <v>47</v>
      </c>
      <c r="L487">
        <v>655</v>
      </c>
      <c r="M487">
        <v>1</v>
      </c>
      <c r="N487" t="str" cm="1">
        <f t="array" ref="N487">_xlfn.IFS(M487=1,"Low",M487=2,"Medium",M487=3,"High",M487=4,"Very High")</f>
        <v>Low</v>
      </c>
      <c r="O487" t="s">
        <v>36</v>
      </c>
      <c r="P487" s="2">
        <v>66</v>
      </c>
      <c r="Q487">
        <v>2</v>
      </c>
      <c r="R487" t="str" cm="1">
        <f t="array" ref="R487">_xlfn.IFS(Q487=1,"Low",Q487=2,"Medium",Q487=3,"High",Q487=4,"Very High")</f>
        <v>Medium</v>
      </c>
      <c r="S487">
        <v>1</v>
      </c>
      <c r="T487" t="str" cm="1">
        <f t="array" ref="T487">_xlfn.IFS(S487=1,"Entry Level",S487=2,"Junior",S487=3,"Mid-Level",S487=4,"Senior",S487=5,"Executive")</f>
        <v>Entry Level</v>
      </c>
      <c r="U487" t="s">
        <v>43</v>
      </c>
      <c r="V487">
        <v>3</v>
      </c>
      <c r="W487" t="str" cm="1">
        <f t="array" ref="W487">_xlfn.IFS(V487=1,"Low",V487=2,"Medium",V487=3,"High",V487=4,"Very High")</f>
        <v>High</v>
      </c>
      <c r="X487" t="s">
        <v>48</v>
      </c>
      <c r="Y487" s="2">
        <v>2187</v>
      </c>
      <c r="Z487" s="2">
        <v>5013</v>
      </c>
      <c r="AA487">
        <v>0</v>
      </c>
      <c r="AB487" t="s">
        <v>39</v>
      </c>
      <c r="AC487">
        <v>12</v>
      </c>
      <c r="AD487">
        <v>3</v>
      </c>
      <c r="AE487" t="str" cm="1">
        <f t="array" ref="AE487">_xlfn.IFS(AD487=1,"Low",AD487=2,"Good",AD487=3,"Excellent",AD487=4,"Outstanding")</f>
        <v>Excellent</v>
      </c>
      <c r="AF487">
        <v>3</v>
      </c>
      <c r="AG487" t="str" cm="1">
        <f t="array" ref="AG487">_xlfn.IFS(AF487=1,"Low",AF487=2,"Medium",AF487=3,"High",AF487=4,"Very High")</f>
        <v>High</v>
      </c>
      <c r="AH487">
        <v>2</v>
      </c>
      <c r="AI487">
        <v>6</v>
      </c>
      <c r="AJ487">
        <v>5</v>
      </c>
      <c r="AK487">
        <v>2</v>
      </c>
      <c r="AL487" t="str" cm="1">
        <f t="array" ref="AL487">_xlfn.IFS(AK487=1,"Low",AK487=2,"Medium",AK487=3,"High",AK487=4,"Very High")</f>
        <v>Medium</v>
      </c>
      <c r="AM487">
        <v>5</v>
      </c>
      <c r="AN487">
        <v>3</v>
      </c>
      <c r="AO487">
        <v>0</v>
      </c>
      <c r="AP487">
        <v>3</v>
      </c>
    </row>
    <row r="488" spans="1:42">
      <c r="A488">
        <v>37</v>
      </c>
      <c r="B488" t="str" cm="1">
        <f t="array" ref="B488">_xlfn.IFS(A488&lt;=25,"18-25",A488&lt;=35,"26-35",A488&lt;=45,"36-45",A488&lt;=55,"46-55",A488&gt;55,"56+")</f>
        <v>36-45</v>
      </c>
      <c r="C488" t="s">
        <v>39</v>
      </c>
      <c r="D488" t="s">
        <v>33</v>
      </c>
      <c r="E488" s="2">
        <v>558</v>
      </c>
      <c r="F488" t="s">
        <v>34</v>
      </c>
      <c r="G488">
        <v>2</v>
      </c>
      <c r="H488" t="str">
        <f t="shared" si="7"/>
        <v>1-10 km</v>
      </c>
      <c r="I488">
        <v>3</v>
      </c>
      <c r="J488" t="str" cm="1">
        <f t="array" ref="J488">_xlfn.IFS(I488=1,"Below College",I488=2,"College",I488=3,"Bachelor",I488=4,"Master",I488=5,"Doctor")</f>
        <v>Bachelor</v>
      </c>
      <c r="K488" t="s">
        <v>55</v>
      </c>
      <c r="L488">
        <v>656</v>
      </c>
      <c r="M488">
        <v>4</v>
      </c>
      <c r="N488" t="str" cm="1">
        <f t="array" ref="N488">_xlfn.IFS(M488=1,"Low",M488=2,"Medium",M488=3,"High",M488=4,"Very High")</f>
        <v>Very High</v>
      </c>
      <c r="O488" t="s">
        <v>42</v>
      </c>
      <c r="P488" s="2">
        <v>75</v>
      </c>
      <c r="Q488">
        <v>3</v>
      </c>
      <c r="R488" t="str" cm="1">
        <f t="array" ref="R488">_xlfn.IFS(Q488=1,"Low",Q488=2,"Medium",Q488=3,"High",Q488=4,"Very High")</f>
        <v>High</v>
      </c>
      <c r="S488">
        <v>2</v>
      </c>
      <c r="T488" t="str" cm="1">
        <f t="array" ref="T488">_xlfn.IFS(S488=1,"Entry Level",S488=2,"Junior",S488=3,"Mid-Level",S488=4,"Senior",S488=5,"Executive")</f>
        <v>Junior</v>
      </c>
      <c r="U488" t="s">
        <v>37</v>
      </c>
      <c r="V488">
        <v>3</v>
      </c>
      <c r="W488" t="str" cm="1">
        <f t="array" ref="W488">_xlfn.IFS(V488=1,"Low",V488=2,"Medium",V488=3,"High",V488=4,"Very High")</f>
        <v>High</v>
      </c>
      <c r="X488" t="s">
        <v>44</v>
      </c>
      <c r="Y488" s="2">
        <v>9602</v>
      </c>
      <c r="Z488" s="2">
        <v>3010</v>
      </c>
      <c r="AA488">
        <v>4</v>
      </c>
      <c r="AB488" t="s">
        <v>32</v>
      </c>
      <c r="AC488">
        <v>11</v>
      </c>
      <c r="AD488">
        <v>3</v>
      </c>
      <c r="AE488" t="str" cm="1">
        <f t="array" ref="AE488">_xlfn.IFS(AD488=1,"Low",AD488=2,"Good",AD488=3,"Excellent",AD488=4,"Outstanding")</f>
        <v>Excellent</v>
      </c>
      <c r="AF488">
        <v>3</v>
      </c>
      <c r="AG488" t="str" cm="1">
        <f t="array" ref="AG488">_xlfn.IFS(AF488=1,"Low",AF488=2,"Medium",AF488=3,"High",AF488=4,"Very High")</f>
        <v>High</v>
      </c>
      <c r="AH488">
        <v>1</v>
      </c>
      <c r="AI488">
        <v>17</v>
      </c>
      <c r="AJ488">
        <v>3</v>
      </c>
      <c r="AK488">
        <v>2</v>
      </c>
      <c r="AL488" t="str" cm="1">
        <f t="array" ref="AL488">_xlfn.IFS(AK488=1,"Low",AK488=2,"Medium",AK488=3,"High",AK488=4,"Very High")</f>
        <v>Medium</v>
      </c>
      <c r="AM488">
        <v>3</v>
      </c>
      <c r="AN488">
        <v>0</v>
      </c>
      <c r="AO488">
        <v>1</v>
      </c>
      <c r="AP488">
        <v>0</v>
      </c>
    </row>
    <row r="489" spans="1:42">
      <c r="A489">
        <v>20</v>
      </c>
      <c r="B489" t="str" cm="1">
        <f t="array" ref="B489">_xlfn.IFS(A489&lt;=25,"18-25",A489&lt;=35,"26-35",A489&lt;=45,"36-45",A489&lt;=55,"46-55",A489&gt;55,"56+")</f>
        <v>18-25</v>
      </c>
      <c r="C489" t="s">
        <v>39</v>
      </c>
      <c r="D489" t="s">
        <v>33</v>
      </c>
      <c r="E489" s="2">
        <v>959</v>
      </c>
      <c r="F489" t="s">
        <v>41</v>
      </c>
      <c r="G489">
        <v>1</v>
      </c>
      <c r="H489" t="str">
        <f t="shared" si="7"/>
        <v>1-10 km</v>
      </c>
      <c r="I489">
        <v>3</v>
      </c>
      <c r="J489" t="str" cm="1">
        <f t="array" ref="J489">_xlfn.IFS(I489=1,"Below College",I489=2,"College",I489=3,"Bachelor",I489=4,"Master",I489=5,"Doctor")</f>
        <v>Bachelor</v>
      </c>
      <c r="K489" t="s">
        <v>35</v>
      </c>
      <c r="L489">
        <v>657</v>
      </c>
      <c r="M489">
        <v>4</v>
      </c>
      <c r="N489" t="str" cm="1">
        <f t="array" ref="N489">_xlfn.IFS(M489=1,"Low",M489=2,"Medium",M489=3,"High",M489=4,"Very High")</f>
        <v>Very High</v>
      </c>
      <c r="O489" t="s">
        <v>36</v>
      </c>
      <c r="P489" s="2">
        <v>83</v>
      </c>
      <c r="Q489">
        <v>2</v>
      </c>
      <c r="R489" t="str" cm="1">
        <f t="array" ref="R489">_xlfn.IFS(Q489=1,"Low",Q489=2,"Medium",Q489=3,"High",Q489=4,"Very High")</f>
        <v>Medium</v>
      </c>
      <c r="S489">
        <v>1</v>
      </c>
      <c r="T489" t="str" cm="1">
        <f t="array" ref="T489">_xlfn.IFS(S489=1,"Entry Level",S489=2,"Junior",S489=3,"Mid-Level",S489=4,"Senior",S489=5,"Executive")</f>
        <v>Entry Level</v>
      </c>
      <c r="U489" t="s">
        <v>43</v>
      </c>
      <c r="V489">
        <v>2</v>
      </c>
      <c r="W489" t="str" cm="1">
        <f t="array" ref="W489">_xlfn.IFS(V489=1,"Low",V489=2,"Medium",V489=3,"High",V489=4,"Very High")</f>
        <v>Medium</v>
      </c>
      <c r="X489" t="s">
        <v>38</v>
      </c>
      <c r="Y489" s="2">
        <v>2836</v>
      </c>
      <c r="Z489" s="2">
        <v>11757</v>
      </c>
      <c r="AA489">
        <v>1</v>
      </c>
      <c r="AB489" t="s">
        <v>39</v>
      </c>
      <c r="AC489">
        <v>13</v>
      </c>
      <c r="AD489">
        <v>3</v>
      </c>
      <c r="AE489" t="str" cm="1">
        <f t="array" ref="AE489">_xlfn.IFS(AD489=1,"Low",AD489=2,"Good",AD489=3,"Excellent",AD489=4,"Outstanding")</f>
        <v>Excellent</v>
      </c>
      <c r="AF489">
        <v>4</v>
      </c>
      <c r="AG489" t="str" cm="1">
        <f t="array" ref="AG489">_xlfn.IFS(AF489=1,"Low",AF489=2,"Medium",AF489=3,"High",AF489=4,"Very High")</f>
        <v>Very High</v>
      </c>
      <c r="AH489">
        <v>0</v>
      </c>
      <c r="AI489">
        <v>1</v>
      </c>
      <c r="AJ489">
        <v>0</v>
      </c>
      <c r="AK489">
        <v>4</v>
      </c>
      <c r="AL489" t="str" cm="1">
        <f t="array" ref="AL489">_xlfn.IFS(AK489=1,"Low",AK489=2,"Medium",AK489=3,"High",AK489=4,"Very High")</f>
        <v>Very High</v>
      </c>
      <c r="AM489">
        <v>1</v>
      </c>
      <c r="AN489">
        <v>0</v>
      </c>
      <c r="AO489">
        <v>0</v>
      </c>
      <c r="AP489">
        <v>0</v>
      </c>
    </row>
    <row r="490" spans="1:42">
      <c r="A490">
        <v>42</v>
      </c>
      <c r="B490" t="str" cm="1">
        <f t="array" ref="B490">_xlfn.IFS(A490&lt;=25,"18-25",A490&lt;=35,"26-35",A490&lt;=45,"36-45",A490&lt;=55,"46-55",A490&gt;55,"56+")</f>
        <v>36-45</v>
      </c>
      <c r="C490" t="s">
        <v>39</v>
      </c>
      <c r="D490" t="s">
        <v>33</v>
      </c>
      <c r="E490" s="2">
        <v>622</v>
      </c>
      <c r="F490" t="s">
        <v>41</v>
      </c>
      <c r="G490">
        <v>2</v>
      </c>
      <c r="H490" t="str">
        <f t="shared" si="7"/>
        <v>1-10 km</v>
      </c>
      <c r="I490">
        <v>4</v>
      </c>
      <c r="J490" t="str" cm="1">
        <f t="array" ref="J490">_xlfn.IFS(I490=1,"Below College",I490=2,"College",I490=3,"Bachelor",I490=4,"Master",I490=5,"Doctor")</f>
        <v>Master</v>
      </c>
      <c r="K490" t="s">
        <v>35</v>
      </c>
      <c r="L490">
        <v>659</v>
      </c>
      <c r="M490">
        <v>3</v>
      </c>
      <c r="N490" t="str" cm="1">
        <f t="array" ref="N490">_xlfn.IFS(M490=1,"Low",M490=2,"Medium",M490=3,"High",M490=4,"Very High")</f>
        <v>High</v>
      </c>
      <c r="O490" t="s">
        <v>36</v>
      </c>
      <c r="P490" s="2">
        <v>81</v>
      </c>
      <c r="Q490">
        <v>3</v>
      </c>
      <c r="R490" t="str" cm="1">
        <f t="array" ref="R490">_xlfn.IFS(Q490=1,"Low",Q490=2,"Medium",Q490=3,"High",Q490=4,"Very High")</f>
        <v>High</v>
      </c>
      <c r="S490">
        <v>2</v>
      </c>
      <c r="T490" t="str" cm="1">
        <f t="array" ref="T490">_xlfn.IFS(S490=1,"Entry Level",S490=2,"Junior",S490=3,"Mid-Level",S490=4,"Senior",S490=5,"Executive")</f>
        <v>Junior</v>
      </c>
      <c r="U490" t="s">
        <v>50</v>
      </c>
      <c r="V490">
        <v>4</v>
      </c>
      <c r="W490" t="str" cm="1">
        <f t="array" ref="W490">_xlfn.IFS(V490=1,"Low",V490=2,"Medium",V490=3,"High",V490=4,"Very High")</f>
        <v>Very High</v>
      </c>
      <c r="X490" t="s">
        <v>44</v>
      </c>
      <c r="Y490" s="2">
        <v>4089</v>
      </c>
      <c r="Z490" s="2">
        <v>5718</v>
      </c>
      <c r="AA490">
        <v>1</v>
      </c>
      <c r="AB490" t="s">
        <v>39</v>
      </c>
      <c r="AC490">
        <v>13</v>
      </c>
      <c r="AD490">
        <v>3</v>
      </c>
      <c r="AE490" t="str" cm="1">
        <f t="array" ref="AE490">_xlfn.IFS(AD490=1,"Low",AD490=2,"Good",AD490=3,"Excellent",AD490=4,"Outstanding")</f>
        <v>Excellent</v>
      </c>
      <c r="AF490">
        <v>2</v>
      </c>
      <c r="AG490" t="str" cm="1">
        <f t="array" ref="AG490">_xlfn.IFS(AF490=1,"Low",AF490=2,"Medium",AF490=3,"High",AF490=4,"Very High")</f>
        <v>Medium</v>
      </c>
      <c r="AH490">
        <v>2</v>
      </c>
      <c r="AI490">
        <v>10</v>
      </c>
      <c r="AJ490">
        <v>4</v>
      </c>
      <c r="AK490">
        <v>3</v>
      </c>
      <c r="AL490" t="str" cm="1">
        <f t="array" ref="AL490">_xlfn.IFS(AK490=1,"Low",AK490=2,"Medium",AK490=3,"High",AK490=4,"Very High")</f>
        <v>High</v>
      </c>
      <c r="AM490">
        <v>10</v>
      </c>
      <c r="AN490">
        <v>2</v>
      </c>
      <c r="AO490">
        <v>2</v>
      </c>
      <c r="AP490">
        <v>2</v>
      </c>
    </row>
    <row r="491" spans="1:42">
      <c r="A491">
        <v>43</v>
      </c>
      <c r="B491" t="str" cm="1">
        <f t="array" ref="B491">_xlfn.IFS(A491&lt;=25,"18-25",A491&lt;=35,"26-35",A491&lt;=45,"36-45",A491&lt;=55,"46-55",A491&gt;55,"56+")</f>
        <v>36-45</v>
      </c>
      <c r="C491" t="s">
        <v>39</v>
      </c>
      <c r="D491" t="s">
        <v>33</v>
      </c>
      <c r="E491" s="2">
        <v>782</v>
      </c>
      <c r="F491" t="s">
        <v>41</v>
      </c>
      <c r="G491">
        <v>6</v>
      </c>
      <c r="H491" t="str">
        <f t="shared" si="7"/>
        <v>1-10 km</v>
      </c>
      <c r="I491">
        <v>4</v>
      </c>
      <c r="J491" t="str" cm="1">
        <f t="array" ref="J491">_xlfn.IFS(I491=1,"Below College",I491=2,"College",I491=3,"Bachelor",I491=4,"Master",I491=5,"Doctor")</f>
        <v>Master</v>
      </c>
      <c r="K491" t="s">
        <v>45</v>
      </c>
      <c r="L491">
        <v>661</v>
      </c>
      <c r="M491">
        <v>2</v>
      </c>
      <c r="N491" t="str" cm="1">
        <f t="array" ref="N491">_xlfn.IFS(M491=1,"Low",M491=2,"Medium",M491=3,"High",M491=4,"Very High")</f>
        <v>Medium</v>
      </c>
      <c r="O491" t="s">
        <v>42</v>
      </c>
      <c r="P491" s="2">
        <v>50</v>
      </c>
      <c r="Q491">
        <v>2</v>
      </c>
      <c r="R491" t="str" cm="1">
        <f t="array" ref="R491">_xlfn.IFS(Q491=1,"Low",Q491=2,"Medium",Q491=3,"High",Q491=4,"Very High")</f>
        <v>Medium</v>
      </c>
      <c r="S491">
        <v>4</v>
      </c>
      <c r="T491" t="str" cm="1">
        <f t="array" ref="T491">_xlfn.IFS(S491=1,"Entry Level",S491=2,"Junior",S491=3,"Mid-Level",S491=4,"Senior",S491=5,"Executive")</f>
        <v>Senior</v>
      </c>
      <c r="U491" t="s">
        <v>54</v>
      </c>
      <c r="V491">
        <v>4</v>
      </c>
      <c r="W491" t="str" cm="1">
        <f t="array" ref="W491">_xlfn.IFS(V491=1,"Low",V491=2,"Medium",V491=3,"High",V491=4,"Very High")</f>
        <v>Very High</v>
      </c>
      <c r="X491" t="s">
        <v>48</v>
      </c>
      <c r="Y491" s="2">
        <v>16627</v>
      </c>
      <c r="Z491" s="2">
        <v>2671</v>
      </c>
      <c r="AA491">
        <v>4</v>
      </c>
      <c r="AB491" t="s">
        <v>32</v>
      </c>
      <c r="AC491">
        <v>14</v>
      </c>
      <c r="AD491">
        <v>3</v>
      </c>
      <c r="AE491" t="str" cm="1">
        <f t="array" ref="AE491">_xlfn.IFS(AD491=1,"Low",AD491=2,"Good",AD491=3,"Excellent",AD491=4,"Outstanding")</f>
        <v>Excellent</v>
      </c>
      <c r="AF491">
        <v>3</v>
      </c>
      <c r="AG491" t="str" cm="1">
        <f t="array" ref="AG491">_xlfn.IFS(AF491=1,"Low",AF491=2,"Medium",AF491=3,"High",AF491=4,"Very High")</f>
        <v>High</v>
      </c>
      <c r="AH491">
        <v>1</v>
      </c>
      <c r="AI491">
        <v>21</v>
      </c>
      <c r="AJ491">
        <v>3</v>
      </c>
      <c r="AK491">
        <v>2</v>
      </c>
      <c r="AL491" t="str" cm="1">
        <f t="array" ref="AL491">_xlfn.IFS(AK491=1,"Low",AK491=2,"Medium",AK491=3,"High",AK491=4,"Very High")</f>
        <v>Medium</v>
      </c>
      <c r="AM491">
        <v>1</v>
      </c>
      <c r="AN491">
        <v>0</v>
      </c>
      <c r="AO491">
        <v>0</v>
      </c>
      <c r="AP491">
        <v>0</v>
      </c>
    </row>
    <row r="492" spans="1:42">
      <c r="A492">
        <v>38</v>
      </c>
      <c r="B492" t="str" cm="1">
        <f t="array" ref="B492">_xlfn.IFS(A492&lt;=25,"18-25",A492&lt;=35,"26-35",A492&lt;=45,"36-45",A492&lt;=55,"46-55",A492&gt;55,"56+")</f>
        <v>36-45</v>
      </c>
      <c r="C492" t="s">
        <v>39</v>
      </c>
      <c r="D492" t="s">
        <v>33</v>
      </c>
      <c r="E492" s="2">
        <v>362</v>
      </c>
      <c r="F492" t="s">
        <v>41</v>
      </c>
      <c r="G492">
        <v>1</v>
      </c>
      <c r="H492" t="str">
        <f t="shared" si="7"/>
        <v>1-10 km</v>
      </c>
      <c r="I492">
        <v>1</v>
      </c>
      <c r="J492" t="str" cm="1">
        <f t="array" ref="J492">_xlfn.IFS(I492=1,"Below College",I492=2,"College",I492=3,"Bachelor",I492=4,"Master",I492=5,"Doctor")</f>
        <v>Below College</v>
      </c>
      <c r="K492" t="s">
        <v>35</v>
      </c>
      <c r="L492">
        <v>662</v>
      </c>
      <c r="M492">
        <v>3</v>
      </c>
      <c r="N492" t="str" cm="1">
        <f t="array" ref="N492">_xlfn.IFS(M492=1,"Low",M492=2,"Medium",M492=3,"High",M492=4,"Very High")</f>
        <v>High</v>
      </c>
      <c r="O492" t="s">
        <v>36</v>
      </c>
      <c r="P492" s="2">
        <v>43</v>
      </c>
      <c r="Q492">
        <v>3</v>
      </c>
      <c r="R492" t="str" cm="1">
        <f t="array" ref="R492">_xlfn.IFS(Q492=1,"Low",Q492=2,"Medium",Q492=3,"High",Q492=4,"Very High")</f>
        <v>High</v>
      </c>
      <c r="S492">
        <v>1</v>
      </c>
      <c r="T492" t="str" cm="1">
        <f t="array" ref="T492">_xlfn.IFS(S492=1,"Entry Level",S492=2,"Junior",S492=3,"Mid-Level",S492=4,"Senior",S492=5,"Executive")</f>
        <v>Entry Level</v>
      </c>
      <c r="U492" t="s">
        <v>43</v>
      </c>
      <c r="V492">
        <v>1</v>
      </c>
      <c r="W492" t="str" cm="1">
        <f t="array" ref="W492">_xlfn.IFS(V492=1,"Low",V492=2,"Medium",V492=3,"High",V492=4,"Very High")</f>
        <v>Low</v>
      </c>
      <c r="X492" t="s">
        <v>38</v>
      </c>
      <c r="Y492" s="2">
        <v>2619</v>
      </c>
      <c r="Z492" s="2">
        <v>14561</v>
      </c>
      <c r="AA492">
        <v>3</v>
      </c>
      <c r="AB492" t="s">
        <v>39</v>
      </c>
      <c r="AC492">
        <v>17</v>
      </c>
      <c r="AD492">
        <v>3</v>
      </c>
      <c r="AE492" t="str" cm="1">
        <f t="array" ref="AE492">_xlfn.IFS(AD492=1,"Low",AD492=2,"Good",AD492=3,"Excellent",AD492=4,"Outstanding")</f>
        <v>Excellent</v>
      </c>
      <c r="AF492">
        <v>4</v>
      </c>
      <c r="AG492" t="str" cm="1">
        <f t="array" ref="AG492">_xlfn.IFS(AF492=1,"Low",AF492=2,"Medium",AF492=3,"High",AF492=4,"Very High")</f>
        <v>Very High</v>
      </c>
      <c r="AH492">
        <v>0</v>
      </c>
      <c r="AI492">
        <v>8</v>
      </c>
      <c r="AJ492">
        <v>3</v>
      </c>
      <c r="AK492">
        <v>2</v>
      </c>
      <c r="AL492" t="str" cm="1">
        <f t="array" ref="AL492">_xlfn.IFS(AK492=1,"Low",AK492=2,"Medium",AK492=3,"High",AK492=4,"Very High")</f>
        <v>Medium</v>
      </c>
      <c r="AM492">
        <v>0</v>
      </c>
      <c r="AN492">
        <v>0</v>
      </c>
      <c r="AO492">
        <v>0</v>
      </c>
      <c r="AP492">
        <v>0</v>
      </c>
    </row>
    <row r="493" spans="1:42">
      <c r="A493">
        <v>43</v>
      </c>
      <c r="B493" t="str" cm="1">
        <f t="array" ref="B493">_xlfn.IFS(A493&lt;=25,"18-25",A493&lt;=35,"26-35",A493&lt;=45,"36-45",A493&lt;=55,"46-55",A493&gt;55,"56+")</f>
        <v>36-45</v>
      </c>
      <c r="C493" t="s">
        <v>39</v>
      </c>
      <c r="D493" t="s">
        <v>40</v>
      </c>
      <c r="E493" s="2">
        <v>1001</v>
      </c>
      <c r="F493" t="s">
        <v>41</v>
      </c>
      <c r="G493">
        <v>9</v>
      </c>
      <c r="H493" t="str">
        <f t="shared" si="7"/>
        <v>1-10 km</v>
      </c>
      <c r="I493">
        <v>5</v>
      </c>
      <c r="J493" t="str" cm="1">
        <f t="array" ref="J493">_xlfn.IFS(I493=1,"Below College",I493=2,"College",I493=3,"Bachelor",I493=4,"Master",I493=5,"Doctor")</f>
        <v>Doctor</v>
      </c>
      <c r="K493" t="s">
        <v>47</v>
      </c>
      <c r="L493">
        <v>663</v>
      </c>
      <c r="M493">
        <v>4</v>
      </c>
      <c r="N493" t="str" cm="1">
        <f t="array" ref="N493">_xlfn.IFS(M493=1,"Low",M493=2,"Medium",M493=3,"High",M493=4,"Very High")</f>
        <v>Very High</v>
      </c>
      <c r="O493" t="s">
        <v>42</v>
      </c>
      <c r="P493" s="2">
        <v>72</v>
      </c>
      <c r="Q493">
        <v>3</v>
      </c>
      <c r="R493" t="str" cm="1">
        <f t="array" ref="R493">_xlfn.IFS(Q493=1,"Low",Q493=2,"Medium",Q493=3,"High",Q493=4,"Very High")</f>
        <v>High</v>
      </c>
      <c r="S493">
        <v>2</v>
      </c>
      <c r="T493" t="str" cm="1">
        <f t="array" ref="T493">_xlfn.IFS(S493=1,"Entry Level",S493=2,"Junior",S493=3,"Mid-Level",S493=4,"Senior",S493=5,"Executive")</f>
        <v>Junior</v>
      </c>
      <c r="U493" t="s">
        <v>46</v>
      </c>
      <c r="V493">
        <v>3</v>
      </c>
      <c r="W493" t="str" cm="1">
        <f t="array" ref="W493">_xlfn.IFS(V493=1,"Low",V493=2,"Medium",V493=3,"High",V493=4,"Very High")</f>
        <v>High</v>
      </c>
      <c r="X493" t="s">
        <v>48</v>
      </c>
      <c r="Y493" s="2">
        <v>5679</v>
      </c>
      <c r="Z493" s="2">
        <v>19627</v>
      </c>
      <c r="AA493">
        <v>3</v>
      </c>
      <c r="AB493" t="s">
        <v>32</v>
      </c>
      <c r="AC493">
        <v>13</v>
      </c>
      <c r="AD493">
        <v>3</v>
      </c>
      <c r="AE493" t="str" cm="1">
        <f t="array" ref="AE493">_xlfn.IFS(AD493=1,"Low",AD493=2,"Good",AD493=3,"Excellent",AD493=4,"Outstanding")</f>
        <v>Excellent</v>
      </c>
      <c r="AF493">
        <v>2</v>
      </c>
      <c r="AG493" t="str" cm="1">
        <f t="array" ref="AG493">_xlfn.IFS(AF493=1,"Low",AF493=2,"Medium",AF493=3,"High",AF493=4,"Very High")</f>
        <v>Medium</v>
      </c>
      <c r="AH493">
        <v>1</v>
      </c>
      <c r="AI493">
        <v>10</v>
      </c>
      <c r="AJ493">
        <v>3</v>
      </c>
      <c r="AK493">
        <v>3</v>
      </c>
      <c r="AL493" t="str" cm="1">
        <f t="array" ref="AL493">_xlfn.IFS(AK493=1,"Low",AK493=2,"Medium",AK493=3,"High",AK493=4,"Very High")</f>
        <v>High</v>
      </c>
      <c r="AM493">
        <v>8</v>
      </c>
      <c r="AN493">
        <v>7</v>
      </c>
      <c r="AO493">
        <v>4</v>
      </c>
      <c r="AP493">
        <v>7</v>
      </c>
    </row>
    <row r="494" spans="1:42">
      <c r="A494">
        <v>48</v>
      </c>
      <c r="B494" t="str" cm="1">
        <f t="array" ref="B494">_xlfn.IFS(A494&lt;=25,"18-25",A494&lt;=35,"26-35",A494&lt;=45,"36-45",A494&lt;=55,"46-55",A494&gt;55,"56+")</f>
        <v>46-55</v>
      </c>
      <c r="C494" t="s">
        <v>39</v>
      </c>
      <c r="D494" t="s">
        <v>33</v>
      </c>
      <c r="E494" s="2">
        <v>1236</v>
      </c>
      <c r="F494" t="s">
        <v>41</v>
      </c>
      <c r="G494">
        <v>1</v>
      </c>
      <c r="H494" t="str">
        <f t="shared" si="7"/>
        <v>1-10 km</v>
      </c>
      <c r="I494">
        <v>4</v>
      </c>
      <c r="J494" t="str" cm="1">
        <f t="array" ref="J494">_xlfn.IFS(I494=1,"Below College",I494=2,"College",I494=3,"Bachelor",I494=4,"Master",I494=5,"Doctor")</f>
        <v>Master</v>
      </c>
      <c r="K494" t="s">
        <v>35</v>
      </c>
      <c r="L494">
        <v>664</v>
      </c>
      <c r="M494">
        <v>4</v>
      </c>
      <c r="N494" t="str" cm="1">
        <f t="array" ref="N494">_xlfn.IFS(M494=1,"Low",M494=2,"Medium",M494=3,"High",M494=4,"Very High")</f>
        <v>Very High</v>
      </c>
      <c r="O494" t="s">
        <v>36</v>
      </c>
      <c r="P494" s="2">
        <v>40</v>
      </c>
      <c r="Q494">
        <v>2</v>
      </c>
      <c r="R494" t="str" cm="1">
        <f t="array" ref="R494">_xlfn.IFS(Q494=1,"Low",Q494=2,"Medium",Q494=3,"High",Q494=4,"Very High")</f>
        <v>Medium</v>
      </c>
      <c r="S494">
        <v>4</v>
      </c>
      <c r="T494" t="str" cm="1">
        <f t="array" ref="T494">_xlfn.IFS(S494=1,"Entry Level",S494=2,"Junior",S494=3,"Mid-Level",S494=4,"Senior",S494=5,"Executive")</f>
        <v>Senior</v>
      </c>
      <c r="U494" t="s">
        <v>52</v>
      </c>
      <c r="V494">
        <v>1</v>
      </c>
      <c r="W494" t="str" cm="1">
        <f t="array" ref="W494">_xlfn.IFS(V494=1,"Low",V494=2,"Medium",V494=3,"High",V494=4,"Very High")</f>
        <v>Low</v>
      </c>
      <c r="X494" t="s">
        <v>44</v>
      </c>
      <c r="Y494" s="2">
        <v>15402</v>
      </c>
      <c r="Z494" s="2">
        <v>17997</v>
      </c>
      <c r="AA494">
        <v>7</v>
      </c>
      <c r="AB494" t="s">
        <v>39</v>
      </c>
      <c r="AC494">
        <v>11</v>
      </c>
      <c r="AD494">
        <v>3</v>
      </c>
      <c r="AE494" t="str" cm="1">
        <f t="array" ref="AE494">_xlfn.IFS(AD494=1,"Low",AD494=2,"Good",AD494=3,"Excellent",AD494=4,"Outstanding")</f>
        <v>Excellent</v>
      </c>
      <c r="AF494">
        <v>1</v>
      </c>
      <c r="AG494" t="str" cm="1">
        <f t="array" ref="AG494">_xlfn.IFS(AF494=1,"Low",AF494=2,"Medium",AF494=3,"High",AF494=4,"Very High")</f>
        <v>Low</v>
      </c>
      <c r="AH494">
        <v>1</v>
      </c>
      <c r="AI494">
        <v>21</v>
      </c>
      <c r="AJ494">
        <v>3</v>
      </c>
      <c r="AK494">
        <v>1</v>
      </c>
      <c r="AL494" t="str" cm="1">
        <f t="array" ref="AL494">_xlfn.IFS(AK494=1,"Low",AK494=2,"Medium",AK494=3,"High",AK494=4,"Very High")</f>
        <v>Low</v>
      </c>
      <c r="AM494">
        <v>3</v>
      </c>
      <c r="AN494">
        <v>2</v>
      </c>
      <c r="AO494">
        <v>0</v>
      </c>
      <c r="AP494">
        <v>2</v>
      </c>
    </row>
    <row r="495" spans="1:42">
      <c r="A495">
        <v>44</v>
      </c>
      <c r="B495" t="str" cm="1">
        <f t="array" ref="B495">_xlfn.IFS(A495&lt;=25,"18-25",A495&lt;=35,"26-35",A495&lt;=45,"36-45",A495&lt;=55,"46-55",A495&gt;55,"56+")</f>
        <v>36-45</v>
      </c>
      <c r="C495" t="s">
        <v>39</v>
      </c>
      <c r="D495" t="s">
        <v>33</v>
      </c>
      <c r="E495" s="2">
        <v>1112</v>
      </c>
      <c r="F495" t="s">
        <v>57</v>
      </c>
      <c r="G495">
        <v>1</v>
      </c>
      <c r="H495" t="str">
        <f t="shared" si="7"/>
        <v>1-10 km</v>
      </c>
      <c r="I495">
        <v>4</v>
      </c>
      <c r="J495" t="str" cm="1">
        <f t="array" ref="J495">_xlfn.IFS(I495=1,"Below College",I495=2,"College",I495=3,"Bachelor",I495=4,"Master",I495=5,"Doctor")</f>
        <v>Master</v>
      </c>
      <c r="K495" t="s">
        <v>35</v>
      </c>
      <c r="L495">
        <v>665</v>
      </c>
      <c r="M495">
        <v>1</v>
      </c>
      <c r="N495" t="str" cm="1">
        <f t="array" ref="N495">_xlfn.IFS(M495=1,"Low",M495=2,"Medium",M495=3,"High",M495=4,"Very High")</f>
        <v>Low</v>
      </c>
      <c r="O495" t="s">
        <v>36</v>
      </c>
      <c r="P495" s="2">
        <v>50</v>
      </c>
      <c r="Q495">
        <v>2</v>
      </c>
      <c r="R495" t="str" cm="1">
        <f t="array" ref="R495">_xlfn.IFS(Q495=1,"Low",Q495=2,"Medium",Q495=3,"High",Q495=4,"Very High")</f>
        <v>Medium</v>
      </c>
      <c r="S495">
        <v>2</v>
      </c>
      <c r="T495" t="str" cm="1">
        <f t="array" ref="T495">_xlfn.IFS(S495=1,"Entry Level",S495=2,"Junior",S495=3,"Mid-Level",S495=4,"Senior",S495=5,"Executive")</f>
        <v>Junior</v>
      </c>
      <c r="U495" t="s">
        <v>57</v>
      </c>
      <c r="V495">
        <v>3</v>
      </c>
      <c r="W495" t="str" cm="1">
        <f t="array" ref="W495">_xlfn.IFS(V495=1,"Low",V495=2,"Medium",V495=3,"High",V495=4,"Very High")</f>
        <v>High</v>
      </c>
      <c r="X495" t="s">
        <v>38</v>
      </c>
      <c r="Y495" s="2">
        <v>5985</v>
      </c>
      <c r="Z495" s="2">
        <v>26894</v>
      </c>
      <c r="AA495">
        <v>4</v>
      </c>
      <c r="AB495" t="s">
        <v>39</v>
      </c>
      <c r="AC495">
        <v>11</v>
      </c>
      <c r="AD495">
        <v>3</v>
      </c>
      <c r="AE495" t="str" cm="1">
        <f t="array" ref="AE495">_xlfn.IFS(AD495=1,"Low",AD495=2,"Good",AD495=3,"Excellent",AD495=4,"Outstanding")</f>
        <v>Excellent</v>
      </c>
      <c r="AF495">
        <v>2</v>
      </c>
      <c r="AG495" t="str" cm="1">
        <f t="array" ref="AG495">_xlfn.IFS(AF495=1,"Low",AF495=2,"Medium",AF495=3,"High",AF495=4,"Very High")</f>
        <v>Medium</v>
      </c>
      <c r="AH495">
        <v>0</v>
      </c>
      <c r="AI495">
        <v>10</v>
      </c>
      <c r="AJ495">
        <v>1</v>
      </c>
      <c r="AK495">
        <v>4</v>
      </c>
      <c r="AL495" t="str" cm="1">
        <f t="array" ref="AL495">_xlfn.IFS(AK495=1,"Low",AK495=2,"Medium",AK495=3,"High",AK495=4,"Very High")</f>
        <v>Very High</v>
      </c>
      <c r="AM495">
        <v>2</v>
      </c>
      <c r="AN495">
        <v>2</v>
      </c>
      <c r="AO495">
        <v>0</v>
      </c>
      <c r="AP495">
        <v>2</v>
      </c>
    </row>
    <row r="496" spans="1:42">
      <c r="A496">
        <v>34</v>
      </c>
      <c r="B496" t="str" cm="1">
        <f t="array" ref="B496">_xlfn.IFS(A496&lt;=25,"18-25",A496&lt;=35,"26-35",A496&lt;=45,"36-45",A496&lt;=55,"46-55",A496&gt;55,"56+")</f>
        <v>26-35</v>
      </c>
      <c r="C496" t="s">
        <v>39</v>
      </c>
      <c r="D496" t="s">
        <v>33</v>
      </c>
      <c r="E496" s="2">
        <v>204</v>
      </c>
      <c r="F496" t="s">
        <v>34</v>
      </c>
      <c r="G496">
        <v>14</v>
      </c>
      <c r="H496" t="str">
        <f t="shared" si="7"/>
        <v>11-20 km</v>
      </c>
      <c r="I496">
        <v>3</v>
      </c>
      <c r="J496" t="str" cm="1">
        <f t="array" ref="J496">_xlfn.IFS(I496=1,"Below College",I496=2,"College",I496=3,"Bachelor",I496=4,"Master",I496=5,"Doctor")</f>
        <v>Bachelor</v>
      </c>
      <c r="K496" t="s">
        <v>56</v>
      </c>
      <c r="L496">
        <v>666</v>
      </c>
      <c r="M496">
        <v>3</v>
      </c>
      <c r="N496" t="str" cm="1">
        <f t="array" ref="N496">_xlfn.IFS(M496=1,"Low",M496=2,"Medium",M496=3,"High",M496=4,"Very High")</f>
        <v>High</v>
      </c>
      <c r="O496" t="s">
        <v>36</v>
      </c>
      <c r="P496" s="2">
        <v>31</v>
      </c>
      <c r="Q496">
        <v>3</v>
      </c>
      <c r="R496" t="str" cm="1">
        <f t="array" ref="R496">_xlfn.IFS(Q496=1,"Low",Q496=2,"Medium",Q496=3,"High",Q496=4,"Very High")</f>
        <v>High</v>
      </c>
      <c r="S496">
        <v>1</v>
      </c>
      <c r="T496" t="str" cm="1">
        <f t="array" ref="T496">_xlfn.IFS(S496=1,"Entry Level",S496=2,"Junior",S496=3,"Mid-Level",S496=4,"Senior",S496=5,"Executive")</f>
        <v>Entry Level</v>
      </c>
      <c r="U496" t="s">
        <v>53</v>
      </c>
      <c r="V496">
        <v>3</v>
      </c>
      <c r="W496" t="str" cm="1">
        <f t="array" ref="W496">_xlfn.IFS(V496=1,"Low",V496=2,"Medium",V496=3,"High",V496=4,"Very High")</f>
        <v>High</v>
      </c>
      <c r="X496" t="s">
        <v>48</v>
      </c>
      <c r="Y496" s="2">
        <v>2579</v>
      </c>
      <c r="Z496" s="2">
        <v>2912</v>
      </c>
      <c r="AA496">
        <v>1</v>
      </c>
      <c r="AB496" t="s">
        <v>32</v>
      </c>
      <c r="AC496">
        <v>18</v>
      </c>
      <c r="AD496">
        <v>3</v>
      </c>
      <c r="AE496" t="str" cm="1">
        <f t="array" ref="AE496">_xlfn.IFS(AD496=1,"Low",AD496=2,"Good",AD496=3,"Excellent",AD496=4,"Outstanding")</f>
        <v>Excellent</v>
      </c>
      <c r="AF496">
        <v>4</v>
      </c>
      <c r="AG496" t="str" cm="1">
        <f t="array" ref="AG496">_xlfn.IFS(AF496=1,"Low",AF496=2,"Medium",AF496=3,"High",AF496=4,"Very High")</f>
        <v>Very High</v>
      </c>
      <c r="AH496">
        <v>2</v>
      </c>
      <c r="AI496">
        <v>8</v>
      </c>
      <c r="AJ496">
        <v>3</v>
      </c>
      <c r="AK496">
        <v>3</v>
      </c>
      <c r="AL496" t="str" cm="1">
        <f t="array" ref="AL496">_xlfn.IFS(AK496=1,"Low",AK496=2,"Medium",AK496=3,"High",AK496=4,"Very High")</f>
        <v>High</v>
      </c>
      <c r="AM496">
        <v>8</v>
      </c>
      <c r="AN496">
        <v>2</v>
      </c>
      <c r="AO496">
        <v>0</v>
      </c>
      <c r="AP496">
        <v>6</v>
      </c>
    </row>
    <row r="497" spans="1:42">
      <c r="A497">
        <v>27</v>
      </c>
      <c r="B497" t="str" cm="1">
        <f t="array" ref="B497">_xlfn.IFS(A497&lt;=25,"18-25",A497&lt;=35,"26-35",A497&lt;=45,"36-45",A497&lt;=55,"46-55",A497&gt;55,"56+")</f>
        <v>26-35</v>
      </c>
      <c r="C497" t="s">
        <v>32</v>
      </c>
      <c r="D497" t="s">
        <v>33</v>
      </c>
      <c r="E497" s="2">
        <v>1420</v>
      </c>
      <c r="F497" t="s">
        <v>34</v>
      </c>
      <c r="G497">
        <v>2</v>
      </c>
      <c r="H497" t="str">
        <f t="shared" si="7"/>
        <v>1-10 km</v>
      </c>
      <c r="I497">
        <v>1</v>
      </c>
      <c r="J497" t="str" cm="1">
        <f t="array" ref="J497">_xlfn.IFS(I497=1,"Below College",I497=2,"College",I497=3,"Bachelor",I497=4,"Master",I497=5,"Doctor")</f>
        <v>Below College</v>
      </c>
      <c r="K497" t="s">
        <v>55</v>
      </c>
      <c r="L497">
        <v>667</v>
      </c>
      <c r="M497">
        <v>3</v>
      </c>
      <c r="N497" t="str" cm="1">
        <f t="array" ref="N497">_xlfn.IFS(M497=1,"Low",M497=2,"Medium",M497=3,"High",M497=4,"Very High")</f>
        <v>High</v>
      </c>
      <c r="O497" t="s">
        <v>42</v>
      </c>
      <c r="P497" s="2">
        <v>85</v>
      </c>
      <c r="Q497">
        <v>3</v>
      </c>
      <c r="R497" t="str" cm="1">
        <f t="array" ref="R497">_xlfn.IFS(Q497=1,"Low",Q497=2,"Medium",Q497=3,"High",Q497=4,"Very High")</f>
        <v>High</v>
      </c>
      <c r="S497">
        <v>1</v>
      </c>
      <c r="T497" t="str" cm="1">
        <f t="array" ref="T497">_xlfn.IFS(S497=1,"Entry Level",S497=2,"Junior",S497=3,"Mid-Level",S497=4,"Senior",S497=5,"Executive")</f>
        <v>Entry Level</v>
      </c>
      <c r="U497" t="s">
        <v>53</v>
      </c>
      <c r="V497">
        <v>1</v>
      </c>
      <c r="W497" t="str" cm="1">
        <f t="array" ref="W497">_xlfn.IFS(V497=1,"Low",V497=2,"Medium",V497=3,"High",V497=4,"Very High")</f>
        <v>Low</v>
      </c>
      <c r="X497" t="s">
        <v>48</v>
      </c>
      <c r="Y497" s="2">
        <v>3041</v>
      </c>
      <c r="Z497" s="2">
        <v>16346</v>
      </c>
      <c r="AA497">
        <v>0</v>
      </c>
      <c r="AB497" t="s">
        <v>39</v>
      </c>
      <c r="AC497">
        <v>11</v>
      </c>
      <c r="AD497">
        <v>3</v>
      </c>
      <c r="AE497" t="str" cm="1">
        <f t="array" ref="AE497">_xlfn.IFS(AD497=1,"Low",AD497=2,"Good",AD497=3,"Excellent",AD497=4,"Outstanding")</f>
        <v>Excellent</v>
      </c>
      <c r="AF497">
        <v>2</v>
      </c>
      <c r="AG497" t="str" cm="1">
        <f t="array" ref="AG497">_xlfn.IFS(AF497=1,"Low",AF497=2,"Medium",AF497=3,"High",AF497=4,"Very High")</f>
        <v>Medium</v>
      </c>
      <c r="AH497">
        <v>1</v>
      </c>
      <c r="AI497">
        <v>5</v>
      </c>
      <c r="AJ497">
        <v>3</v>
      </c>
      <c r="AK497">
        <v>3</v>
      </c>
      <c r="AL497" t="str" cm="1">
        <f t="array" ref="AL497">_xlfn.IFS(AK497=1,"Low",AK497=2,"Medium",AK497=3,"High",AK497=4,"Very High")</f>
        <v>High</v>
      </c>
      <c r="AM497">
        <v>4</v>
      </c>
      <c r="AN497">
        <v>3</v>
      </c>
      <c r="AO497">
        <v>0</v>
      </c>
      <c r="AP497">
        <v>2</v>
      </c>
    </row>
    <row r="498" spans="1:42">
      <c r="A498">
        <v>21</v>
      </c>
      <c r="B498" t="str" cm="1">
        <f t="array" ref="B498">_xlfn.IFS(A498&lt;=25,"18-25",A498&lt;=35,"26-35",A498&lt;=45,"36-45",A498&lt;=55,"46-55",A498&gt;55,"56+")</f>
        <v>18-25</v>
      </c>
      <c r="C498" t="s">
        <v>39</v>
      </c>
      <c r="D498" t="s">
        <v>33</v>
      </c>
      <c r="E498" s="2">
        <v>1343</v>
      </c>
      <c r="F498" t="s">
        <v>34</v>
      </c>
      <c r="G498">
        <v>22</v>
      </c>
      <c r="H498" t="str">
        <f t="shared" si="7"/>
        <v>21-30 km</v>
      </c>
      <c r="I498">
        <v>1</v>
      </c>
      <c r="J498" t="str" cm="1">
        <f t="array" ref="J498">_xlfn.IFS(I498=1,"Below College",I498=2,"College",I498=3,"Bachelor",I498=4,"Master",I498=5,"Doctor")</f>
        <v>Below College</v>
      </c>
      <c r="K498" t="s">
        <v>56</v>
      </c>
      <c r="L498">
        <v>669</v>
      </c>
      <c r="M498">
        <v>3</v>
      </c>
      <c r="N498" t="str" cm="1">
        <f t="array" ref="N498">_xlfn.IFS(M498=1,"Low",M498=2,"Medium",M498=3,"High",M498=4,"Very High")</f>
        <v>High</v>
      </c>
      <c r="O498" t="s">
        <v>42</v>
      </c>
      <c r="P498" s="2">
        <v>49</v>
      </c>
      <c r="Q498">
        <v>3</v>
      </c>
      <c r="R498" t="str" cm="1">
        <f t="array" ref="R498">_xlfn.IFS(Q498=1,"Low",Q498=2,"Medium",Q498=3,"High",Q498=4,"Very High")</f>
        <v>High</v>
      </c>
      <c r="S498">
        <v>1</v>
      </c>
      <c r="T498" t="str" cm="1">
        <f t="array" ref="T498">_xlfn.IFS(S498=1,"Entry Level",S498=2,"Junior",S498=3,"Mid-Level",S498=4,"Senior",S498=5,"Executive")</f>
        <v>Entry Level</v>
      </c>
      <c r="U498" t="s">
        <v>53</v>
      </c>
      <c r="V498">
        <v>3</v>
      </c>
      <c r="W498" t="str" cm="1">
        <f t="array" ref="W498">_xlfn.IFS(V498=1,"Low",V498=2,"Medium",V498=3,"High",V498=4,"Very High")</f>
        <v>High</v>
      </c>
      <c r="X498" t="s">
        <v>38</v>
      </c>
      <c r="Y498" s="2">
        <v>3447</v>
      </c>
      <c r="Z498" s="2">
        <v>24444</v>
      </c>
      <c r="AA498">
        <v>1</v>
      </c>
      <c r="AB498" t="s">
        <v>39</v>
      </c>
      <c r="AC498">
        <v>11</v>
      </c>
      <c r="AD498">
        <v>3</v>
      </c>
      <c r="AE498" t="str" cm="1">
        <f t="array" ref="AE498">_xlfn.IFS(AD498=1,"Low",AD498=2,"Good",AD498=3,"Excellent",AD498=4,"Outstanding")</f>
        <v>Excellent</v>
      </c>
      <c r="AF498">
        <v>3</v>
      </c>
      <c r="AG498" t="str" cm="1">
        <f t="array" ref="AG498">_xlfn.IFS(AF498=1,"Low",AF498=2,"Medium",AF498=3,"High",AF498=4,"Very High")</f>
        <v>High</v>
      </c>
      <c r="AH498">
        <v>0</v>
      </c>
      <c r="AI498">
        <v>3</v>
      </c>
      <c r="AJ498">
        <v>2</v>
      </c>
      <c r="AK498">
        <v>3</v>
      </c>
      <c r="AL498" t="str" cm="1">
        <f t="array" ref="AL498">_xlfn.IFS(AK498=1,"Low",AK498=2,"Medium",AK498=3,"High",AK498=4,"Very High")</f>
        <v>High</v>
      </c>
      <c r="AM498">
        <v>3</v>
      </c>
      <c r="AN498">
        <v>2</v>
      </c>
      <c r="AO498">
        <v>1</v>
      </c>
      <c r="AP498">
        <v>2</v>
      </c>
    </row>
    <row r="499" spans="1:42">
      <c r="A499">
        <v>44</v>
      </c>
      <c r="B499" t="str" cm="1">
        <f t="array" ref="B499">_xlfn.IFS(A499&lt;=25,"18-25",A499&lt;=35,"26-35",A499&lt;=45,"36-45",A499&lt;=55,"46-55",A499&gt;55,"56+")</f>
        <v>36-45</v>
      </c>
      <c r="C499" t="s">
        <v>39</v>
      </c>
      <c r="D499" t="s">
        <v>33</v>
      </c>
      <c r="E499" s="2">
        <v>1315</v>
      </c>
      <c r="F499" t="s">
        <v>41</v>
      </c>
      <c r="G499">
        <v>3</v>
      </c>
      <c r="H499" t="str">
        <f t="shared" si="7"/>
        <v>1-10 km</v>
      </c>
      <c r="I499">
        <v>4</v>
      </c>
      <c r="J499" t="str" cm="1">
        <f t="array" ref="J499">_xlfn.IFS(I499=1,"Below College",I499=2,"College",I499=3,"Bachelor",I499=4,"Master",I499=5,"Doctor")</f>
        <v>Master</v>
      </c>
      <c r="K499" t="s">
        <v>45</v>
      </c>
      <c r="L499">
        <v>671</v>
      </c>
      <c r="M499">
        <v>4</v>
      </c>
      <c r="N499" t="str" cm="1">
        <f t="array" ref="N499">_xlfn.IFS(M499=1,"Low",M499=2,"Medium",M499=3,"High",M499=4,"Very High")</f>
        <v>Very High</v>
      </c>
      <c r="O499" t="s">
        <v>42</v>
      </c>
      <c r="P499" s="2">
        <v>35</v>
      </c>
      <c r="Q499">
        <v>3</v>
      </c>
      <c r="R499" t="str" cm="1">
        <f t="array" ref="R499">_xlfn.IFS(Q499=1,"Low",Q499=2,"Medium",Q499=3,"High",Q499=4,"Very High")</f>
        <v>High</v>
      </c>
      <c r="S499">
        <v>5</v>
      </c>
      <c r="T499" t="str" cm="1">
        <f t="array" ref="T499">_xlfn.IFS(S499=1,"Entry Level",S499=2,"Junior",S499=3,"Mid-Level",S499=4,"Senior",S499=5,"Executive")</f>
        <v>Executive</v>
      </c>
      <c r="U499" t="s">
        <v>52</v>
      </c>
      <c r="V499">
        <v>4</v>
      </c>
      <c r="W499" t="str" cm="1">
        <f t="array" ref="W499">_xlfn.IFS(V499=1,"Low",V499=2,"Medium",V499=3,"High",V499=4,"Very High")</f>
        <v>Very High</v>
      </c>
      <c r="X499" t="s">
        <v>44</v>
      </c>
      <c r="Y499" s="2">
        <v>19513</v>
      </c>
      <c r="Z499" s="2">
        <v>9358</v>
      </c>
      <c r="AA499">
        <v>4</v>
      </c>
      <c r="AB499" t="s">
        <v>32</v>
      </c>
      <c r="AC499">
        <v>12</v>
      </c>
      <c r="AD499">
        <v>3</v>
      </c>
      <c r="AE499" t="str" cm="1">
        <f t="array" ref="AE499">_xlfn.IFS(AD499=1,"Low",AD499=2,"Good",AD499=3,"Excellent",AD499=4,"Outstanding")</f>
        <v>Excellent</v>
      </c>
      <c r="AF499">
        <v>1</v>
      </c>
      <c r="AG499" t="str" cm="1">
        <f t="array" ref="AG499">_xlfn.IFS(AF499=1,"Low",AF499=2,"Medium",AF499=3,"High",AF499=4,"Very High")</f>
        <v>Low</v>
      </c>
      <c r="AH499">
        <v>1</v>
      </c>
      <c r="AI499">
        <v>26</v>
      </c>
      <c r="AJ499">
        <v>2</v>
      </c>
      <c r="AK499">
        <v>4</v>
      </c>
      <c r="AL499" t="str" cm="1">
        <f t="array" ref="AL499">_xlfn.IFS(AK499=1,"Low",AK499=2,"Medium",AK499=3,"High",AK499=4,"Very High")</f>
        <v>Very High</v>
      </c>
      <c r="AM499">
        <v>2</v>
      </c>
      <c r="AN499">
        <v>2</v>
      </c>
      <c r="AO499">
        <v>0</v>
      </c>
      <c r="AP499">
        <v>1</v>
      </c>
    </row>
    <row r="500" spans="1:42">
      <c r="A500">
        <v>22</v>
      </c>
      <c r="B500" t="str" cm="1">
        <f t="array" ref="B500">_xlfn.IFS(A500&lt;=25,"18-25",A500&lt;=35,"26-35",A500&lt;=45,"36-45",A500&lt;=55,"46-55",A500&gt;55,"56+")</f>
        <v>18-25</v>
      </c>
      <c r="C500" t="s">
        <v>39</v>
      </c>
      <c r="D500" t="s">
        <v>33</v>
      </c>
      <c r="E500" s="2">
        <v>604</v>
      </c>
      <c r="F500" t="s">
        <v>41</v>
      </c>
      <c r="G500">
        <v>6</v>
      </c>
      <c r="H500" t="str">
        <f t="shared" si="7"/>
        <v>1-10 km</v>
      </c>
      <c r="I500">
        <v>1</v>
      </c>
      <c r="J500" t="str" cm="1">
        <f t="array" ref="J500">_xlfn.IFS(I500=1,"Below College",I500=2,"College",I500=3,"Bachelor",I500=4,"Master",I500=5,"Doctor")</f>
        <v>Below College</v>
      </c>
      <c r="K500" t="s">
        <v>47</v>
      </c>
      <c r="L500">
        <v>675</v>
      </c>
      <c r="M500">
        <v>1</v>
      </c>
      <c r="N500" t="str" cm="1">
        <f t="array" ref="N500">_xlfn.IFS(M500=1,"Low",M500=2,"Medium",M500=3,"High",M500=4,"Very High")</f>
        <v>Low</v>
      </c>
      <c r="O500" t="s">
        <v>42</v>
      </c>
      <c r="P500" s="2">
        <v>69</v>
      </c>
      <c r="Q500">
        <v>3</v>
      </c>
      <c r="R500" t="str" cm="1">
        <f t="array" ref="R500">_xlfn.IFS(Q500=1,"Low",Q500=2,"Medium",Q500=3,"High",Q500=4,"Very High")</f>
        <v>High</v>
      </c>
      <c r="S500">
        <v>1</v>
      </c>
      <c r="T500" t="str" cm="1">
        <f t="array" ref="T500">_xlfn.IFS(S500=1,"Entry Level",S500=2,"Junior",S500=3,"Mid-Level",S500=4,"Senior",S500=5,"Executive")</f>
        <v>Entry Level</v>
      </c>
      <c r="U500" t="s">
        <v>43</v>
      </c>
      <c r="V500">
        <v>3</v>
      </c>
      <c r="W500" t="str" cm="1">
        <f t="array" ref="W500">_xlfn.IFS(V500=1,"Low",V500=2,"Medium",V500=3,"High",V500=4,"Very High")</f>
        <v>High</v>
      </c>
      <c r="X500" t="s">
        <v>44</v>
      </c>
      <c r="Y500" s="2">
        <v>2773</v>
      </c>
      <c r="Z500" s="2">
        <v>12145</v>
      </c>
      <c r="AA500">
        <v>0</v>
      </c>
      <c r="AB500" t="s">
        <v>39</v>
      </c>
      <c r="AC500">
        <v>20</v>
      </c>
      <c r="AD500">
        <v>4</v>
      </c>
      <c r="AE500" t="str" cm="1">
        <f t="array" ref="AE500">_xlfn.IFS(AD500=1,"Low",AD500=2,"Good",AD500=3,"Excellent",AD500=4,"Outstanding")</f>
        <v>Outstanding</v>
      </c>
      <c r="AF500">
        <v>4</v>
      </c>
      <c r="AG500" t="str" cm="1">
        <f t="array" ref="AG500">_xlfn.IFS(AF500=1,"Low",AF500=2,"Medium",AF500=3,"High",AF500=4,"Very High")</f>
        <v>Very High</v>
      </c>
      <c r="AH500">
        <v>0</v>
      </c>
      <c r="AI500">
        <v>3</v>
      </c>
      <c r="AJ500">
        <v>3</v>
      </c>
      <c r="AK500">
        <v>3</v>
      </c>
      <c r="AL500" t="str" cm="1">
        <f t="array" ref="AL500">_xlfn.IFS(AK500=1,"Low",AK500=2,"Medium",AK500=3,"High",AK500=4,"Very High")</f>
        <v>High</v>
      </c>
      <c r="AM500">
        <v>2</v>
      </c>
      <c r="AN500">
        <v>2</v>
      </c>
      <c r="AO500">
        <v>2</v>
      </c>
      <c r="AP500">
        <v>2</v>
      </c>
    </row>
    <row r="501" spans="1:42">
      <c r="A501">
        <v>33</v>
      </c>
      <c r="B501" t="str" cm="1">
        <f t="array" ref="B501">_xlfn.IFS(A501&lt;=25,"18-25",A501&lt;=35,"26-35",A501&lt;=45,"36-45",A501&lt;=55,"46-55",A501&gt;55,"56+")</f>
        <v>26-35</v>
      </c>
      <c r="C501" t="s">
        <v>39</v>
      </c>
      <c r="D501" t="s">
        <v>33</v>
      </c>
      <c r="E501" s="2">
        <v>1216</v>
      </c>
      <c r="F501" t="s">
        <v>34</v>
      </c>
      <c r="G501">
        <v>8</v>
      </c>
      <c r="H501" t="str">
        <f t="shared" si="7"/>
        <v>1-10 km</v>
      </c>
      <c r="I501">
        <v>4</v>
      </c>
      <c r="J501" t="str" cm="1">
        <f t="array" ref="J501">_xlfn.IFS(I501=1,"Below College",I501=2,"College",I501=3,"Bachelor",I501=4,"Master",I501=5,"Doctor")</f>
        <v>Master</v>
      </c>
      <c r="K501" t="s">
        <v>55</v>
      </c>
      <c r="L501">
        <v>677</v>
      </c>
      <c r="M501">
        <v>3</v>
      </c>
      <c r="N501" t="str" cm="1">
        <f t="array" ref="N501">_xlfn.IFS(M501=1,"Low",M501=2,"Medium",M501=3,"High",M501=4,"Very High")</f>
        <v>High</v>
      </c>
      <c r="O501" t="s">
        <v>42</v>
      </c>
      <c r="P501" s="2">
        <v>39</v>
      </c>
      <c r="Q501">
        <v>3</v>
      </c>
      <c r="R501" t="str" cm="1">
        <f t="array" ref="R501">_xlfn.IFS(Q501=1,"Low",Q501=2,"Medium",Q501=3,"High",Q501=4,"Very High")</f>
        <v>High</v>
      </c>
      <c r="S501">
        <v>2</v>
      </c>
      <c r="T501" t="str" cm="1">
        <f t="array" ref="T501">_xlfn.IFS(S501=1,"Entry Level",S501=2,"Junior",S501=3,"Mid-Level",S501=4,"Senior",S501=5,"Executive")</f>
        <v>Junior</v>
      </c>
      <c r="U501" t="s">
        <v>37</v>
      </c>
      <c r="V501">
        <v>3</v>
      </c>
      <c r="W501" t="str" cm="1">
        <f t="array" ref="W501">_xlfn.IFS(V501=1,"Low",V501=2,"Medium",V501=3,"High",V501=4,"Very High")</f>
        <v>High</v>
      </c>
      <c r="X501" t="s">
        <v>48</v>
      </c>
      <c r="Y501" s="2">
        <v>7104</v>
      </c>
      <c r="Z501" s="2">
        <v>20431</v>
      </c>
      <c r="AA501">
        <v>0</v>
      </c>
      <c r="AB501" t="s">
        <v>39</v>
      </c>
      <c r="AC501">
        <v>12</v>
      </c>
      <c r="AD501">
        <v>3</v>
      </c>
      <c r="AE501" t="str" cm="1">
        <f t="array" ref="AE501">_xlfn.IFS(AD501=1,"Low",AD501=2,"Good",AD501=3,"Excellent",AD501=4,"Outstanding")</f>
        <v>Excellent</v>
      </c>
      <c r="AF501">
        <v>4</v>
      </c>
      <c r="AG501" t="str" cm="1">
        <f t="array" ref="AG501">_xlfn.IFS(AF501=1,"Low",AF501=2,"Medium",AF501=3,"High",AF501=4,"Very High")</f>
        <v>Very High</v>
      </c>
      <c r="AH501">
        <v>0</v>
      </c>
      <c r="AI501">
        <v>6</v>
      </c>
      <c r="AJ501">
        <v>3</v>
      </c>
      <c r="AK501">
        <v>3</v>
      </c>
      <c r="AL501" t="str" cm="1">
        <f t="array" ref="AL501">_xlfn.IFS(AK501=1,"Low",AK501=2,"Medium",AK501=3,"High",AK501=4,"Very High")</f>
        <v>High</v>
      </c>
      <c r="AM501">
        <v>5</v>
      </c>
      <c r="AN501">
        <v>0</v>
      </c>
      <c r="AO501">
        <v>1</v>
      </c>
      <c r="AP501">
        <v>2</v>
      </c>
    </row>
    <row r="502" spans="1:42">
      <c r="A502">
        <v>32</v>
      </c>
      <c r="B502" t="str" cm="1">
        <f t="array" ref="B502">_xlfn.IFS(A502&lt;=25,"18-25",A502&lt;=35,"26-35",A502&lt;=45,"36-45",A502&lt;=55,"46-55",A502&gt;55,"56+")</f>
        <v>26-35</v>
      </c>
      <c r="C502" t="s">
        <v>39</v>
      </c>
      <c r="D502" t="s">
        <v>33</v>
      </c>
      <c r="E502" s="2">
        <v>646</v>
      </c>
      <c r="F502" t="s">
        <v>41</v>
      </c>
      <c r="G502">
        <v>9</v>
      </c>
      <c r="H502" t="str">
        <f t="shared" si="7"/>
        <v>1-10 km</v>
      </c>
      <c r="I502">
        <v>4</v>
      </c>
      <c r="J502" t="str" cm="1">
        <f t="array" ref="J502">_xlfn.IFS(I502=1,"Below College",I502=2,"College",I502=3,"Bachelor",I502=4,"Master",I502=5,"Doctor")</f>
        <v>Master</v>
      </c>
      <c r="K502" t="s">
        <v>35</v>
      </c>
      <c r="L502">
        <v>679</v>
      </c>
      <c r="M502">
        <v>1</v>
      </c>
      <c r="N502" t="str" cm="1">
        <f t="array" ref="N502">_xlfn.IFS(M502=1,"Low",M502=2,"Medium",M502=3,"High",M502=4,"Very High")</f>
        <v>Low</v>
      </c>
      <c r="O502" t="s">
        <v>36</v>
      </c>
      <c r="P502" s="2">
        <v>92</v>
      </c>
      <c r="Q502">
        <v>3</v>
      </c>
      <c r="R502" t="str" cm="1">
        <f t="array" ref="R502">_xlfn.IFS(Q502=1,"Low",Q502=2,"Medium",Q502=3,"High",Q502=4,"Very High")</f>
        <v>High</v>
      </c>
      <c r="S502">
        <v>2</v>
      </c>
      <c r="T502" t="str" cm="1">
        <f t="array" ref="T502">_xlfn.IFS(S502=1,"Entry Level",S502=2,"Junior",S502=3,"Mid-Level",S502=4,"Senior",S502=5,"Executive")</f>
        <v>Junior</v>
      </c>
      <c r="U502" t="s">
        <v>43</v>
      </c>
      <c r="V502">
        <v>4</v>
      </c>
      <c r="W502" t="str" cm="1">
        <f t="array" ref="W502">_xlfn.IFS(V502=1,"Low",V502=2,"Medium",V502=3,"High",V502=4,"Very High")</f>
        <v>Very High</v>
      </c>
      <c r="X502" t="s">
        <v>44</v>
      </c>
      <c r="Y502" s="2">
        <v>6322</v>
      </c>
      <c r="Z502" s="2">
        <v>18089</v>
      </c>
      <c r="AA502">
        <v>1</v>
      </c>
      <c r="AB502" t="s">
        <v>32</v>
      </c>
      <c r="AC502">
        <v>12</v>
      </c>
      <c r="AD502">
        <v>3</v>
      </c>
      <c r="AE502" t="str" cm="1">
        <f t="array" ref="AE502">_xlfn.IFS(AD502=1,"Low",AD502=2,"Good",AD502=3,"Excellent",AD502=4,"Outstanding")</f>
        <v>Excellent</v>
      </c>
      <c r="AF502">
        <v>4</v>
      </c>
      <c r="AG502" t="str" cm="1">
        <f t="array" ref="AG502">_xlfn.IFS(AF502=1,"Low",AF502=2,"Medium",AF502=3,"High",AF502=4,"Very High")</f>
        <v>Very High</v>
      </c>
      <c r="AH502">
        <v>1</v>
      </c>
      <c r="AI502">
        <v>6</v>
      </c>
      <c r="AJ502">
        <v>2</v>
      </c>
      <c r="AK502">
        <v>2</v>
      </c>
      <c r="AL502" t="str" cm="1">
        <f t="array" ref="AL502">_xlfn.IFS(AK502=1,"Low",AK502=2,"Medium",AK502=3,"High",AK502=4,"Very High")</f>
        <v>Medium</v>
      </c>
      <c r="AM502">
        <v>6</v>
      </c>
      <c r="AN502">
        <v>4</v>
      </c>
      <c r="AO502">
        <v>0</v>
      </c>
      <c r="AP502">
        <v>5</v>
      </c>
    </row>
    <row r="503" spans="1:42">
      <c r="A503">
        <v>30</v>
      </c>
      <c r="B503" t="str" cm="1">
        <f t="array" ref="B503">_xlfn.IFS(A503&lt;=25,"18-25",A503&lt;=35,"26-35",A503&lt;=45,"36-45",A503&lt;=55,"46-55",A503&gt;55,"56+")</f>
        <v>26-35</v>
      </c>
      <c r="C503" t="s">
        <v>39</v>
      </c>
      <c r="D503" t="s">
        <v>40</v>
      </c>
      <c r="E503" s="2">
        <v>160</v>
      </c>
      <c r="F503" t="s">
        <v>41</v>
      </c>
      <c r="G503">
        <v>3</v>
      </c>
      <c r="H503" t="str">
        <f t="shared" si="7"/>
        <v>1-10 km</v>
      </c>
      <c r="I503">
        <v>3</v>
      </c>
      <c r="J503" t="str" cm="1">
        <f t="array" ref="J503">_xlfn.IFS(I503=1,"Below College",I503=2,"College",I503=3,"Bachelor",I503=4,"Master",I503=5,"Doctor")</f>
        <v>Bachelor</v>
      </c>
      <c r="K503" t="s">
        <v>47</v>
      </c>
      <c r="L503">
        <v>680</v>
      </c>
      <c r="M503">
        <v>3</v>
      </c>
      <c r="N503" t="str" cm="1">
        <f t="array" ref="N503">_xlfn.IFS(M503=1,"Low",M503=2,"Medium",M503=3,"High",M503=4,"Very High")</f>
        <v>High</v>
      </c>
      <c r="O503" t="s">
        <v>36</v>
      </c>
      <c r="P503" s="2">
        <v>71</v>
      </c>
      <c r="Q503">
        <v>3</v>
      </c>
      <c r="R503" t="str" cm="1">
        <f t="array" ref="R503">_xlfn.IFS(Q503=1,"Low",Q503=2,"Medium",Q503=3,"High",Q503=4,"Very High")</f>
        <v>High</v>
      </c>
      <c r="S503">
        <v>1</v>
      </c>
      <c r="T503" t="str" cm="1">
        <f t="array" ref="T503">_xlfn.IFS(S503=1,"Entry Level",S503=2,"Junior",S503=3,"Mid-Level",S503=4,"Senior",S503=5,"Executive")</f>
        <v>Entry Level</v>
      </c>
      <c r="U503" t="s">
        <v>43</v>
      </c>
      <c r="V503">
        <v>3</v>
      </c>
      <c r="W503" t="str" cm="1">
        <f t="array" ref="W503">_xlfn.IFS(V503=1,"Low",V503=2,"Medium",V503=3,"High",V503=4,"Very High")</f>
        <v>High</v>
      </c>
      <c r="X503" t="s">
        <v>48</v>
      </c>
      <c r="Y503" s="2">
        <v>2083</v>
      </c>
      <c r="Z503" s="2">
        <v>22653</v>
      </c>
      <c r="AA503">
        <v>1</v>
      </c>
      <c r="AB503" t="s">
        <v>39</v>
      </c>
      <c r="AC503">
        <v>20</v>
      </c>
      <c r="AD503">
        <v>4</v>
      </c>
      <c r="AE503" t="str" cm="1">
        <f t="array" ref="AE503">_xlfn.IFS(AD503=1,"Low",AD503=2,"Good",AD503=3,"Excellent",AD503=4,"Outstanding")</f>
        <v>Outstanding</v>
      </c>
      <c r="AF503">
        <v>3</v>
      </c>
      <c r="AG503" t="str" cm="1">
        <f t="array" ref="AG503">_xlfn.IFS(AF503=1,"Low",AF503=2,"Medium",AF503=3,"High",AF503=4,"Very High")</f>
        <v>High</v>
      </c>
      <c r="AH503">
        <v>1</v>
      </c>
      <c r="AI503">
        <v>1</v>
      </c>
      <c r="AJ503">
        <v>2</v>
      </c>
      <c r="AK503">
        <v>3</v>
      </c>
      <c r="AL503" t="str" cm="1">
        <f t="array" ref="AL503">_xlfn.IFS(AK503=1,"Low",AK503=2,"Medium",AK503=3,"High",AK503=4,"Very High")</f>
        <v>High</v>
      </c>
      <c r="AM503">
        <v>1</v>
      </c>
      <c r="AN503">
        <v>0</v>
      </c>
      <c r="AO503">
        <v>0</v>
      </c>
      <c r="AP503">
        <v>0</v>
      </c>
    </row>
    <row r="504" spans="1:42">
      <c r="A504">
        <v>53</v>
      </c>
      <c r="B504" t="str" cm="1">
        <f t="array" ref="B504">_xlfn.IFS(A504&lt;=25,"18-25",A504&lt;=35,"26-35",A504&lt;=45,"36-45",A504&lt;=55,"46-55",A504&gt;55,"56+")</f>
        <v>46-55</v>
      </c>
      <c r="C504" t="s">
        <v>39</v>
      </c>
      <c r="D504" t="s">
        <v>33</v>
      </c>
      <c r="E504" s="2">
        <v>238</v>
      </c>
      <c r="F504" t="s">
        <v>34</v>
      </c>
      <c r="G504">
        <v>1</v>
      </c>
      <c r="H504" t="str">
        <f t="shared" si="7"/>
        <v>1-10 km</v>
      </c>
      <c r="I504">
        <v>1</v>
      </c>
      <c r="J504" t="str" cm="1">
        <f t="array" ref="J504">_xlfn.IFS(I504=1,"Below College",I504=2,"College",I504=3,"Bachelor",I504=4,"Master",I504=5,"Doctor")</f>
        <v>Below College</v>
      </c>
      <c r="K504" t="s">
        <v>47</v>
      </c>
      <c r="L504">
        <v>682</v>
      </c>
      <c r="M504">
        <v>4</v>
      </c>
      <c r="N504" t="str" cm="1">
        <f t="array" ref="N504">_xlfn.IFS(M504=1,"Low",M504=2,"Medium",M504=3,"High",M504=4,"Very High")</f>
        <v>Very High</v>
      </c>
      <c r="O504" t="s">
        <v>36</v>
      </c>
      <c r="P504" s="2">
        <v>34</v>
      </c>
      <c r="Q504">
        <v>3</v>
      </c>
      <c r="R504" t="str" cm="1">
        <f t="array" ref="R504">_xlfn.IFS(Q504=1,"Low",Q504=2,"Medium",Q504=3,"High",Q504=4,"Very High")</f>
        <v>High</v>
      </c>
      <c r="S504">
        <v>2</v>
      </c>
      <c r="T504" t="str" cm="1">
        <f t="array" ref="T504">_xlfn.IFS(S504=1,"Entry Level",S504=2,"Junior",S504=3,"Mid-Level",S504=4,"Senior",S504=5,"Executive")</f>
        <v>Junior</v>
      </c>
      <c r="U504" t="s">
        <v>37</v>
      </c>
      <c r="V504">
        <v>1</v>
      </c>
      <c r="W504" t="str" cm="1">
        <f t="array" ref="W504">_xlfn.IFS(V504=1,"Low",V504=2,"Medium",V504=3,"High",V504=4,"Very High")</f>
        <v>Low</v>
      </c>
      <c r="X504" t="s">
        <v>38</v>
      </c>
      <c r="Y504" s="2">
        <v>8381</v>
      </c>
      <c r="Z504" s="2">
        <v>7507</v>
      </c>
      <c r="AA504">
        <v>7</v>
      </c>
      <c r="AB504" t="s">
        <v>39</v>
      </c>
      <c r="AC504">
        <v>20</v>
      </c>
      <c r="AD504">
        <v>4</v>
      </c>
      <c r="AE504" t="str" cm="1">
        <f t="array" ref="AE504">_xlfn.IFS(AD504=1,"Low",AD504=2,"Good",AD504=3,"Excellent",AD504=4,"Outstanding")</f>
        <v>Outstanding</v>
      </c>
      <c r="AF504">
        <v>4</v>
      </c>
      <c r="AG504" t="str" cm="1">
        <f t="array" ref="AG504">_xlfn.IFS(AF504=1,"Low",AF504=2,"Medium",AF504=3,"High",AF504=4,"Very High")</f>
        <v>Very High</v>
      </c>
      <c r="AH504">
        <v>0</v>
      </c>
      <c r="AI504">
        <v>18</v>
      </c>
      <c r="AJ504">
        <v>2</v>
      </c>
      <c r="AK504">
        <v>4</v>
      </c>
      <c r="AL504" t="str" cm="1">
        <f t="array" ref="AL504">_xlfn.IFS(AK504=1,"Low",AK504=2,"Medium",AK504=3,"High",AK504=4,"Very High")</f>
        <v>Very High</v>
      </c>
      <c r="AM504">
        <v>14</v>
      </c>
      <c r="AN504">
        <v>7</v>
      </c>
      <c r="AO504">
        <v>8</v>
      </c>
      <c r="AP504">
        <v>10</v>
      </c>
    </row>
    <row r="505" spans="1:42">
      <c r="A505">
        <v>34</v>
      </c>
      <c r="B505" t="str" cm="1">
        <f t="array" ref="B505">_xlfn.IFS(A505&lt;=25,"18-25",A505&lt;=35,"26-35",A505&lt;=45,"36-45",A505&lt;=55,"46-55",A505&gt;55,"56+")</f>
        <v>26-35</v>
      </c>
      <c r="C505" t="s">
        <v>39</v>
      </c>
      <c r="D505" t="s">
        <v>33</v>
      </c>
      <c r="E505" s="2">
        <v>1397</v>
      </c>
      <c r="F505" t="s">
        <v>41</v>
      </c>
      <c r="G505">
        <v>1</v>
      </c>
      <c r="H505" t="str">
        <f t="shared" si="7"/>
        <v>1-10 km</v>
      </c>
      <c r="I505">
        <v>5</v>
      </c>
      <c r="J505" t="str" cm="1">
        <f t="array" ref="J505">_xlfn.IFS(I505=1,"Below College",I505=2,"College",I505=3,"Bachelor",I505=4,"Master",I505=5,"Doctor")</f>
        <v>Doctor</v>
      </c>
      <c r="K505" t="s">
        <v>35</v>
      </c>
      <c r="L505">
        <v>683</v>
      </c>
      <c r="M505">
        <v>2</v>
      </c>
      <c r="N505" t="str" cm="1">
        <f t="array" ref="N505">_xlfn.IFS(M505=1,"Low",M505=2,"Medium",M505=3,"High",M505=4,"Very High")</f>
        <v>Medium</v>
      </c>
      <c r="O505" t="s">
        <v>42</v>
      </c>
      <c r="P505" s="2">
        <v>42</v>
      </c>
      <c r="Q505">
        <v>3</v>
      </c>
      <c r="R505" t="str" cm="1">
        <f t="array" ref="R505">_xlfn.IFS(Q505=1,"Low",Q505=2,"Medium",Q505=3,"High",Q505=4,"Very High")</f>
        <v>High</v>
      </c>
      <c r="S505">
        <v>1</v>
      </c>
      <c r="T505" t="str" cm="1">
        <f t="array" ref="T505">_xlfn.IFS(S505=1,"Entry Level",S505=2,"Junior",S505=3,"Mid-Level",S505=4,"Senior",S505=5,"Executive")</f>
        <v>Entry Level</v>
      </c>
      <c r="U505" t="s">
        <v>43</v>
      </c>
      <c r="V505">
        <v>4</v>
      </c>
      <c r="W505" t="str" cm="1">
        <f t="array" ref="W505">_xlfn.IFS(V505=1,"Low",V505=2,"Medium",V505=3,"High",V505=4,"Very High")</f>
        <v>Very High</v>
      </c>
      <c r="X505" t="s">
        <v>44</v>
      </c>
      <c r="Y505" s="2">
        <v>2691</v>
      </c>
      <c r="Z505" s="2">
        <v>7660</v>
      </c>
      <c r="AA505">
        <v>1</v>
      </c>
      <c r="AB505" t="s">
        <v>39</v>
      </c>
      <c r="AC505">
        <v>12</v>
      </c>
      <c r="AD505">
        <v>3</v>
      </c>
      <c r="AE505" t="str" cm="1">
        <f t="array" ref="AE505">_xlfn.IFS(AD505=1,"Low",AD505=2,"Good",AD505=3,"Excellent",AD505=4,"Outstanding")</f>
        <v>Excellent</v>
      </c>
      <c r="AF505">
        <v>4</v>
      </c>
      <c r="AG505" t="str" cm="1">
        <f t="array" ref="AG505">_xlfn.IFS(AF505=1,"Low",AF505=2,"Medium",AF505=3,"High",AF505=4,"Very High")</f>
        <v>Very High</v>
      </c>
      <c r="AH505">
        <v>1</v>
      </c>
      <c r="AI505">
        <v>10</v>
      </c>
      <c r="AJ505">
        <v>4</v>
      </c>
      <c r="AK505">
        <v>2</v>
      </c>
      <c r="AL505" t="str" cm="1">
        <f t="array" ref="AL505">_xlfn.IFS(AK505=1,"Low",AK505=2,"Medium",AK505=3,"High",AK505=4,"Very High")</f>
        <v>Medium</v>
      </c>
      <c r="AM505">
        <v>10</v>
      </c>
      <c r="AN505">
        <v>9</v>
      </c>
      <c r="AO505">
        <v>8</v>
      </c>
      <c r="AP505">
        <v>8</v>
      </c>
    </row>
    <row r="506" spans="1:42">
      <c r="A506">
        <v>45</v>
      </c>
      <c r="B506" t="str" cm="1">
        <f t="array" ref="B506">_xlfn.IFS(A506&lt;=25,"18-25",A506&lt;=35,"26-35",A506&lt;=45,"36-45",A506&lt;=55,"46-55",A506&gt;55,"56+")</f>
        <v>36-45</v>
      </c>
      <c r="C506" t="s">
        <v>32</v>
      </c>
      <c r="D506" t="s">
        <v>40</v>
      </c>
      <c r="E506" s="2">
        <v>306</v>
      </c>
      <c r="F506" t="s">
        <v>34</v>
      </c>
      <c r="G506">
        <v>26</v>
      </c>
      <c r="H506" t="str">
        <f t="shared" si="7"/>
        <v>21-30 km</v>
      </c>
      <c r="I506">
        <v>4</v>
      </c>
      <c r="J506" t="str" cm="1">
        <f t="array" ref="J506">_xlfn.IFS(I506=1,"Below College",I506=2,"College",I506=3,"Bachelor",I506=4,"Master",I506=5,"Doctor")</f>
        <v>Master</v>
      </c>
      <c r="K506" t="s">
        <v>35</v>
      </c>
      <c r="L506">
        <v>684</v>
      </c>
      <c r="M506">
        <v>1</v>
      </c>
      <c r="N506" t="str" cm="1">
        <f t="array" ref="N506">_xlfn.IFS(M506=1,"Low",M506=2,"Medium",M506=3,"High",M506=4,"Very High")</f>
        <v>Low</v>
      </c>
      <c r="O506" t="s">
        <v>36</v>
      </c>
      <c r="P506" s="2">
        <v>100</v>
      </c>
      <c r="Q506">
        <v>3</v>
      </c>
      <c r="R506" t="str" cm="1">
        <f t="array" ref="R506">_xlfn.IFS(Q506=1,"Low",Q506=2,"Medium",Q506=3,"High",Q506=4,"Very High")</f>
        <v>High</v>
      </c>
      <c r="S506">
        <v>2</v>
      </c>
      <c r="T506" t="str" cm="1">
        <f t="array" ref="T506">_xlfn.IFS(S506=1,"Entry Level",S506=2,"Junior",S506=3,"Mid-Level",S506=4,"Senior",S506=5,"Executive")</f>
        <v>Junior</v>
      </c>
      <c r="U506" t="s">
        <v>37</v>
      </c>
      <c r="V506">
        <v>1</v>
      </c>
      <c r="W506" t="str" cm="1">
        <f t="array" ref="W506">_xlfn.IFS(V506=1,"Low",V506=2,"Medium",V506=3,"High",V506=4,"Very High")</f>
        <v>Low</v>
      </c>
      <c r="X506" t="s">
        <v>44</v>
      </c>
      <c r="Y506" s="2">
        <v>4286</v>
      </c>
      <c r="Z506" s="2">
        <v>5630</v>
      </c>
      <c r="AA506">
        <v>2</v>
      </c>
      <c r="AB506" t="s">
        <v>39</v>
      </c>
      <c r="AC506">
        <v>14</v>
      </c>
      <c r="AD506">
        <v>3</v>
      </c>
      <c r="AE506" t="str" cm="1">
        <f t="array" ref="AE506">_xlfn.IFS(AD506=1,"Low",AD506=2,"Good",AD506=3,"Excellent",AD506=4,"Outstanding")</f>
        <v>Excellent</v>
      </c>
      <c r="AF506">
        <v>4</v>
      </c>
      <c r="AG506" t="str" cm="1">
        <f t="array" ref="AG506">_xlfn.IFS(AF506=1,"Low",AF506=2,"Medium",AF506=3,"High",AF506=4,"Very High")</f>
        <v>Very High</v>
      </c>
      <c r="AH506">
        <v>2</v>
      </c>
      <c r="AI506">
        <v>5</v>
      </c>
      <c r="AJ506">
        <v>4</v>
      </c>
      <c r="AK506">
        <v>3</v>
      </c>
      <c r="AL506" t="str" cm="1">
        <f t="array" ref="AL506">_xlfn.IFS(AK506=1,"Low",AK506=2,"Medium",AK506=3,"High",AK506=4,"Very High")</f>
        <v>High</v>
      </c>
      <c r="AM506">
        <v>1</v>
      </c>
      <c r="AN506">
        <v>1</v>
      </c>
      <c r="AO506">
        <v>0</v>
      </c>
      <c r="AP506">
        <v>0</v>
      </c>
    </row>
    <row r="507" spans="1:42">
      <c r="A507">
        <v>26</v>
      </c>
      <c r="B507" t="str" cm="1">
        <f t="array" ref="B507">_xlfn.IFS(A507&lt;=25,"18-25",A507&lt;=35,"26-35",A507&lt;=45,"36-45",A507&lt;=55,"46-55",A507&gt;55,"56+")</f>
        <v>26-35</v>
      </c>
      <c r="C507" t="s">
        <v>39</v>
      </c>
      <c r="D507" t="s">
        <v>33</v>
      </c>
      <c r="E507" s="2">
        <v>991</v>
      </c>
      <c r="F507" t="s">
        <v>41</v>
      </c>
      <c r="G507">
        <v>6</v>
      </c>
      <c r="H507" t="str">
        <f t="shared" si="7"/>
        <v>1-10 km</v>
      </c>
      <c r="I507">
        <v>3</v>
      </c>
      <c r="J507" t="str" cm="1">
        <f t="array" ref="J507">_xlfn.IFS(I507=1,"Below College",I507=2,"College",I507=3,"Bachelor",I507=4,"Master",I507=5,"Doctor")</f>
        <v>Bachelor</v>
      </c>
      <c r="K507" t="s">
        <v>35</v>
      </c>
      <c r="L507">
        <v>686</v>
      </c>
      <c r="M507">
        <v>3</v>
      </c>
      <c r="N507" t="str" cm="1">
        <f t="array" ref="N507">_xlfn.IFS(M507=1,"Low",M507=2,"Medium",M507=3,"High",M507=4,"Very High")</f>
        <v>High</v>
      </c>
      <c r="O507" t="s">
        <v>36</v>
      </c>
      <c r="P507" s="2">
        <v>71</v>
      </c>
      <c r="Q507">
        <v>3</v>
      </c>
      <c r="R507" t="str" cm="1">
        <f t="array" ref="R507">_xlfn.IFS(Q507=1,"Low",Q507=2,"Medium",Q507=3,"High",Q507=4,"Very High")</f>
        <v>High</v>
      </c>
      <c r="S507">
        <v>1</v>
      </c>
      <c r="T507" t="str" cm="1">
        <f t="array" ref="T507">_xlfn.IFS(S507=1,"Entry Level",S507=2,"Junior",S507=3,"Mid-Level",S507=4,"Senior",S507=5,"Executive")</f>
        <v>Entry Level</v>
      </c>
      <c r="U507" t="s">
        <v>46</v>
      </c>
      <c r="V507">
        <v>4</v>
      </c>
      <c r="W507" t="str" cm="1">
        <f t="array" ref="W507">_xlfn.IFS(V507=1,"Low",V507=2,"Medium",V507=3,"High",V507=4,"Very High")</f>
        <v>Very High</v>
      </c>
      <c r="X507" t="s">
        <v>44</v>
      </c>
      <c r="Y507" s="2">
        <v>2659</v>
      </c>
      <c r="Z507" s="2">
        <v>17759</v>
      </c>
      <c r="AA507">
        <v>1</v>
      </c>
      <c r="AB507" t="s">
        <v>32</v>
      </c>
      <c r="AC507">
        <v>13</v>
      </c>
      <c r="AD507">
        <v>3</v>
      </c>
      <c r="AE507" t="str" cm="1">
        <f t="array" ref="AE507">_xlfn.IFS(AD507=1,"Low",AD507=2,"Good",AD507=3,"Excellent",AD507=4,"Outstanding")</f>
        <v>Excellent</v>
      </c>
      <c r="AF507">
        <v>3</v>
      </c>
      <c r="AG507" t="str" cm="1">
        <f t="array" ref="AG507">_xlfn.IFS(AF507=1,"Low",AF507=2,"Medium",AF507=3,"High",AF507=4,"Very High")</f>
        <v>High</v>
      </c>
      <c r="AH507">
        <v>1</v>
      </c>
      <c r="AI507">
        <v>3</v>
      </c>
      <c r="AJ507">
        <v>2</v>
      </c>
      <c r="AK507">
        <v>3</v>
      </c>
      <c r="AL507" t="str" cm="1">
        <f t="array" ref="AL507">_xlfn.IFS(AK507=1,"Low",AK507=2,"Medium",AK507=3,"High",AK507=4,"Very High")</f>
        <v>High</v>
      </c>
      <c r="AM507">
        <v>3</v>
      </c>
      <c r="AN507">
        <v>2</v>
      </c>
      <c r="AO507">
        <v>0</v>
      </c>
      <c r="AP507">
        <v>2</v>
      </c>
    </row>
    <row r="508" spans="1:42">
      <c r="A508">
        <v>37</v>
      </c>
      <c r="B508" t="str" cm="1">
        <f t="array" ref="B508">_xlfn.IFS(A508&lt;=25,"18-25",A508&lt;=35,"26-35",A508&lt;=45,"36-45",A508&lt;=55,"46-55",A508&gt;55,"56+")</f>
        <v>36-45</v>
      </c>
      <c r="C508" t="s">
        <v>39</v>
      </c>
      <c r="D508" t="s">
        <v>33</v>
      </c>
      <c r="E508" s="2">
        <v>482</v>
      </c>
      <c r="F508" t="s">
        <v>41</v>
      </c>
      <c r="G508">
        <v>3</v>
      </c>
      <c r="H508" t="str">
        <f t="shared" si="7"/>
        <v>1-10 km</v>
      </c>
      <c r="I508">
        <v>3</v>
      </c>
      <c r="J508" t="str" cm="1">
        <f t="array" ref="J508">_xlfn.IFS(I508=1,"Below College",I508=2,"College",I508=3,"Bachelor",I508=4,"Master",I508=5,"Doctor")</f>
        <v>Bachelor</v>
      </c>
      <c r="K508" t="s">
        <v>45</v>
      </c>
      <c r="L508">
        <v>689</v>
      </c>
      <c r="M508">
        <v>3</v>
      </c>
      <c r="N508" t="str" cm="1">
        <f t="array" ref="N508">_xlfn.IFS(M508=1,"Low",M508=2,"Medium",M508=3,"High",M508=4,"Very High")</f>
        <v>High</v>
      </c>
      <c r="O508" t="s">
        <v>42</v>
      </c>
      <c r="P508" s="2">
        <v>36</v>
      </c>
      <c r="Q508">
        <v>3</v>
      </c>
      <c r="R508" t="str" cm="1">
        <f t="array" ref="R508">_xlfn.IFS(Q508=1,"Low",Q508=2,"Medium",Q508=3,"High",Q508=4,"Very High")</f>
        <v>High</v>
      </c>
      <c r="S508">
        <v>3</v>
      </c>
      <c r="T508" t="str" cm="1">
        <f t="array" ref="T508">_xlfn.IFS(S508=1,"Entry Level",S508=2,"Junior",S508=3,"Mid-Level",S508=4,"Senior",S508=5,"Executive")</f>
        <v>Mid-Level</v>
      </c>
      <c r="U508" t="s">
        <v>49</v>
      </c>
      <c r="V508">
        <v>3</v>
      </c>
      <c r="W508" t="str" cm="1">
        <f t="array" ref="W508">_xlfn.IFS(V508=1,"Low",V508=2,"Medium",V508=3,"High",V508=4,"Very High")</f>
        <v>High</v>
      </c>
      <c r="X508" t="s">
        <v>44</v>
      </c>
      <c r="Y508" s="2">
        <v>9434</v>
      </c>
      <c r="Z508" s="2">
        <v>9606</v>
      </c>
      <c r="AA508">
        <v>1</v>
      </c>
      <c r="AB508" t="s">
        <v>39</v>
      </c>
      <c r="AC508">
        <v>15</v>
      </c>
      <c r="AD508">
        <v>3</v>
      </c>
      <c r="AE508" t="str" cm="1">
        <f t="array" ref="AE508">_xlfn.IFS(AD508=1,"Low",AD508=2,"Good",AD508=3,"Excellent",AD508=4,"Outstanding")</f>
        <v>Excellent</v>
      </c>
      <c r="AF508">
        <v>3</v>
      </c>
      <c r="AG508" t="str" cm="1">
        <f t="array" ref="AG508">_xlfn.IFS(AF508=1,"Low",AF508=2,"Medium",AF508=3,"High",AF508=4,"Very High")</f>
        <v>High</v>
      </c>
      <c r="AH508">
        <v>1</v>
      </c>
      <c r="AI508">
        <v>10</v>
      </c>
      <c r="AJ508">
        <v>2</v>
      </c>
      <c r="AK508">
        <v>3</v>
      </c>
      <c r="AL508" t="str" cm="1">
        <f t="array" ref="AL508">_xlfn.IFS(AK508=1,"Low",AK508=2,"Medium",AK508=3,"High",AK508=4,"Very High")</f>
        <v>High</v>
      </c>
      <c r="AM508">
        <v>10</v>
      </c>
      <c r="AN508">
        <v>7</v>
      </c>
      <c r="AO508">
        <v>7</v>
      </c>
      <c r="AP508">
        <v>8</v>
      </c>
    </row>
    <row r="509" spans="1:42">
      <c r="A509">
        <v>29</v>
      </c>
      <c r="B509" t="str" cm="1">
        <f t="array" ref="B509">_xlfn.IFS(A509&lt;=25,"18-25",A509&lt;=35,"26-35",A509&lt;=45,"36-45",A509&lt;=55,"46-55",A509&gt;55,"56+")</f>
        <v>26-35</v>
      </c>
      <c r="C509" t="s">
        <v>39</v>
      </c>
      <c r="D509" t="s">
        <v>33</v>
      </c>
      <c r="E509" s="2">
        <v>1176</v>
      </c>
      <c r="F509" t="s">
        <v>34</v>
      </c>
      <c r="G509">
        <v>3</v>
      </c>
      <c r="H509" t="str">
        <f t="shared" si="7"/>
        <v>1-10 km</v>
      </c>
      <c r="I509">
        <v>2</v>
      </c>
      <c r="J509" t="str" cm="1">
        <f t="array" ref="J509">_xlfn.IFS(I509=1,"Below College",I509=2,"College",I509=3,"Bachelor",I509=4,"Master",I509=5,"Doctor")</f>
        <v>College</v>
      </c>
      <c r="K509" t="s">
        <v>47</v>
      </c>
      <c r="L509">
        <v>690</v>
      </c>
      <c r="M509">
        <v>2</v>
      </c>
      <c r="N509" t="str" cm="1">
        <f t="array" ref="N509">_xlfn.IFS(M509=1,"Low",M509=2,"Medium",M509=3,"High",M509=4,"Very High")</f>
        <v>Medium</v>
      </c>
      <c r="O509" t="s">
        <v>36</v>
      </c>
      <c r="P509" s="2">
        <v>62</v>
      </c>
      <c r="Q509">
        <v>3</v>
      </c>
      <c r="R509" t="str" cm="1">
        <f t="array" ref="R509">_xlfn.IFS(Q509=1,"Low",Q509=2,"Medium",Q509=3,"High",Q509=4,"Very High")</f>
        <v>High</v>
      </c>
      <c r="S509">
        <v>2</v>
      </c>
      <c r="T509" t="str" cm="1">
        <f t="array" ref="T509">_xlfn.IFS(S509=1,"Entry Level",S509=2,"Junior",S509=3,"Mid-Level",S509=4,"Senior",S509=5,"Executive")</f>
        <v>Junior</v>
      </c>
      <c r="U509" t="s">
        <v>37</v>
      </c>
      <c r="V509">
        <v>3</v>
      </c>
      <c r="W509" t="str" cm="1">
        <f t="array" ref="W509">_xlfn.IFS(V509=1,"Low",V509=2,"Medium",V509=3,"High",V509=4,"Very High")</f>
        <v>High</v>
      </c>
      <c r="X509" t="s">
        <v>44</v>
      </c>
      <c r="Y509" s="2">
        <v>5561</v>
      </c>
      <c r="Z509" s="2">
        <v>3487</v>
      </c>
      <c r="AA509">
        <v>1</v>
      </c>
      <c r="AB509" t="s">
        <v>39</v>
      </c>
      <c r="AC509">
        <v>14</v>
      </c>
      <c r="AD509">
        <v>3</v>
      </c>
      <c r="AE509" t="str" cm="1">
        <f t="array" ref="AE509">_xlfn.IFS(AD509=1,"Low",AD509=2,"Good",AD509=3,"Excellent",AD509=4,"Outstanding")</f>
        <v>Excellent</v>
      </c>
      <c r="AF509">
        <v>1</v>
      </c>
      <c r="AG509" t="str" cm="1">
        <f t="array" ref="AG509">_xlfn.IFS(AF509=1,"Low",AF509=2,"Medium",AF509=3,"High",AF509=4,"Very High")</f>
        <v>Low</v>
      </c>
      <c r="AH509">
        <v>1</v>
      </c>
      <c r="AI509">
        <v>6</v>
      </c>
      <c r="AJ509">
        <v>5</v>
      </c>
      <c r="AK509">
        <v>2</v>
      </c>
      <c r="AL509" t="str" cm="1">
        <f t="array" ref="AL509">_xlfn.IFS(AK509=1,"Low",AK509=2,"Medium",AK509=3,"High",AK509=4,"Very High")</f>
        <v>Medium</v>
      </c>
      <c r="AM509">
        <v>6</v>
      </c>
      <c r="AN509">
        <v>0</v>
      </c>
      <c r="AO509">
        <v>1</v>
      </c>
      <c r="AP509">
        <v>2</v>
      </c>
    </row>
    <row r="510" spans="1:42">
      <c r="A510">
        <v>35</v>
      </c>
      <c r="B510" t="str" cm="1">
        <f t="array" ref="B510">_xlfn.IFS(A510&lt;=25,"18-25",A510&lt;=35,"26-35",A510&lt;=45,"36-45",A510&lt;=55,"46-55",A510&gt;55,"56+")</f>
        <v>26-35</v>
      </c>
      <c r="C510" t="s">
        <v>39</v>
      </c>
      <c r="D510" t="s">
        <v>33</v>
      </c>
      <c r="E510" s="2">
        <v>1017</v>
      </c>
      <c r="F510" t="s">
        <v>41</v>
      </c>
      <c r="G510">
        <v>6</v>
      </c>
      <c r="H510" t="str">
        <f t="shared" si="7"/>
        <v>1-10 km</v>
      </c>
      <c r="I510">
        <v>4</v>
      </c>
      <c r="J510" t="str" cm="1">
        <f t="array" ref="J510">_xlfn.IFS(I510=1,"Below College",I510=2,"College",I510=3,"Bachelor",I510=4,"Master",I510=5,"Doctor")</f>
        <v>Master</v>
      </c>
      <c r="K510" t="s">
        <v>35</v>
      </c>
      <c r="L510">
        <v>691</v>
      </c>
      <c r="M510">
        <v>2</v>
      </c>
      <c r="N510" t="str" cm="1">
        <f t="array" ref="N510">_xlfn.IFS(M510=1,"Low",M510=2,"Medium",M510=3,"High",M510=4,"Very High")</f>
        <v>Medium</v>
      </c>
      <c r="O510" t="s">
        <v>42</v>
      </c>
      <c r="P510" s="2">
        <v>82</v>
      </c>
      <c r="Q510">
        <v>1</v>
      </c>
      <c r="R510" t="str" cm="1">
        <f t="array" ref="R510">_xlfn.IFS(Q510=1,"Low",Q510=2,"Medium",Q510=3,"High",Q510=4,"Very High")</f>
        <v>Low</v>
      </c>
      <c r="S510">
        <v>2</v>
      </c>
      <c r="T510" t="str" cm="1">
        <f t="array" ref="T510">_xlfn.IFS(S510=1,"Entry Level",S510=2,"Junior",S510=3,"Mid-Level",S510=4,"Senior",S510=5,"Executive")</f>
        <v>Junior</v>
      </c>
      <c r="U510" t="s">
        <v>43</v>
      </c>
      <c r="V510">
        <v>4</v>
      </c>
      <c r="W510" t="str" cm="1">
        <f t="array" ref="W510">_xlfn.IFS(V510=1,"Low",V510=2,"Medium",V510=3,"High",V510=4,"Very High")</f>
        <v>Very High</v>
      </c>
      <c r="X510" t="s">
        <v>38</v>
      </c>
      <c r="Y510" s="2">
        <v>6646</v>
      </c>
      <c r="Z510" s="2">
        <v>19368</v>
      </c>
      <c r="AA510">
        <v>1</v>
      </c>
      <c r="AB510" t="s">
        <v>39</v>
      </c>
      <c r="AC510">
        <v>13</v>
      </c>
      <c r="AD510">
        <v>3</v>
      </c>
      <c r="AE510" t="str" cm="1">
        <f t="array" ref="AE510">_xlfn.IFS(AD510=1,"Low",AD510=2,"Good",AD510=3,"Excellent",AD510=4,"Outstanding")</f>
        <v>Excellent</v>
      </c>
      <c r="AF510">
        <v>2</v>
      </c>
      <c r="AG510" t="str" cm="1">
        <f t="array" ref="AG510">_xlfn.IFS(AF510=1,"Low",AF510=2,"Medium",AF510=3,"High",AF510=4,"Very High")</f>
        <v>Medium</v>
      </c>
      <c r="AH510">
        <v>0</v>
      </c>
      <c r="AI510">
        <v>17</v>
      </c>
      <c r="AJ510">
        <v>3</v>
      </c>
      <c r="AK510">
        <v>3</v>
      </c>
      <c r="AL510" t="str" cm="1">
        <f t="array" ref="AL510">_xlfn.IFS(AK510=1,"Low",AK510=2,"Medium",AK510=3,"High",AK510=4,"Very High")</f>
        <v>High</v>
      </c>
      <c r="AM510">
        <v>17</v>
      </c>
      <c r="AN510">
        <v>11</v>
      </c>
      <c r="AO510">
        <v>11</v>
      </c>
      <c r="AP510">
        <v>8</v>
      </c>
    </row>
    <row r="511" spans="1:42">
      <c r="A511">
        <v>33</v>
      </c>
      <c r="B511" t="str" cm="1">
        <f t="array" ref="B511">_xlfn.IFS(A511&lt;=25,"18-25",A511&lt;=35,"26-35",A511&lt;=45,"36-45",A511&lt;=55,"46-55",A511&gt;55,"56+")</f>
        <v>26-35</v>
      </c>
      <c r="C511" t="s">
        <v>39</v>
      </c>
      <c r="D511" t="s">
        <v>40</v>
      </c>
      <c r="E511" s="2">
        <v>1296</v>
      </c>
      <c r="F511" t="s">
        <v>41</v>
      </c>
      <c r="G511">
        <v>6</v>
      </c>
      <c r="H511" t="str">
        <f t="shared" si="7"/>
        <v>1-10 km</v>
      </c>
      <c r="I511">
        <v>3</v>
      </c>
      <c r="J511" t="str" cm="1">
        <f t="array" ref="J511">_xlfn.IFS(I511=1,"Below College",I511=2,"College",I511=3,"Bachelor",I511=4,"Master",I511=5,"Doctor")</f>
        <v>Bachelor</v>
      </c>
      <c r="K511" t="s">
        <v>35</v>
      </c>
      <c r="L511">
        <v>692</v>
      </c>
      <c r="M511">
        <v>3</v>
      </c>
      <c r="N511" t="str" cm="1">
        <f t="array" ref="N511">_xlfn.IFS(M511=1,"Low",M511=2,"Medium",M511=3,"High",M511=4,"Very High")</f>
        <v>High</v>
      </c>
      <c r="O511" t="s">
        <v>42</v>
      </c>
      <c r="P511" s="2">
        <v>30</v>
      </c>
      <c r="Q511">
        <v>3</v>
      </c>
      <c r="R511" t="str" cm="1">
        <f t="array" ref="R511">_xlfn.IFS(Q511=1,"Low",Q511=2,"Medium",Q511=3,"High",Q511=4,"Very High")</f>
        <v>High</v>
      </c>
      <c r="S511">
        <v>2</v>
      </c>
      <c r="T511" t="str" cm="1">
        <f t="array" ref="T511">_xlfn.IFS(S511=1,"Entry Level",S511=2,"Junior",S511=3,"Mid-Level",S511=4,"Senior",S511=5,"Executive")</f>
        <v>Junior</v>
      </c>
      <c r="U511" t="s">
        <v>50</v>
      </c>
      <c r="V511">
        <v>4</v>
      </c>
      <c r="W511" t="str" cm="1">
        <f t="array" ref="W511">_xlfn.IFS(V511=1,"Low",V511=2,"Medium",V511=3,"High",V511=4,"Very High")</f>
        <v>Very High</v>
      </c>
      <c r="X511" t="s">
        <v>48</v>
      </c>
      <c r="Y511" s="2">
        <v>7725</v>
      </c>
      <c r="Z511" s="2">
        <v>5335</v>
      </c>
      <c r="AA511">
        <v>3</v>
      </c>
      <c r="AB511" t="s">
        <v>39</v>
      </c>
      <c r="AC511">
        <v>23</v>
      </c>
      <c r="AD511">
        <v>4</v>
      </c>
      <c r="AE511" t="str" cm="1">
        <f t="array" ref="AE511">_xlfn.IFS(AD511=1,"Low",AD511=2,"Good",AD511=3,"Excellent",AD511=4,"Outstanding")</f>
        <v>Outstanding</v>
      </c>
      <c r="AF511">
        <v>3</v>
      </c>
      <c r="AG511" t="str" cm="1">
        <f t="array" ref="AG511">_xlfn.IFS(AF511=1,"Low",AF511=2,"Medium",AF511=3,"High",AF511=4,"Very High")</f>
        <v>High</v>
      </c>
      <c r="AH511">
        <v>1</v>
      </c>
      <c r="AI511">
        <v>15</v>
      </c>
      <c r="AJ511">
        <v>2</v>
      </c>
      <c r="AK511">
        <v>1</v>
      </c>
      <c r="AL511" t="str" cm="1">
        <f t="array" ref="AL511">_xlfn.IFS(AK511=1,"Low",AK511=2,"Medium",AK511=3,"High",AK511=4,"Very High")</f>
        <v>Low</v>
      </c>
      <c r="AM511">
        <v>13</v>
      </c>
      <c r="AN511">
        <v>11</v>
      </c>
      <c r="AO511">
        <v>4</v>
      </c>
      <c r="AP511">
        <v>7</v>
      </c>
    </row>
    <row r="512" spans="1:42">
      <c r="A512">
        <v>54</v>
      </c>
      <c r="B512" t="str" cm="1">
        <f t="array" ref="B512">_xlfn.IFS(A512&lt;=25,"18-25",A512&lt;=35,"26-35",A512&lt;=45,"36-45",A512&lt;=55,"46-55",A512&gt;55,"56+")</f>
        <v>46-55</v>
      </c>
      <c r="C512" t="s">
        <v>39</v>
      </c>
      <c r="D512" t="s">
        <v>33</v>
      </c>
      <c r="E512" s="2">
        <v>397</v>
      </c>
      <c r="F512" t="s">
        <v>57</v>
      </c>
      <c r="G512">
        <v>19</v>
      </c>
      <c r="H512" t="str">
        <f t="shared" si="7"/>
        <v>11-20 km</v>
      </c>
      <c r="I512">
        <v>4</v>
      </c>
      <c r="J512" t="str" cm="1">
        <f t="array" ref="J512">_xlfn.IFS(I512=1,"Below College",I512=2,"College",I512=3,"Bachelor",I512=4,"Master",I512=5,"Doctor")</f>
        <v>Master</v>
      </c>
      <c r="K512" t="s">
        <v>47</v>
      </c>
      <c r="L512">
        <v>698</v>
      </c>
      <c r="M512">
        <v>3</v>
      </c>
      <c r="N512" t="str" cm="1">
        <f t="array" ref="N512">_xlfn.IFS(M512=1,"Low",M512=2,"Medium",M512=3,"High",M512=4,"Very High")</f>
        <v>High</v>
      </c>
      <c r="O512" t="s">
        <v>42</v>
      </c>
      <c r="P512" s="2">
        <v>88</v>
      </c>
      <c r="Q512">
        <v>3</v>
      </c>
      <c r="R512" t="str" cm="1">
        <f t="array" ref="R512">_xlfn.IFS(Q512=1,"Low",Q512=2,"Medium",Q512=3,"High",Q512=4,"Very High")</f>
        <v>High</v>
      </c>
      <c r="S512">
        <v>3</v>
      </c>
      <c r="T512" t="str" cm="1">
        <f t="array" ref="T512">_xlfn.IFS(S512=1,"Entry Level",S512=2,"Junior",S512=3,"Mid-Level",S512=4,"Senior",S512=5,"Executive")</f>
        <v>Mid-Level</v>
      </c>
      <c r="U512" t="s">
        <v>57</v>
      </c>
      <c r="V512">
        <v>2</v>
      </c>
      <c r="W512" t="str" cm="1">
        <f t="array" ref="W512">_xlfn.IFS(V512=1,"Low",V512=2,"Medium",V512=3,"High",V512=4,"Very High")</f>
        <v>Medium</v>
      </c>
      <c r="X512" t="s">
        <v>44</v>
      </c>
      <c r="Y512" s="2">
        <v>10725</v>
      </c>
      <c r="Z512" s="2">
        <v>6729</v>
      </c>
      <c r="AA512">
        <v>2</v>
      </c>
      <c r="AB512" t="s">
        <v>39</v>
      </c>
      <c r="AC512">
        <v>15</v>
      </c>
      <c r="AD512">
        <v>3</v>
      </c>
      <c r="AE512" t="str" cm="1">
        <f t="array" ref="AE512">_xlfn.IFS(AD512=1,"Low",AD512=2,"Good",AD512=3,"Excellent",AD512=4,"Outstanding")</f>
        <v>Excellent</v>
      </c>
      <c r="AF512">
        <v>3</v>
      </c>
      <c r="AG512" t="str" cm="1">
        <f t="array" ref="AG512">_xlfn.IFS(AF512=1,"Low",AF512=2,"Medium",AF512=3,"High",AF512=4,"Very High")</f>
        <v>High</v>
      </c>
      <c r="AH512">
        <v>1</v>
      </c>
      <c r="AI512">
        <v>16</v>
      </c>
      <c r="AJ512">
        <v>1</v>
      </c>
      <c r="AK512">
        <v>4</v>
      </c>
      <c r="AL512" t="str" cm="1">
        <f t="array" ref="AL512">_xlfn.IFS(AK512=1,"Low",AK512=2,"Medium",AK512=3,"High",AK512=4,"Very High")</f>
        <v>Very High</v>
      </c>
      <c r="AM512">
        <v>9</v>
      </c>
      <c r="AN512">
        <v>7</v>
      </c>
      <c r="AO512">
        <v>7</v>
      </c>
      <c r="AP512">
        <v>1</v>
      </c>
    </row>
    <row r="513" spans="1:42">
      <c r="A513">
        <v>36</v>
      </c>
      <c r="B513" t="str" cm="1">
        <f t="array" ref="B513">_xlfn.IFS(A513&lt;=25,"18-25",A513&lt;=35,"26-35",A513&lt;=45,"36-45",A513&lt;=55,"46-55",A513&gt;55,"56+")</f>
        <v>36-45</v>
      </c>
      <c r="C513" t="s">
        <v>39</v>
      </c>
      <c r="D513" t="s">
        <v>33</v>
      </c>
      <c r="E513" s="2">
        <v>913</v>
      </c>
      <c r="F513" t="s">
        <v>41</v>
      </c>
      <c r="G513">
        <v>9</v>
      </c>
      <c r="H513" t="str">
        <f t="shared" si="7"/>
        <v>1-10 km</v>
      </c>
      <c r="I513">
        <v>2</v>
      </c>
      <c r="J513" t="str" cm="1">
        <f t="array" ref="J513">_xlfn.IFS(I513=1,"Below College",I513=2,"College",I513=3,"Bachelor",I513=4,"Master",I513=5,"Doctor")</f>
        <v>College</v>
      </c>
      <c r="K513" t="s">
        <v>47</v>
      </c>
      <c r="L513">
        <v>699</v>
      </c>
      <c r="M513">
        <v>2</v>
      </c>
      <c r="N513" t="str" cm="1">
        <f t="array" ref="N513">_xlfn.IFS(M513=1,"Low",M513=2,"Medium",M513=3,"High",M513=4,"Very High")</f>
        <v>Medium</v>
      </c>
      <c r="O513" t="s">
        <v>42</v>
      </c>
      <c r="P513" s="2">
        <v>48</v>
      </c>
      <c r="Q513">
        <v>2</v>
      </c>
      <c r="R513" t="str" cm="1">
        <f t="array" ref="R513">_xlfn.IFS(Q513=1,"Low",Q513=2,"Medium",Q513=3,"High",Q513=4,"Very High")</f>
        <v>Medium</v>
      </c>
      <c r="S513">
        <v>2</v>
      </c>
      <c r="T513" t="str" cm="1">
        <f t="array" ref="T513">_xlfn.IFS(S513=1,"Entry Level",S513=2,"Junior",S513=3,"Mid-Level",S513=4,"Senior",S513=5,"Executive")</f>
        <v>Junior</v>
      </c>
      <c r="U513" t="s">
        <v>49</v>
      </c>
      <c r="V513">
        <v>2</v>
      </c>
      <c r="W513" t="str" cm="1">
        <f t="array" ref="W513">_xlfn.IFS(V513=1,"Low",V513=2,"Medium",V513=3,"High",V513=4,"Very High")</f>
        <v>Medium</v>
      </c>
      <c r="X513" t="s">
        <v>48</v>
      </c>
      <c r="Y513" s="2">
        <v>8847</v>
      </c>
      <c r="Z513" s="2">
        <v>13934</v>
      </c>
      <c r="AA513">
        <v>2</v>
      </c>
      <c r="AB513" t="s">
        <v>32</v>
      </c>
      <c r="AC513">
        <v>11</v>
      </c>
      <c r="AD513">
        <v>3</v>
      </c>
      <c r="AE513" t="str" cm="1">
        <f t="array" ref="AE513">_xlfn.IFS(AD513=1,"Low",AD513=2,"Good",AD513=3,"Excellent",AD513=4,"Outstanding")</f>
        <v>Excellent</v>
      </c>
      <c r="AF513">
        <v>3</v>
      </c>
      <c r="AG513" t="str" cm="1">
        <f t="array" ref="AG513">_xlfn.IFS(AF513=1,"Low",AF513=2,"Medium",AF513=3,"High",AF513=4,"Very High")</f>
        <v>High</v>
      </c>
      <c r="AH513">
        <v>1</v>
      </c>
      <c r="AI513">
        <v>13</v>
      </c>
      <c r="AJ513">
        <v>2</v>
      </c>
      <c r="AK513">
        <v>3</v>
      </c>
      <c r="AL513" t="str" cm="1">
        <f t="array" ref="AL513">_xlfn.IFS(AK513=1,"Low",AK513=2,"Medium",AK513=3,"High",AK513=4,"Very High")</f>
        <v>High</v>
      </c>
      <c r="AM513">
        <v>3</v>
      </c>
      <c r="AN513">
        <v>2</v>
      </c>
      <c r="AO513">
        <v>0</v>
      </c>
      <c r="AP513">
        <v>2</v>
      </c>
    </row>
    <row r="514" spans="1:42">
      <c r="A514">
        <v>27</v>
      </c>
      <c r="B514" t="str" cm="1">
        <f t="array" ref="B514">_xlfn.IFS(A514&lt;=25,"18-25",A514&lt;=35,"26-35",A514&lt;=45,"36-45",A514&lt;=55,"46-55",A514&gt;55,"56+")</f>
        <v>26-35</v>
      </c>
      <c r="C514" t="s">
        <v>39</v>
      </c>
      <c r="D514" t="s">
        <v>33</v>
      </c>
      <c r="E514" s="2">
        <v>1115</v>
      </c>
      <c r="F514" t="s">
        <v>41</v>
      </c>
      <c r="G514">
        <v>3</v>
      </c>
      <c r="H514" t="str">
        <f t="shared" si="7"/>
        <v>1-10 km</v>
      </c>
      <c r="I514">
        <v>4</v>
      </c>
      <c r="J514" t="str" cm="1">
        <f t="array" ref="J514">_xlfn.IFS(I514=1,"Below College",I514=2,"College",I514=3,"Bachelor",I514=4,"Master",I514=5,"Doctor")</f>
        <v>Master</v>
      </c>
      <c r="K514" t="s">
        <v>47</v>
      </c>
      <c r="L514">
        <v>700</v>
      </c>
      <c r="M514">
        <v>1</v>
      </c>
      <c r="N514" t="str" cm="1">
        <f t="array" ref="N514">_xlfn.IFS(M514=1,"Low",M514=2,"Medium",M514=3,"High",M514=4,"Very High")</f>
        <v>Low</v>
      </c>
      <c r="O514" t="s">
        <v>42</v>
      </c>
      <c r="P514" s="2">
        <v>54</v>
      </c>
      <c r="Q514">
        <v>2</v>
      </c>
      <c r="R514" t="str" cm="1">
        <f t="array" ref="R514">_xlfn.IFS(Q514=1,"Low",Q514=2,"Medium",Q514=3,"High",Q514=4,"Very High")</f>
        <v>Medium</v>
      </c>
      <c r="S514">
        <v>1</v>
      </c>
      <c r="T514" t="str" cm="1">
        <f t="array" ref="T514">_xlfn.IFS(S514=1,"Entry Level",S514=2,"Junior",S514=3,"Mid-Level",S514=4,"Senior",S514=5,"Executive")</f>
        <v>Entry Level</v>
      </c>
      <c r="U514" t="s">
        <v>43</v>
      </c>
      <c r="V514">
        <v>4</v>
      </c>
      <c r="W514" t="str" cm="1">
        <f t="array" ref="W514">_xlfn.IFS(V514=1,"Low",V514=2,"Medium",V514=3,"High",V514=4,"Very High")</f>
        <v>Very High</v>
      </c>
      <c r="X514" t="s">
        <v>38</v>
      </c>
      <c r="Y514" s="2">
        <v>2045</v>
      </c>
      <c r="Z514" s="2">
        <v>15174</v>
      </c>
      <c r="AA514">
        <v>0</v>
      </c>
      <c r="AB514" t="s">
        <v>39</v>
      </c>
      <c r="AC514">
        <v>13</v>
      </c>
      <c r="AD514">
        <v>3</v>
      </c>
      <c r="AE514" t="str" cm="1">
        <f t="array" ref="AE514">_xlfn.IFS(AD514=1,"Low",AD514=2,"Good",AD514=3,"Excellent",AD514=4,"Outstanding")</f>
        <v>Excellent</v>
      </c>
      <c r="AF514">
        <v>4</v>
      </c>
      <c r="AG514" t="str" cm="1">
        <f t="array" ref="AG514">_xlfn.IFS(AF514=1,"Low",AF514=2,"Medium",AF514=3,"High",AF514=4,"Very High")</f>
        <v>Very High</v>
      </c>
      <c r="AH514">
        <v>0</v>
      </c>
      <c r="AI514">
        <v>5</v>
      </c>
      <c r="AJ514">
        <v>0</v>
      </c>
      <c r="AK514">
        <v>3</v>
      </c>
      <c r="AL514" t="str" cm="1">
        <f t="array" ref="AL514">_xlfn.IFS(AK514=1,"Low",AK514=2,"Medium",AK514=3,"High",AK514=4,"Very High")</f>
        <v>High</v>
      </c>
      <c r="AM514">
        <v>4</v>
      </c>
      <c r="AN514">
        <v>2</v>
      </c>
      <c r="AO514">
        <v>1</v>
      </c>
      <c r="AP514">
        <v>1</v>
      </c>
    </row>
    <row r="515" spans="1:42">
      <c r="A515">
        <v>20</v>
      </c>
      <c r="B515" t="str" cm="1">
        <f t="array" ref="B515">_xlfn.IFS(A515&lt;=25,"18-25",A515&lt;=35,"26-35",A515&lt;=45,"36-45",A515&lt;=55,"46-55",A515&gt;55,"56+")</f>
        <v>18-25</v>
      </c>
      <c r="C515" t="s">
        <v>32</v>
      </c>
      <c r="D515" t="s">
        <v>33</v>
      </c>
      <c r="E515" s="2">
        <v>1362</v>
      </c>
      <c r="F515" t="s">
        <v>41</v>
      </c>
      <c r="G515">
        <v>10</v>
      </c>
      <c r="H515" t="str">
        <f t="shared" ref="H515:H578" si="8">IF(G515&lt;=10,"1-10 km",IF(G515&lt;=20,"11-20 km",IF(G515&lt;=30,"21-30 km","31+ km")))</f>
        <v>1-10 km</v>
      </c>
      <c r="I515">
        <v>1</v>
      </c>
      <c r="J515" t="str" cm="1">
        <f t="array" ref="J515">_xlfn.IFS(I515=1,"Below College",I515=2,"College",I515=3,"Bachelor",I515=4,"Master",I515=5,"Doctor")</f>
        <v>Below College</v>
      </c>
      <c r="K515" t="s">
        <v>47</v>
      </c>
      <c r="L515">
        <v>701</v>
      </c>
      <c r="M515">
        <v>4</v>
      </c>
      <c r="N515" t="str" cm="1">
        <f t="array" ref="N515">_xlfn.IFS(M515=1,"Low",M515=2,"Medium",M515=3,"High",M515=4,"Very High")</f>
        <v>Very High</v>
      </c>
      <c r="O515" t="s">
        <v>42</v>
      </c>
      <c r="P515" s="2">
        <v>32</v>
      </c>
      <c r="Q515">
        <v>3</v>
      </c>
      <c r="R515" t="str" cm="1">
        <f t="array" ref="R515">_xlfn.IFS(Q515=1,"Low",Q515=2,"Medium",Q515=3,"High",Q515=4,"Very High")</f>
        <v>High</v>
      </c>
      <c r="S515">
        <v>1</v>
      </c>
      <c r="T515" t="str" cm="1">
        <f t="array" ref="T515">_xlfn.IFS(S515=1,"Entry Level",S515=2,"Junior",S515=3,"Mid-Level",S515=4,"Senior",S515=5,"Executive")</f>
        <v>Entry Level</v>
      </c>
      <c r="U515" t="s">
        <v>43</v>
      </c>
      <c r="V515">
        <v>3</v>
      </c>
      <c r="W515" t="str" cm="1">
        <f t="array" ref="W515">_xlfn.IFS(V515=1,"Low",V515=2,"Medium",V515=3,"High",V515=4,"Very High")</f>
        <v>High</v>
      </c>
      <c r="X515" t="s">
        <v>38</v>
      </c>
      <c r="Y515" s="2">
        <v>1009</v>
      </c>
      <c r="Z515" s="2">
        <v>26999</v>
      </c>
      <c r="AA515">
        <v>1</v>
      </c>
      <c r="AB515" t="s">
        <v>32</v>
      </c>
      <c r="AC515">
        <v>11</v>
      </c>
      <c r="AD515">
        <v>3</v>
      </c>
      <c r="AE515" t="str" cm="1">
        <f t="array" ref="AE515">_xlfn.IFS(AD515=1,"Low",AD515=2,"Good",AD515=3,"Excellent",AD515=4,"Outstanding")</f>
        <v>Excellent</v>
      </c>
      <c r="AF515">
        <v>4</v>
      </c>
      <c r="AG515" t="str" cm="1">
        <f t="array" ref="AG515">_xlfn.IFS(AF515=1,"Low",AF515=2,"Medium",AF515=3,"High",AF515=4,"Very High")</f>
        <v>Very High</v>
      </c>
      <c r="AH515">
        <v>0</v>
      </c>
      <c r="AI515">
        <v>1</v>
      </c>
      <c r="AJ515">
        <v>5</v>
      </c>
      <c r="AK515">
        <v>3</v>
      </c>
      <c r="AL515" t="str" cm="1">
        <f t="array" ref="AL515">_xlfn.IFS(AK515=1,"Low",AK515=2,"Medium",AK515=3,"High",AK515=4,"Very High")</f>
        <v>High</v>
      </c>
      <c r="AM515">
        <v>1</v>
      </c>
      <c r="AN515">
        <v>0</v>
      </c>
      <c r="AO515">
        <v>1</v>
      </c>
      <c r="AP515">
        <v>1</v>
      </c>
    </row>
    <row r="516" spans="1:42">
      <c r="A516">
        <v>33</v>
      </c>
      <c r="B516" t="str" cm="1">
        <f t="array" ref="B516">_xlfn.IFS(A516&lt;=25,"18-25",A516&lt;=35,"26-35",A516&lt;=45,"36-45",A516&lt;=55,"46-55",A516&gt;55,"56+")</f>
        <v>26-35</v>
      </c>
      <c r="C516" t="s">
        <v>32</v>
      </c>
      <c r="D516" t="s">
        <v>40</v>
      </c>
      <c r="E516" s="2">
        <v>1076</v>
      </c>
      <c r="F516" t="s">
        <v>41</v>
      </c>
      <c r="G516">
        <v>3</v>
      </c>
      <c r="H516" t="str">
        <f t="shared" si="8"/>
        <v>1-10 km</v>
      </c>
      <c r="I516">
        <v>3</v>
      </c>
      <c r="J516" t="str" cm="1">
        <f t="array" ref="J516">_xlfn.IFS(I516=1,"Below College",I516=2,"College",I516=3,"Bachelor",I516=4,"Master",I516=5,"Doctor")</f>
        <v>Bachelor</v>
      </c>
      <c r="K516" t="s">
        <v>35</v>
      </c>
      <c r="L516">
        <v>702</v>
      </c>
      <c r="M516">
        <v>1</v>
      </c>
      <c r="N516" t="str" cm="1">
        <f t="array" ref="N516">_xlfn.IFS(M516=1,"Low",M516=2,"Medium",M516=3,"High",M516=4,"Very High")</f>
        <v>Low</v>
      </c>
      <c r="O516" t="s">
        <v>42</v>
      </c>
      <c r="P516" s="2">
        <v>70</v>
      </c>
      <c r="Q516">
        <v>3</v>
      </c>
      <c r="R516" t="str" cm="1">
        <f t="array" ref="R516">_xlfn.IFS(Q516=1,"Low",Q516=2,"Medium",Q516=3,"High",Q516=4,"Very High")</f>
        <v>High</v>
      </c>
      <c r="S516">
        <v>1</v>
      </c>
      <c r="T516" t="str" cm="1">
        <f t="array" ref="T516">_xlfn.IFS(S516=1,"Entry Level",S516=2,"Junior",S516=3,"Mid-Level",S516=4,"Senior",S516=5,"Executive")</f>
        <v>Entry Level</v>
      </c>
      <c r="U516" t="s">
        <v>43</v>
      </c>
      <c r="V516">
        <v>1</v>
      </c>
      <c r="W516" t="str" cm="1">
        <f t="array" ref="W516">_xlfn.IFS(V516=1,"Low",V516=2,"Medium",V516=3,"High",V516=4,"Very High")</f>
        <v>Low</v>
      </c>
      <c r="X516" t="s">
        <v>38</v>
      </c>
      <c r="Y516" s="2">
        <v>3348</v>
      </c>
      <c r="Z516" s="2">
        <v>3164</v>
      </c>
      <c r="AA516">
        <v>1</v>
      </c>
      <c r="AB516" t="s">
        <v>32</v>
      </c>
      <c r="AC516">
        <v>11</v>
      </c>
      <c r="AD516">
        <v>3</v>
      </c>
      <c r="AE516" t="str" cm="1">
        <f t="array" ref="AE516">_xlfn.IFS(AD516=1,"Low",AD516=2,"Good",AD516=3,"Excellent",AD516=4,"Outstanding")</f>
        <v>Excellent</v>
      </c>
      <c r="AF516">
        <v>1</v>
      </c>
      <c r="AG516" t="str" cm="1">
        <f t="array" ref="AG516">_xlfn.IFS(AF516=1,"Low",AF516=2,"Medium",AF516=3,"High",AF516=4,"Very High")</f>
        <v>Low</v>
      </c>
      <c r="AH516">
        <v>0</v>
      </c>
      <c r="AI516">
        <v>10</v>
      </c>
      <c r="AJ516">
        <v>3</v>
      </c>
      <c r="AK516">
        <v>3</v>
      </c>
      <c r="AL516" t="str" cm="1">
        <f t="array" ref="AL516">_xlfn.IFS(AK516=1,"Low",AK516=2,"Medium",AK516=3,"High",AK516=4,"Very High")</f>
        <v>High</v>
      </c>
      <c r="AM516">
        <v>10</v>
      </c>
      <c r="AN516">
        <v>8</v>
      </c>
      <c r="AO516">
        <v>9</v>
      </c>
      <c r="AP516">
        <v>7</v>
      </c>
    </row>
    <row r="517" spans="1:42">
      <c r="A517">
        <v>35</v>
      </c>
      <c r="B517" t="str" cm="1">
        <f t="array" ref="B517">_xlfn.IFS(A517&lt;=25,"18-25",A517&lt;=35,"26-35",A517&lt;=45,"36-45",A517&lt;=55,"46-55",A517&gt;55,"56+")</f>
        <v>26-35</v>
      </c>
      <c r="C517" t="s">
        <v>39</v>
      </c>
      <c r="D517" t="s">
        <v>51</v>
      </c>
      <c r="E517" s="2">
        <v>727</v>
      </c>
      <c r="F517" t="s">
        <v>41</v>
      </c>
      <c r="G517">
        <v>3</v>
      </c>
      <c r="H517" t="str">
        <f t="shared" si="8"/>
        <v>1-10 km</v>
      </c>
      <c r="I517">
        <v>3</v>
      </c>
      <c r="J517" t="str" cm="1">
        <f t="array" ref="J517">_xlfn.IFS(I517=1,"Below College",I517=2,"College",I517=3,"Bachelor",I517=4,"Master",I517=5,"Doctor")</f>
        <v>Bachelor</v>
      </c>
      <c r="K517" t="s">
        <v>35</v>
      </c>
      <c r="L517">
        <v>704</v>
      </c>
      <c r="M517">
        <v>3</v>
      </c>
      <c r="N517" t="str" cm="1">
        <f t="array" ref="N517">_xlfn.IFS(M517=1,"Low",M517=2,"Medium",M517=3,"High",M517=4,"Very High")</f>
        <v>High</v>
      </c>
      <c r="O517" t="s">
        <v>42</v>
      </c>
      <c r="P517" s="2">
        <v>41</v>
      </c>
      <c r="Q517">
        <v>2</v>
      </c>
      <c r="R517" t="str" cm="1">
        <f t="array" ref="R517">_xlfn.IFS(Q517=1,"Low",Q517=2,"Medium",Q517=3,"High",Q517=4,"Very High")</f>
        <v>Medium</v>
      </c>
      <c r="S517">
        <v>1</v>
      </c>
      <c r="T517" t="str" cm="1">
        <f t="array" ref="T517">_xlfn.IFS(S517=1,"Entry Level",S517=2,"Junior",S517=3,"Mid-Level",S517=4,"Senior",S517=5,"Executive")</f>
        <v>Entry Level</v>
      </c>
      <c r="U517" t="s">
        <v>46</v>
      </c>
      <c r="V517">
        <v>3</v>
      </c>
      <c r="W517" t="str" cm="1">
        <f t="array" ref="W517">_xlfn.IFS(V517=1,"Low",V517=2,"Medium",V517=3,"High",V517=4,"Very High")</f>
        <v>High</v>
      </c>
      <c r="X517" t="s">
        <v>44</v>
      </c>
      <c r="Y517" s="2">
        <v>1281</v>
      </c>
      <c r="Z517" s="2">
        <v>16900</v>
      </c>
      <c r="AA517">
        <v>1</v>
      </c>
      <c r="AB517" t="s">
        <v>39</v>
      </c>
      <c r="AC517">
        <v>18</v>
      </c>
      <c r="AD517">
        <v>3</v>
      </c>
      <c r="AE517" t="str" cm="1">
        <f t="array" ref="AE517">_xlfn.IFS(AD517=1,"Low",AD517=2,"Good",AD517=3,"Excellent",AD517=4,"Outstanding")</f>
        <v>Excellent</v>
      </c>
      <c r="AF517">
        <v>3</v>
      </c>
      <c r="AG517" t="str" cm="1">
        <f t="array" ref="AG517">_xlfn.IFS(AF517=1,"Low",AF517=2,"Medium",AF517=3,"High",AF517=4,"Very High")</f>
        <v>High</v>
      </c>
      <c r="AH517">
        <v>2</v>
      </c>
      <c r="AI517">
        <v>1</v>
      </c>
      <c r="AJ517">
        <v>3</v>
      </c>
      <c r="AK517">
        <v>3</v>
      </c>
      <c r="AL517" t="str" cm="1">
        <f t="array" ref="AL517">_xlfn.IFS(AK517=1,"Low",AK517=2,"Medium",AK517=3,"High",AK517=4,"Very High")</f>
        <v>High</v>
      </c>
      <c r="AM517">
        <v>1</v>
      </c>
      <c r="AN517">
        <v>0</v>
      </c>
      <c r="AO517">
        <v>0</v>
      </c>
      <c r="AP517">
        <v>0</v>
      </c>
    </row>
    <row r="518" spans="1:42">
      <c r="A518">
        <v>23</v>
      </c>
      <c r="B518" t="str" cm="1">
        <f t="array" ref="B518">_xlfn.IFS(A518&lt;=25,"18-25",A518&lt;=35,"26-35",A518&lt;=45,"36-45",A518&lt;=55,"46-55",A518&gt;55,"56+")</f>
        <v>18-25</v>
      </c>
      <c r="C518" t="s">
        <v>39</v>
      </c>
      <c r="D518" t="s">
        <v>33</v>
      </c>
      <c r="E518" s="2">
        <v>885</v>
      </c>
      <c r="F518" t="s">
        <v>41</v>
      </c>
      <c r="G518">
        <v>4</v>
      </c>
      <c r="H518" t="str">
        <f t="shared" si="8"/>
        <v>1-10 km</v>
      </c>
      <c r="I518">
        <v>3</v>
      </c>
      <c r="J518" t="str" cm="1">
        <f t="array" ref="J518">_xlfn.IFS(I518=1,"Below College",I518=2,"College",I518=3,"Bachelor",I518=4,"Master",I518=5,"Doctor")</f>
        <v>Bachelor</v>
      </c>
      <c r="K518" t="s">
        <v>47</v>
      </c>
      <c r="L518">
        <v>705</v>
      </c>
      <c r="M518">
        <v>1</v>
      </c>
      <c r="N518" t="str" cm="1">
        <f t="array" ref="N518">_xlfn.IFS(M518=1,"Low",M518=2,"Medium",M518=3,"High",M518=4,"Very High")</f>
        <v>Low</v>
      </c>
      <c r="O518" t="s">
        <v>42</v>
      </c>
      <c r="P518" s="2">
        <v>58</v>
      </c>
      <c r="Q518">
        <v>4</v>
      </c>
      <c r="R518" t="str" cm="1">
        <f t="array" ref="R518">_xlfn.IFS(Q518=1,"Low",Q518=2,"Medium",Q518=3,"High",Q518=4,"Very High")</f>
        <v>Very High</v>
      </c>
      <c r="S518">
        <v>1</v>
      </c>
      <c r="T518" t="str" cm="1">
        <f t="array" ref="T518">_xlfn.IFS(S518=1,"Entry Level",S518=2,"Junior",S518=3,"Mid-Level",S518=4,"Senior",S518=5,"Executive")</f>
        <v>Entry Level</v>
      </c>
      <c r="U518" t="s">
        <v>43</v>
      </c>
      <c r="V518">
        <v>1</v>
      </c>
      <c r="W518" t="str" cm="1">
        <f t="array" ref="W518">_xlfn.IFS(V518=1,"Low",V518=2,"Medium",V518=3,"High",V518=4,"Very High")</f>
        <v>Low</v>
      </c>
      <c r="X518" t="s">
        <v>44</v>
      </c>
      <c r="Y518" s="2">
        <v>2819</v>
      </c>
      <c r="Z518" s="2">
        <v>8544</v>
      </c>
      <c r="AA518">
        <v>2</v>
      </c>
      <c r="AB518" t="s">
        <v>39</v>
      </c>
      <c r="AC518">
        <v>16</v>
      </c>
      <c r="AD518">
        <v>3</v>
      </c>
      <c r="AE518" t="str" cm="1">
        <f t="array" ref="AE518">_xlfn.IFS(AD518=1,"Low",AD518=2,"Good",AD518=3,"Excellent",AD518=4,"Outstanding")</f>
        <v>Excellent</v>
      </c>
      <c r="AF518">
        <v>1</v>
      </c>
      <c r="AG518" t="str" cm="1">
        <f t="array" ref="AG518">_xlfn.IFS(AF518=1,"Low",AF518=2,"Medium",AF518=3,"High",AF518=4,"Very High")</f>
        <v>Low</v>
      </c>
      <c r="AH518">
        <v>1</v>
      </c>
      <c r="AI518">
        <v>5</v>
      </c>
      <c r="AJ518">
        <v>3</v>
      </c>
      <c r="AK518">
        <v>4</v>
      </c>
      <c r="AL518" t="str" cm="1">
        <f t="array" ref="AL518">_xlfn.IFS(AK518=1,"Low",AK518=2,"Medium",AK518=3,"High",AK518=4,"Very High")</f>
        <v>Very High</v>
      </c>
      <c r="AM518">
        <v>3</v>
      </c>
      <c r="AN518">
        <v>2</v>
      </c>
      <c r="AO518">
        <v>0</v>
      </c>
      <c r="AP518">
        <v>2</v>
      </c>
    </row>
    <row r="519" spans="1:42">
      <c r="A519">
        <v>25</v>
      </c>
      <c r="B519" t="str" cm="1">
        <f t="array" ref="B519">_xlfn.IFS(A519&lt;=25,"18-25",A519&lt;=35,"26-35",A519&lt;=45,"36-45",A519&lt;=55,"46-55",A519&gt;55,"56+")</f>
        <v>18-25</v>
      </c>
      <c r="C519" t="s">
        <v>39</v>
      </c>
      <c r="D519" t="s">
        <v>33</v>
      </c>
      <c r="E519" s="2">
        <v>810</v>
      </c>
      <c r="F519" t="s">
        <v>34</v>
      </c>
      <c r="G519">
        <v>8</v>
      </c>
      <c r="H519" t="str">
        <f t="shared" si="8"/>
        <v>1-10 km</v>
      </c>
      <c r="I519">
        <v>3</v>
      </c>
      <c r="J519" t="str" cm="1">
        <f t="array" ref="J519">_xlfn.IFS(I519=1,"Below College",I519=2,"College",I519=3,"Bachelor",I519=4,"Master",I519=5,"Doctor")</f>
        <v>Bachelor</v>
      </c>
      <c r="K519" t="s">
        <v>35</v>
      </c>
      <c r="L519">
        <v>707</v>
      </c>
      <c r="M519">
        <v>4</v>
      </c>
      <c r="N519" t="str" cm="1">
        <f t="array" ref="N519">_xlfn.IFS(M519=1,"Low",M519=2,"Medium",M519=3,"High",M519=4,"Very High")</f>
        <v>Very High</v>
      </c>
      <c r="O519" t="s">
        <v>42</v>
      </c>
      <c r="P519" s="2">
        <v>57</v>
      </c>
      <c r="Q519">
        <v>4</v>
      </c>
      <c r="R519" t="str" cm="1">
        <f t="array" ref="R519">_xlfn.IFS(Q519=1,"Low",Q519=2,"Medium",Q519=3,"High",Q519=4,"Very High")</f>
        <v>Very High</v>
      </c>
      <c r="S519">
        <v>2</v>
      </c>
      <c r="T519" t="str" cm="1">
        <f t="array" ref="T519">_xlfn.IFS(S519=1,"Entry Level",S519=2,"Junior",S519=3,"Mid-Level",S519=4,"Senior",S519=5,"Executive")</f>
        <v>Junior</v>
      </c>
      <c r="U519" t="s">
        <v>37</v>
      </c>
      <c r="V519">
        <v>2</v>
      </c>
      <c r="W519" t="str" cm="1">
        <f t="array" ref="W519">_xlfn.IFS(V519=1,"Low",V519=2,"Medium",V519=3,"High",V519=4,"Very High")</f>
        <v>Medium</v>
      </c>
      <c r="X519" t="s">
        <v>44</v>
      </c>
      <c r="Y519" s="2">
        <v>4851</v>
      </c>
      <c r="Z519" s="2">
        <v>15678</v>
      </c>
      <c r="AA519">
        <v>0</v>
      </c>
      <c r="AB519" t="s">
        <v>39</v>
      </c>
      <c r="AC519">
        <v>22</v>
      </c>
      <c r="AD519">
        <v>4</v>
      </c>
      <c r="AE519" t="str" cm="1">
        <f t="array" ref="AE519">_xlfn.IFS(AD519=1,"Low",AD519=2,"Good",AD519=3,"Excellent",AD519=4,"Outstanding")</f>
        <v>Outstanding</v>
      </c>
      <c r="AF519">
        <v>3</v>
      </c>
      <c r="AG519" t="str" cm="1">
        <f t="array" ref="AG519">_xlfn.IFS(AF519=1,"Low",AF519=2,"Medium",AF519=3,"High",AF519=4,"Very High")</f>
        <v>High</v>
      </c>
      <c r="AH519">
        <v>1</v>
      </c>
      <c r="AI519">
        <v>4</v>
      </c>
      <c r="AJ519">
        <v>4</v>
      </c>
      <c r="AK519">
        <v>3</v>
      </c>
      <c r="AL519" t="str" cm="1">
        <f t="array" ref="AL519">_xlfn.IFS(AK519=1,"Low",AK519=2,"Medium",AK519=3,"High",AK519=4,"Very High")</f>
        <v>High</v>
      </c>
      <c r="AM519">
        <v>3</v>
      </c>
      <c r="AN519">
        <v>2</v>
      </c>
      <c r="AO519">
        <v>1</v>
      </c>
      <c r="AP519">
        <v>2</v>
      </c>
    </row>
    <row r="520" spans="1:42">
      <c r="A520">
        <v>38</v>
      </c>
      <c r="B520" t="str" cm="1">
        <f t="array" ref="B520">_xlfn.IFS(A520&lt;=25,"18-25",A520&lt;=35,"26-35",A520&lt;=45,"36-45",A520&lt;=55,"46-55",A520&gt;55,"56+")</f>
        <v>36-45</v>
      </c>
      <c r="C520" t="s">
        <v>39</v>
      </c>
      <c r="D520" t="s">
        <v>33</v>
      </c>
      <c r="E520" s="2">
        <v>243</v>
      </c>
      <c r="F520" t="s">
        <v>34</v>
      </c>
      <c r="G520">
        <v>7</v>
      </c>
      <c r="H520" t="str">
        <f t="shared" si="8"/>
        <v>1-10 km</v>
      </c>
      <c r="I520">
        <v>4</v>
      </c>
      <c r="J520" t="str" cm="1">
        <f t="array" ref="J520">_xlfn.IFS(I520=1,"Below College",I520=2,"College",I520=3,"Bachelor",I520=4,"Master",I520=5,"Doctor")</f>
        <v>Master</v>
      </c>
      <c r="K520" t="s">
        <v>55</v>
      </c>
      <c r="L520">
        <v>709</v>
      </c>
      <c r="M520">
        <v>4</v>
      </c>
      <c r="N520" t="str" cm="1">
        <f t="array" ref="N520">_xlfn.IFS(M520=1,"Low",M520=2,"Medium",M520=3,"High",M520=4,"Very High")</f>
        <v>Very High</v>
      </c>
      <c r="O520" t="s">
        <v>36</v>
      </c>
      <c r="P520" s="2">
        <v>46</v>
      </c>
      <c r="Q520">
        <v>2</v>
      </c>
      <c r="R520" t="str" cm="1">
        <f t="array" ref="R520">_xlfn.IFS(Q520=1,"Low",Q520=2,"Medium",Q520=3,"High",Q520=4,"Very High")</f>
        <v>Medium</v>
      </c>
      <c r="S520">
        <v>2</v>
      </c>
      <c r="T520" t="str" cm="1">
        <f t="array" ref="T520">_xlfn.IFS(S520=1,"Entry Level",S520=2,"Junior",S520=3,"Mid-Level",S520=4,"Senior",S520=5,"Executive")</f>
        <v>Junior</v>
      </c>
      <c r="U520" t="s">
        <v>37</v>
      </c>
      <c r="V520">
        <v>4</v>
      </c>
      <c r="W520" t="str" cm="1">
        <f t="array" ref="W520">_xlfn.IFS(V520=1,"Low",V520=2,"Medium",V520=3,"High",V520=4,"Very High")</f>
        <v>Very High</v>
      </c>
      <c r="X520" t="s">
        <v>38</v>
      </c>
      <c r="Y520" s="2">
        <v>4028</v>
      </c>
      <c r="Z520" s="2">
        <v>7791</v>
      </c>
      <c r="AA520">
        <v>0</v>
      </c>
      <c r="AB520" t="s">
        <v>39</v>
      </c>
      <c r="AC520">
        <v>20</v>
      </c>
      <c r="AD520">
        <v>4</v>
      </c>
      <c r="AE520" t="str" cm="1">
        <f t="array" ref="AE520">_xlfn.IFS(AD520=1,"Low",AD520=2,"Good",AD520=3,"Excellent",AD520=4,"Outstanding")</f>
        <v>Outstanding</v>
      </c>
      <c r="AF520">
        <v>1</v>
      </c>
      <c r="AG520" t="str" cm="1">
        <f t="array" ref="AG520">_xlfn.IFS(AF520=1,"Low",AF520=2,"Medium",AF520=3,"High",AF520=4,"Very High")</f>
        <v>Low</v>
      </c>
      <c r="AH520">
        <v>0</v>
      </c>
      <c r="AI520">
        <v>8</v>
      </c>
      <c r="AJ520">
        <v>2</v>
      </c>
      <c r="AK520">
        <v>3</v>
      </c>
      <c r="AL520" t="str" cm="1">
        <f t="array" ref="AL520">_xlfn.IFS(AK520=1,"Low",AK520=2,"Medium",AK520=3,"High",AK520=4,"Very High")</f>
        <v>High</v>
      </c>
      <c r="AM520">
        <v>7</v>
      </c>
      <c r="AN520">
        <v>7</v>
      </c>
      <c r="AO520">
        <v>0</v>
      </c>
      <c r="AP520">
        <v>5</v>
      </c>
    </row>
    <row r="521" spans="1:42">
      <c r="A521">
        <v>29</v>
      </c>
      <c r="B521" t="str" cm="1">
        <f t="array" ref="B521">_xlfn.IFS(A521&lt;=25,"18-25",A521&lt;=35,"26-35",A521&lt;=45,"36-45",A521&lt;=55,"46-55",A521&gt;55,"56+")</f>
        <v>26-35</v>
      </c>
      <c r="C521" t="s">
        <v>39</v>
      </c>
      <c r="D521" t="s">
        <v>40</v>
      </c>
      <c r="E521" s="2">
        <v>806</v>
      </c>
      <c r="F521" t="s">
        <v>41</v>
      </c>
      <c r="G521">
        <v>1</v>
      </c>
      <c r="H521" t="str">
        <f t="shared" si="8"/>
        <v>1-10 km</v>
      </c>
      <c r="I521">
        <v>4</v>
      </c>
      <c r="J521" t="str" cm="1">
        <f t="array" ref="J521">_xlfn.IFS(I521=1,"Below College",I521=2,"College",I521=3,"Bachelor",I521=4,"Master",I521=5,"Doctor")</f>
        <v>Master</v>
      </c>
      <c r="K521" t="s">
        <v>35</v>
      </c>
      <c r="L521">
        <v>710</v>
      </c>
      <c r="M521">
        <v>2</v>
      </c>
      <c r="N521" t="str" cm="1">
        <f t="array" ref="N521">_xlfn.IFS(M521=1,"Low",M521=2,"Medium",M521=3,"High",M521=4,"Very High")</f>
        <v>Medium</v>
      </c>
      <c r="O521" t="s">
        <v>42</v>
      </c>
      <c r="P521" s="2">
        <v>76</v>
      </c>
      <c r="Q521">
        <v>1</v>
      </c>
      <c r="R521" t="str" cm="1">
        <f t="array" ref="R521">_xlfn.IFS(Q521=1,"Low",Q521=2,"Medium",Q521=3,"High",Q521=4,"Very High")</f>
        <v>Low</v>
      </c>
      <c r="S521">
        <v>1</v>
      </c>
      <c r="T521" t="str" cm="1">
        <f t="array" ref="T521">_xlfn.IFS(S521=1,"Entry Level",S521=2,"Junior",S521=3,"Mid-Level",S521=4,"Senior",S521=5,"Executive")</f>
        <v>Entry Level</v>
      </c>
      <c r="U521" t="s">
        <v>43</v>
      </c>
      <c r="V521">
        <v>4</v>
      </c>
      <c r="W521" t="str" cm="1">
        <f t="array" ref="W521">_xlfn.IFS(V521=1,"Low",V521=2,"Medium",V521=3,"High",V521=4,"Very High")</f>
        <v>Very High</v>
      </c>
      <c r="X521" t="s">
        <v>48</v>
      </c>
      <c r="Y521" s="2">
        <v>2720</v>
      </c>
      <c r="Z521" s="2">
        <v>18959</v>
      </c>
      <c r="AA521">
        <v>1</v>
      </c>
      <c r="AB521" t="s">
        <v>39</v>
      </c>
      <c r="AC521">
        <v>18</v>
      </c>
      <c r="AD521">
        <v>3</v>
      </c>
      <c r="AE521" t="str" cm="1">
        <f t="array" ref="AE521">_xlfn.IFS(AD521=1,"Low",AD521=2,"Good",AD521=3,"Excellent",AD521=4,"Outstanding")</f>
        <v>Excellent</v>
      </c>
      <c r="AF521">
        <v>4</v>
      </c>
      <c r="AG521" t="str" cm="1">
        <f t="array" ref="AG521">_xlfn.IFS(AF521=1,"Low",AF521=2,"Medium",AF521=3,"High",AF521=4,"Very High")</f>
        <v>Very High</v>
      </c>
      <c r="AH521">
        <v>1</v>
      </c>
      <c r="AI521">
        <v>10</v>
      </c>
      <c r="AJ521">
        <v>5</v>
      </c>
      <c r="AK521">
        <v>3</v>
      </c>
      <c r="AL521" t="str" cm="1">
        <f t="array" ref="AL521">_xlfn.IFS(AK521=1,"Low",AK521=2,"Medium",AK521=3,"High",AK521=4,"Very High")</f>
        <v>High</v>
      </c>
      <c r="AM521">
        <v>10</v>
      </c>
      <c r="AN521">
        <v>7</v>
      </c>
      <c r="AO521">
        <v>2</v>
      </c>
      <c r="AP521">
        <v>8</v>
      </c>
    </row>
    <row r="522" spans="1:42">
      <c r="A522">
        <v>48</v>
      </c>
      <c r="B522" t="str" cm="1">
        <f t="array" ref="B522">_xlfn.IFS(A522&lt;=25,"18-25",A522&lt;=35,"26-35",A522&lt;=45,"36-45",A522&lt;=55,"46-55",A522&gt;55,"56+")</f>
        <v>46-55</v>
      </c>
      <c r="C522" t="s">
        <v>39</v>
      </c>
      <c r="D522" t="s">
        <v>33</v>
      </c>
      <c r="E522" s="2">
        <v>817</v>
      </c>
      <c r="F522" t="s">
        <v>34</v>
      </c>
      <c r="G522">
        <v>2</v>
      </c>
      <c r="H522" t="str">
        <f t="shared" si="8"/>
        <v>1-10 km</v>
      </c>
      <c r="I522">
        <v>1</v>
      </c>
      <c r="J522" t="str" cm="1">
        <f t="array" ref="J522">_xlfn.IFS(I522=1,"Below College",I522=2,"College",I522=3,"Bachelor",I522=4,"Master",I522=5,"Doctor")</f>
        <v>Below College</v>
      </c>
      <c r="K522" t="s">
        <v>55</v>
      </c>
      <c r="L522">
        <v>712</v>
      </c>
      <c r="M522">
        <v>2</v>
      </c>
      <c r="N522" t="str" cm="1">
        <f t="array" ref="N522">_xlfn.IFS(M522=1,"Low",M522=2,"Medium",M522=3,"High",M522=4,"Very High")</f>
        <v>Medium</v>
      </c>
      <c r="O522" t="s">
        <v>42</v>
      </c>
      <c r="P522" s="2">
        <v>56</v>
      </c>
      <c r="Q522">
        <v>4</v>
      </c>
      <c r="R522" t="str" cm="1">
        <f t="array" ref="R522">_xlfn.IFS(Q522=1,"Low",Q522=2,"Medium",Q522=3,"High",Q522=4,"Very High")</f>
        <v>Very High</v>
      </c>
      <c r="S522">
        <v>2</v>
      </c>
      <c r="T522" t="str" cm="1">
        <f t="array" ref="T522">_xlfn.IFS(S522=1,"Entry Level",S522=2,"Junior",S522=3,"Mid-Level",S522=4,"Senior",S522=5,"Executive")</f>
        <v>Junior</v>
      </c>
      <c r="U522" t="s">
        <v>37</v>
      </c>
      <c r="V522">
        <v>2</v>
      </c>
      <c r="W522" t="str" cm="1">
        <f t="array" ref="W522">_xlfn.IFS(V522=1,"Low",V522=2,"Medium",V522=3,"High",V522=4,"Very High")</f>
        <v>Medium</v>
      </c>
      <c r="X522" t="s">
        <v>44</v>
      </c>
      <c r="Y522" s="2">
        <v>8120</v>
      </c>
      <c r="Z522" s="2">
        <v>18597</v>
      </c>
      <c r="AA522">
        <v>3</v>
      </c>
      <c r="AB522" t="s">
        <v>39</v>
      </c>
      <c r="AC522">
        <v>12</v>
      </c>
      <c r="AD522">
        <v>3</v>
      </c>
      <c r="AE522" t="str" cm="1">
        <f t="array" ref="AE522">_xlfn.IFS(AD522=1,"Low",AD522=2,"Good",AD522=3,"Excellent",AD522=4,"Outstanding")</f>
        <v>Excellent</v>
      </c>
      <c r="AF522">
        <v>4</v>
      </c>
      <c r="AG522" t="str" cm="1">
        <f t="array" ref="AG522">_xlfn.IFS(AF522=1,"Low",AF522=2,"Medium",AF522=3,"High",AF522=4,"Very High")</f>
        <v>Very High</v>
      </c>
      <c r="AH522">
        <v>0</v>
      </c>
      <c r="AI522">
        <v>12</v>
      </c>
      <c r="AJ522">
        <v>3</v>
      </c>
      <c r="AK522">
        <v>3</v>
      </c>
      <c r="AL522" t="str" cm="1">
        <f t="array" ref="AL522">_xlfn.IFS(AK522=1,"Low",AK522=2,"Medium",AK522=3,"High",AK522=4,"Very High")</f>
        <v>High</v>
      </c>
      <c r="AM522">
        <v>2</v>
      </c>
      <c r="AN522">
        <v>2</v>
      </c>
      <c r="AO522">
        <v>2</v>
      </c>
      <c r="AP522">
        <v>2</v>
      </c>
    </row>
    <row r="523" spans="1:42">
      <c r="A523">
        <v>27</v>
      </c>
      <c r="B523" t="str" cm="1">
        <f t="array" ref="B523">_xlfn.IFS(A523&lt;=25,"18-25",A523&lt;=35,"26-35",A523&lt;=45,"36-45",A523&lt;=55,"46-55",A523&gt;55,"56+")</f>
        <v>26-35</v>
      </c>
      <c r="C523" t="s">
        <v>39</v>
      </c>
      <c r="D523" t="s">
        <v>40</v>
      </c>
      <c r="E523" s="2">
        <v>1410</v>
      </c>
      <c r="F523" t="s">
        <v>34</v>
      </c>
      <c r="G523">
        <v>3</v>
      </c>
      <c r="H523" t="str">
        <f t="shared" si="8"/>
        <v>1-10 km</v>
      </c>
      <c r="I523">
        <v>1</v>
      </c>
      <c r="J523" t="str" cm="1">
        <f t="array" ref="J523">_xlfn.IFS(I523=1,"Below College",I523=2,"College",I523=3,"Bachelor",I523=4,"Master",I523=5,"Doctor")</f>
        <v>Below College</v>
      </c>
      <c r="K523" t="s">
        <v>47</v>
      </c>
      <c r="L523">
        <v>714</v>
      </c>
      <c r="M523">
        <v>4</v>
      </c>
      <c r="N523" t="str" cm="1">
        <f t="array" ref="N523">_xlfn.IFS(M523=1,"Low",M523=2,"Medium",M523=3,"High",M523=4,"Very High")</f>
        <v>Very High</v>
      </c>
      <c r="O523" t="s">
        <v>36</v>
      </c>
      <c r="P523" s="2">
        <v>71</v>
      </c>
      <c r="Q523">
        <v>4</v>
      </c>
      <c r="R523" t="str" cm="1">
        <f t="array" ref="R523">_xlfn.IFS(Q523=1,"Low",Q523=2,"Medium",Q523=3,"High",Q523=4,"Very High")</f>
        <v>Very High</v>
      </c>
      <c r="S523">
        <v>2</v>
      </c>
      <c r="T523" t="str" cm="1">
        <f t="array" ref="T523">_xlfn.IFS(S523=1,"Entry Level",S523=2,"Junior",S523=3,"Mid-Level",S523=4,"Senior",S523=5,"Executive")</f>
        <v>Junior</v>
      </c>
      <c r="U523" t="s">
        <v>37</v>
      </c>
      <c r="V523">
        <v>4</v>
      </c>
      <c r="W523" t="str" cm="1">
        <f t="array" ref="W523">_xlfn.IFS(V523=1,"Low",V523=2,"Medium",V523=3,"High",V523=4,"Very High")</f>
        <v>Very High</v>
      </c>
      <c r="X523" t="s">
        <v>48</v>
      </c>
      <c r="Y523" s="2">
        <v>4647</v>
      </c>
      <c r="Z523" s="2">
        <v>16673</v>
      </c>
      <c r="AA523">
        <v>1</v>
      </c>
      <c r="AB523" t="s">
        <v>32</v>
      </c>
      <c r="AC523">
        <v>20</v>
      </c>
      <c r="AD523">
        <v>4</v>
      </c>
      <c r="AE523" t="str" cm="1">
        <f t="array" ref="AE523">_xlfn.IFS(AD523=1,"Low",AD523=2,"Good",AD523=3,"Excellent",AD523=4,"Outstanding")</f>
        <v>Outstanding</v>
      </c>
      <c r="AF523">
        <v>2</v>
      </c>
      <c r="AG523" t="str" cm="1">
        <f t="array" ref="AG523">_xlfn.IFS(AF523=1,"Low",AF523=2,"Medium",AF523=3,"High",AF523=4,"Very High")</f>
        <v>Medium</v>
      </c>
      <c r="AH523">
        <v>2</v>
      </c>
      <c r="AI523">
        <v>6</v>
      </c>
      <c r="AJ523">
        <v>3</v>
      </c>
      <c r="AK523">
        <v>3</v>
      </c>
      <c r="AL523" t="str" cm="1">
        <f t="array" ref="AL523">_xlfn.IFS(AK523=1,"Low",AK523=2,"Medium",AK523=3,"High",AK523=4,"Very High")</f>
        <v>High</v>
      </c>
      <c r="AM523">
        <v>6</v>
      </c>
      <c r="AN523">
        <v>5</v>
      </c>
      <c r="AO523">
        <v>0</v>
      </c>
      <c r="AP523">
        <v>4</v>
      </c>
    </row>
    <row r="524" spans="1:42">
      <c r="A524">
        <v>37</v>
      </c>
      <c r="B524" t="str" cm="1">
        <f t="array" ref="B524">_xlfn.IFS(A524&lt;=25,"18-25",A524&lt;=35,"26-35",A524&lt;=45,"36-45",A524&lt;=55,"46-55",A524&gt;55,"56+")</f>
        <v>36-45</v>
      </c>
      <c r="C524" t="s">
        <v>39</v>
      </c>
      <c r="D524" t="s">
        <v>33</v>
      </c>
      <c r="E524" s="2">
        <v>1225</v>
      </c>
      <c r="F524" t="s">
        <v>41</v>
      </c>
      <c r="G524">
        <v>10</v>
      </c>
      <c r="H524" t="str">
        <f t="shared" si="8"/>
        <v>1-10 km</v>
      </c>
      <c r="I524">
        <v>2</v>
      </c>
      <c r="J524" t="str" cm="1">
        <f t="array" ref="J524">_xlfn.IFS(I524=1,"Below College",I524=2,"College",I524=3,"Bachelor",I524=4,"Master",I524=5,"Doctor")</f>
        <v>College</v>
      </c>
      <c r="K524" t="s">
        <v>35</v>
      </c>
      <c r="L524">
        <v>715</v>
      </c>
      <c r="M524">
        <v>4</v>
      </c>
      <c r="N524" t="str" cm="1">
        <f t="array" ref="N524">_xlfn.IFS(M524=1,"Low",M524=2,"Medium",M524=3,"High",M524=4,"Very High")</f>
        <v>Very High</v>
      </c>
      <c r="O524" t="s">
        <v>42</v>
      </c>
      <c r="P524" s="2">
        <v>80</v>
      </c>
      <c r="Q524">
        <v>4</v>
      </c>
      <c r="R524" t="str" cm="1">
        <f t="array" ref="R524">_xlfn.IFS(Q524=1,"Low",Q524=2,"Medium",Q524=3,"High",Q524=4,"Very High")</f>
        <v>Very High</v>
      </c>
      <c r="S524">
        <v>1</v>
      </c>
      <c r="T524" t="str" cm="1">
        <f t="array" ref="T524">_xlfn.IFS(S524=1,"Entry Level",S524=2,"Junior",S524=3,"Mid-Level",S524=4,"Senior",S524=5,"Executive")</f>
        <v>Entry Level</v>
      </c>
      <c r="U524" t="s">
        <v>43</v>
      </c>
      <c r="V524">
        <v>4</v>
      </c>
      <c r="W524" t="str" cm="1">
        <f t="array" ref="W524">_xlfn.IFS(V524=1,"Low",V524=2,"Medium",V524=3,"High",V524=4,"Very High")</f>
        <v>Very High</v>
      </c>
      <c r="X524" t="s">
        <v>38</v>
      </c>
      <c r="Y524" s="2">
        <v>4680</v>
      </c>
      <c r="Z524" s="2">
        <v>15232</v>
      </c>
      <c r="AA524">
        <v>3</v>
      </c>
      <c r="AB524" t="s">
        <v>39</v>
      </c>
      <c r="AC524">
        <v>17</v>
      </c>
      <c r="AD524">
        <v>3</v>
      </c>
      <c r="AE524" t="str" cm="1">
        <f t="array" ref="AE524">_xlfn.IFS(AD524=1,"Low",AD524=2,"Good",AD524=3,"Excellent",AD524=4,"Outstanding")</f>
        <v>Excellent</v>
      </c>
      <c r="AF524">
        <v>1</v>
      </c>
      <c r="AG524" t="str" cm="1">
        <f t="array" ref="AG524">_xlfn.IFS(AF524=1,"Low",AF524=2,"Medium",AF524=3,"High",AF524=4,"Very High")</f>
        <v>Low</v>
      </c>
      <c r="AH524">
        <v>0</v>
      </c>
      <c r="AI524">
        <v>4</v>
      </c>
      <c r="AJ524">
        <v>2</v>
      </c>
      <c r="AK524">
        <v>3</v>
      </c>
      <c r="AL524" t="str" cm="1">
        <f t="array" ref="AL524">_xlfn.IFS(AK524=1,"Low",AK524=2,"Medium",AK524=3,"High",AK524=4,"Very High")</f>
        <v>High</v>
      </c>
      <c r="AM524">
        <v>1</v>
      </c>
      <c r="AN524">
        <v>0</v>
      </c>
      <c r="AO524">
        <v>0</v>
      </c>
      <c r="AP524">
        <v>0</v>
      </c>
    </row>
    <row r="525" spans="1:42">
      <c r="A525">
        <v>50</v>
      </c>
      <c r="B525" t="str" cm="1">
        <f t="array" ref="B525">_xlfn.IFS(A525&lt;=25,"18-25",A525&lt;=35,"26-35",A525&lt;=45,"36-45",A525&lt;=55,"46-55",A525&gt;55,"56+")</f>
        <v>46-55</v>
      </c>
      <c r="C525" t="s">
        <v>39</v>
      </c>
      <c r="D525" t="s">
        <v>33</v>
      </c>
      <c r="E525" s="2">
        <v>1207</v>
      </c>
      <c r="F525" t="s">
        <v>41</v>
      </c>
      <c r="G525">
        <v>28</v>
      </c>
      <c r="H525" t="str">
        <f t="shared" si="8"/>
        <v>21-30 km</v>
      </c>
      <c r="I525">
        <v>1</v>
      </c>
      <c r="J525" t="str" cm="1">
        <f t="array" ref="J525">_xlfn.IFS(I525=1,"Below College",I525=2,"College",I525=3,"Bachelor",I525=4,"Master",I525=5,"Doctor")</f>
        <v>Below College</v>
      </c>
      <c r="K525" t="s">
        <v>47</v>
      </c>
      <c r="L525">
        <v>716</v>
      </c>
      <c r="M525">
        <v>4</v>
      </c>
      <c r="N525" t="str" cm="1">
        <f t="array" ref="N525">_xlfn.IFS(M525=1,"Low",M525=2,"Medium",M525=3,"High",M525=4,"Very High")</f>
        <v>Very High</v>
      </c>
      <c r="O525" t="s">
        <v>42</v>
      </c>
      <c r="P525" s="2">
        <v>74</v>
      </c>
      <c r="Q525">
        <v>4</v>
      </c>
      <c r="R525" t="str" cm="1">
        <f t="array" ref="R525">_xlfn.IFS(Q525=1,"Low",Q525=2,"Medium",Q525=3,"High",Q525=4,"Very High")</f>
        <v>Very High</v>
      </c>
      <c r="S525">
        <v>1</v>
      </c>
      <c r="T525" t="str" cm="1">
        <f t="array" ref="T525">_xlfn.IFS(S525=1,"Entry Level",S525=2,"Junior",S525=3,"Mid-Level",S525=4,"Senior",S525=5,"Executive")</f>
        <v>Entry Level</v>
      </c>
      <c r="U525" t="s">
        <v>46</v>
      </c>
      <c r="V525">
        <v>3</v>
      </c>
      <c r="W525" t="str" cm="1">
        <f t="array" ref="W525">_xlfn.IFS(V525=1,"Low",V525=2,"Medium",V525=3,"High",V525=4,"Very High")</f>
        <v>High</v>
      </c>
      <c r="X525" t="s">
        <v>44</v>
      </c>
      <c r="Y525" s="2">
        <v>3221</v>
      </c>
      <c r="Z525" s="2">
        <v>3297</v>
      </c>
      <c r="AA525">
        <v>1</v>
      </c>
      <c r="AB525" t="s">
        <v>32</v>
      </c>
      <c r="AC525">
        <v>11</v>
      </c>
      <c r="AD525">
        <v>3</v>
      </c>
      <c r="AE525" t="str" cm="1">
        <f t="array" ref="AE525">_xlfn.IFS(AD525=1,"Low",AD525=2,"Good",AD525=3,"Excellent",AD525=4,"Outstanding")</f>
        <v>Excellent</v>
      </c>
      <c r="AF525">
        <v>3</v>
      </c>
      <c r="AG525" t="str" cm="1">
        <f t="array" ref="AG525">_xlfn.IFS(AF525=1,"Low",AF525=2,"Medium",AF525=3,"High",AF525=4,"Very High")</f>
        <v>High</v>
      </c>
      <c r="AH525">
        <v>3</v>
      </c>
      <c r="AI525">
        <v>20</v>
      </c>
      <c r="AJ525">
        <v>3</v>
      </c>
      <c r="AK525">
        <v>3</v>
      </c>
      <c r="AL525" t="str" cm="1">
        <f t="array" ref="AL525">_xlfn.IFS(AK525=1,"Low",AK525=2,"Medium",AK525=3,"High",AK525=4,"Very High")</f>
        <v>High</v>
      </c>
      <c r="AM525">
        <v>20</v>
      </c>
      <c r="AN525">
        <v>8</v>
      </c>
      <c r="AO525">
        <v>3</v>
      </c>
      <c r="AP525">
        <v>8</v>
      </c>
    </row>
    <row r="526" spans="1:42">
      <c r="A526">
        <v>34</v>
      </c>
      <c r="B526" t="str" cm="1">
        <f t="array" ref="B526">_xlfn.IFS(A526&lt;=25,"18-25",A526&lt;=35,"26-35",A526&lt;=45,"36-45",A526&lt;=55,"46-55",A526&gt;55,"56+")</f>
        <v>26-35</v>
      </c>
      <c r="C526" t="s">
        <v>39</v>
      </c>
      <c r="D526" t="s">
        <v>33</v>
      </c>
      <c r="E526" s="2">
        <v>1442</v>
      </c>
      <c r="F526" t="s">
        <v>41</v>
      </c>
      <c r="G526">
        <v>9</v>
      </c>
      <c r="H526" t="str">
        <f t="shared" si="8"/>
        <v>1-10 km</v>
      </c>
      <c r="I526">
        <v>3</v>
      </c>
      <c r="J526" t="str" cm="1">
        <f t="array" ref="J526">_xlfn.IFS(I526=1,"Below College",I526=2,"College",I526=3,"Bachelor",I526=4,"Master",I526=5,"Doctor")</f>
        <v>Bachelor</v>
      </c>
      <c r="K526" t="s">
        <v>47</v>
      </c>
      <c r="L526">
        <v>717</v>
      </c>
      <c r="M526">
        <v>4</v>
      </c>
      <c r="N526" t="str" cm="1">
        <f t="array" ref="N526">_xlfn.IFS(M526=1,"Low",M526=2,"Medium",M526=3,"High",M526=4,"Very High")</f>
        <v>Very High</v>
      </c>
      <c r="O526" t="s">
        <v>36</v>
      </c>
      <c r="P526" s="2">
        <v>46</v>
      </c>
      <c r="Q526">
        <v>2</v>
      </c>
      <c r="R526" t="str" cm="1">
        <f t="array" ref="R526">_xlfn.IFS(Q526=1,"Low",Q526=2,"Medium",Q526=3,"High",Q526=4,"Very High")</f>
        <v>Medium</v>
      </c>
      <c r="S526">
        <v>3</v>
      </c>
      <c r="T526" t="str" cm="1">
        <f t="array" ref="T526">_xlfn.IFS(S526=1,"Entry Level",S526=2,"Junior",S526=3,"Mid-Level",S526=4,"Senior",S526=5,"Executive")</f>
        <v>Mid-Level</v>
      </c>
      <c r="U526" t="s">
        <v>50</v>
      </c>
      <c r="V526">
        <v>2</v>
      </c>
      <c r="W526" t="str" cm="1">
        <f t="array" ref="W526">_xlfn.IFS(V526=1,"Low",V526=2,"Medium",V526=3,"High",V526=4,"Very High")</f>
        <v>Medium</v>
      </c>
      <c r="X526" t="s">
        <v>38</v>
      </c>
      <c r="Y526" s="2">
        <v>8621</v>
      </c>
      <c r="Z526" s="2">
        <v>17654</v>
      </c>
      <c r="AA526">
        <v>1</v>
      </c>
      <c r="AB526" t="s">
        <v>39</v>
      </c>
      <c r="AC526">
        <v>14</v>
      </c>
      <c r="AD526">
        <v>3</v>
      </c>
      <c r="AE526" t="str" cm="1">
        <f t="array" ref="AE526">_xlfn.IFS(AD526=1,"Low",AD526=2,"Good",AD526=3,"Excellent",AD526=4,"Outstanding")</f>
        <v>Excellent</v>
      </c>
      <c r="AF526">
        <v>2</v>
      </c>
      <c r="AG526" t="str" cm="1">
        <f t="array" ref="AG526">_xlfn.IFS(AF526=1,"Low",AF526=2,"Medium",AF526=3,"High",AF526=4,"Very High")</f>
        <v>Medium</v>
      </c>
      <c r="AH526">
        <v>0</v>
      </c>
      <c r="AI526">
        <v>9</v>
      </c>
      <c r="AJ526">
        <v>3</v>
      </c>
      <c r="AK526">
        <v>4</v>
      </c>
      <c r="AL526" t="str" cm="1">
        <f t="array" ref="AL526">_xlfn.IFS(AK526=1,"Low",AK526=2,"Medium",AK526=3,"High",AK526=4,"Very High")</f>
        <v>Very High</v>
      </c>
      <c r="AM526">
        <v>8</v>
      </c>
      <c r="AN526">
        <v>7</v>
      </c>
      <c r="AO526">
        <v>7</v>
      </c>
      <c r="AP526">
        <v>7</v>
      </c>
    </row>
    <row r="527" spans="1:42">
      <c r="A527">
        <v>24</v>
      </c>
      <c r="B527" t="str" cm="1">
        <f t="array" ref="B527">_xlfn.IFS(A527&lt;=25,"18-25",A527&lt;=35,"26-35",A527&lt;=45,"36-45",A527&lt;=55,"46-55",A527&gt;55,"56+")</f>
        <v>18-25</v>
      </c>
      <c r="C527" t="s">
        <v>32</v>
      </c>
      <c r="D527" t="s">
        <v>33</v>
      </c>
      <c r="E527" s="2">
        <v>693</v>
      </c>
      <c r="F527" t="s">
        <v>34</v>
      </c>
      <c r="G527">
        <v>3</v>
      </c>
      <c r="H527" t="str">
        <f t="shared" si="8"/>
        <v>1-10 km</v>
      </c>
      <c r="I527">
        <v>2</v>
      </c>
      <c r="J527" t="str" cm="1">
        <f t="array" ref="J527">_xlfn.IFS(I527=1,"Below College",I527=2,"College",I527=3,"Bachelor",I527=4,"Master",I527=5,"Doctor")</f>
        <v>College</v>
      </c>
      <c r="K527" t="s">
        <v>35</v>
      </c>
      <c r="L527">
        <v>720</v>
      </c>
      <c r="M527">
        <v>1</v>
      </c>
      <c r="N527" t="str" cm="1">
        <f t="array" ref="N527">_xlfn.IFS(M527=1,"Low",M527=2,"Medium",M527=3,"High",M527=4,"Very High")</f>
        <v>Low</v>
      </c>
      <c r="O527" t="s">
        <v>36</v>
      </c>
      <c r="P527" s="2">
        <v>65</v>
      </c>
      <c r="Q527">
        <v>3</v>
      </c>
      <c r="R527" t="str" cm="1">
        <f t="array" ref="R527">_xlfn.IFS(Q527=1,"Low",Q527=2,"Medium",Q527=3,"High",Q527=4,"Very High")</f>
        <v>High</v>
      </c>
      <c r="S527">
        <v>2</v>
      </c>
      <c r="T527" t="str" cm="1">
        <f t="array" ref="T527">_xlfn.IFS(S527=1,"Entry Level",S527=2,"Junior",S527=3,"Mid-Level",S527=4,"Senior",S527=5,"Executive")</f>
        <v>Junior</v>
      </c>
      <c r="U527" t="s">
        <v>37</v>
      </c>
      <c r="V527">
        <v>3</v>
      </c>
      <c r="W527" t="str" cm="1">
        <f t="array" ref="W527">_xlfn.IFS(V527=1,"Low",V527=2,"Medium",V527=3,"High",V527=4,"Very High")</f>
        <v>High</v>
      </c>
      <c r="X527" t="s">
        <v>38</v>
      </c>
      <c r="Y527" s="2">
        <v>4577</v>
      </c>
      <c r="Z527" s="2">
        <v>24785</v>
      </c>
      <c r="AA527">
        <v>9</v>
      </c>
      <c r="AB527" t="s">
        <v>39</v>
      </c>
      <c r="AC527">
        <v>14</v>
      </c>
      <c r="AD527">
        <v>3</v>
      </c>
      <c r="AE527" t="str" cm="1">
        <f t="array" ref="AE527">_xlfn.IFS(AD527=1,"Low",AD527=2,"Good",AD527=3,"Excellent",AD527=4,"Outstanding")</f>
        <v>Excellent</v>
      </c>
      <c r="AF527">
        <v>1</v>
      </c>
      <c r="AG527" t="str" cm="1">
        <f t="array" ref="AG527">_xlfn.IFS(AF527=1,"Low",AF527=2,"Medium",AF527=3,"High",AF527=4,"Very High")</f>
        <v>Low</v>
      </c>
      <c r="AH527">
        <v>0</v>
      </c>
      <c r="AI527">
        <v>4</v>
      </c>
      <c r="AJ527">
        <v>3</v>
      </c>
      <c r="AK527">
        <v>3</v>
      </c>
      <c r="AL527" t="str" cm="1">
        <f t="array" ref="AL527">_xlfn.IFS(AK527=1,"Low",AK527=2,"Medium",AK527=3,"High",AK527=4,"Very High")</f>
        <v>High</v>
      </c>
      <c r="AM527">
        <v>2</v>
      </c>
      <c r="AN527">
        <v>2</v>
      </c>
      <c r="AO527">
        <v>2</v>
      </c>
      <c r="AP527">
        <v>0</v>
      </c>
    </row>
    <row r="528" spans="1:42">
      <c r="A528">
        <v>39</v>
      </c>
      <c r="B528" t="str" cm="1">
        <f t="array" ref="B528">_xlfn.IFS(A528&lt;=25,"18-25",A528&lt;=35,"26-35",A528&lt;=45,"36-45",A528&lt;=55,"46-55",A528&gt;55,"56+")</f>
        <v>36-45</v>
      </c>
      <c r="C528" t="s">
        <v>39</v>
      </c>
      <c r="D528" t="s">
        <v>33</v>
      </c>
      <c r="E528" s="2">
        <v>408</v>
      </c>
      <c r="F528" t="s">
        <v>41</v>
      </c>
      <c r="G528">
        <v>2</v>
      </c>
      <c r="H528" t="str">
        <f t="shared" si="8"/>
        <v>1-10 km</v>
      </c>
      <c r="I528">
        <v>4</v>
      </c>
      <c r="J528" t="str" cm="1">
        <f t="array" ref="J528">_xlfn.IFS(I528=1,"Below College",I528=2,"College",I528=3,"Bachelor",I528=4,"Master",I528=5,"Doctor")</f>
        <v>Master</v>
      </c>
      <c r="K528" t="s">
        <v>56</v>
      </c>
      <c r="L528">
        <v>721</v>
      </c>
      <c r="M528">
        <v>4</v>
      </c>
      <c r="N528" t="str" cm="1">
        <f t="array" ref="N528">_xlfn.IFS(M528=1,"Low",M528=2,"Medium",M528=3,"High",M528=4,"Very High")</f>
        <v>Very High</v>
      </c>
      <c r="O528" t="s">
        <v>36</v>
      </c>
      <c r="P528" s="2">
        <v>80</v>
      </c>
      <c r="Q528">
        <v>2</v>
      </c>
      <c r="R528" t="str" cm="1">
        <f t="array" ref="R528">_xlfn.IFS(Q528=1,"Low",Q528=2,"Medium",Q528=3,"High",Q528=4,"Very High")</f>
        <v>Medium</v>
      </c>
      <c r="S528">
        <v>2</v>
      </c>
      <c r="T528" t="str" cm="1">
        <f t="array" ref="T528">_xlfn.IFS(S528=1,"Entry Level",S528=2,"Junior",S528=3,"Mid-Level",S528=4,"Senior",S528=5,"Executive")</f>
        <v>Junior</v>
      </c>
      <c r="U528" t="s">
        <v>50</v>
      </c>
      <c r="V528">
        <v>3</v>
      </c>
      <c r="W528" t="str" cm="1">
        <f t="array" ref="W528">_xlfn.IFS(V528=1,"Low",V528=2,"Medium",V528=3,"High",V528=4,"Very High")</f>
        <v>High</v>
      </c>
      <c r="X528" t="s">
        <v>38</v>
      </c>
      <c r="Y528" s="2">
        <v>4553</v>
      </c>
      <c r="Z528" s="2">
        <v>20978</v>
      </c>
      <c r="AA528">
        <v>1</v>
      </c>
      <c r="AB528" t="s">
        <v>39</v>
      </c>
      <c r="AC528">
        <v>11</v>
      </c>
      <c r="AD528">
        <v>3</v>
      </c>
      <c r="AE528" t="str" cm="1">
        <f t="array" ref="AE528">_xlfn.IFS(AD528=1,"Low",AD528=2,"Good",AD528=3,"Excellent",AD528=4,"Outstanding")</f>
        <v>Excellent</v>
      </c>
      <c r="AF528">
        <v>1</v>
      </c>
      <c r="AG528" t="str" cm="1">
        <f t="array" ref="AG528">_xlfn.IFS(AF528=1,"Low",AF528=2,"Medium",AF528=3,"High",AF528=4,"Very High")</f>
        <v>Low</v>
      </c>
      <c r="AH528">
        <v>0</v>
      </c>
      <c r="AI528">
        <v>20</v>
      </c>
      <c r="AJ528">
        <v>4</v>
      </c>
      <c r="AK528">
        <v>3</v>
      </c>
      <c r="AL528" t="str" cm="1">
        <f t="array" ref="AL528">_xlfn.IFS(AK528=1,"Low",AK528=2,"Medium",AK528=3,"High",AK528=4,"Very High")</f>
        <v>High</v>
      </c>
      <c r="AM528">
        <v>20</v>
      </c>
      <c r="AN528">
        <v>7</v>
      </c>
      <c r="AO528">
        <v>11</v>
      </c>
      <c r="AP528">
        <v>10</v>
      </c>
    </row>
    <row r="529" spans="1:42">
      <c r="A529">
        <v>32</v>
      </c>
      <c r="B529" t="str" cm="1">
        <f t="array" ref="B529">_xlfn.IFS(A529&lt;=25,"18-25",A529&lt;=35,"26-35",A529&lt;=45,"36-45",A529&lt;=55,"46-55",A529&gt;55,"56+")</f>
        <v>26-35</v>
      </c>
      <c r="C529" t="s">
        <v>39</v>
      </c>
      <c r="D529" t="s">
        <v>33</v>
      </c>
      <c r="E529" s="2">
        <v>929</v>
      </c>
      <c r="F529" t="s">
        <v>34</v>
      </c>
      <c r="G529">
        <v>10</v>
      </c>
      <c r="H529" t="str">
        <f t="shared" si="8"/>
        <v>1-10 km</v>
      </c>
      <c r="I529">
        <v>3</v>
      </c>
      <c r="J529" t="str" cm="1">
        <f t="array" ref="J529">_xlfn.IFS(I529=1,"Below College",I529=2,"College",I529=3,"Bachelor",I529=4,"Master",I529=5,"Doctor")</f>
        <v>Bachelor</v>
      </c>
      <c r="K529" t="s">
        <v>55</v>
      </c>
      <c r="L529">
        <v>722</v>
      </c>
      <c r="M529">
        <v>4</v>
      </c>
      <c r="N529" t="str" cm="1">
        <f t="array" ref="N529">_xlfn.IFS(M529=1,"Low",M529=2,"Medium",M529=3,"High",M529=4,"Very High")</f>
        <v>Very High</v>
      </c>
      <c r="O529" t="s">
        <v>42</v>
      </c>
      <c r="P529" s="2">
        <v>55</v>
      </c>
      <c r="Q529">
        <v>3</v>
      </c>
      <c r="R529" t="str" cm="1">
        <f t="array" ref="R529">_xlfn.IFS(Q529=1,"Low",Q529=2,"Medium",Q529=3,"High",Q529=4,"Very High")</f>
        <v>High</v>
      </c>
      <c r="S529">
        <v>2</v>
      </c>
      <c r="T529" t="str" cm="1">
        <f t="array" ref="T529">_xlfn.IFS(S529=1,"Entry Level",S529=2,"Junior",S529=3,"Mid-Level",S529=4,"Senior",S529=5,"Executive")</f>
        <v>Junior</v>
      </c>
      <c r="U529" t="s">
        <v>37</v>
      </c>
      <c r="V529">
        <v>4</v>
      </c>
      <c r="W529" t="str" cm="1">
        <f t="array" ref="W529">_xlfn.IFS(V529=1,"Low",V529=2,"Medium",V529=3,"High",V529=4,"Very High")</f>
        <v>Very High</v>
      </c>
      <c r="X529" t="s">
        <v>38</v>
      </c>
      <c r="Y529" s="2">
        <v>5396</v>
      </c>
      <c r="Z529" s="2">
        <v>21703</v>
      </c>
      <c r="AA529">
        <v>1</v>
      </c>
      <c r="AB529" t="s">
        <v>39</v>
      </c>
      <c r="AC529">
        <v>12</v>
      </c>
      <c r="AD529">
        <v>3</v>
      </c>
      <c r="AE529" t="str" cm="1">
        <f t="array" ref="AE529">_xlfn.IFS(AD529=1,"Low",AD529=2,"Good",AD529=3,"Excellent",AD529=4,"Outstanding")</f>
        <v>Excellent</v>
      </c>
      <c r="AF529">
        <v>4</v>
      </c>
      <c r="AG529" t="str" cm="1">
        <f t="array" ref="AG529">_xlfn.IFS(AF529=1,"Low",AF529=2,"Medium",AF529=3,"High",AF529=4,"Very High")</f>
        <v>Very High</v>
      </c>
      <c r="AH529">
        <v>0</v>
      </c>
      <c r="AI529">
        <v>10</v>
      </c>
      <c r="AJ529">
        <v>2</v>
      </c>
      <c r="AK529">
        <v>2</v>
      </c>
      <c r="AL529" t="str" cm="1">
        <f t="array" ref="AL529">_xlfn.IFS(AK529=1,"Low",AK529=2,"Medium",AK529=3,"High",AK529=4,"Very High")</f>
        <v>Medium</v>
      </c>
      <c r="AM529">
        <v>10</v>
      </c>
      <c r="AN529">
        <v>7</v>
      </c>
      <c r="AO529">
        <v>0</v>
      </c>
      <c r="AP529">
        <v>8</v>
      </c>
    </row>
    <row r="530" spans="1:42">
      <c r="A530">
        <v>50</v>
      </c>
      <c r="B530" t="str" cm="1">
        <f t="array" ref="B530">_xlfn.IFS(A530&lt;=25,"18-25",A530&lt;=35,"26-35",A530&lt;=45,"36-45",A530&lt;=55,"46-55",A530&gt;55,"56+")</f>
        <v>46-55</v>
      </c>
      <c r="C530" t="s">
        <v>32</v>
      </c>
      <c r="D530" t="s">
        <v>40</v>
      </c>
      <c r="E530" s="2">
        <v>562</v>
      </c>
      <c r="F530" t="s">
        <v>34</v>
      </c>
      <c r="G530">
        <v>8</v>
      </c>
      <c r="H530" t="str">
        <f t="shared" si="8"/>
        <v>1-10 km</v>
      </c>
      <c r="I530">
        <v>2</v>
      </c>
      <c r="J530" t="str" cm="1">
        <f t="array" ref="J530">_xlfn.IFS(I530=1,"Below College",I530=2,"College",I530=3,"Bachelor",I530=4,"Master",I530=5,"Doctor")</f>
        <v>College</v>
      </c>
      <c r="K530" t="s">
        <v>56</v>
      </c>
      <c r="L530">
        <v>723</v>
      </c>
      <c r="M530">
        <v>2</v>
      </c>
      <c r="N530" t="str" cm="1">
        <f t="array" ref="N530">_xlfn.IFS(M530=1,"Low",M530=2,"Medium",M530=3,"High",M530=4,"Very High")</f>
        <v>Medium</v>
      </c>
      <c r="O530" t="s">
        <v>42</v>
      </c>
      <c r="P530" s="2">
        <v>50</v>
      </c>
      <c r="Q530">
        <v>3</v>
      </c>
      <c r="R530" t="str" cm="1">
        <f t="array" ref="R530">_xlfn.IFS(Q530=1,"Low",Q530=2,"Medium",Q530=3,"High",Q530=4,"Very High")</f>
        <v>High</v>
      </c>
      <c r="S530">
        <v>2</v>
      </c>
      <c r="T530" t="str" cm="1">
        <f t="array" ref="T530">_xlfn.IFS(S530=1,"Entry Level",S530=2,"Junior",S530=3,"Mid-Level",S530=4,"Senior",S530=5,"Executive")</f>
        <v>Junior</v>
      </c>
      <c r="U530" t="s">
        <v>37</v>
      </c>
      <c r="V530">
        <v>3</v>
      </c>
      <c r="W530" t="str" cm="1">
        <f t="array" ref="W530">_xlfn.IFS(V530=1,"Low",V530=2,"Medium",V530=3,"High",V530=4,"Very High")</f>
        <v>High</v>
      </c>
      <c r="X530" t="s">
        <v>44</v>
      </c>
      <c r="Y530" s="2">
        <v>6796</v>
      </c>
      <c r="Z530" s="2">
        <v>23452</v>
      </c>
      <c r="AA530">
        <v>3</v>
      </c>
      <c r="AB530" t="s">
        <v>32</v>
      </c>
      <c r="AC530">
        <v>14</v>
      </c>
      <c r="AD530">
        <v>3</v>
      </c>
      <c r="AE530" t="str" cm="1">
        <f t="array" ref="AE530">_xlfn.IFS(AD530=1,"Low",AD530=2,"Good",AD530=3,"Excellent",AD530=4,"Outstanding")</f>
        <v>Excellent</v>
      </c>
      <c r="AF530">
        <v>1</v>
      </c>
      <c r="AG530" t="str" cm="1">
        <f t="array" ref="AG530">_xlfn.IFS(AF530=1,"Low",AF530=2,"Medium",AF530=3,"High",AF530=4,"Very High")</f>
        <v>Low</v>
      </c>
      <c r="AH530">
        <v>1</v>
      </c>
      <c r="AI530">
        <v>18</v>
      </c>
      <c r="AJ530">
        <v>4</v>
      </c>
      <c r="AK530">
        <v>3</v>
      </c>
      <c r="AL530" t="str" cm="1">
        <f t="array" ref="AL530">_xlfn.IFS(AK530=1,"Low",AK530=2,"Medium",AK530=3,"High",AK530=4,"Very High")</f>
        <v>High</v>
      </c>
      <c r="AM530">
        <v>4</v>
      </c>
      <c r="AN530">
        <v>3</v>
      </c>
      <c r="AO530">
        <v>1</v>
      </c>
      <c r="AP530">
        <v>3</v>
      </c>
    </row>
    <row r="531" spans="1:42">
      <c r="A531">
        <v>38</v>
      </c>
      <c r="B531" t="str" cm="1">
        <f t="array" ref="B531">_xlfn.IFS(A531&lt;=25,"18-25",A531&lt;=35,"26-35",A531&lt;=45,"36-45",A531&lt;=55,"46-55",A531&gt;55,"56+")</f>
        <v>36-45</v>
      </c>
      <c r="C531" t="s">
        <v>39</v>
      </c>
      <c r="D531" t="s">
        <v>33</v>
      </c>
      <c r="E531" s="2">
        <v>827</v>
      </c>
      <c r="F531" t="s">
        <v>41</v>
      </c>
      <c r="G531">
        <v>1</v>
      </c>
      <c r="H531" t="str">
        <f t="shared" si="8"/>
        <v>1-10 km</v>
      </c>
      <c r="I531">
        <v>4</v>
      </c>
      <c r="J531" t="str" cm="1">
        <f t="array" ref="J531">_xlfn.IFS(I531=1,"Below College",I531=2,"College",I531=3,"Bachelor",I531=4,"Master",I531=5,"Doctor")</f>
        <v>Master</v>
      </c>
      <c r="K531" t="s">
        <v>35</v>
      </c>
      <c r="L531">
        <v>724</v>
      </c>
      <c r="M531">
        <v>2</v>
      </c>
      <c r="N531" t="str" cm="1">
        <f t="array" ref="N531">_xlfn.IFS(M531=1,"Low",M531=2,"Medium",M531=3,"High",M531=4,"Very High")</f>
        <v>Medium</v>
      </c>
      <c r="O531" t="s">
        <v>36</v>
      </c>
      <c r="P531" s="2">
        <v>33</v>
      </c>
      <c r="Q531">
        <v>4</v>
      </c>
      <c r="R531" t="str" cm="1">
        <f t="array" ref="R531">_xlfn.IFS(Q531=1,"Low",Q531=2,"Medium",Q531=3,"High",Q531=4,"Very High")</f>
        <v>Very High</v>
      </c>
      <c r="S531">
        <v>2</v>
      </c>
      <c r="T531" t="str" cm="1">
        <f t="array" ref="T531">_xlfn.IFS(S531=1,"Entry Level",S531=2,"Junior",S531=3,"Mid-Level",S531=4,"Senior",S531=5,"Executive")</f>
        <v>Junior</v>
      </c>
      <c r="U531" t="s">
        <v>50</v>
      </c>
      <c r="V531">
        <v>4</v>
      </c>
      <c r="W531" t="str" cm="1">
        <f t="array" ref="W531">_xlfn.IFS(V531=1,"Low",V531=2,"Medium",V531=3,"High",V531=4,"Very High")</f>
        <v>Very High</v>
      </c>
      <c r="X531" t="s">
        <v>38</v>
      </c>
      <c r="Y531" s="2">
        <v>7625</v>
      </c>
      <c r="Z531" s="2">
        <v>19383</v>
      </c>
      <c r="AA531">
        <v>0</v>
      </c>
      <c r="AB531" t="s">
        <v>39</v>
      </c>
      <c r="AC531">
        <v>13</v>
      </c>
      <c r="AD531">
        <v>3</v>
      </c>
      <c r="AE531" t="str" cm="1">
        <f t="array" ref="AE531">_xlfn.IFS(AD531=1,"Low",AD531=2,"Good",AD531=3,"Excellent",AD531=4,"Outstanding")</f>
        <v>Excellent</v>
      </c>
      <c r="AF531">
        <v>3</v>
      </c>
      <c r="AG531" t="str" cm="1">
        <f t="array" ref="AG531">_xlfn.IFS(AF531=1,"Low",AF531=2,"Medium",AF531=3,"High",AF531=4,"Very High")</f>
        <v>High</v>
      </c>
      <c r="AH531">
        <v>0</v>
      </c>
      <c r="AI531">
        <v>10</v>
      </c>
      <c r="AJ531">
        <v>4</v>
      </c>
      <c r="AK531">
        <v>2</v>
      </c>
      <c r="AL531" t="str" cm="1">
        <f t="array" ref="AL531">_xlfn.IFS(AK531=1,"Low",AK531=2,"Medium",AK531=3,"High",AK531=4,"Very High")</f>
        <v>Medium</v>
      </c>
      <c r="AM531">
        <v>9</v>
      </c>
      <c r="AN531">
        <v>7</v>
      </c>
      <c r="AO531">
        <v>1</v>
      </c>
      <c r="AP531">
        <v>8</v>
      </c>
    </row>
    <row r="532" spans="1:42">
      <c r="A532">
        <v>27</v>
      </c>
      <c r="B532" t="str" cm="1">
        <f t="array" ref="B532">_xlfn.IFS(A532&lt;=25,"18-25",A532&lt;=35,"26-35",A532&lt;=45,"36-45",A532&lt;=55,"46-55",A532&gt;55,"56+")</f>
        <v>26-35</v>
      </c>
      <c r="C532" t="s">
        <v>39</v>
      </c>
      <c r="D532" t="s">
        <v>33</v>
      </c>
      <c r="E532" s="2">
        <v>608</v>
      </c>
      <c r="F532" t="s">
        <v>41</v>
      </c>
      <c r="G532">
        <v>1</v>
      </c>
      <c r="H532" t="str">
        <f t="shared" si="8"/>
        <v>1-10 km</v>
      </c>
      <c r="I532">
        <v>2</v>
      </c>
      <c r="J532" t="str" cm="1">
        <f t="array" ref="J532">_xlfn.IFS(I532=1,"Below College",I532=2,"College",I532=3,"Bachelor",I532=4,"Master",I532=5,"Doctor")</f>
        <v>College</v>
      </c>
      <c r="K532" t="s">
        <v>35</v>
      </c>
      <c r="L532">
        <v>725</v>
      </c>
      <c r="M532">
        <v>3</v>
      </c>
      <c r="N532" t="str" cm="1">
        <f t="array" ref="N532">_xlfn.IFS(M532=1,"Low",M532=2,"Medium",M532=3,"High",M532=4,"Very High")</f>
        <v>High</v>
      </c>
      <c r="O532" t="s">
        <v>36</v>
      </c>
      <c r="P532" s="2">
        <v>68</v>
      </c>
      <c r="Q532">
        <v>3</v>
      </c>
      <c r="R532" t="str" cm="1">
        <f t="array" ref="R532">_xlfn.IFS(Q532=1,"Low",Q532=2,"Medium",Q532=3,"High",Q532=4,"Very High")</f>
        <v>High</v>
      </c>
      <c r="S532">
        <v>3</v>
      </c>
      <c r="T532" t="str" cm="1">
        <f t="array" ref="T532">_xlfn.IFS(S532=1,"Entry Level",S532=2,"Junior",S532=3,"Mid-Level",S532=4,"Senior",S532=5,"Executive")</f>
        <v>Mid-Level</v>
      </c>
      <c r="U532" t="s">
        <v>49</v>
      </c>
      <c r="V532">
        <v>1</v>
      </c>
      <c r="W532" t="str" cm="1">
        <f t="array" ref="W532">_xlfn.IFS(V532=1,"Low",V532=2,"Medium",V532=3,"High",V532=4,"Very High")</f>
        <v>Low</v>
      </c>
      <c r="X532" t="s">
        <v>44</v>
      </c>
      <c r="Y532" s="2">
        <v>7412</v>
      </c>
      <c r="Z532" s="2">
        <v>6009</v>
      </c>
      <c r="AA532">
        <v>1</v>
      </c>
      <c r="AB532" t="s">
        <v>39</v>
      </c>
      <c r="AC532">
        <v>11</v>
      </c>
      <c r="AD532">
        <v>3</v>
      </c>
      <c r="AE532" t="str" cm="1">
        <f t="array" ref="AE532">_xlfn.IFS(AD532=1,"Low",AD532=2,"Good",AD532=3,"Excellent",AD532=4,"Outstanding")</f>
        <v>Excellent</v>
      </c>
      <c r="AF532">
        <v>4</v>
      </c>
      <c r="AG532" t="str" cm="1">
        <f t="array" ref="AG532">_xlfn.IFS(AF532=1,"Low",AF532=2,"Medium",AF532=3,"High",AF532=4,"Very High")</f>
        <v>Very High</v>
      </c>
      <c r="AH532">
        <v>0</v>
      </c>
      <c r="AI532">
        <v>9</v>
      </c>
      <c r="AJ532">
        <v>3</v>
      </c>
      <c r="AK532">
        <v>3</v>
      </c>
      <c r="AL532" t="str" cm="1">
        <f t="array" ref="AL532">_xlfn.IFS(AK532=1,"Low",AK532=2,"Medium",AK532=3,"High",AK532=4,"Very High")</f>
        <v>High</v>
      </c>
      <c r="AM532">
        <v>9</v>
      </c>
      <c r="AN532">
        <v>7</v>
      </c>
      <c r="AO532">
        <v>0</v>
      </c>
      <c r="AP532">
        <v>7</v>
      </c>
    </row>
    <row r="533" spans="1:42">
      <c r="A533">
        <v>32</v>
      </c>
      <c r="B533" t="str" cm="1">
        <f t="array" ref="B533">_xlfn.IFS(A533&lt;=25,"18-25",A533&lt;=35,"26-35",A533&lt;=45,"36-45",A533&lt;=55,"46-55",A533&gt;55,"56+")</f>
        <v>26-35</v>
      </c>
      <c r="C533" t="s">
        <v>39</v>
      </c>
      <c r="D533" t="s">
        <v>33</v>
      </c>
      <c r="E533" s="2">
        <v>1018</v>
      </c>
      <c r="F533" t="s">
        <v>41</v>
      </c>
      <c r="G533">
        <v>3</v>
      </c>
      <c r="H533" t="str">
        <f t="shared" si="8"/>
        <v>1-10 km</v>
      </c>
      <c r="I533">
        <v>2</v>
      </c>
      <c r="J533" t="str" cm="1">
        <f t="array" ref="J533">_xlfn.IFS(I533=1,"Below College",I533=2,"College",I533=3,"Bachelor",I533=4,"Master",I533=5,"Doctor")</f>
        <v>College</v>
      </c>
      <c r="K533" t="s">
        <v>35</v>
      </c>
      <c r="L533">
        <v>727</v>
      </c>
      <c r="M533">
        <v>3</v>
      </c>
      <c r="N533" t="str" cm="1">
        <f t="array" ref="N533">_xlfn.IFS(M533=1,"Low",M533=2,"Medium",M533=3,"High",M533=4,"Very High")</f>
        <v>High</v>
      </c>
      <c r="O533" t="s">
        <v>36</v>
      </c>
      <c r="P533" s="2">
        <v>39</v>
      </c>
      <c r="Q533">
        <v>3</v>
      </c>
      <c r="R533" t="str" cm="1">
        <f t="array" ref="R533">_xlfn.IFS(Q533=1,"Low",Q533=2,"Medium",Q533=3,"High",Q533=4,"Very High")</f>
        <v>High</v>
      </c>
      <c r="S533">
        <v>3</v>
      </c>
      <c r="T533" t="str" cm="1">
        <f t="array" ref="T533">_xlfn.IFS(S533=1,"Entry Level",S533=2,"Junior",S533=3,"Mid-Level",S533=4,"Senior",S533=5,"Executive")</f>
        <v>Mid-Level</v>
      </c>
      <c r="U533" t="s">
        <v>54</v>
      </c>
      <c r="V533">
        <v>4</v>
      </c>
      <c r="W533" t="str" cm="1">
        <f t="array" ref="W533">_xlfn.IFS(V533=1,"Low",V533=2,"Medium",V533=3,"High",V533=4,"Very High")</f>
        <v>Very High</v>
      </c>
      <c r="X533" t="s">
        <v>38</v>
      </c>
      <c r="Y533" s="2">
        <v>11159</v>
      </c>
      <c r="Z533" s="2">
        <v>19373</v>
      </c>
      <c r="AA533">
        <v>3</v>
      </c>
      <c r="AB533" t="s">
        <v>39</v>
      </c>
      <c r="AC533">
        <v>15</v>
      </c>
      <c r="AD533">
        <v>3</v>
      </c>
      <c r="AE533" t="str" cm="1">
        <f t="array" ref="AE533">_xlfn.IFS(AD533=1,"Low",AD533=2,"Good",AD533=3,"Excellent",AD533=4,"Outstanding")</f>
        <v>Excellent</v>
      </c>
      <c r="AF533">
        <v>4</v>
      </c>
      <c r="AG533" t="str" cm="1">
        <f t="array" ref="AG533">_xlfn.IFS(AF533=1,"Low",AF533=2,"Medium",AF533=3,"High",AF533=4,"Very High")</f>
        <v>Very High</v>
      </c>
      <c r="AH533">
        <v>0</v>
      </c>
      <c r="AI533">
        <v>10</v>
      </c>
      <c r="AJ533">
        <v>6</v>
      </c>
      <c r="AK533">
        <v>3</v>
      </c>
      <c r="AL533" t="str" cm="1">
        <f t="array" ref="AL533">_xlfn.IFS(AK533=1,"Low",AK533=2,"Medium",AK533=3,"High",AK533=4,"Very High")</f>
        <v>High</v>
      </c>
      <c r="AM533">
        <v>7</v>
      </c>
      <c r="AN533">
        <v>7</v>
      </c>
      <c r="AO533">
        <v>7</v>
      </c>
      <c r="AP533">
        <v>7</v>
      </c>
    </row>
    <row r="534" spans="1:42">
      <c r="A534">
        <v>47</v>
      </c>
      <c r="B534" t="str" cm="1">
        <f t="array" ref="B534">_xlfn.IFS(A534&lt;=25,"18-25",A534&lt;=35,"26-35",A534&lt;=45,"36-45",A534&lt;=55,"46-55",A534&gt;55,"56+")</f>
        <v>46-55</v>
      </c>
      <c r="C534" t="s">
        <v>39</v>
      </c>
      <c r="D534" t="s">
        <v>33</v>
      </c>
      <c r="E534" s="2">
        <v>703</v>
      </c>
      <c r="F534" t="s">
        <v>34</v>
      </c>
      <c r="G534">
        <v>14</v>
      </c>
      <c r="H534" t="str">
        <f t="shared" si="8"/>
        <v>11-20 km</v>
      </c>
      <c r="I534">
        <v>4</v>
      </c>
      <c r="J534" t="str" cm="1">
        <f t="array" ref="J534">_xlfn.IFS(I534=1,"Below College",I534=2,"College",I534=3,"Bachelor",I534=4,"Master",I534=5,"Doctor")</f>
        <v>Master</v>
      </c>
      <c r="K534" t="s">
        <v>55</v>
      </c>
      <c r="L534">
        <v>728</v>
      </c>
      <c r="M534">
        <v>4</v>
      </c>
      <c r="N534" t="str" cm="1">
        <f t="array" ref="N534">_xlfn.IFS(M534=1,"Low",M534=2,"Medium",M534=3,"High",M534=4,"Very High")</f>
        <v>Very High</v>
      </c>
      <c r="O534" t="s">
        <v>42</v>
      </c>
      <c r="P534" s="2">
        <v>42</v>
      </c>
      <c r="Q534">
        <v>3</v>
      </c>
      <c r="R534" t="str" cm="1">
        <f t="array" ref="R534">_xlfn.IFS(Q534=1,"Low",Q534=2,"Medium",Q534=3,"High",Q534=4,"Very High")</f>
        <v>High</v>
      </c>
      <c r="S534">
        <v>2</v>
      </c>
      <c r="T534" t="str" cm="1">
        <f t="array" ref="T534">_xlfn.IFS(S534=1,"Entry Level",S534=2,"Junior",S534=3,"Mid-Level",S534=4,"Senior",S534=5,"Executive")</f>
        <v>Junior</v>
      </c>
      <c r="U534" t="s">
        <v>37</v>
      </c>
      <c r="V534">
        <v>1</v>
      </c>
      <c r="W534" t="str" cm="1">
        <f t="array" ref="W534">_xlfn.IFS(V534=1,"Low",V534=2,"Medium",V534=3,"High",V534=4,"Very High")</f>
        <v>Low</v>
      </c>
      <c r="X534" t="s">
        <v>38</v>
      </c>
      <c r="Y534" s="2">
        <v>4960</v>
      </c>
      <c r="Z534" s="2">
        <v>11825</v>
      </c>
      <c r="AA534">
        <v>2</v>
      </c>
      <c r="AB534" t="s">
        <v>39</v>
      </c>
      <c r="AC534">
        <v>12</v>
      </c>
      <c r="AD534">
        <v>3</v>
      </c>
      <c r="AE534" t="str" cm="1">
        <f t="array" ref="AE534">_xlfn.IFS(AD534=1,"Low",AD534=2,"Good",AD534=3,"Excellent",AD534=4,"Outstanding")</f>
        <v>Excellent</v>
      </c>
      <c r="AF534">
        <v>4</v>
      </c>
      <c r="AG534" t="str" cm="1">
        <f t="array" ref="AG534">_xlfn.IFS(AF534=1,"Low",AF534=2,"Medium",AF534=3,"High",AF534=4,"Very High")</f>
        <v>Very High</v>
      </c>
      <c r="AH534">
        <v>0</v>
      </c>
      <c r="AI534">
        <v>20</v>
      </c>
      <c r="AJ534">
        <v>2</v>
      </c>
      <c r="AK534">
        <v>3</v>
      </c>
      <c r="AL534" t="str" cm="1">
        <f t="array" ref="AL534">_xlfn.IFS(AK534=1,"Low",AK534=2,"Medium",AK534=3,"High",AK534=4,"Very High")</f>
        <v>High</v>
      </c>
      <c r="AM534">
        <v>7</v>
      </c>
      <c r="AN534">
        <v>7</v>
      </c>
      <c r="AO534">
        <v>1</v>
      </c>
      <c r="AP534">
        <v>7</v>
      </c>
    </row>
    <row r="535" spans="1:42">
      <c r="A535">
        <v>40</v>
      </c>
      <c r="B535" t="str" cm="1">
        <f t="array" ref="B535">_xlfn.IFS(A535&lt;=25,"18-25",A535&lt;=35,"26-35",A535&lt;=45,"36-45",A535&lt;=55,"46-55",A535&gt;55,"56+")</f>
        <v>36-45</v>
      </c>
      <c r="C535" t="s">
        <v>39</v>
      </c>
      <c r="D535" t="s">
        <v>40</v>
      </c>
      <c r="E535" s="2">
        <v>580</v>
      </c>
      <c r="F535" t="s">
        <v>34</v>
      </c>
      <c r="G535">
        <v>5</v>
      </c>
      <c r="H535" t="str">
        <f t="shared" si="8"/>
        <v>1-10 km</v>
      </c>
      <c r="I535">
        <v>4</v>
      </c>
      <c r="J535" t="str" cm="1">
        <f t="array" ref="J535">_xlfn.IFS(I535=1,"Below College",I535=2,"College",I535=3,"Bachelor",I535=4,"Master",I535=5,"Doctor")</f>
        <v>Master</v>
      </c>
      <c r="K535" t="s">
        <v>35</v>
      </c>
      <c r="L535">
        <v>729</v>
      </c>
      <c r="M535">
        <v>4</v>
      </c>
      <c r="N535" t="str" cm="1">
        <f t="array" ref="N535">_xlfn.IFS(M535=1,"Low",M535=2,"Medium",M535=3,"High",M535=4,"Very High")</f>
        <v>Very High</v>
      </c>
      <c r="O535" t="s">
        <v>42</v>
      </c>
      <c r="P535" s="2">
        <v>48</v>
      </c>
      <c r="Q535">
        <v>2</v>
      </c>
      <c r="R535" t="str" cm="1">
        <f t="array" ref="R535">_xlfn.IFS(Q535=1,"Low",Q535=2,"Medium",Q535=3,"High",Q535=4,"Very High")</f>
        <v>Medium</v>
      </c>
      <c r="S535">
        <v>3</v>
      </c>
      <c r="T535" t="str" cm="1">
        <f t="array" ref="T535">_xlfn.IFS(S535=1,"Entry Level",S535=2,"Junior",S535=3,"Mid-Level",S535=4,"Senior",S535=5,"Executive")</f>
        <v>Mid-Level</v>
      </c>
      <c r="U535" t="s">
        <v>37</v>
      </c>
      <c r="V535">
        <v>1</v>
      </c>
      <c r="W535" t="str" cm="1">
        <f t="array" ref="W535">_xlfn.IFS(V535=1,"Low",V535=2,"Medium",V535=3,"High",V535=4,"Very High")</f>
        <v>Low</v>
      </c>
      <c r="X535" t="s">
        <v>44</v>
      </c>
      <c r="Y535" s="2">
        <v>10475</v>
      </c>
      <c r="Z535" s="2">
        <v>23772</v>
      </c>
      <c r="AA535">
        <v>5</v>
      </c>
      <c r="AB535" t="s">
        <v>32</v>
      </c>
      <c r="AC535">
        <v>21</v>
      </c>
      <c r="AD535">
        <v>4</v>
      </c>
      <c r="AE535" t="str" cm="1">
        <f t="array" ref="AE535">_xlfn.IFS(AD535=1,"Low",AD535=2,"Good",AD535=3,"Excellent",AD535=4,"Outstanding")</f>
        <v>Outstanding</v>
      </c>
      <c r="AF535">
        <v>3</v>
      </c>
      <c r="AG535" t="str" cm="1">
        <f t="array" ref="AG535">_xlfn.IFS(AF535=1,"Low",AF535=2,"Medium",AF535=3,"High",AF535=4,"Very High")</f>
        <v>High</v>
      </c>
      <c r="AH535">
        <v>1</v>
      </c>
      <c r="AI535">
        <v>20</v>
      </c>
      <c r="AJ535">
        <v>2</v>
      </c>
      <c r="AK535">
        <v>3</v>
      </c>
      <c r="AL535" t="str" cm="1">
        <f t="array" ref="AL535">_xlfn.IFS(AK535=1,"Low",AK535=2,"Medium",AK535=3,"High",AK535=4,"Very High")</f>
        <v>High</v>
      </c>
      <c r="AM535">
        <v>18</v>
      </c>
      <c r="AN535">
        <v>13</v>
      </c>
      <c r="AO535">
        <v>1</v>
      </c>
      <c r="AP535">
        <v>12</v>
      </c>
    </row>
    <row r="536" spans="1:42">
      <c r="A536">
        <v>53</v>
      </c>
      <c r="B536" t="str" cm="1">
        <f t="array" ref="B536">_xlfn.IFS(A536&lt;=25,"18-25",A536&lt;=35,"26-35",A536&lt;=45,"36-45",A536&lt;=55,"46-55",A536&gt;55,"56+")</f>
        <v>46-55</v>
      </c>
      <c r="C536" t="s">
        <v>39</v>
      </c>
      <c r="D536" t="s">
        <v>33</v>
      </c>
      <c r="E536" s="2">
        <v>970</v>
      </c>
      <c r="F536" t="s">
        <v>41</v>
      </c>
      <c r="G536">
        <v>7</v>
      </c>
      <c r="H536" t="str">
        <f t="shared" si="8"/>
        <v>1-10 km</v>
      </c>
      <c r="I536">
        <v>3</v>
      </c>
      <c r="J536" t="str" cm="1">
        <f t="array" ref="J536">_xlfn.IFS(I536=1,"Below College",I536=2,"College",I536=3,"Bachelor",I536=4,"Master",I536=5,"Doctor")</f>
        <v>Bachelor</v>
      </c>
      <c r="K536" t="s">
        <v>35</v>
      </c>
      <c r="L536">
        <v>730</v>
      </c>
      <c r="M536">
        <v>3</v>
      </c>
      <c r="N536" t="str" cm="1">
        <f t="array" ref="N536">_xlfn.IFS(M536=1,"Low",M536=2,"Medium",M536=3,"High",M536=4,"Very High")</f>
        <v>High</v>
      </c>
      <c r="O536" t="s">
        <v>42</v>
      </c>
      <c r="P536" s="2">
        <v>59</v>
      </c>
      <c r="Q536">
        <v>4</v>
      </c>
      <c r="R536" t="str" cm="1">
        <f t="array" ref="R536">_xlfn.IFS(Q536=1,"Low",Q536=2,"Medium",Q536=3,"High",Q536=4,"Very High")</f>
        <v>Very High</v>
      </c>
      <c r="S536">
        <v>4</v>
      </c>
      <c r="T536" t="str" cm="1">
        <f t="array" ref="T536">_xlfn.IFS(S536=1,"Entry Level",S536=2,"Junior",S536=3,"Mid-Level",S536=4,"Senior",S536=5,"Executive")</f>
        <v>Senior</v>
      </c>
      <c r="U536" t="s">
        <v>54</v>
      </c>
      <c r="V536">
        <v>3</v>
      </c>
      <c r="W536" t="str" cm="1">
        <f t="array" ref="W536">_xlfn.IFS(V536=1,"Low",V536=2,"Medium",V536=3,"High",V536=4,"Very High")</f>
        <v>High</v>
      </c>
      <c r="X536" t="s">
        <v>44</v>
      </c>
      <c r="Y536" s="2">
        <v>14814</v>
      </c>
      <c r="Z536" s="2">
        <v>13514</v>
      </c>
      <c r="AA536">
        <v>3</v>
      </c>
      <c r="AB536" t="s">
        <v>39</v>
      </c>
      <c r="AC536">
        <v>19</v>
      </c>
      <c r="AD536">
        <v>3</v>
      </c>
      <c r="AE536" t="str" cm="1">
        <f t="array" ref="AE536">_xlfn.IFS(AD536=1,"Low",AD536=2,"Good",AD536=3,"Excellent",AD536=4,"Outstanding")</f>
        <v>Excellent</v>
      </c>
      <c r="AF536">
        <v>3</v>
      </c>
      <c r="AG536" t="str" cm="1">
        <f t="array" ref="AG536">_xlfn.IFS(AF536=1,"Low",AF536=2,"Medium",AF536=3,"High",AF536=4,"Very High")</f>
        <v>High</v>
      </c>
      <c r="AH536">
        <v>0</v>
      </c>
      <c r="AI536">
        <v>32</v>
      </c>
      <c r="AJ536">
        <v>3</v>
      </c>
      <c r="AK536">
        <v>3</v>
      </c>
      <c r="AL536" t="str" cm="1">
        <f t="array" ref="AL536">_xlfn.IFS(AK536=1,"Low",AK536=2,"Medium",AK536=3,"High",AK536=4,"Very High")</f>
        <v>High</v>
      </c>
      <c r="AM536">
        <v>5</v>
      </c>
      <c r="AN536">
        <v>1</v>
      </c>
      <c r="AO536">
        <v>1</v>
      </c>
      <c r="AP536">
        <v>3</v>
      </c>
    </row>
    <row r="537" spans="1:42">
      <c r="A537">
        <v>41</v>
      </c>
      <c r="B537" t="str" cm="1">
        <f t="array" ref="B537">_xlfn.IFS(A537&lt;=25,"18-25",A537&lt;=35,"26-35",A537&lt;=45,"36-45",A537&lt;=55,"46-55",A537&gt;55,"56+")</f>
        <v>36-45</v>
      </c>
      <c r="C537" t="s">
        <v>39</v>
      </c>
      <c r="D537" t="s">
        <v>33</v>
      </c>
      <c r="E537" s="2">
        <v>427</v>
      </c>
      <c r="F537" t="s">
        <v>57</v>
      </c>
      <c r="G537">
        <v>10</v>
      </c>
      <c r="H537" t="str">
        <f t="shared" si="8"/>
        <v>1-10 km</v>
      </c>
      <c r="I537">
        <v>4</v>
      </c>
      <c r="J537" t="str" cm="1">
        <f t="array" ref="J537">_xlfn.IFS(I537=1,"Below College",I537=2,"College",I537=3,"Bachelor",I537=4,"Master",I537=5,"Doctor")</f>
        <v>Master</v>
      </c>
      <c r="K537" t="s">
        <v>57</v>
      </c>
      <c r="L537">
        <v>731</v>
      </c>
      <c r="M537">
        <v>2</v>
      </c>
      <c r="N537" t="str" cm="1">
        <f t="array" ref="N537">_xlfn.IFS(M537=1,"Low",M537=2,"Medium",M537=3,"High",M537=4,"Very High")</f>
        <v>Medium</v>
      </c>
      <c r="O537" t="s">
        <v>42</v>
      </c>
      <c r="P537" s="2">
        <v>73</v>
      </c>
      <c r="Q537">
        <v>2</v>
      </c>
      <c r="R537" t="str" cm="1">
        <f t="array" ref="R537">_xlfn.IFS(Q537=1,"Low",Q537=2,"Medium",Q537=3,"High",Q537=4,"Very High")</f>
        <v>Medium</v>
      </c>
      <c r="S537">
        <v>5</v>
      </c>
      <c r="T537" t="str" cm="1">
        <f t="array" ref="T537">_xlfn.IFS(S537=1,"Entry Level",S537=2,"Junior",S537=3,"Mid-Level",S537=4,"Senior",S537=5,"Executive")</f>
        <v>Executive</v>
      </c>
      <c r="U537" t="s">
        <v>52</v>
      </c>
      <c r="V537">
        <v>4</v>
      </c>
      <c r="W537" t="str" cm="1">
        <f t="array" ref="W537">_xlfn.IFS(V537=1,"Low",V537=2,"Medium",V537=3,"High",V537=4,"Very High")</f>
        <v>Very High</v>
      </c>
      <c r="X537" t="s">
        <v>48</v>
      </c>
      <c r="Y537" s="2">
        <v>19141</v>
      </c>
      <c r="Z537" s="2">
        <v>8861</v>
      </c>
      <c r="AA537">
        <v>3</v>
      </c>
      <c r="AB537" t="s">
        <v>39</v>
      </c>
      <c r="AC537">
        <v>15</v>
      </c>
      <c r="AD537">
        <v>3</v>
      </c>
      <c r="AE537" t="str" cm="1">
        <f t="array" ref="AE537">_xlfn.IFS(AD537=1,"Low",AD537=2,"Good",AD537=3,"Excellent",AD537=4,"Outstanding")</f>
        <v>Excellent</v>
      </c>
      <c r="AF537">
        <v>2</v>
      </c>
      <c r="AG537" t="str" cm="1">
        <f t="array" ref="AG537">_xlfn.IFS(AF537=1,"Low",AF537=2,"Medium",AF537=3,"High",AF537=4,"Very High")</f>
        <v>Medium</v>
      </c>
      <c r="AH537">
        <v>3</v>
      </c>
      <c r="AI537">
        <v>23</v>
      </c>
      <c r="AJ537">
        <v>2</v>
      </c>
      <c r="AK537">
        <v>2</v>
      </c>
      <c r="AL537" t="str" cm="1">
        <f t="array" ref="AL537">_xlfn.IFS(AK537=1,"Low",AK537=2,"Medium",AK537=3,"High",AK537=4,"Very High")</f>
        <v>Medium</v>
      </c>
      <c r="AM537">
        <v>21</v>
      </c>
      <c r="AN537">
        <v>6</v>
      </c>
      <c r="AO537">
        <v>12</v>
      </c>
      <c r="AP537">
        <v>6</v>
      </c>
    </row>
    <row r="538" spans="1:42">
      <c r="A538">
        <v>60</v>
      </c>
      <c r="B538" t="str" cm="1">
        <f t="array" ref="B538">_xlfn.IFS(A538&lt;=25,"18-25",A538&lt;=35,"26-35",A538&lt;=45,"36-45",A538&lt;=55,"46-55",A538&gt;55,"56+")</f>
        <v>56+</v>
      </c>
      <c r="C538" t="s">
        <v>39</v>
      </c>
      <c r="D538" t="s">
        <v>33</v>
      </c>
      <c r="E538" s="2">
        <v>1179</v>
      </c>
      <c r="F538" t="s">
        <v>34</v>
      </c>
      <c r="G538">
        <v>16</v>
      </c>
      <c r="H538" t="str">
        <f t="shared" si="8"/>
        <v>11-20 km</v>
      </c>
      <c r="I538">
        <v>4</v>
      </c>
      <c r="J538" t="str" cm="1">
        <f t="array" ref="J538">_xlfn.IFS(I538=1,"Below College",I538=2,"College",I538=3,"Bachelor",I538=4,"Master",I538=5,"Doctor")</f>
        <v>Master</v>
      </c>
      <c r="K538" t="s">
        <v>55</v>
      </c>
      <c r="L538">
        <v>732</v>
      </c>
      <c r="M538">
        <v>1</v>
      </c>
      <c r="N538" t="str" cm="1">
        <f t="array" ref="N538">_xlfn.IFS(M538=1,"Low",M538=2,"Medium",M538=3,"High",M538=4,"Very High")</f>
        <v>Low</v>
      </c>
      <c r="O538" t="s">
        <v>42</v>
      </c>
      <c r="P538" s="2">
        <v>84</v>
      </c>
      <c r="Q538">
        <v>3</v>
      </c>
      <c r="R538" t="str" cm="1">
        <f t="array" ref="R538">_xlfn.IFS(Q538=1,"Low",Q538=2,"Medium",Q538=3,"High",Q538=4,"Very High")</f>
        <v>High</v>
      </c>
      <c r="S538">
        <v>2</v>
      </c>
      <c r="T538" t="str" cm="1">
        <f t="array" ref="T538">_xlfn.IFS(S538=1,"Entry Level",S538=2,"Junior",S538=3,"Mid-Level",S538=4,"Senior",S538=5,"Executive")</f>
        <v>Junior</v>
      </c>
      <c r="U538" t="s">
        <v>37</v>
      </c>
      <c r="V538">
        <v>1</v>
      </c>
      <c r="W538" t="str" cm="1">
        <f t="array" ref="W538">_xlfn.IFS(V538=1,"Low",V538=2,"Medium",V538=3,"High",V538=4,"Very High")</f>
        <v>Low</v>
      </c>
      <c r="X538" t="s">
        <v>38</v>
      </c>
      <c r="Y538" s="2">
        <v>5405</v>
      </c>
      <c r="Z538" s="2">
        <v>11924</v>
      </c>
      <c r="AA538">
        <v>8</v>
      </c>
      <c r="AB538" t="s">
        <v>39</v>
      </c>
      <c r="AC538">
        <v>14</v>
      </c>
      <c r="AD538">
        <v>3</v>
      </c>
      <c r="AE538" t="str" cm="1">
        <f t="array" ref="AE538">_xlfn.IFS(AD538=1,"Low",AD538=2,"Good",AD538=3,"Excellent",AD538=4,"Outstanding")</f>
        <v>Excellent</v>
      </c>
      <c r="AF538">
        <v>4</v>
      </c>
      <c r="AG538" t="str" cm="1">
        <f t="array" ref="AG538">_xlfn.IFS(AF538=1,"Low",AF538=2,"Medium",AF538=3,"High",AF538=4,"Very High")</f>
        <v>Very High</v>
      </c>
      <c r="AH538">
        <v>0</v>
      </c>
      <c r="AI538">
        <v>10</v>
      </c>
      <c r="AJ538">
        <v>1</v>
      </c>
      <c r="AK538">
        <v>3</v>
      </c>
      <c r="AL538" t="str" cm="1">
        <f t="array" ref="AL538">_xlfn.IFS(AK538=1,"Low",AK538=2,"Medium",AK538=3,"High",AK538=4,"Very High")</f>
        <v>High</v>
      </c>
      <c r="AM538">
        <v>2</v>
      </c>
      <c r="AN538">
        <v>2</v>
      </c>
      <c r="AO538">
        <v>2</v>
      </c>
      <c r="AP538">
        <v>2</v>
      </c>
    </row>
    <row r="539" spans="1:42">
      <c r="A539">
        <v>27</v>
      </c>
      <c r="B539" t="str" cm="1">
        <f t="array" ref="B539">_xlfn.IFS(A539&lt;=25,"18-25",A539&lt;=35,"26-35",A539&lt;=45,"36-45",A539&lt;=55,"46-55",A539&gt;55,"56+")</f>
        <v>26-35</v>
      </c>
      <c r="C539" t="s">
        <v>39</v>
      </c>
      <c r="D539" t="s">
        <v>40</v>
      </c>
      <c r="E539" s="2">
        <v>294</v>
      </c>
      <c r="F539" t="s">
        <v>41</v>
      </c>
      <c r="G539">
        <v>10</v>
      </c>
      <c r="H539" t="str">
        <f t="shared" si="8"/>
        <v>1-10 km</v>
      </c>
      <c r="I539">
        <v>2</v>
      </c>
      <c r="J539" t="str" cm="1">
        <f t="array" ref="J539">_xlfn.IFS(I539=1,"Below College",I539=2,"College",I539=3,"Bachelor",I539=4,"Master",I539=5,"Doctor")</f>
        <v>College</v>
      </c>
      <c r="K539" t="s">
        <v>35</v>
      </c>
      <c r="L539">
        <v>733</v>
      </c>
      <c r="M539">
        <v>4</v>
      </c>
      <c r="N539" t="str" cm="1">
        <f t="array" ref="N539">_xlfn.IFS(M539=1,"Low",M539=2,"Medium",M539=3,"High",M539=4,"Very High")</f>
        <v>Very High</v>
      </c>
      <c r="O539" t="s">
        <v>42</v>
      </c>
      <c r="P539" s="2">
        <v>32</v>
      </c>
      <c r="Q539">
        <v>3</v>
      </c>
      <c r="R539" t="str" cm="1">
        <f t="array" ref="R539">_xlfn.IFS(Q539=1,"Low",Q539=2,"Medium",Q539=3,"High",Q539=4,"Very High")</f>
        <v>High</v>
      </c>
      <c r="S539">
        <v>3</v>
      </c>
      <c r="T539" t="str" cm="1">
        <f t="array" ref="T539">_xlfn.IFS(S539=1,"Entry Level",S539=2,"Junior",S539=3,"Mid-Level",S539=4,"Senior",S539=5,"Executive")</f>
        <v>Mid-Level</v>
      </c>
      <c r="U539" t="s">
        <v>49</v>
      </c>
      <c r="V539">
        <v>1</v>
      </c>
      <c r="W539" t="str" cm="1">
        <f t="array" ref="W539">_xlfn.IFS(V539=1,"Low",V539=2,"Medium",V539=3,"High",V539=4,"Very High")</f>
        <v>Low</v>
      </c>
      <c r="X539" t="s">
        <v>48</v>
      </c>
      <c r="Y539" s="2">
        <v>8793</v>
      </c>
      <c r="Z539" s="2">
        <v>4809</v>
      </c>
      <c r="AA539">
        <v>1</v>
      </c>
      <c r="AB539" t="s">
        <v>39</v>
      </c>
      <c r="AC539">
        <v>21</v>
      </c>
      <c r="AD539">
        <v>4</v>
      </c>
      <c r="AE539" t="str" cm="1">
        <f t="array" ref="AE539">_xlfn.IFS(AD539=1,"Low",AD539=2,"Good",AD539=3,"Excellent",AD539=4,"Outstanding")</f>
        <v>Outstanding</v>
      </c>
      <c r="AF539">
        <v>3</v>
      </c>
      <c r="AG539" t="str" cm="1">
        <f t="array" ref="AG539">_xlfn.IFS(AF539=1,"Low",AF539=2,"Medium",AF539=3,"High",AF539=4,"Very High")</f>
        <v>High</v>
      </c>
      <c r="AH539">
        <v>2</v>
      </c>
      <c r="AI539">
        <v>9</v>
      </c>
      <c r="AJ539">
        <v>4</v>
      </c>
      <c r="AK539">
        <v>2</v>
      </c>
      <c r="AL539" t="str" cm="1">
        <f t="array" ref="AL539">_xlfn.IFS(AK539=1,"Low",AK539=2,"Medium",AK539=3,"High",AK539=4,"Very High")</f>
        <v>Medium</v>
      </c>
      <c r="AM539">
        <v>9</v>
      </c>
      <c r="AN539">
        <v>7</v>
      </c>
      <c r="AO539">
        <v>1</v>
      </c>
      <c r="AP539">
        <v>7</v>
      </c>
    </row>
    <row r="540" spans="1:42">
      <c r="A540">
        <v>41</v>
      </c>
      <c r="B540" t="str" cm="1">
        <f t="array" ref="B540">_xlfn.IFS(A540&lt;=25,"18-25",A540&lt;=35,"26-35",A540&lt;=45,"36-45",A540&lt;=55,"46-55",A540&gt;55,"56+")</f>
        <v>36-45</v>
      </c>
      <c r="C540" t="s">
        <v>39</v>
      </c>
      <c r="D540" t="s">
        <v>33</v>
      </c>
      <c r="E540" s="2">
        <v>314</v>
      </c>
      <c r="F540" t="s">
        <v>57</v>
      </c>
      <c r="G540">
        <v>1</v>
      </c>
      <c r="H540" t="str">
        <f t="shared" si="8"/>
        <v>1-10 km</v>
      </c>
      <c r="I540">
        <v>3</v>
      </c>
      <c r="J540" t="str" cm="1">
        <f t="array" ref="J540">_xlfn.IFS(I540=1,"Below College",I540=2,"College",I540=3,"Bachelor",I540=4,"Master",I540=5,"Doctor")</f>
        <v>Bachelor</v>
      </c>
      <c r="K540" t="s">
        <v>57</v>
      </c>
      <c r="L540">
        <v>734</v>
      </c>
      <c r="M540">
        <v>4</v>
      </c>
      <c r="N540" t="str" cm="1">
        <f t="array" ref="N540">_xlfn.IFS(M540=1,"Low",M540=2,"Medium",M540=3,"High",M540=4,"Very High")</f>
        <v>Very High</v>
      </c>
      <c r="O540" t="s">
        <v>42</v>
      </c>
      <c r="P540" s="2">
        <v>59</v>
      </c>
      <c r="Q540">
        <v>2</v>
      </c>
      <c r="R540" t="str" cm="1">
        <f t="array" ref="R540">_xlfn.IFS(Q540=1,"Low",Q540=2,"Medium",Q540=3,"High",Q540=4,"Very High")</f>
        <v>Medium</v>
      </c>
      <c r="S540">
        <v>5</v>
      </c>
      <c r="T540" t="str" cm="1">
        <f t="array" ref="T540">_xlfn.IFS(S540=1,"Entry Level",S540=2,"Junior",S540=3,"Mid-Level",S540=4,"Senior",S540=5,"Executive")</f>
        <v>Executive</v>
      </c>
      <c r="U540" t="s">
        <v>52</v>
      </c>
      <c r="V540">
        <v>3</v>
      </c>
      <c r="W540" t="str" cm="1">
        <f t="array" ref="W540">_xlfn.IFS(V540=1,"Low",V540=2,"Medium",V540=3,"High",V540=4,"Very High")</f>
        <v>High</v>
      </c>
      <c r="X540" t="s">
        <v>44</v>
      </c>
      <c r="Y540" s="2">
        <v>19189</v>
      </c>
      <c r="Z540" s="2">
        <v>19562</v>
      </c>
      <c r="AA540">
        <v>1</v>
      </c>
      <c r="AB540" t="s">
        <v>39</v>
      </c>
      <c r="AC540">
        <v>12</v>
      </c>
      <c r="AD540">
        <v>3</v>
      </c>
      <c r="AE540" t="str" cm="1">
        <f t="array" ref="AE540">_xlfn.IFS(AD540=1,"Low",AD540=2,"Good",AD540=3,"Excellent",AD540=4,"Outstanding")</f>
        <v>Excellent</v>
      </c>
      <c r="AF540">
        <v>2</v>
      </c>
      <c r="AG540" t="str" cm="1">
        <f t="array" ref="AG540">_xlfn.IFS(AF540=1,"Low",AF540=2,"Medium",AF540=3,"High",AF540=4,"Very High")</f>
        <v>Medium</v>
      </c>
      <c r="AH540">
        <v>1</v>
      </c>
      <c r="AI540">
        <v>22</v>
      </c>
      <c r="AJ540">
        <v>3</v>
      </c>
      <c r="AK540">
        <v>3</v>
      </c>
      <c r="AL540" t="str" cm="1">
        <f t="array" ref="AL540">_xlfn.IFS(AK540=1,"Low",AK540=2,"Medium",AK540=3,"High",AK540=4,"Very High")</f>
        <v>High</v>
      </c>
      <c r="AM540">
        <v>22</v>
      </c>
      <c r="AN540">
        <v>7</v>
      </c>
      <c r="AO540">
        <v>2</v>
      </c>
      <c r="AP540">
        <v>10</v>
      </c>
    </row>
    <row r="541" spans="1:42">
      <c r="A541">
        <v>50</v>
      </c>
      <c r="B541" t="str" cm="1">
        <f t="array" ref="B541">_xlfn.IFS(A541&lt;=25,"18-25",A541&lt;=35,"26-35",A541&lt;=45,"36-45",A541&lt;=55,"46-55",A541&gt;55,"56+")</f>
        <v>46-55</v>
      </c>
      <c r="C541" t="s">
        <v>39</v>
      </c>
      <c r="D541" t="s">
        <v>33</v>
      </c>
      <c r="E541" s="2">
        <v>316</v>
      </c>
      <c r="F541" t="s">
        <v>34</v>
      </c>
      <c r="G541">
        <v>8</v>
      </c>
      <c r="H541" t="str">
        <f t="shared" si="8"/>
        <v>1-10 km</v>
      </c>
      <c r="I541">
        <v>4</v>
      </c>
      <c r="J541" t="str" cm="1">
        <f t="array" ref="J541">_xlfn.IFS(I541=1,"Below College",I541=2,"College",I541=3,"Bachelor",I541=4,"Master",I541=5,"Doctor")</f>
        <v>Master</v>
      </c>
      <c r="K541" t="s">
        <v>55</v>
      </c>
      <c r="L541">
        <v>738</v>
      </c>
      <c r="M541">
        <v>4</v>
      </c>
      <c r="N541" t="str" cm="1">
        <f t="array" ref="N541">_xlfn.IFS(M541=1,"Low",M541=2,"Medium",M541=3,"High",M541=4,"Very High")</f>
        <v>Very High</v>
      </c>
      <c r="O541" t="s">
        <v>42</v>
      </c>
      <c r="P541" s="2">
        <v>54</v>
      </c>
      <c r="Q541">
        <v>3</v>
      </c>
      <c r="R541" t="str" cm="1">
        <f t="array" ref="R541">_xlfn.IFS(Q541=1,"Low",Q541=2,"Medium",Q541=3,"High",Q541=4,"Very High")</f>
        <v>High</v>
      </c>
      <c r="S541">
        <v>1</v>
      </c>
      <c r="T541" t="str" cm="1">
        <f t="array" ref="T541">_xlfn.IFS(S541=1,"Entry Level",S541=2,"Junior",S541=3,"Mid-Level",S541=4,"Senior",S541=5,"Executive")</f>
        <v>Entry Level</v>
      </c>
      <c r="U541" t="s">
        <v>53</v>
      </c>
      <c r="V541">
        <v>2</v>
      </c>
      <c r="W541" t="str" cm="1">
        <f t="array" ref="W541">_xlfn.IFS(V541=1,"Low",V541=2,"Medium",V541=3,"High",V541=4,"Very High")</f>
        <v>Medium</v>
      </c>
      <c r="X541" t="s">
        <v>44</v>
      </c>
      <c r="Y541" s="2">
        <v>3875</v>
      </c>
      <c r="Z541" s="2">
        <v>9983</v>
      </c>
      <c r="AA541">
        <v>7</v>
      </c>
      <c r="AB541" t="s">
        <v>39</v>
      </c>
      <c r="AC541">
        <v>15</v>
      </c>
      <c r="AD541">
        <v>3</v>
      </c>
      <c r="AE541" t="str" cm="1">
        <f t="array" ref="AE541">_xlfn.IFS(AD541=1,"Low",AD541=2,"Good",AD541=3,"Excellent",AD541=4,"Outstanding")</f>
        <v>Excellent</v>
      </c>
      <c r="AF541">
        <v>4</v>
      </c>
      <c r="AG541" t="str" cm="1">
        <f t="array" ref="AG541">_xlfn.IFS(AF541=1,"Low",AF541=2,"Medium",AF541=3,"High",AF541=4,"Very High")</f>
        <v>Very High</v>
      </c>
      <c r="AH541">
        <v>1</v>
      </c>
      <c r="AI541">
        <v>4</v>
      </c>
      <c r="AJ541">
        <v>2</v>
      </c>
      <c r="AK541">
        <v>3</v>
      </c>
      <c r="AL541" t="str" cm="1">
        <f t="array" ref="AL541">_xlfn.IFS(AK541=1,"Low",AK541=2,"Medium",AK541=3,"High",AK541=4,"Very High")</f>
        <v>High</v>
      </c>
      <c r="AM541">
        <v>2</v>
      </c>
      <c r="AN541">
        <v>2</v>
      </c>
      <c r="AO541">
        <v>2</v>
      </c>
      <c r="AP541">
        <v>2</v>
      </c>
    </row>
    <row r="542" spans="1:42">
      <c r="A542">
        <v>28</v>
      </c>
      <c r="B542" t="str" cm="1">
        <f t="array" ref="B542">_xlfn.IFS(A542&lt;=25,"18-25",A542&lt;=35,"26-35",A542&lt;=45,"36-45",A542&lt;=55,"46-55",A542&gt;55,"56+")</f>
        <v>26-35</v>
      </c>
      <c r="C542" t="s">
        <v>32</v>
      </c>
      <c r="D542" t="s">
        <v>33</v>
      </c>
      <c r="E542" s="2">
        <v>654</v>
      </c>
      <c r="F542" t="s">
        <v>41</v>
      </c>
      <c r="G542">
        <v>1</v>
      </c>
      <c r="H542" t="str">
        <f t="shared" si="8"/>
        <v>1-10 km</v>
      </c>
      <c r="I542">
        <v>2</v>
      </c>
      <c r="J542" t="str" cm="1">
        <f t="array" ref="J542">_xlfn.IFS(I542=1,"Below College",I542=2,"College",I542=3,"Bachelor",I542=4,"Master",I542=5,"Doctor")</f>
        <v>College</v>
      </c>
      <c r="K542" t="s">
        <v>35</v>
      </c>
      <c r="L542">
        <v>741</v>
      </c>
      <c r="M542">
        <v>1</v>
      </c>
      <c r="N542" t="str" cm="1">
        <f t="array" ref="N542">_xlfn.IFS(M542=1,"Low",M542=2,"Medium",M542=3,"High",M542=4,"Very High")</f>
        <v>Low</v>
      </c>
      <c r="O542" t="s">
        <v>36</v>
      </c>
      <c r="P542" s="2">
        <v>67</v>
      </c>
      <c r="Q542">
        <v>1</v>
      </c>
      <c r="R542" t="str" cm="1">
        <f t="array" ref="R542">_xlfn.IFS(Q542=1,"Low",Q542=2,"Medium",Q542=3,"High",Q542=4,"Very High")</f>
        <v>Low</v>
      </c>
      <c r="S542">
        <v>1</v>
      </c>
      <c r="T542" t="str" cm="1">
        <f t="array" ref="T542">_xlfn.IFS(S542=1,"Entry Level",S542=2,"Junior",S542=3,"Mid-Level",S542=4,"Senior",S542=5,"Executive")</f>
        <v>Entry Level</v>
      </c>
      <c r="U542" t="s">
        <v>43</v>
      </c>
      <c r="V542">
        <v>2</v>
      </c>
      <c r="W542" t="str" cm="1">
        <f t="array" ref="W542">_xlfn.IFS(V542=1,"Low",V542=2,"Medium",V542=3,"High",V542=4,"Very High")</f>
        <v>Medium</v>
      </c>
      <c r="X542" t="s">
        <v>38</v>
      </c>
      <c r="Y542" s="2">
        <v>2216</v>
      </c>
      <c r="Z542" s="2">
        <v>3872</v>
      </c>
      <c r="AA542">
        <v>7</v>
      </c>
      <c r="AB542" t="s">
        <v>32</v>
      </c>
      <c r="AC542">
        <v>13</v>
      </c>
      <c r="AD542">
        <v>3</v>
      </c>
      <c r="AE542" t="str" cm="1">
        <f t="array" ref="AE542">_xlfn.IFS(AD542=1,"Low",AD542=2,"Good",AD542=3,"Excellent",AD542=4,"Outstanding")</f>
        <v>Excellent</v>
      </c>
      <c r="AF542">
        <v>4</v>
      </c>
      <c r="AG542" t="str" cm="1">
        <f t="array" ref="AG542">_xlfn.IFS(AF542=1,"Low",AF542=2,"Medium",AF542=3,"High",AF542=4,"Very High")</f>
        <v>Very High</v>
      </c>
      <c r="AH542">
        <v>0</v>
      </c>
      <c r="AI542">
        <v>10</v>
      </c>
      <c r="AJ542">
        <v>4</v>
      </c>
      <c r="AK542">
        <v>3</v>
      </c>
      <c r="AL542" t="str" cm="1">
        <f t="array" ref="AL542">_xlfn.IFS(AK542=1,"Low",AK542=2,"Medium",AK542=3,"High",AK542=4,"Very High")</f>
        <v>High</v>
      </c>
      <c r="AM542">
        <v>7</v>
      </c>
      <c r="AN542">
        <v>7</v>
      </c>
      <c r="AO542">
        <v>3</v>
      </c>
      <c r="AP542">
        <v>7</v>
      </c>
    </row>
    <row r="543" spans="1:42">
      <c r="A543">
        <v>36</v>
      </c>
      <c r="B543" t="str" cm="1">
        <f t="array" ref="B543">_xlfn.IFS(A543&lt;=25,"18-25",A543&lt;=35,"26-35",A543&lt;=45,"36-45",A543&lt;=55,"46-55",A543&gt;55,"56+")</f>
        <v>36-45</v>
      </c>
      <c r="C543" t="s">
        <v>39</v>
      </c>
      <c r="D543" t="s">
        <v>51</v>
      </c>
      <c r="E543" s="2">
        <v>427</v>
      </c>
      <c r="F543" t="s">
        <v>41</v>
      </c>
      <c r="G543">
        <v>8</v>
      </c>
      <c r="H543" t="str">
        <f t="shared" si="8"/>
        <v>1-10 km</v>
      </c>
      <c r="I543">
        <v>3</v>
      </c>
      <c r="J543" t="str" cm="1">
        <f t="array" ref="J543">_xlfn.IFS(I543=1,"Below College",I543=2,"College",I543=3,"Bachelor",I543=4,"Master",I543=5,"Doctor")</f>
        <v>Bachelor</v>
      </c>
      <c r="K543" t="s">
        <v>35</v>
      </c>
      <c r="L543">
        <v>742</v>
      </c>
      <c r="M543">
        <v>1</v>
      </c>
      <c r="N543" t="str" cm="1">
        <f t="array" ref="N543">_xlfn.IFS(M543=1,"Low",M543=2,"Medium",M543=3,"High",M543=4,"Very High")</f>
        <v>Low</v>
      </c>
      <c r="O543" t="s">
        <v>36</v>
      </c>
      <c r="P543" s="2">
        <v>63</v>
      </c>
      <c r="Q543">
        <v>4</v>
      </c>
      <c r="R543" t="str" cm="1">
        <f t="array" ref="R543">_xlfn.IFS(Q543=1,"Low",Q543=2,"Medium",Q543=3,"High",Q543=4,"Very High")</f>
        <v>Very High</v>
      </c>
      <c r="S543">
        <v>3</v>
      </c>
      <c r="T543" t="str" cm="1">
        <f t="array" ref="T543">_xlfn.IFS(S543=1,"Entry Level",S543=2,"Junior",S543=3,"Mid-Level",S543=4,"Senior",S543=5,"Executive")</f>
        <v>Mid-Level</v>
      </c>
      <c r="U543" t="s">
        <v>54</v>
      </c>
      <c r="V543">
        <v>1</v>
      </c>
      <c r="W543" t="str" cm="1">
        <f t="array" ref="W543">_xlfn.IFS(V543=1,"Low",V543=2,"Medium",V543=3,"High",V543=4,"Very High")</f>
        <v>Low</v>
      </c>
      <c r="X543" t="s">
        <v>44</v>
      </c>
      <c r="Y543" s="2">
        <v>11713</v>
      </c>
      <c r="Z543" s="2">
        <v>20335</v>
      </c>
      <c r="AA543">
        <v>9</v>
      </c>
      <c r="AB543" t="s">
        <v>39</v>
      </c>
      <c r="AC543">
        <v>14</v>
      </c>
      <c r="AD543">
        <v>3</v>
      </c>
      <c r="AE543" t="str" cm="1">
        <f t="array" ref="AE543">_xlfn.IFS(AD543=1,"Low",AD543=2,"Good",AD543=3,"Excellent",AD543=4,"Outstanding")</f>
        <v>Excellent</v>
      </c>
      <c r="AF543">
        <v>1</v>
      </c>
      <c r="AG543" t="str" cm="1">
        <f t="array" ref="AG543">_xlfn.IFS(AF543=1,"Low",AF543=2,"Medium",AF543=3,"High",AF543=4,"Very High")</f>
        <v>Low</v>
      </c>
      <c r="AH543">
        <v>1</v>
      </c>
      <c r="AI543">
        <v>10</v>
      </c>
      <c r="AJ543">
        <v>2</v>
      </c>
      <c r="AK543">
        <v>3</v>
      </c>
      <c r="AL543" t="str" cm="1">
        <f t="array" ref="AL543">_xlfn.IFS(AK543=1,"Low",AK543=2,"Medium",AK543=3,"High",AK543=4,"Very High")</f>
        <v>High</v>
      </c>
      <c r="AM543">
        <v>8</v>
      </c>
      <c r="AN543">
        <v>7</v>
      </c>
      <c r="AO543">
        <v>0</v>
      </c>
      <c r="AP543">
        <v>5</v>
      </c>
    </row>
    <row r="544" spans="1:42">
      <c r="A544">
        <v>38</v>
      </c>
      <c r="B544" t="str" cm="1">
        <f t="array" ref="B544">_xlfn.IFS(A544&lt;=25,"18-25",A544&lt;=35,"26-35",A544&lt;=45,"36-45",A544&lt;=55,"46-55",A544&gt;55,"56+")</f>
        <v>36-45</v>
      </c>
      <c r="C544" t="s">
        <v>39</v>
      </c>
      <c r="D544" t="s">
        <v>33</v>
      </c>
      <c r="E544" s="2">
        <v>168</v>
      </c>
      <c r="F544" t="s">
        <v>41</v>
      </c>
      <c r="G544">
        <v>1</v>
      </c>
      <c r="H544" t="str">
        <f t="shared" si="8"/>
        <v>1-10 km</v>
      </c>
      <c r="I544">
        <v>3</v>
      </c>
      <c r="J544" t="str" cm="1">
        <f t="array" ref="J544">_xlfn.IFS(I544=1,"Below College",I544=2,"College",I544=3,"Bachelor",I544=4,"Master",I544=5,"Doctor")</f>
        <v>Bachelor</v>
      </c>
      <c r="K544" t="s">
        <v>35</v>
      </c>
      <c r="L544">
        <v>743</v>
      </c>
      <c r="M544">
        <v>3</v>
      </c>
      <c r="N544" t="str" cm="1">
        <f t="array" ref="N544">_xlfn.IFS(M544=1,"Low",M544=2,"Medium",M544=3,"High",M544=4,"Very High")</f>
        <v>High</v>
      </c>
      <c r="O544" t="s">
        <v>36</v>
      </c>
      <c r="P544" s="2">
        <v>81</v>
      </c>
      <c r="Q544">
        <v>3</v>
      </c>
      <c r="R544" t="str" cm="1">
        <f t="array" ref="R544">_xlfn.IFS(Q544=1,"Low",Q544=2,"Medium",Q544=3,"High",Q544=4,"Very High")</f>
        <v>High</v>
      </c>
      <c r="S544">
        <v>3</v>
      </c>
      <c r="T544" t="str" cm="1">
        <f t="array" ref="T544">_xlfn.IFS(S544=1,"Entry Level",S544=2,"Junior",S544=3,"Mid-Level",S544=4,"Senior",S544=5,"Executive")</f>
        <v>Mid-Level</v>
      </c>
      <c r="U544" t="s">
        <v>49</v>
      </c>
      <c r="V544">
        <v>3</v>
      </c>
      <c r="W544" t="str" cm="1">
        <f t="array" ref="W544">_xlfn.IFS(V544=1,"Low",V544=2,"Medium",V544=3,"High",V544=4,"Very High")</f>
        <v>High</v>
      </c>
      <c r="X544" t="s">
        <v>38</v>
      </c>
      <c r="Y544" s="2">
        <v>7861</v>
      </c>
      <c r="Z544" s="2">
        <v>15397</v>
      </c>
      <c r="AA544">
        <v>4</v>
      </c>
      <c r="AB544" t="s">
        <v>32</v>
      </c>
      <c r="AC544">
        <v>14</v>
      </c>
      <c r="AD544">
        <v>3</v>
      </c>
      <c r="AE544" t="str" cm="1">
        <f t="array" ref="AE544">_xlfn.IFS(AD544=1,"Low",AD544=2,"Good",AD544=3,"Excellent",AD544=4,"Outstanding")</f>
        <v>Excellent</v>
      </c>
      <c r="AF544">
        <v>4</v>
      </c>
      <c r="AG544" t="str" cm="1">
        <f t="array" ref="AG544">_xlfn.IFS(AF544=1,"Low",AF544=2,"Medium",AF544=3,"High",AF544=4,"Very High")</f>
        <v>Very High</v>
      </c>
      <c r="AH544">
        <v>0</v>
      </c>
      <c r="AI544">
        <v>10</v>
      </c>
      <c r="AJ544">
        <v>4</v>
      </c>
      <c r="AK544">
        <v>4</v>
      </c>
      <c r="AL544" t="str" cm="1">
        <f t="array" ref="AL544">_xlfn.IFS(AK544=1,"Low",AK544=2,"Medium",AK544=3,"High",AK544=4,"Very High")</f>
        <v>Very High</v>
      </c>
      <c r="AM544">
        <v>1</v>
      </c>
      <c r="AN544">
        <v>0</v>
      </c>
      <c r="AO544">
        <v>0</v>
      </c>
      <c r="AP544">
        <v>0</v>
      </c>
    </row>
    <row r="545" spans="1:42">
      <c r="A545">
        <v>44</v>
      </c>
      <c r="B545" t="str" cm="1">
        <f t="array" ref="B545">_xlfn.IFS(A545&lt;=25,"18-25",A545&lt;=35,"26-35",A545&lt;=45,"36-45",A545&lt;=55,"46-55",A545&gt;55,"56+")</f>
        <v>36-45</v>
      </c>
      <c r="C545" t="s">
        <v>39</v>
      </c>
      <c r="D545" t="s">
        <v>51</v>
      </c>
      <c r="E545" s="2">
        <v>381</v>
      </c>
      <c r="F545" t="s">
        <v>41</v>
      </c>
      <c r="G545">
        <v>24</v>
      </c>
      <c r="H545" t="str">
        <f t="shared" si="8"/>
        <v>21-30 km</v>
      </c>
      <c r="I545">
        <v>3</v>
      </c>
      <c r="J545" t="str" cm="1">
        <f t="array" ref="J545">_xlfn.IFS(I545=1,"Below College",I545=2,"College",I545=3,"Bachelor",I545=4,"Master",I545=5,"Doctor")</f>
        <v>Bachelor</v>
      </c>
      <c r="K545" t="s">
        <v>47</v>
      </c>
      <c r="L545">
        <v>744</v>
      </c>
      <c r="M545">
        <v>1</v>
      </c>
      <c r="N545" t="str" cm="1">
        <f t="array" ref="N545">_xlfn.IFS(M545=1,"Low",M545=2,"Medium",M545=3,"High",M545=4,"Very High")</f>
        <v>Low</v>
      </c>
      <c r="O545" t="s">
        <v>42</v>
      </c>
      <c r="P545" s="2">
        <v>49</v>
      </c>
      <c r="Q545">
        <v>1</v>
      </c>
      <c r="R545" t="str" cm="1">
        <f t="array" ref="R545">_xlfn.IFS(Q545=1,"Low",Q545=2,"Medium",Q545=3,"High",Q545=4,"Very High")</f>
        <v>Low</v>
      </c>
      <c r="S545">
        <v>1</v>
      </c>
      <c r="T545" t="str" cm="1">
        <f t="array" ref="T545">_xlfn.IFS(S545=1,"Entry Level",S545=2,"Junior",S545=3,"Mid-Level",S545=4,"Senior",S545=5,"Executive")</f>
        <v>Entry Level</v>
      </c>
      <c r="U545" t="s">
        <v>46</v>
      </c>
      <c r="V545">
        <v>3</v>
      </c>
      <c r="W545" t="str" cm="1">
        <f t="array" ref="W545">_xlfn.IFS(V545=1,"Low",V545=2,"Medium",V545=3,"High",V545=4,"Very High")</f>
        <v>High</v>
      </c>
      <c r="X545" t="s">
        <v>38</v>
      </c>
      <c r="Y545" s="2">
        <v>3708</v>
      </c>
      <c r="Z545" s="2">
        <v>2104</v>
      </c>
      <c r="AA545">
        <v>2</v>
      </c>
      <c r="AB545" t="s">
        <v>39</v>
      </c>
      <c r="AC545">
        <v>14</v>
      </c>
      <c r="AD545">
        <v>3</v>
      </c>
      <c r="AE545" t="str" cm="1">
        <f t="array" ref="AE545">_xlfn.IFS(AD545=1,"Low",AD545=2,"Good",AD545=3,"Excellent",AD545=4,"Outstanding")</f>
        <v>Excellent</v>
      </c>
      <c r="AF545">
        <v>3</v>
      </c>
      <c r="AG545" t="str" cm="1">
        <f t="array" ref="AG545">_xlfn.IFS(AF545=1,"Low",AF545=2,"Medium",AF545=3,"High",AF545=4,"Very High")</f>
        <v>High</v>
      </c>
      <c r="AH545">
        <v>0</v>
      </c>
      <c r="AI545">
        <v>9</v>
      </c>
      <c r="AJ545">
        <v>5</v>
      </c>
      <c r="AK545">
        <v>3</v>
      </c>
      <c r="AL545" t="str" cm="1">
        <f t="array" ref="AL545">_xlfn.IFS(AK545=1,"Low",AK545=2,"Medium",AK545=3,"High",AK545=4,"Very High")</f>
        <v>High</v>
      </c>
      <c r="AM545">
        <v>5</v>
      </c>
      <c r="AN545">
        <v>2</v>
      </c>
      <c r="AO545">
        <v>1</v>
      </c>
      <c r="AP545">
        <v>4</v>
      </c>
    </row>
    <row r="546" spans="1:42">
      <c r="A546">
        <v>47</v>
      </c>
      <c r="B546" t="str" cm="1">
        <f t="array" ref="B546">_xlfn.IFS(A546&lt;=25,"18-25",A546&lt;=35,"26-35",A546&lt;=45,"36-45",A546&lt;=55,"46-55",A546&gt;55,"56+")</f>
        <v>46-55</v>
      </c>
      <c r="C546" t="s">
        <v>39</v>
      </c>
      <c r="D546" t="s">
        <v>40</v>
      </c>
      <c r="E546" s="2">
        <v>217</v>
      </c>
      <c r="F546" t="s">
        <v>34</v>
      </c>
      <c r="G546">
        <v>3</v>
      </c>
      <c r="H546" t="str">
        <f t="shared" si="8"/>
        <v>1-10 km</v>
      </c>
      <c r="I546">
        <v>3</v>
      </c>
      <c r="J546" t="str" cm="1">
        <f t="array" ref="J546">_xlfn.IFS(I546=1,"Below College",I546=2,"College",I546=3,"Bachelor",I546=4,"Master",I546=5,"Doctor")</f>
        <v>Bachelor</v>
      </c>
      <c r="K546" t="s">
        <v>47</v>
      </c>
      <c r="L546">
        <v>746</v>
      </c>
      <c r="M546">
        <v>4</v>
      </c>
      <c r="N546" t="str" cm="1">
        <f t="array" ref="N546">_xlfn.IFS(M546=1,"Low",M546=2,"Medium",M546=3,"High",M546=4,"Very High")</f>
        <v>Very High</v>
      </c>
      <c r="O546" t="s">
        <v>36</v>
      </c>
      <c r="P546" s="2">
        <v>49</v>
      </c>
      <c r="Q546">
        <v>3</v>
      </c>
      <c r="R546" t="str" cm="1">
        <f t="array" ref="R546">_xlfn.IFS(Q546=1,"Low",Q546=2,"Medium",Q546=3,"High",Q546=4,"Very High")</f>
        <v>High</v>
      </c>
      <c r="S546">
        <v>4</v>
      </c>
      <c r="T546" t="str" cm="1">
        <f t="array" ref="T546">_xlfn.IFS(S546=1,"Entry Level",S546=2,"Junior",S546=3,"Mid-Level",S546=4,"Senior",S546=5,"Executive")</f>
        <v>Senior</v>
      </c>
      <c r="U546" t="s">
        <v>37</v>
      </c>
      <c r="V546">
        <v>3</v>
      </c>
      <c r="W546" t="str" cm="1">
        <f t="array" ref="W546">_xlfn.IFS(V546=1,"Low",V546=2,"Medium",V546=3,"High",V546=4,"Very High")</f>
        <v>High</v>
      </c>
      <c r="X546" t="s">
        <v>48</v>
      </c>
      <c r="Y546" s="2">
        <v>13770</v>
      </c>
      <c r="Z546" s="2">
        <v>10225</v>
      </c>
      <c r="AA546">
        <v>9</v>
      </c>
      <c r="AB546" t="s">
        <v>32</v>
      </c>
      <c r="AC546">
        <v>12</v>
      </c>
      <c r="AD546">
        <v>3</v>
      </c>
      <c r="AE546" t="str" cm="1">
        <f t="array" ref="AE546">_xlfn.IFS(AD546=1,"Low",AD546=2,"Good",AD546=3,"Excellent",AD546=4,"Outstanding")</f>
        <v>Excellent</v>
      </c>
      <c r="AF546">
        <v>4</v>
      </c>
      <c r="AG546" t="str" cm="1">
        <f t="array" ref="AG546">_xlfn.IFS(AF546=1,"Low",AF546=2,"Medium",AF546=3,"High",AF546=4,"Very High")</f>
        <v>Very High</v>
      </c>
      <c r="AH546">
        <v>2</v>
      </c>
      <c r="AI546">
        <v>28</v>
      </c>
      <c r="AJ546">
        <v>2</v>
      </c>
      <c r="AK546">
        <v>2</v>
      </c>
      <c r="AL546" t="str" cm="1">
        <f t="array" ref="AL546">_xlfn.IFS(AK546=1,"Low",AK546=2,"Medium",AK546=3,"High",AK546=4,"Very High")</f>
        <v>Medium</v>
      </c>
      <c r="AM546">
        <v>22</v>
      </c>
      <c r="AN546">
        <v>2</v>
      </c>
      <c r="AO546">
        <v>11</v>
      </c>
      <c r="AP546">
        <v>13</v>
      </c>
    </row>
    <row r="547" spans="1:42">
      <c r="A547">
        <v>30</v>
      </c>
      <c r="B547" t="str" cm="1">
        <f t="array" ref="B547">_xlfn.IFS(A547&lt;=25,"18-25",A547&lt;=35,"26-35",A547&lt;=45,"36-45",A547&lt;=55,"46-55",A547&gt;55,"56+")</f>
        <v>26-35</v>
      </c>
      <c r="C547" t="s">
        <v>39</v>
      </c>
      <c r="D547" t="s">
        <v>33</v>
      </c>
      <c r="E547" s="2">
        <v>501</v>
      </c>
      <c r="F547" t="s">
        <v>34</v>
      </c>
      <c r="G547">
        <v>27</v>
      </c>
      <c r="H547" t="str">
        <f t="shared" si="8"/>
        <v>21-30 km</v>
      </c>
      <c r="I547">
        <v>5</v>
      </c>
      <c r="J547" t="str" cm="1">
        <f t="array" ref="J547">_xlfn.IFS(I547=1,"Below College",I547=2,"College",I547=3,"Bachelor",I547=4,"Master",I547=5,"Doctor")</f>
        <v>Doctor</v>
      </c>
      <c r="K547" t="s">
        <v>55</v>
      </c>
      <c r="L547">
        <v>747</v>
      </c>
      <c r="M547">
        <v>3</v>
      </c>
      <c r="N547" t="str" cm="1">
        <f t="array" ref="N547">_xlfn.IFS(M547=1,"Low",M547=2,"Medium",M547=3,"High",M547=4,"Very High")</f>
        <v>High</v>
      </c>
      <c r="O547" t="s">
        <v>42</v>
      </c>
      <c r="P547" s="2">
        <v>99</v>
      </c>
      <c r="Q547">
        <v>3</v>
      </c>
      <c r="R547" t="str" cm="1">
        <f t="array" ref="R547">_xlfn.IFS(Q547=1,"Low",Q547=2,"Medium",Q547=3,"High",Q547=4,"Very High")</f>
        <v>High</v>
      </c>
      <c r="S547">
        <v>2</v>
      </c>
      <c r="T547" t="str" cm="1">
        <f t="array" ref="T547">_xlfn.IFS(S547=1,"Entry Level",S547=2,"Junior",S547=3,"Mid-Level",S547=4,"Senior",S547=5,"Executive")</f>
        <v>Junior</v>
      </c>
      <c r="U547" t="s">
        <v>37</v>
      </c>
      <c r="V547">
        <v>4</v>
      </c>
      <c r="W547" t="str" cm="1">
        <f t="array" ref="W547">_xlfn.IFS(V547=1,"Low",V547=2,"Medium",V547=3,"High",V547=4,"Very High")</f>
        <v>Very High</v>
      </c>
      <c r="X547" t="s">
        <v>48</v>
      </c>
      <c r="Y547" s="2">
        <v>5304</v>
      </c>
      <c r="Z547" s="2">
        <v>25275</v>
      </c>
      <c r="AA547">
        <v>7</v>
      </c>
      <c r="AB547" t="s">
        <v>39</v>
      </c>
      <c r="AC547">
        <v>23</v>
      </c>
      <c r="AD547">
        <v>4</v>
      </c>
      <c r="AE547" t="str" cm="1">
        <f t="array" ref="AE547">_xlfn.IFS(AD547=1,"Low",AD547=2,"Good",AD547=3,"Excellent",AD547=4,"Outstanding")</f>
        <v>Outstanding</v>
      </c>
      <c r="AF547">
        <v>4</v>
      </c>
      <c r="AG547" t="str" cm="1">
        <f t="array" ref="AG547">_xlfn.IFS(AF547=1,"Low",AF547=2,"Medium",AF547=3,"High",AF547=4,"Very High")</f>
        <v>Very High</v>
      </c>
      <c r="AH547">
        <v>1</v>
      </c>
      <c r="AI547">
        <v>10</v>
      </c>
      <c r="AJ547">
        <v>2</v>
      </c>
      <c r="AK547">
        <v>2</v>
      </c>
      <c r="AL547" t="str" cm="1">
        <f t="array" ref="AL547">_xlfn.IFS(AK547=1,"Low",AK547=2,"Medium",AK547=3,"High",AK547=4,"Very High")</f>
        <v>Medium</v>
      </c>
      <c r="AM547">
        <v>8</v>
      </c>
      <c r="AN547">
        <v>7</v>
      </c>
      <c r="AO547">
        <v>7</v>
      </c>
      <c r="AP547">
        <v>7</v>
      </c>
    </row>
    <row r="548" spans="1:42">
      <c r="A548">
        <v>29</v>
      </c>
      <c r="B548" t="str" cm="1">
        <f t="array" ref="B548">_xlfn.IFS(A548&lt;=25,"18-25",A548&lt;=35,"26-35",A548&lt;=45,"36-45",A548&lt;=55,"46-55",A548&gt;55,"56+")</f>
        <v>26-35</v>
      </c>
      <c r="C548" t="s">
        <v>39</v>
      </c>
      <c r="D548" t="s">
        <v>33</v>
      </c>
      <c r="E548" s="2">
        <v>1396</v>
      </c>
      <c r="F548" t="s">
        <v>34</v>
      </c>
      <c r="G548">
        <v>10</v>
      </c>
      <c r="H548" t="str">
        <f t="shared" si="8"/>
        <v>1-10 km</v>
      </c>
      <c r="I548">
        <v>3</v>
      </c>
      <c r="J548" t="str" cm="1">
        <f t="array" ref="J548">_xlfn.IFS(I548=1,"Below College",I548=2,"College",I548=3,"Bachelor",I548=4,"Master",I548=5,"Doctor")</f>
        <v>Bachelor</v>
      </c>
      <c r="K548" t="s">
        <v>35</v>
      </c>
      <c r="L548">
        <v>749</v>
      </c>
      <c r="M548">
        <v>3</v>
      </c>
      <c r="N548" t="str" cm="1">
        <f t="array" ref="N548">_xlfn.IFS(M548=1,"Low",M548=2,"Medium",M548=3,"High",M548=4,"Very High")</f>
        <v>High</v>
      </c>
      <c r="O548" t="s">
        <v>42</v>
      </c>
      <c r="P548" s="2">
        <v>99</v>
      </c>
      <c r="Q548">
        <v>3</v>
      </c>
      <c r="R548" t="str" cm="1">
        <f t="array" ref="R548">_xlfn.IFS(Q548=1,"Low",Q548=2,"Medium",Q548=3,"High",Q548=4,"Very High")</f>
        <v>High</v>
      </c>
      <c r="S548">
        <v>1</v>
      </c>
      <c r="T548" t="str" cm="1">
        <f t="array" ref="T548">_xlfn.IFS(S548=1,"Entry Level",S548=2,"Junior",S548=3,"Mid-Level",S548=4,"Senior",S548=5,"Executive")</f>
        <v>Entry Level</v>
      </c>
      <c r="U548" t="s">
        <v>53</v>
      </c>
      <c r="V548">
        <v>3</v>
      </c>
      <c r="W548" t="str" cm="1">
        <f t="array" ref="W548">_xlfn.IFS(V548=1,"Low",V548=2,"Medium",V548=3,"High",V548=4,"Very High")</f>
        <v>High</v>
      </c>
      <c r="X548" t="s">
        <v>38</v>
      </c>
      <c r="Y548" s="2">
        <v>2642</v>
      </c>
      <c r="Z548" s="2">
        <v>2755</v>
      </c>
      <c r="AA548">
        <v>1</v>
      </c>
      <c r="AB548" t="s">
        <v>39</v>
      </c>
      <c r="AC548">
        <v>11</v>
      </c>
      <c r="AD548">
        <v>3</v>
      </c>
      <c r="AE548" t="str" cm="1">
        <f t="array" ref="AE548">_xlfn.IFS(AD548=1,"Low",AD548=2,"Good",AD548=3,"Excellent",AD548=4,"Outstanding")</f>
        <v>Excellent</v>
      </c>
      <c r="AF548">
        <v>3</v>
      </c>
      <c r="AG548" t="str" cm="1">
        <f t="array" ref="AG548">_xlfn.IFS(AF548=1,"Low",AF548=2,"Medium",AF548=3,"High",AF548=4,"Very High")</f>
        <v>High</v>
      </c>
      <c r="AH548">
        <v>0</v>
      </c>
      <c r="AI548">
        <v>1</v>
      </c>
      <c r="AJ548">
        <v>6</v>
      </c>
      <c r="AK548">
        <v>3</v>
      </c>
      <c r="AL548" t="str" cm="1">
        <f t="array" ref="AL548">_xlfn.IFS(AK548=1,"Low",AK548=2,"Medium",AK548=3,"High",AK548=4,"Very High")</f>
        <v>High</v>
      </c>
      <c r="AM548">
        <v>1</v>
      </c>
      <c r="AN548">
        <v>0</v>
      </c>
      <c r="AO548">
        <v>0</v>
      </c>
      <c r="AP548">
        <v>0</v>
      </c>
    </row>
    <row r="549" spans="1:42">
      <c r="A549">
        <v>42</v>
      </c>
      <c r="B549" t="str" cm="1">
        <f t="array" ref="B549">_xlfn.IFS(A549&lt;=25,"18-25",A549&lt;=35,"26-35",A549&lt;=45,"36-45",A549&lt;=55,"46-55",A549&gt;55,"56+")</f>
        <v>36-45</v>
      </c>
      <c r="C549" t="s">
        <v>32</v>
      </c>
      <c r="D549" t="s">
        <v>40</v>
      </c>
      <c r="E549" s="2">
        <v>933</v>
      </c>
      <c r="F549" t="s">
        <v>41</v>
      </c>
      <c r="G549">
        <v>19</v>
      </c>
      <c r="H549" t="str">
        <f t="shared" si="8"/>
        <v>11-20 km</v>
      </c>
      <c r="I549">
        <v>3</v>
      </c>
      <c r="J549" t="str" cm="1">
        <f t="array" ref="J549">_xlfn.IFS(I549=1,"Below College",I549=2,"College",I549=3,"Bachelor",I549=4,"Master",I549=5,"Doctor")</f>
        <v>Bachelor</v>
      </c>
      <c r="K549" t="s">
        <v>47</v>
      </c>
      <c r="L549">
        <v>752</v>
      </c>
      <c r="M549">
        <v>3</v>
      </c>
      <c r="N549" t="str" cm="1">
        <f t="array" ref="N549">_xlfn.IFS(M549=1,"Low",M549=2,"Medium",M549=3,"High",M549=4,"Very High")</f>
        <v>High</v>
      </c>
      <c r="O549" t="s">
        <v>42</v>
      </c>
      <c r="P549" s="2">
        <v>57</v>
      </c>
      <c r="Q549">
        <v>4</v>
      </c>
      <c r="R549" t="str" cm="1">
        <f t="array" ref="R549">_xlfn.IFS(Q549=1,"Low",Q549=2,"Medium",Q549=3,"High",Q549=4,"Very High")</f>
        <v>Very High</v>
      </c>
      <c r="S549">
        <v>1</v>
      </c>
      <c r="T549" t="str" cm="1">
        <f t="array" ref="T549">_xlfn.IFS(S549=1,"Entry Level",S549=2,"Junior",S549=3,"Mid-Level",S549=4,"Senior",S549=5,"Executive")</f>
        <v>Entry Level</v>
      </c>
      <c r="U549" t="s">
        <v>43</v>
      </c>
      <c r="V549">
        <v>3</v>
      </c>
      <c r="W549" t="str" cm="1">
        <f t="array" ref="W549">_xlfn.IFS(V549=1,"Low",V549=2,"Medium",V549=3,"High",V549=4,"Very High")</f>
        <v>High</v>
      </c>
      <c r="X549" t="s">
        <v>48</v>
      </c>
      <c r="Y549" s="2">
        <v>2759</v>
      </c>
      <c r="Z549" s="2">
        <v>20366</v>
      </c>
      <c r="AA549">
        <v>6</v>
      </c>
      <c r="AB549" t="s">
        <v>32</v>
      </c>
      <c r="AC549">
        <v>12</v>
      </c>
      <c r="AD549">
        <v>3</v>
      </c>
      <c r="AE549" t="str" cm="1">
        <f t="array" ref="AE549">_xlfn.IFS(AD549=1,"Low",AD549=2,"Good",AD549=3,"Excellent",AD549=4,"Outstanding")</f>
        <v>Excellent</v>
      </c>
      <c r="AF549">
        <v>4</v>
      </c>
      <c r="AG549" t="str" cm="1">
        <f t="array" ref="AG549">_xlfn.IFS(AF549=1,"Low",AF549=2,"Medium",AF549=3,"High",AF549=4,"Very High")</f>
        <v>Very High</v>
      </c>
      <c r="AH549">
        <v>0</v>
      </c>
      <c r="AI549">
        <v>7</v>
      </c>
      <c r="AJ549">
        <v>2</v>
      </c>
      <c r="AK549">
        <v>3</v>
      </c>
      <c r="AL549" t="str" cm="1">
        <f t="array" ref="AL549">_xlfn.IFS(AK549=1,"Low",AK549=2,"Medium",AK549=3,"High",AK549=4,"Very High")</f>
        <v>High</v>
      </c>
      <c r="AM549">
        <v>2</v>
      </c>
      <c r="AN549">
        <v>2</v>
      </c>
      <c r="AO549">
        <v>2</v>
      </c>
      <c r="AP549">
        <v>2</v>
      </c>
    </row>
    <row r="550" spans="1:42">
      <c r="A550">
        <v>43</v>
      </c>
      <c r="B550" t="str" cm="1">
        <f t="array" ref="B550">_xlfn.IFS(A550&lt;=25,"18-25",A550&lt;=35,"26-35",A550&lt;=45,"36-45",A550&lt;=55,"46-55",A550&gt;55,"56+")</f>
        <v>36-45</v>
      </c>
      <c r="C550" t="s">
        <v>39</v>
      </c>
      <c r="D550" t="s">
        <v>40</v>
      </c>
      <c r="E550" s="2">
        <v>775</v>
      </c>
      <c r="F550" t="s">
        <v>34</v>
      </c>
      <c r="G550">
        <v>15</v>
      </c>
      <c r="H550" t="str">
        <f t="shared" si="8"/>
        <v>11-20 km</v>
      </c>
      <c r="I550">
        <v>3</v>
      </c>
      <c r="J550" t="str" cm="1">
        <f t="array" ref="J550">_xlfn.IFS(I550=1,"Below College",I550=2,"College",I550=3,"Bachelor",I550=4,"Master",I550=5,"Doctor")</f>
        <v>Bachelor</v>
      </c>
      <c r="K550" t="s">
        <v>35</v>
      </c>
      <c r="L550">
        <v>754</v>
      </c>
      <c r="M550">
        <v>4</v>
      </c>
      <c r="N550" t="str" cm="1">
        <f t="array" ref="N550">_xlfn.IFS(M550=1,"Low",M550=2,"Medium",M550=3,"High",M550=4,"Very High")</f>
        <v>Very High</v>
      </c>
      <c r="O550" t="s">
        <v>42</v>
      </c>
      <c r="P550" s="2">
        <v>47</v>
      </c>
      <c r="Q550">
        <v>2</v>
      </c>
      <c r="R550" t="str" cm="1">
        <f t="array" ref="R550">_xlfn.IFS(Q550=1,"Low",Q550=2,"Medium",Q550=3,"High",Q550=4,"Very High")</f>
        <v>Medium</v>
      </c>
      <c r="S550">
        <v>2</v>
      </c>
      <c r="T550" t="str" cm="1">
        <f t="array" ref="T550">_xlfn.IFS(S550=1,"Entry Level",S550=2,"Junior",S550=3,"Mid-Level",S550=4,"Senior",S550=5,"Executive")</f>
        <v>Junior</v>
      </c>
      <c r="U550" t="s">
        <v>37</v>
      </c>
      <c r="V550">
        <v>4</v>
      </c>
      <c r="W550" t="str" cm="1">
        <f t="array" ref="W550">_xlfn.IFS(V550=1,"Low",V550=2,"Medium",V550=3,"High",V550=4,"Very High")</f>
        <v>Very High</v>
      </c>
      <c r="X550" t="s">
        <v>44</v>
      </c>
      <c r="Y550" s="2">
        <v>6804</v>
      </c>
      <c r="Z550" s="2">
        <v>23683</v>
      </c>
      <c r="AA550">
        <v>3</v>
      </c>
      <c r="AB550" t="s">
        <v>39</v>
      </c>
      <c r="AC550">
        <v>18</v>
      </c>
      <c r="AD550">
        <v>3</v>
      </c>
      <c r="AE550" t="str" cm="1">
        <f t="array" ref="AE550">_xlfn.IFS(AD550=1,"Low",AD550=2,"Good",AD550=3,"Excellent",AD550=4,"Outstanding")</f>
        <v>Excellent</v>
      </c>
      <c r="AF550">
        <v>3</v>
      </c>
      <c r="AG550" t="str" cm="1">
        <f t="array" ref="AG550">_xlfn.IFS(AF550=1,"Low",AF550=2,"Medium",AF550=3,"High",AF550=4,"Very High")</f>
        <v>High</v>
      </c>
      <c r="AH550">
        <v>1</v>
      </c>
      <c r="AI550">
        <v>7</v>
      </c>
      <c r="AJ550">
        <v>5</v>
      </c>
      <c r="AK550">
        <v>3</v>
      </c>
      <c r="AL550" t="str" cm="1">
        <f t="array" ref="AL550">_xlfn.IFS(AK550=1,"Low",AK550=2,"Medium",AK550=3,"High",AK550=4,"Very High")</f>
        <v>High</v>
      </c>
      <c r="AM550">
        <v>2</v>
      </c>
      <c r="AN550">
        <v>2</v>
      </c>
      <c r="AO550">
        <v>2</v>
      </c>
      <c r="AP550">
        <v>2</v>
      </c>
    </row>
    <row r="551" spans="1:42">
      <c r="A551">
        <v>34</v>
      </c>
      <c r="B551" t="str" cm="1">
        <f t="array" ref="B551">_xlfn.IFS(A551&lt;=25,"18-25",A551&lt;=35,"26-35",A551&lt;=45,"36-45",A551&lt;=55,"46-55",A551&gt;55,"56+")</f>
        <v>26-35</v>
      </c>
      <c r="C551" t="s">
        <v>39</v>
      </c>
      <c r="D551" t="s">
        <v>33</v>
      </c>
      <c r="E551" s="2">
        <v>970</v>
      </c>
      <c r="F551" t="s">
        <v>41</v>
      </c>
      <c r="G551">
        <v>8</v>
      </c>
      <c r="H551" t="str">
        <f t="shared" si="8"/>
        <v>1-10 km</v>
      </c>
      <c r="I551">
        <v>2</v>
      </c>
      <c r="J551" t="str" cm="1">
        <f t="array" ref="J551">_xlfn.IFS(I551=1,"Below College",I551=2,"College",I551=3,"Bachelor",I551=4,"Master",I551=5,"Doctor")</f>
        <v>College</v>
      </c>
      <c r="K551" t="s">
        <v>47</v>
      </c>
      <c r="L551">
        <v>757</v>
      </c>
      <c r="M551">
        <v>2</v>
      </c>
      <c r="N551" t="str" cm="1">
        <f t="array" ref="N551">_xlfn.IFS(M551=1,"Low",M551=2,"Medium",M551=3,"High",M551=4,"Very High")</f>
        <v>Medium</v>
      </c>
      <c r="O551" t="s">
        <v>36</v>
      </c>
      <c r="P551" s="2">
        <v>96</v>
      </c>
      <c r="Q551">
        <v>3</v>
      </c>
      <c r="R551" t="str" cm="1">
        <f t="array" ref="R551">_xlfn.IFS(Q551=1,"Low",Q551=2,"Medium",Q551=3,"High",Q551=4,"Very High")</f>
        <v>High</v>
      </c>
      <c r="S551">
        <v>2</v>
      </c>
      <c r="T551" t="str" cm="1">
        <f t="array" ref="T551">_xlfn.IFS(S551=1,"Entry Level",S551=2,"Junior",S551=3,"Mid-Level",S551=4,"Senior",S551=5,"Executive")</f>
        <v>Junior</v>
      </c>
      <c r="U551" t="s">
        <v>50</v>
      </c>
      <c r="V551">
        <v>3</v>
      </c>
      <c r="W551" t="str" cm="1">
        <f t="array" ref="W551">_xlfn.IFS(V551=1,"Low",V551=2,"Medium",V551=3,"High",V551=4,"Very High")</f>
        <v>High</v>
      </c>
      <c r="X551" t="s">
        <v>38</v>
      </c>
      <c r="Y551" s="2">
        <v>6142</v>
      </c>
      <c r="Z551" s="2">
        <v>7360</v>
      </c>
      <c r="AA551">
        <v>3</v>
      </c>
      <c r="AB551" t="s">
        <v>39</v>
      </c>
      <c r="AC551">
        <v>11</v>
      </c>
      <c r="AD551">
        <v>3</v>
      </c>
      <c r="AE551" t="str" cm="1">
        <f t="array" ref="AE551">_xlfn.IFS(AD551=1,"Low",AD551=2,"Good",AD551=3,"Excellent",AD551=4,"Outstanding")</f>
        <v>Excellent</v>
      </c>
      <c r="AF551">
        <v>4</v>
      </c>
      <c r="AG551" t="str" cm="1">
        <f t="array" ref="AG551">_xlfn.IFS(AF551=1,"Low",AF551=2,"Medium",AF551=3,"High",AF551=4,"Very High")</f>
        <v>Very High</v>
      </c>
      <c r="AH551">
        <v>0</v>
      </c>
      <c r="AI551">
        <v>10</v>
      </c>
      <c r="AJ551">
        <v>2</v>
      </c>
      <c r="AK551">
        <v>3</v>
      </c>
      <c r="AL551" t="str" cm="1">
        <f t="array" ref="AL551">_xlfn.IFS(AK551=1,"Low",AK551=2,"Medium",AK551=3,"High",AK551=4,"Very High")</f>
        <v>High</v>
      </c>
      <c r="AM551">
        <v>5</v>
      </c>
      <c r="AN551">
        <v>1</v>
      </c>
      <c r="AO551">
        <v>4</v>
      </c>
      <c r="AP551">
        <v>3</v>
      </c>
    </row>
    <row r="552" spans="1:42">
      <c r="A552">
        <v>23</v>
      </c>
      <c r="B552" t="str" cm="1">
        <f t="array" ref="B552">_xlfn.IFS(A552&lt;=25,"18-25",A552&lt;=35,"26-35",A552&lt;=45,"36-45",A552&lt;=55,"46-55",A552&gt;55,"56+")</f>
        <v>18-25</v>
      </c>
      <c r="C552" t="s">
        <v>39</v>
      </c>
      <c r="D552" t="s">
        <v>33</v>
      </c>
      <c r="E552" s="2">
        <v>650</v>
      </c>
      <c r="F552" t="s">
        <v>41</v>
      </c>
      <c r="G552">
        <v>9</v>
      </c>
      <c r="H552" t="str">
        <f t="shared" si="8"/>
        <v>1-10 km</v>
      </c>
      <c r="I552">
        <v>1</v>
      </c>
      <c r="J552" t="str" cm="1">
        <f t="array" ref="J552">_xlfn.IFS(I552=1,"Below College",I552=2,"College",I552=3,"Bachelor",I552=4,"Master",I552=5,"Doctor")</f>
        <v>Below College</v>
      </c>
      <c r="K552" t="s">
        <v>47</v>
      </c>
      <c r="L552">
        <v>758</v>
      </c>
      <c r="M552">
        <v>2</v>
      </c>
      <c r="N552" t="str" cm="1">
        <f t="array" ref="N552">_xlfn.IFS(M552=1,"Low",M552=2,"Medium",M552=3,"High",M552=4,"Very High")</f>
        <v>Medium</v>
      </c>
      <c r="O552" t="s">
        <v>42</v>
      </c>
      <c r="P552" s="2">
        <v>37</v>
      </c>
      <c r="Q552">
        <v>3</v>
      </c>
      <c r="R552" t="str" cm="1">
        <f t="array" ref="R552">_xlfn.IFS(Q552=1,"Low",Q552=2,"Medium",Q552=3,"High",Q552=4,"Very High")</f>
        <v>High</v>
      </c>
      <c r="S552">
        <v>1</v>
      </c>
      <c r="T552" t="str" cm="1">
        <f t="array" ref="T552">_xlfn.IFS(S552=1,"Entry Level",S552=2,"Junior",S552=3,"Mid-Level",S552=4,"Senior",S552=5,"Executive")</f>
        <v>Entry Level</v>
      </c>
      <c r="U552" t="s">
        <v>46</v>
      </c>
      <c r="V552">
        <v>1</v>
      </c>
      <c r="W552" t="str" cm="1">
        <f t="array" ref="W552">_xlfn.IFS(V552=1,"Low",V552=2,"Medium",V552=3,"High",V552=4,"Very High")</f>
        <v>Low</v>
      </c>
      <c r="X552" t="s">
        <v>44</v>
      </c>
      <c r="Y552" s="2">
        <v>2500</v>
      </c>
      <c r="Z552" s="2">
        <v>4344</v>
      </c>
      <c r="AA552">
        <v>1</v>
      </c>
      <c r="AB552" t="s">
        <v>39</v>
      </c>
      <c r="AC552">
        <v>14</v>
      </c>
      <c r="AD552">
        <v>3</v>
      </c>
      <c r="AE552" t="str" cm="1">
        <f t="array" ref="AE552">_xlfn.IFS(AD552=1,"Low",AD552=2,"Good",AD552=3,"Excellent",AD552=4,"Outstanding")</f>
        <v>Excellent</v>
      </c>
      <c r="AF552">
        <v>4</v>
      </c>
      <c r="AG552" t="str" cm="1">
        <f t="array" ref="AG552">_xlfn.IFS(AF552=1,"Low",AF552=2,"Medium",AF552=3,"High",AF552=4,"Very High")</f>
        <v>Very High</v>
      </c>
      <c r="AH552">
        <v>1</v>
      </c>
      <c r="AI552">
        <v>5</v>
      </c>
      <c r="AJ552">
        <v>2</v>
      </c>
      <c r="AK552">
        <v>4</v>
      </c>
      <c r="AL552" t="str" cm="1">
        <f t="array" ref="AL552">_xlfn.IFS(AK552=1,"Low",AK552=2,"Medium",AK552=3,"High",AK552=4,"Very High")</f>
        <v>Very High</v>
      </c>
      <c r="AM552">
        <v>4</v>
      </c>
      <c r="AN552">
        <v>3</v>
      </c>
      <c r="AO552">
        <v>0</v>
      </c>
      <c r="AP552">
        <v>2</v>
      </c>
    </row>
    <row r="553" spans="1:42">
      <c r="A553">
        <v>39</v>
      </c>
      <c r="B553" t="str" cm="1">
        <f t="array" ref="B553">_xlfn.IFS(A553&lt;=25,"18-25",A553&lt;=35,"26-35",A553&lt;=45,"36-45",A553&lt;=55,"46-55",A553&gt;55,"56+")</f>
        <v>36-45</v>
      </c>
      <c r="C553" t="s">
        <v>39</v>
      </c>
      <c r="D553" t="s">
        <v>33</v>
      </c>
      <c r="E553" s="2">
        <v>141</v>
      </c>
      <c r="F553" t="s">
        <v>57</v>
      </c>
      <c r="G553">
        <v>3</v>
      </c>
      <c r="H553" t="str">
        <f t="shared" si="8"/>
        <v>1-10 km</v>
      </c>
      <c r="I553">
        <v>3</v>
      </c>
      <c r="J553" t="str" cm="1">
        <f t="array" ref="J553">_xlfn.IFS(I553=1,"Below College",I553=2,"College",I553=3,"Bachelor",I553=4,"Master",I553=5,"Doctor")</f>
        <v>Bachelor</v>
      </c>
      <c r="K553" t="s">
        <v>57</v>
      </c>
      <c r="L553">
        <v>760</v>
      </c>
      <c r="M553">
        <v>3</v>
      </c>
      <c r="N553" t="str" cm="1">
        <f t="array" ref="N553">_xlfn.IFS(M553=1,"Low",M553=2,"Medium",M553=3,"High",M553=4,"Very High")</f>
        <v>High</v>
      </c>
      <c r="O553" t="s">
        <v>36</v>
      </c>
      <c r="P553" s="2">
        <v>44</v>
      </c>
      <c r="Q553">
        <v>4</v>
      </c>
      <c r="R553" t="str" cm="1">
        <f t="array" ref="R553">_xlfn.IFS(Q553=1,"Low",Q553=2,"Medium",Q553=3,"High",Q553=4,"Very High")</f>
        <v>Very High</v>
      </c>
      <c r="S553">
        <v>2</v>
      </c>
      <c r="T553" t="str" cm="1">
        <f t="array" ref="T553">_xlfn.IFS(S553=1,"Entry Level",S553=2,"Junior",S553=3,"Mid-Level",S553=4,"Senior",S553=5,"Executive")</f>
        <v>Junior</v>
      </c>
      <c r="U553" t="s">
        <v>57</v>
      </c>
      <c r="V553">
        <v>2</v>
      </c>
      <c r="W553" t="str" cm="1">
        <f t="array" ref="W553">_xlfn.IFS(V553=1,"Low",V553=2,"Medium",V553=3,"High",V553=4,"Very High")</f>
        <v>Medium</v>
      </c>
      <c r="X553" t="s">
        <v>44</v>
      </c>
      <c r="Y553" s="2">
        <v>6389</v>
      </c>
      <c r="Z553" s="2">
        <v>18767</v>
      </c>
      <c r="AA553">
        <v>9</v>
      </c>
      <c r="AB553" t="s">
        <v>39</v>
      </c>
      <c r="AC553">
        <v>15</v>
      </c>
      <c r="AD553">
        <v>3</v>
      </c>
      <c r="AE553" t="str" cm="1">
        <f t="array" ref="AE553">_xlfn.IFS(AD553=1,"Low",AD553=2,"Good",AD553=3,"Excellent",AD553=4,"Outstanding")</f>
        <v>Excellent</v>
      </c>
      <c r="AF553">
        <v>3</v>
      </c>
      <c r="AG553" t="str" cm="1">
        <f t="array" ref="AG553">_xlfn.IFS(AF553=1,"Low",AF553=2,"Medium",AF553=3,"High",AF553=4,"Very High")</f>
        <v>High</v>
      </c>
      <c r="AH553">
        <v>1</v>
      </c>
      <c r="AI553">
        <v>12</v>
      </c>
      <c r="AJ553">
        <v>3</v>
      </c>
      <c r="AK553">
        <v>1</v>
      </c>
      <c r="AL553" t="str" cm="1">
        <f t="array" ref="AL553">_xlfn.IFS(AK553=1,"Low",AK553=2,"Medium",AK553=3,"High",AK553=4,"Very High")</f>
        <v>Low</v>
      </c>
      <c r="AM553">
        <v>8</v>
      </c>
      <c r="AN553">
        <v>3</v>
      </c>
      <c r="AO553">
        <v>3</v>
      </c>
      <c r="AP553">
        <v>6</v>
      </c>
    </row>
    <row r="554" spans="1:42">
      <c r="A554">
        <v>56</v>
      </c>
      <c r="B554" t="str" cm="1">
        <f t="array" ref="B554">_xlfn.IFS(A554&lt;=25,"18-25",A554&lt;=35,"26-35",A554&lt;=45,"36-45",A554&lt;=55,"46-55",A554&gt;55,"56+")</f>
        <v>56+</v>
      </c>
      <c r="C554" t="s">
        <v>39</v>
      </c>
      <c r="D554" t="s">
        <v>33</v>
      </c>
      <c r="E554" s="2">
        <v>832</v>
      </c>
      <c r="F554" t="s">
        <v>41</v>
      </c>
      <c r="G554">
        <v>9</v>
      </c>
      <c r="H554" t="str">
        <f t="shared" si="8"/>
        <v>1-10 km</v>
      </c>
      <c r="I554">
        <v>3</v>
      </c>
      <c r="J554" t="str" cm="1">
        <f t="array" ref="J554">_xlfn.IFS(I554=1,"Below College",I554=2,"College",I554=3,"Bachelor",I554=4,"Master",I554=5,"Doctor")</f>
        <v>Bachelor</v>
      </c>
      <c r="K554" t="s">
        <v>47</v>
      </c>
      <c r="L554">
        <v>762</v>
      </c>
      <c r="M554">
        <v>3</v>
      </c>
      <c r="N554" t="str" cm="1">
        <f t="array" ref="N554">_xlfn.IFS(M554=1,"Low",M554=2,"Medium",M554=3,"High",M554=4,"Very High")</f>
        <v>High</v>
      </c>
      <c r="O554" t="s">
        <v>42</v>
      </c>
      <c r="P554" s="2">
        <v>81</v>
      </c>
      <c r="Q554">
        <v>3</v>
      </c>
      <c r="R554" t="str" cm="1">
        <f t="array" ref="R554">_xlfn.IFS(Q554=1,"Low",Q554=2,"Medium",Q554=3,"High",Q554=4,"Very High")</f>
        <v>High</v>
      </c>
      <c r="S554">
        <v>4</v>
      </c>
      <c r="T554" t="str" cm="1">
        <f t="array" ref="T554">_xlfn.IFS(S554=1,"Entry Level",S554=2,"Junior",S554=3,"Mid-Level",S554=4,"Senior",S554=5,"Executive")</f>
        <v>Senior</v>
      </c>
      <c r="U554" t="s">
        <v>50</v>
      </c>
      <c r="V554">
        <v>4</v>
      </c>
      <c r="W554" t="str" cm="1">
        <f t="array" ref="W554">_xlfn.IFS(V554=1,"Low",V554=2,"Medium",V554=3,"High",V554=4,"Very High")</f>
        <v>Very High</v>
      </c>
      <c r="X554" t="s">
        <v>44</v>
      </c>
      <c r="Y554" s="2">
        <v>11103</v>
      </c>
      <c r="Z554" s="2">
        <v>20420</v>
      </c>
      <c r="AA554">
        <v>7</v>
      </c>
      <c r="AB554" t="s">
        <v>39</v>
      </c>
      <c r="AC554">
        <v>11</v>
      </c>
      <c r="AD554">
        <v>3</v>
      </c>
      <c r="AE554" t="str" cm="1">
        <f t="array" ref="AE554">_xlfn.IFS(AD554=1,"Low",AD554=2,"Good",AD554=3,"Excellent",AD554=4,"Outstanding")</f>
        <v>Excellent</v>
      </c>
      <c r="AF554">
        <v>3</v>
      </c>
      <c r="AG554" t="str" cm="1">
        <f t="array" ref="AG554">_xlfn.IFS(AF554=1,"Low",AF554=2,"Medium",AF554=3,"High",AF554=4,"Very High")</f>
        <v>High</v>
      </c>
      <c r="AH554">
        <v>0</v>
      </c>
      <c r="AI554">
        <v>30</v>
      </c>
      <c r="AJ554">
        <v>1</v>
      </c>
      <c r="AK554">
        <v>2</v>
      </c>
      <c r="AL554" t="str" cm="1">
        <f t="array" ref="AL554">_xlfn.IFS(AK554=1,"Low",AK554=2,"Medium",AK554=3,"High",AK554=4,"Very High")</f>
        <v>Medium</v>
      </c>
      <c r="AM554">
        <v>10</v>
      </c>
      <c r="AN554">
        <v>7</v>
      </c>
      <c r="AO554">
        <v>1</v>
      </c>
      <c r="AP554">
        <v>1</v>
      </c>
    </row>
    <row r="555" spans="1:42">
      <c r="A555">
        <v>40</v>
      </c>
      <c r="B555" t="str" cm="1">
        <f t="array" ref="B555">_xlfn.IFS(A555&lt;=25,"18-25",A555&lt;=35,"26-35",A555&lt;=45,"36-45",A555&lt;=55,"46-55",A555&gt;55,"56+")</f>
        <v>36-45</v>
      </c>
      <c r="C555" t="s">
        <v>39</v>
      </c>
      <c r="D555" t="s">
        <v>33</v>
      </c>
      <c r="E555" s="2">
        <v>804</v>
      </c>
      <c r="F555" t="s">
        <v>41</v>
      </c>
      <c r="G555">
        <v>2</v>
      </c>
      <c r="H555" t="str">
        <f t="shared" si="8"/>
        <v>1-10 km</v>
      </c>
      <c r="I555">
        <v>1</v>
      </c>
      <c r="J555" t="str" cm="1">
        <f t="array" ref="J555">_xlfn.IFS(I555=1,"Below College",I555=2,"College",I555=3,"Bachelor",I555=4,"Master",I555=5,"Doctor")</f>
        <v>Below College</v>
      </c>
      <c r="K555" t="s">
        <v>47</v>
      </c>
      <c r="L555">
        <v>763</v>
      </c>
      <c r="M555">
        <v>4</v>
      </c>
      <c r="N555" t="str" cm="1">
        <f t="array" ref="N555">_xlfn.IFS(M555=1,"Low",M555=2,"Medium",M555=3,"High",M555=4,"Very High")</f>
        <v>Very High</v>
      </c>
      <c r="O555" t="s">
        <v>36</v>
      </c>
      <c r="P555" s="2">
        <v>86</v>
      </c>
      <c r="Q555">
        <v>2</v>
      </c>
      <c r="R555" t="str" cm="1">
        <f t="array" ref="R555">_xlfn.IFS(Q555=1,"Low",Q555=2,"Medium",Q555=3,"High",Q555=4,"Very High")</f>
        <v>Medium</v>
      </c>
      <c r="S555">
        <v>1</v>
      </c>
      <c r="T555" t="str" cm="1">
        <f t="array" ref="T555">_xlfn.IFS(S555=1,"Entry Level",S555=2,"Junior",S555=3,"Mid-Level",S555=4,"Senior",S555=5,"Executive")</f>
        <v>Entry Level</v>
      </c>
      <c r="U555" t="s">
        <v>43</v>
      </c>
      <c r="V555">
        <v>4</v>
      </c>
      <c r="W555" t="str" cm="1">
        <f t="array" ref="W555">_xlfn.IFS(V555=1,"Low",V555=2,"Medium",V555=3,"High",V555=4,"Very High")</f>
        <v>Very High</v>
      </c>
      <c r="X555" t="s">
        <v>38</v>
      </c>
      <c r="Y555" s="2">
        <v>2342</v>
      </c>
      <c r="Z555" s="2">
        <v>22929</v>
      </c>
      <c r="AA555">
        <v>0</v>
      </c>
      <c r="AB555" t="s">
        <v>32</v>
      </c>
      <c r="AC555">
        <v>20</v>
      </c>
      <c r="AD555">
        <v>4</v>
      </c>
      <c r="AE555" t="str" cm="1">
        <f t="array" ref="AE555">_xlfn.IFS(AD555=1,"Low",AD555=2,"Good",AD555=3,"Excellent",AD555=4,"Outstanding")</f>
        <v>Outstanding</v>
      </c>
      <c r="AF555">
        <v>4</v>
      </c>
      <c r="AG555" t="str" cm="1">
        <f t="array" ref="AG555">_xlfn.IFS(AF555=1,"Low",AF555=2,"Medium",AF555=3,"High",AF555=4,"Very High")</f>
        <v>Very High</v>
      </c>
      <c r="AH555">
        <v>0</v>
      </c>
      <c r="AI555">
        <v>5</v>
      </c>
      <c r="AJ555">
        <v>2</v>
      </c>
      <c r="AK555">
        <v>2</v>
      </c>
      <c r="AL555" t="str" cm="1">
        <f t="array" ref="AL555">_xlfn.IFS(AK555=1,"Low",AK555=2,"Medium",AK555=3,"High",AK555=4,"Very High")</f>
        <v>Medium</v>
      </c>
      <c r="AM555">
        <v>4</v>
      </c>
      <c r="AN555">
        <v>2</v>
      </c>
      <c r="AO555">
        <v>2</v>
      </c>
      <c r="AP555">
        <v>3</v>
      </c>
    </row>
    <row r="556" spans="1:42">
      <c r="A556">
        <v>27</v>
      </c>
      <c r="B556" t="str" cm="1">
        <f t="array" ref="B556">_xlfn.IFS(A556&lt;=25,"18-25",A556&lt;=35,"26-35",A556&lt;=45,"36-45",A556&lt;=55,"46-55",A556&gt;55,"56+")</f>
        <v>26-35</v>
      </c>
      <c r="C556" t="s">
        <v>39</v>
      </c>
      <c r="D556" t="s">
        <v>33</v>
      </c>
      <c r="E556" s="2">
        <v>975</v>
      </c>
      <c r="F556" t="s">
        <v>41</v>
      </c>
      <c r="G556">
        <v>7</v>
      </c>
      <c r="H556" t="str">
        <f t="shared" si="8"/>
        <v>1-10 km</v>
      </c>
      <c r="I556">
        <v>3</v>
      </c>
      <c r="J556" t="str" cm="1">
        <f t="array" ref="J556">_xlfn.IFS(I556=1,"Below College",I556=2,"College",I556=3,"Bachelor",I556=4,"Master",I556=5,"Doctor")</f>
        <v>Bachelor</v>
      </c>
      <c r="K556" t="s">
        <v>47</v>
      </c>
      <c r="L556">
        <v>764</v>
      </c>
      <c r="M556">
        <v>4</v>
      </c>
      <c r="N556" t="str" cm="1">
        <f t="array" ref="N556">_xlfn.IFS(M556=1,"Low",M556=2,"Medium",M556=3,"High",M556=4,"Very High")</f>
        <v>Very High</v>
      </c>
      <c r="O556" t="s">
        <v>36</v>
      </c>
      <c r="P556" s="2">
        <v>55</v>
      </c>
      <c r="Q556">
        <v>2</v>
      </c>
      <c r="R556" t="str" cm="1">
        <f t="array" ref="R556">_xlfn.IFS(Q556=1,"Low",Q556=2,"Medium",Q556=3,"High",Q556=4,"Very High")</f>
        <v>Medium</v>
      </c>
      <c r="S556">
        <v>2</v>
      </c>
      <c r="T556" t="str" cm="1">
        <f t="array" ref="T556">_xlfn.IFS(S556=1,"Entry Level",S556=2,"Junior",S556=3,"Mid-Level",S556=4,"Senior",S556=5,"Executive")</f>
        <v>Junior</v>
      </c>
      <c r="U556" t="s">
        <v>50</v>
      </c>
      <c r="V556">
        <v>1</v>
      </c>
      <c r="W556" t="str" cm="1">
        <f t="array" ref="W556">_xlfn.IFS(V556=1,"Low",V556=2,"Medium",V556=3,"High",V556=4,"Very High")</f>
        <v>Low</v>
      </c>
      <c r="X556" t="s">
        <v>38</v>
      </c>
      <c r="Y556" s="2">
        <v>6811</v>
      </c>
      <c r="Z556" s="2">
        <v>23398</v>
      </c>
      <c r="AA556">
        <v>8</v>
      </c>
      <c r="AB556" t="s">
        <v>39</v>
      </c>
      <c r="AC556">
        <v>19</v>
      </c>
      <c r="AD556">
        <v>3</v>
      </c>
      <c r="AE556" t="str" cm="1">
        <f t="array" ref="AE556">_xlfn.IFS(AD556=1,"Low",AD556=2,"Good",AD556=3,"Excellent",AD556=4,"Outstanding")</f>
        <v>Excellent</v>
      </c>
      <c r="AF556">
        <v>1</v>
      </c>
      <c r="AG556" t="str" cm="1">
        <f t="array" ref="AG556">_xlfn.IFS(AF556=1,"Low",AF556=2,"Medium",AF556=3,"High",AF556=4,"Very High")</f>
        <v>Low</v>
      </c>
      <c r="AH556">
        <v>0</v>
      </c>
      <c r="AI556">
        <v>9</v>
      </c>
      <c r="AJ556">
        <v>2</v>
      </c>
      <c r="AK556">
        <v>1</v>
      </c>
      <c r="AL556" t="str" cm="1">
        <f t="array" ref="AL556">_xlfn.IFS(AK556=1,"Low",AK556=2,"Medium",AK556=3,"High",AK556=4,"Very High")</f>
        <v>Low</v>
      </c>
      <c r="AM556">
        <v>7</v>
      </c>
      <c r="AN556">
        <v>6</v>
      </c>
      <c r="AO556">
        <v>0</v>
      </c>
      <c r="AP556">
        <v>7</v>
      </c>
    </row>
    <row r="557" spans="1:42">
      <c r="A557">
        <v>29</v>
      </c>
      <c r="B557" t="str" cm="1">
        <f t="array" ref="B557">_xlfn.IFS(A557&lt;=25,"18-25",A557&lt;=35,"26-35",A557&lt;=45,"36-45",A557&lt;=55,"46-55",A557&gt;55,"56+")</f>
        <v>26-35</v>
      </c>
      <c r="C557" t="s">
        <v>39</v>
      </c>
      <c r="D557" t="s">
        <v>33</v>
      </c>
      <c r="E557" s="2">
        <v>1090</v>
      </c>
      <c r="F557" t="s">
        <v>34</v>
      </c>
      <c r="G557">
        <v>10</v>
      </c>
      <c r="H557" t="str">
        <f t="shared" si="8"/>
        <v>1-10 km</v>
      </c>
      <c r="I557">
        <v>3</v>
      </c>
      <c r="J557" t="str" cm="1">
        <f t="array" ref="J557">_xlfn.IFS(I557=1,"Below College",I557=2,"College",I557=3,"Bachelor",I557=4,"Master",I557=5,"Doctor")</f>
        <v>Bachelor</v>
      </c>
      <c r="K557" t="s">
        <v>55</v>
      </c>
      <c r="L557">
        <v>766</v>
      </c>
      <c r="M557">
        <v>4</v>
      </c>
      <c r="N557" t="str" cm="1">
        <f t="array" ref="N557">_xlfn.IFS(M557=1,"Low",M557=2,"Medium",M557=3,"High",M557=4,"Very High")</f>
        <v>Very High</v>
      </c>
      <c r="O557" t="s">
        <v>42</v>
      </c>
      <c r="P557" s="2">
        <v>83</v>
      </c>
      <c r="Q557">
        <v>3</v>
      </c>
      <c r="R557" t="str" cm="1">
        <f t="array" ref="R557">_xlfn.IFS(Q557=1,"Low",Q557=2,"Medium",Q557=3,"High",Q557=4,"Very High")</f>
        <v>High</v>
      </c>
      <c r="S557">
        <v>1</v>
      </c>
      <c r="T557" t="str" cm="1">
        <f t="array" ref="T557">_xlfn.IFS(S557=1,"Entry Level",S557=2,"Junior",S557=3,"Mid-Level",S557=4,"Senior",S557=5,"Executive")</f>
        <v>Entry Level</v>
      </c>
      <c r="U557" t="s">
        <v>53</v>
      </c>
      <c r="V557">
        <v>2</v>
      </c>
      <c r="W557" t="str" cm="1">
        <f t="array" ref="W557">_xlfn.IFS(V557=1,"Low",V557=2,"Medium",V557=3,"High",V557=4,"Very High")</f>
        <v>Medium</v>
      </c>
      <c r="X557" t="s">
        <v>48</v>
      </c>
      <c r="Y557" s="2">
        <v>2297</v>
      </c>
      <c r="Z557" s="2">
        <v>17967</v>
      </c>
      <c r="AA557">
        <v>1</v>
      </c>
      <c r="AB557" t="s">
        <v>39</v>
      </c>
      <c r="AC557">
        <v>14</v>
      </c>
      <c r="AD557">
        <v>3</v>
      </c>
      <c r="AE557" t="str" cm="1">
        <f t="array" ref="AE557">_xlfn.IFS(AD557=1,"Low",AD557=2,"Good",AD557=3,"Excellent",AD557=4,"Outstanding")</f>
        <v>Excellent</v>
      </c>
      <c r="AF557">
        <v>4</v>
      </c>
      <c r="AG557" t="str" cm="1">
        <f t="array" ref="AG557">_xlfn.IFS(AF557=1,"Low",AF557=2,"Medium",AF557=3,"High",AF557=4,"Very High")</f>
        <v>Very High</v>
      </c>
      <c r="AH557">
        <v>2</v>
      </c>
      <c r="AI557">
        <v>2</v>
      </c>
      <c r="AJ557">
        <v>2</v>
      </c>
      <c r="AK557">
        <v>3</v>
      </c>
      <c r="AL557" t="str" cm="1">
        <f t="array" ref="AL557">_xlfn.IFS(AK557=1,"Low",AK557=2,"Medium",AK557=3,"High",AK557=4,"Very High")</f>
        <v>High</v>
      </c>
      <c r="AM557">
        <v>2</v>
      </c>
      <c r="AN557">
        <v>2</v>
      </c>
      <c r="AO557">
        <v>2</v>
      </c>
      <c r="AP557">
        <v>2</v>
      </c>
    </row>
    <row r="558" spans="1:42">
      <c r="A558">
        <v>53</v>
      </c>
      <c r="B558" t="str" cm="1">
        <f t="array" ref="B558">_xlfn.IFS(A558&lt;=25,"18-25",A558&lt;=35,"26-35",A558&lt;=45,"36-45",A558&lt;=55,"46-55",A558&gt;55,"56+")</f>
        <v>46-55</v>
      </c>
      <c r="C558" t="s">
        <v>39</v>
      </c>
      <c r="D558" t="s">
        <v>33</v>
      </c>
      <c r="E558" s="2">
        <v>346</v>
      </c>
      <c r="F558" t="s">
        <v>41</v>
      </c>
      <c r="G558">
        <v>6</v>
      </c>
      <c r="H558" t="str">
        <f t="shared" si="8"/>
        <v>1-10 km</v>
      </c>
      <c r="I558">
        <v>3</v>
      </c>
      <c r="J558" t="str" cm="1">
        <f t="array" ref="J558">_xlfn.IFS(I558=1,"Below College",I558=2,"College",I558=3,"Bachelor",I558=4,"Master",I558=5,"Doctor")</f>
        <v>Bachelor</v>
      </c>
      <c r="K558" t="s">
        <v>35</v>
      </c>
      <c r="L558">
        <v>769</v>
      </c>
      <c r="M558">
        <v>4</v>
      </c>
      <c r="N558" t="str" cm="1">
        <f t="array" ref="N558">_xlfn.IFS(M558=1,"Low",M558=2,"Medium",M558=3,"High",M558=4,"Very High")</f>
        <v>Very High</v>
      </c>
      <c r="O558" t="s">
        <v>42</v>
      </c>
      <c r="P558" s="2">
        <v>86</v>
      </c>
      <c r="Q558">
        <v>3</v>
      </c>
      <c r="R558" t="str" cm="1">
        <f t="array" ref="R558">_xlfn.IFS(Q558=1,"Low",Q558=2,"Medium",Q558=3,"High",Q558=4,"Very High")</f>
        <v>High</v>
      </c>
      <c r="S558">
        <v>2</v>
      </c>
      <c r="T558" t="str" cm="1">
        <f t="array" ref="T558">_xlfn.IFS(S558=1,"Entry Level",S558=2,"Junior",S558=3,"Mid-Level",S558=4,"Senior",S558=5,"Executive")</f>
        <v>Junior</v>
      </c>
      <c r="U558" t="s">
        <v>46</v>
      </c>
      <c r="V558">
        <v>4</v>
      </c>
      <c r="W558" t="str" cm="1">
        <f t="array" ref="W558">_xlfn.IFS(V558=1,"Low",V558=2,"Medium",V558=3,"High",V558=4,"Very High")</f>
        <v>Very High</v>
      </c>
      <c r="X558" t="s">
        <v>38</v>
      </c>
      <c r="Y558" s="2">
        <v>2450</v>
      </c>
      <c r="Z558" s="2">
        <v>10919</v>
      </c>
      <c r="AA558">
        <v>2</v>
      </c>
      <c r="AB558" t="s">
        <v>39</v>
      </c>
      <c r="AC558">
        <v>17</v>
      </c>
      <c r="AD558">
        <v>3</v>
      </c>
      <c r="AE558" t="str" cm="1">
        <f t="array" ref="AE558">_xlfn.IFS(AD558=1,"Low",AD558=2,"Good",AD558=3,"Excellent",AD558=4,"Outstanding")</f>
        <v>Excellent</v>
      </c>
      <c r="AF558">
        <v>4</v>
      </c>
      <c r="AG558" t="str" cm="1">
        <f t="array" ref="AG558">_xlfn.IFS(AF558=1,"Low",AF558=2,"Medium",AF558=3,"High",AF558=4,"Very High")</f>
        <v>Very High</v>
      </c>
      <c r="AH558">
        <v>0</v>
      </c>
      <c r="AI558">
        <v>19</v>
      </c>
      <c r="AJ558">
        <v>4</v>
      </c>
      <c r="AK558">
        <v>3</v>
      </c>
      <c r="AL558" t="str" cm="1">
        <f t="array" ref="AL558">_xlfn.IFS(AK558=1,"Low",AK558=2,"Medium",AK558=3,"High",AK558=4,"Very High")</f>
        <v>High</v>
      </c>
      <c r="AM558">
        <v>2</v>
      </c>
      <c r="AN558">
        <v>2</v>
      </c>
      <c r="AO558">
        <v>2</v>
      </c>
      <c r="AP558">
        <v>2</v>
      </c>
    </row>
    <row r="559" spans="1:42">
      <c r="A559">
        <v>35</v>
      </c>
      <c r="B559" t="str" cm="1">
        <f t="array" ref="B559">_xlfn.IFS(A559&lt;=25,"18-25",A559&lt;=35,"26-35",A559&lt;=45,"36-45",A559&lt;=55,"46-55",A559&gt;55,"56+")</f>
        <v>26-35</v>
      </c>
      <c r="C559" t="s">
        <v>39</v>
      </c>
      <c r="D559" t="s">
        <v>51</v>
      </c>
      <c r="E559" s="2">
        <v>1225</v>
      </c>
      <c r="F559" t="s">
        <v>41</v>
      </c>
      <c r="G559">
        <v>2</v>
      </c>
      <c r="H559" t="str">
        <f t="shared" si="8"/>
        <v>1-10 km</v>
      </c>
      <c r="I559">
        <v>4</v>
      </c>
      <c r="J559" t="str" cm="1">
        <f t="array" ref="J559">_xlfn.IFS(I559=1,"Below College",I559=2,"College",I559=3,"Bachelor",I559=4,"Master",I559=5,"Doctor")</f>
        <v>Master</v>
      </c>
      <c r="K559" t="s">
        <v>35</v>
      </c>
      <c r="L559">
        <v>771</v>
      </c>
      <c r="M559">
        <v>4</v>
      </c>
      <c r="N559" t="str" cm="1">
        <f t="array" ref="N559">_xlfn.IFS(M559=1,"Low",M559=2,"Medium",M559=3,"High",M559=4,"Very High")</f>
        <v>Very High</v>
      </c>
      <c r="O559" t="s">
        <v>36</v>
      </c>
      <c r="P559" s="2">
        <v>61</v>
      </c>
      <c r="Q559">
        <v>3</v>
      </c>
      <c r="R559" t="str" cm="1">
        <f t="array" ref="R559">_xlfn.IFS(Q559=1,"Low",Q559=2,"Medium",Q559=3,"High",Q559=4,"Very High")</f>
        <v>High</v>
      </c>
      <c r="S559">
        <v>2</v>
      </c>
      <c r="T559" t="str" cm="1">
        <f t="array" ref="T559">_xlfn.IFS(S559=1,"Entry Level",S559=2,"Junior",S559=3,"Mid-Level",S559=4,"Senior",S559=5,"Executive")</f>
        <v>Junior</v>
      </c>
      <c r="U559" t="s">
        <v>50</v>
      </c>
      <c r="V559">
        <v>1</v>
      </c>
      <c r="W559" t="str" cm="1">
        <f t="array" ref="W559">_xlfn.IFS(V559=1,"Low",V559=2,"Medium",V559=3,"High",V559=4,"Very High")</f>
        <v>Low</v>
      </c>
      <c r="X559" t="s">
        <v>48</v>
      </c>
      <c r="Y559" s="2">
        <v>5093</v>
      </c>
      <c r="Z559" s="2">
        <v>4761</v>
      </c>
      <c r="AA559">
        <v>2</v>
      </c>
      <c r="AB559" t="s">
        <v>39</v>
      </c>
      <c r="AC559">
        <v>11</v>
      </c>
      <c r="AD559">
        <v>3</v>
      </c>
      <c r="AE559" t="str" cm="1">
        <f t="array" ref="AE559">_xlfn.IFS(AD559=1,"Low",AD559=2,"Good",AD559=3,"Excellent",AD559=4,"Outstanding")</f>
        <v>Excellent</v>
      </c>
      <c r="AF559">
        <v>1</v>
      </c>
      <c r="AG559" t="str" cm="1">
        <f t="array" ref="AG559">_xlfn.IFS(AF559=1,"Low",AF559=2,"Medium",AF559=3,"High",AF559=4,"Very High")</f>
        <v>Low</v>
      </c>
      <c r="AH559">
        <v>1</v>
      </c>
      <c r="AI559">
        <v>16</v>
      </c>
      <c r="AJ559">
        <v>2</v>
      </c>
      <c r="AK559">
        <v>4</v>
      </c>
      <c r="AL559" t="str" cm="1">
        <f t="array" ref="AL559">_xlfn.IFS(AK559=1,"Low",AK559=2,"Medium",AK559=3,"High",AK559=4,"Very High")</f>
        <v>Very High</v>
      </c>
      <c r="AM559">
        <v>1</v>
      </c>
      <c r="AN559">
        <v>0</v>
      </c>
      <c r="AO559">
        <v>0</v>
      </c>
      <c r="AP559">
        <v>0</v>
      </c>
    </row>
    <row r="560" spans="1:42">
      <c r="A560">
        <v>32</v>
      </c>
      <c r="B560" t="str" cm="1">
        <f t="array" ref="B560">_xlfn.IFS(A560&lt;=25,"18-25",A560&lt;=35,"26-35",A560&lt;=45,"36-45",A560&lt;=55,"46-55",A560&gt;55,"56+")</f>
        <v>26-35</v>
      </c>
      <c r="C560" t="s">
        <v>39</v>
      </c>
      <c r="D560" t="s">
        <v>40</v>
      </c>
      <c r="E560" s="2">
        <v>430</v>
      </c>
      <c r="F560" t="s">
        <v>41</v>
      </c>
      <c r="G560">
        <v>24</v>
      </c>
      <c r="H560" t="str">
        <f t="shared" si="8"/>
        <v>21-30 km</v>
      </c>
      <c r="I560">
        <v>4</v>
      </c>
      <c r="J560" t="str" cm="1">
        <f t="array" ref="J560">_xlfn.IFS(I560=1,"Below College",I560=2,"College",I560=3,"Bachelor",I560=4,"Master",I560=5,"Doctor")</f>
        <v>Master</v>
      </c>
      <c r="K560" t="s">
        <v>35</v>
      </c>
      <c r="L560">
        <v>772</v>
      </c>
      <c r="M560">
        <v>1</v>
      </c>
      <c r="N560" t="str" cm="1">
        <f t="array" ref="N560">_xlfn.IFS(M560=1,"Low",M560=2,"Medium",M560=3,"High",M560=4,"Very High")</f>
        <v>Low</v>
      </c>
      <c r="O560" t="s">
        <v>42</v>
      </c>
      <c r="P560" s="2">
        <v>80</v>
      </c>
      <c r="Q560">
        <v>3</v>
      </c>
      <c r="R560" t="str" cm="1">
        <f t="array" ref="R560">_xlfn.IFS(Q560=1,"Low",Q560=2,"Medium",Q560=3,"High",Q560=4,"Very High")</f>
        <v>High</v>
      </c>
      <c r="S560">
        <v>2</v>
      </c>
      <c r="T560" t="str" cm="1">
        <f t="array" ref="T560">_xlfn.IFS(S560=1,"Entry Level",S560=2,"Junior",S560=3,"Mid-Level",S560=4,"Senior",S560=5,"Executive")</f>
        <v>Junior</v>
      </c>
      <c r="U560" t="s">
        <v>46</v>
      </c>
      <c r="V560">
        <v>4</v>
      </c>
      <c r="W560" t="str" cm="1">
        <f t="array" ref="W560">_xlfn.IFS(V560=1,"Low",V560=2,"Medium",V560=3,"High",V560=4,"Very High")</f>
        <v>Very High</v>
      </c>
      <c r="X560" t="s">
        <v>44</v>
      </c>
      <c r="Y560" s="2">
        <v>5309</v>
      </c>
      <c r="Z560" s="2">
        <v>21146</v>
      </c>
      <c r="AA560">
        <v>1</v>
      </c>
      <c r="AB560" t="s">
        <v>39</v>
      </c>
      <c r="AC560">
        <v>15</v>
      </c>
      <c r="AD560">
        <v>3</v>
      </c>
      <c r="AE560" t="str" cm="1">
        <f t="array" ref="AE560">_xlfn.IFS(AD560=1,"Low",AD560=2,"Good",AD560=3,"Excellent",AD560=4,"Outstanding")</f>
        <v>Excellent</v>
      </c>
      <c r="AF560">
        <v>4</v>
      </c>
      <c r="AG560" t="str" cm="1">
        <f t="array" ref="AG560">_xlfn.IFS(AF560=1,"Low",AF560=2,"Medium",AF560=3,"High",AF560=4,"Very High")</f>
        <v>Very High</v>
      </c>
      <c r="AH560">
        <v>2</v>
      </c>
      <c r="AI560">
        <v>10</v>
      </c>
      <c r="AJ560">
        <v>2</v>
      </c>
      <c r="AK560">
        <v>3</v>
      </c>
      <c r="AL560" t="str" cm="1">
        <f t="array" ref="AL560">_xlfn.IFS(AK560=1,"Low",AK560=2,"Medium",AK560=3,"High",AK560=4,"Very High")</f>
        <v>High</v>
      </c>
      <c r="AM560">
        <v>10</v>
      </c>
      <c r="AN560">
        <v>8</v>
      </c>
      <c r="AO560">
        <v>4</v>
      </c>
      <c r="AP560">
        <v>7</v>
      </c>
    </row>
    <row r="561" spans="1:42">
      <c r="A561">
        <v>38</v>
      </c>
      <c r="B561" t="str" cm="1">
        <f t="array" ref="B561">_xlfn.IFS(A561&lt;=25,"18-25",A561&lt;=35,"26-35",A561&lt;=45,"36-45",A561&lt;=55,"46-55",A561&gt;55,"56+")</f>
        <v>36-45</v>
      </c>
      <c r="C561" t="s">
        <v>39</v>
      </c>
      <c r="D561" t="s">
        <v>33</v>
      </c>
      <c r="E561" s="2">
        <v>268</v>
      </c>
      <c r="F561" t="s">
        <v>41</v>
      </c>
      <c r="G561">
        <v>2</v>
      </c>
      <c r="H561" t="str">
        <f t="shared" si="8"/>
        <v>1-10 km</v>
      </c>
      <c r="I561">
        <v>5</v>
      </c>
      <c r="J561" t="str" cm="1">
        <f t="array" ref="J561">_xlfn.IFS(I561=1,"Below College",I561=2,"College",I561=3,"Bachelor",I561=4,"Master",I561=5,"Doctor")</f>
        <v>Doctor</v>
      </c>
      <c r="K561" t="s">
        <v>47</v>
      </c>
      <c r="L561">
        <v>773</v>
      </c>
      <c r="M561">
        <v>4</v>
      </c>
      <c r="N561" t="str" cm="1">
        <f t="array" ref="N561">_xlfn.IFS(M561=1,"Low",M561=2,"Medium",M561=3,"High",M561=4,"Very High")</f>
        <v>Very High</v>
      </c>
      <c r="O561" t="s">
        <v>42</v>
      </c>
      <c r="P561" s="2">
        <v>92</v>
      </c>
      <c r="Q561">
        <v>3</v>
      </c>
      <c r="R561" t="str" cm="1">
        <f t="array" ref="R561">_xlfn.IFS(Q561=1,"Low",Q561=2,"Medium",Q561=3,"High",Q561=4,"Very High")</f>
        <v>High</v>
      </c>
      <c r="S561">
        <v>1</v>
      </c>
      <c r="T561" t="str" cm="1">
        <f t="array" ref="T561">_xlfn.IFS(S561=1,"Entry Level",S561=2,"Junior",S561=3,"Mid-Level",S561=4,"Senior",S561=5,"Executive")</f>
        <v>Entry Level</v>
      </c>
      <c r="U561" t="s">
        <v>43</v>
      </c>
      <c r="V561">
        <v>3</v>
      </c>
      <c r="W561" t="str" cm="1">
        <f t="array" ref="W561">_xlfn.IFS(V561=1,"Low",V561=2,"Medium",V561=3,"High",V561=4,"Very High")</f>
        <v>High</v>
      </c>
      <c r="X561" t="s">
        <v>44</v>
      </c>
      <c r="Y561" s="2">
        <v>3057</v>
      </c>
      <c r="Z561" s="2">
        <v>20471</v>
      </c>
      <c r="AA561">
        <v>6</v>
      </c>
      <c r="AB561" t="s">
        <v>32</v>
      </c>
      <c r="AC561">
        <v>13</v>
      </c>
      <c r="AD561">
        <v>3</v>
      </c>
      <c r="AE561" t="str" cm="1">
        <f t="array" ref="AE561">_xlfn.IFS(AD561=1,"Low",AD561=2,"Good",AD561=3,"Excellent",AD561=4,"Outstanding")</f>
        <v>Excellent</v>
      </c>
      <c r="AF561">
        <v>2</v>
      </c>
      <c r="AG561" t="str" cm="1">
        <f t="array" ref="AG561">_xlfn.IFS(AF561=1,"Low",AF561=2,"Medium",AF561=3,"High",AF561=4,"Very High")</f>
        <v>Medium</v>
      </c>
      <c r="AH561">
        <v>1</v>
      </c>
      <c r="AI561">
        <v>6</v>
      </c>
      <c r="AJ561">
        <v>0</v>
      </c>
      <c r="AK561">
        <v>1</v>
      </c>
      <c r="AL561" t="str" cm="1">
        <f t="array" ref="AL561">_xlfn.IFS(AK561=1,"Low",AK561=2,"Medium",AK561=3,"High",AK561=4,"Very High")</f>
        <v>Low</v>
      </c>
      <c r="AM561">
        <v>1</v>
      </c>
      <c r="AN561">
        <v>0</v>
      </c>
      <c r="AO561">
        <v>0</v>
      </c>
      <c r="AP561">
        <v>1</v>
      </c>
    </row>
    <row r="562" spans="1:42">
      <c r="A562">
        <v>34</v>
      </c>
      <c r="B562" t="str" cm="1">
        <f t="array" ref="B562">_xlfn.IFS(A562&lt;=25,"18-25",A562&lt;=35,"26-35",A562&lt;=45,"36-45",A562&lt;=55,"46-55",A562&gt;55,"56+")</f>
        <v>26-35</v>
      </c>
      <c r="C562" t="s">
        <v>39</v>
      </c>
      <c r="D562" t="s">
        <v>33</v>
      </c>
      <c r="E562" s="2">
        <v>167</v>
      </c>
      <c r="F562" t="s">
        <v>41</v>
      </c>
      <c r="G562">
        <v>8</v>
      </c>
      <c r="H562" t="str">
        <f t="shared" si="8"/>
        <v>1-10 km</v>
      </c>
      <c r="I562">
        <v>5</v>
      </c>
      <c r="J562" t="str" cm="1">
        <f t="array" ref="J562">_xlfn.IFS(I562=1,"Below College",I562=2,"College",I562=3,"Bachelor",I562=4,"Master",I562=5,"Doctor")</f>
        <v>Doctor</v>
      </c>
      <c r="K562" t="s">
        <v>35</v>
      </c>
      <c r="L562">
        <v>775</v>
      </c>
      <c r="M562">
        <v>2</v>
      </c>
      <c r="N562" t="str" cm="1">
        <f t="array" ref="N562">_xlfn.IFS(M562=1,"Low",M562=2,"Medium",M562=3,"High",M562=4,"Very High")</f>
        <v>Medium</v>
      </c>
      <c r="O562" t="s">
        <v>36</v>
      </c>
      <c r="P562" s="2">
        <v>32</v>
      </c>
      <c r="Q562">
        <v>3</v>
      </c>
      <c r="R562" t="str" cm="1">
        <f t="array" ref="R562">_xlfn.IFS(Q562=1,"Low",Q562=2,"Medium",Q562=3,"High",Q562=4,"Very High")</f>
        <v>High</v>
      </c>
      <c r="S562">
        <v>2</v>
      </c>
      <c r="T562" t="str" cm="1">
        <f t="array" ref="T562">_xlfn.IFS(S562=1,"Entry Level",S562=2,"Junior",S562=3,"Mid-Level",S562=4,"Senior",S562=5,"Executive")</f>
        <v>Junior</v>
      </c>
      <c r="U562" t="s">
        <v>49</v>
      </c>
      <c r="V562">
        <v>1</v>
      </c>
      <c r="W562" t="str" cm="1">
        <f t="array" ref="W562">_xlfn.IFS(V562=1,"Low",V562=2,"Medium",V562=3,"High",V562=4,"Very High")</f>
        <v>Low</v>
      </c>
      <c r="X562" t="s">
        <v>48</v>
      </c>
      <c r="Y562" s="2">
        <v>5121</v>
      </c>
      <c r="Z562" s="2">
        <v>4187</v>
      </c>
      <c r="AA562">
        <v>3</v>
      </c>
      <c r="AB562" t="s">
        <v>39</v>
      </c>
      <c r="AC562">
        <v>14</v>
      </c>
      <c r="AD562">
        <v>3</v>
      </c>
      <c r="AE562" t="str" cm="1">
        <f t="array" ref="AE562">_xlfn.IFS(AD562=1,"Low",AD562=2,"Good",AD562=3,"Excellent",AD562=4,"Outstanding")</f>
        <v>Excellent</v>
      </c>
      <c r="AF562">
        <v>3</v>
      </c>
      <c r="AG562" t="str" cm="1">
        <f t="array" ref="AG562">_xlfn.IFS(AF562=1,"Low",AF562=2,"Medium",AF562=3,"High",AF562=4,"Very High")</f>
        <v>High</v>
      </c>
      <c r="AH562">
        <v>1</v>
      </c>
      <c r="AI562">
        <v>7</v>
      </c>
      <c r="AJ562">
        <v>3</v>
      </c>
      <c r="AK562">
        <v>3</v>
      </c>
      <c r="AL562" t="str" cm="1">
        <f t="array" ref="AL562">_xlfn.IFS(AK562=1,"Low",AK562=2,"Medium",AK562=3,"High",AK562=4,"Very High")</f>
        <v>High</v>
      </c>
      <c r="AM562">
        <v>0</v>
      </c>
      <c r="AN562">
        <v>0</v>
      </c>
      <c r="AO562">
        <v>0</v>
      </c>
      <c r="AP562">
        <v>0</v>
      </c>
    </row>
    <row r="563" spans="1:42">
      <c r="A563">
        <v>52</v>
      </c>
      <c r="B563" t="str" cm="1">
        <f t="array" ref="B563">_xlfn.IFS(A563&lt;=25,"18-25",A563&lt;=35,"26-35",A563&lt;=45,"36-45",A563&lt;=55,"46-55",A563&gt;55,"56+")</f>
        <v>46-55</v>
      </c>
      <c r="C563" t="s">
        <v>39</v>
      </c>
      <c r="D563" t="s">
        <v>33</v>
      </c>
      <c r="E563" s="2">
        <v>621</v>
      </c>
      <c r="F563" t="s">
        <v>34</v>
      </c>
      <c r="G563">
        <v>3</v>
      </c>
      <c r="H563" t="str">
        <f t="shared" si="8"/>
        <v>1-10 km</v>
      </c>
      <c r="I563">
        <v>4</v>
      </c>
      <c r="J563" t="str" cm="1">
        <f t="array" ref="J563">_xlfn.IFS(I563=1,"Below College",I563=2,"College",I563=3,"Bachelor",I563=4,"Master",I563=5,"Doctor")</f>
        <v>Master</v>
      </c>
      <c r="K563" t="s">
        <v>55</v>
      </c>
      <c r="L563">
        <v>776</v>
      </c>
      <c r="M563">
        <v>3</v>
      </c>
      <c r="N563" t="str" cm="1">
        <f t="array" ref="N563">_xlfn.IFS(M563=1,"Low",M563=2,"Medium",M563=3,"High",M563=4,"Very High")</f>
        <v>High</v>
      </c>
      <c r="O563" t="s">
        <v>42</v>
      </c>
      <c r="P563" s="2">
        <v>31</v>
      </c>
      <c r="Q563">
        <v>2</v>
      </c>
      <c r="R563" t="str" cm="1">
        <f t="array" ref="R563">_xlfn.IFS(Q563=1,"Low",Q563=2,"Medium",Q563=3,"High",Q563=4,"Very High")</f>
        <v>Medium</v>
      </c>
      <c r="S563">
        <v>4</v>
      </c>
      <c r="T563" t="str" cm="1">
        <f t="array" ref="T563">_xlfn.IFS(S563=1,"Entry Level",S563=2,"Junior",S563=3,"Mid-Level",S563=4,"Senior",S563=5,"Executive")</f>
        <v>Senior</v>
      </c>
      <c r="U563" t="s">
        <v>52</v>
      </c>
      <c r="V563">
        <v>1</v>
      </c>
      <c r="W563" t="str" cm="1">
        <f t="array" ref="W563">_xlfn.IFS(V563=1,"Low",V563=2,"Medium",V563=3,"High",V563=4,"Very High")</f>
        <v>Low</v>
      </c>
      <c r="X563" t="s">
        <v>44</v>
      </c>
      <c r="Y563" s="2">
        <v>16856</v>
      </c>
      <c r="Z563" s="2">
        <v>10084</v>
      </c>
      <c r="AA563">
        <v>1</v>
      </c>
      <c r="AB563" t="s">
        <v>39</v>
      </c>
      <c r="AC563">
        <v>11</v>
      </c>
      <c r="AD563">
        <v>3</v>
      </c>
      <c r="AE563" t="str" cm="1">
        <f t="array" ref="AE563">_xlfn.IFS(AD563=1,"Low",AD563=2,"Good",AD563=3,"Excellent",AD563=4,"Outstanding")</f>
        <v>Excellent</v>
      </c>
      <c r="AF563">
        <v>1</v>
      </c>
      <c r="AG563" t="str" cm="1">
        <f t="array" ref="AG563">_xlfn.IFS(AF563=1,"Low",AF563=2,"Medium",AF563=3,"High",AF563=4,"Very High")</f>
        <v>Low</v>
      </c>
      <c r="AH563">
        <v>0</v>
      </c>
      <c r="AI563">
        <v>34</v>
      </c>
      <c r="AJ563">
        <v>3</v>
      </c>
      <c r="AK563">
        <v>4</v>
      </c>
      <c r="AL563" t="str" cm="1">
        <f t="array" ref="AL563">_xlfn.IFS(AK563=1,"Low",AK563=2,"Medium",AK563=3,"High",AK563=4,"Very High")</f>
        <v>Very High</v>
      </c>
      <c r="AM563">
        <v>34</v>
      </c>
      <c r="AN563">
        <v>6</v>
      </c>
      <c r="AO563">
        <v>1</v>
      </c>
      <c r="AP563">
        <v>16</v>
      </c>
    </row>
    <row r="564" spans="1:42">
      <c r="A564">
        <v>33</v>
      </c>
      <c r="B564" t="str" cm="1">
        <f t="array" ref="B564">_xlfn.IFS(A564&lt;=25,"18-25",A564&lt;=35,"26-35",A564&lt;=45,"36-45",A564&lt;=55,"46-55",A564&gt;55,"56+")</f>
        <v>26-35</v>
      </c>
      <c r="C564" t="s">
        <v>32</v>
      </c>
      <c r="D564" t="s">
        <v>33</v>
      </c>
      <c r="E564" s="2">
        <v>527</v>
      </c>
      <c r="F564" t="s">
        <v>41</v>
      </c>
      <c r="G564">
        <v>1</v>
      </c>
      <c r="H564" t="str">
        <f t="shared" si="8"/>
        <v>1-10 km</v>
      </c>
      <c r="I564">
        <v>4</v>
      </c>
      <c r="J564" t="str" cm="1">
        <f t="array" ref="J564">_xlfn.IFS(I564=1,"Below College",I564=2,"College",I564=3,"Bachelor",I564=4,"Master",I564=5,"Doctor")</f>
        <v>Master</v>
      </c>
      <c r="K564" t="s">
        <v>45</v>
      </c>
      <c r="L564">
        <v>780</v>
      </c>
      <c r="M564">
        <v>4</v>
      </c>
      <c r="N564" t="str" cm="1">
        <f t="array" ref="N564">_xlfn.IFS(M564=1,"Low",M564=2,"Medium",M564=3,"High",M564=4,"Very High")</f>
        <v>Very High</v>
      </c>
      <c r="O564" t="s">
        <v>42</v>
      </c>
      <c r="P564" s="2">
        <v>63</v>
      </c>
      <c r="Q564">
        <v>3</v>
      </c>
      <c r="R564" t="str" cm="1">
        <f t="array" ref="R564">_xlfn.IFS(Q564=1,"Low",Q564=2,"Medium",Q564=3,"High",Q564=4,"Very High")</f>
        <v>High</v>
      </c>
      <c r="S564">
        <v>1</v>
      </c>
      <c r="T564" t="str" cm="1">
        <f t="array" ref="T564">_xlfn.IFS(S564=1,"Entry Level",S564=2,"Junior",S564=3,"Mid-Level",S564=4,"Senior",S564=5,"Executive")</f>
        <v>Entry Level</v>
      </c>
      <c r="U564" t="s">
        <v>43</v>
      </c>
      <c r="V564">
        <v>4</v>
      </c>
      <c r="W564" t="str" cm="1">
        <f t="array" ref="W564">_xlfn.IFS(V564=1,"Low",V564=2,"Medium",V564=3,"High",V564=4,"Very High")</f>
        <v>Very High</v>
      </c>
      <c r="X564" t="s">
        <v>38</v>
      </c>
      <c r="Y564" s="2">
        <v>2686</v>
      </c>
      <c r="Z564" s="2">
        <v>5207</v>
      </c>
      <c r="AA564">
        <v>1</v>
      </c>
      <c r="AB564" t="s">
        <v>32</v>
      </c>
      <c r="AC564">
        <v>13</v>
      </c>
      <c r="AD564">
        <v>3</v>
      </c>
      <c r="AE564" t="str" cm="1">
        <f t="array" ref="AE564">_xlfn.IFS(AD564=1,"Low",AD564=2,"Good",AD564=3,"Excellent",AD564=4,"Outstanding")</f>
        <v>Excellent</v>
      </c>
      <c r="AF564">
        <v>3</v>
      </c>
      <c r="AG564" t="str" cm="1">
        <f t="array" ref="AG564">_xlfn.IFS(AF564=1,"Low",AF564=2,"Medium",AF564=3,"High",AF564=4,"Very High")</f>
        <v>High</v>
      </c>
      <c r="AH564">
        <v>0</v>
      </c>
      <c r="AI564">
        <v>10</v>
      </c>
      <c r="AJ564">
        <v>2</v>
      </c>
      <c r="AK564">
        <v>2</v>
      </c>
      <c r="AL564" t="str" cm="1">
        <f t="array" ref="AL564">_xlfn.IFS(AK564=1,"Low",AK564=2,"Medium",AK564=3,"High",AK564=4,"Very High")</f>
        <v>Medium</v>
      </c>
      <c r="AM564">
        <v>10</v>
      </c>
      <c r="AN564">
        <v>9</v>
      </c>
      <c r="AO564">
        <v>7</v>
      </c>
      <c r="AP564">
        <v>8</v>
      </c>
    </row>
    <row r="565" spans="1:42">
      <c r="A565">
        <v>25</v>
      </c>
      <c r="B565" t="str" cm="1">
        <f t="array" ref="B565">_xlfn.IFS(A565&lt;=25,"18-25",A565&lt;=35,"26-35",A565&lt;=45,"36-45",A565&lt;=55,"46-55",A565&gt;55,"56+")</f>
        <v>18-25</v>
      </c>
      <c r="C565" t="s">
        <v>39</v>
      </c>
      <c r="D565" t="s">
        <v>33</v>
      </c>
      <c r="E565" s="2">
        <v>883</v>
      </c>
      <c r="F565" t="s">
        <v>34</v>
      </c>
      <c r="G565">
        <v>26</v>
      </c>
      <c r="H565" t="str">
        <f t="shared" si="8"/>
        <v>21-30 km</v>
      </c>
      <c r="I565">
        <v>1</v>
      </c>
      <c r="J565" t="str" cm="1">
        <f t="array" ref="J565">_xlfn.IFS(I565=1,"Below College",I565=2,"College",I565=3,"Bachelor",I565=4,"Master",I565=5,"Doctor")</f>
        <v>Below College</v>
      </c>
      <c r="K565" t="s">
        <v>47</v>
      </c>
      <c r="L565">
        <v>781</v>
      </c>
      <c r="M565">
        <v>3</v>
      </c>
      <c r="N565" t="str" cm="1">
        <f t="array" ref="N565">_xlfn.IFS(M565=1,"Low",M565=2,"Medium",M565=3,"High",M565=4,"Very High")</f>
        <v>High</v>
      </c>
      <c r="O565" t="s">
        <v>36</v>
      </c>
      <c r="P565" s="2">
        <v>32</v>
      </c>
      <c r="Q565">
        <v>3</v>
      </c>
      <c r="R565" t="str" cm="1">
        <f t="array" ref="R565">_xlfn.IFS(Q565=1,"Low",Q565=2,"Medium",Q565=3,"High",Q565=4,"Very High")</f>
        <v>High</v>
      </c>
      <c r="S565">
        <v>2</v>
      </c>
      <c r="T565" t="str" cm="1">
        <f t="array" ref="T565">_xlfn.IFS(S565=1,"Entry Level",S565=2,"Junior",S565=3,"Mid-Level",S565=4,"Senior",S565=5,"Executive")</f>
        <v>Junior</v>
      </c>
      <c r="U565" t="s">
        <v>37</v>
      </c>
      <c r="V565">
        <v>4</v>
      </c>
      <c r="W565" t="str" cm="1">
        <f t="array" ref="W565">_xlfn.IFS(V565=1,"Low",V565=2,"Medium",V565=3,"High",V565=4,"Very High")</f>
        <v>Very High</v>
      </c>
      <c r="X565" t="s">
        <v>38</v>
      </c>
      <c r="Y565" s="2">
        <v>6180</v>
      </c>
      <c r="Z565" s="2">
        <v>22807</v>
      </c>
      <c r="AA565">
        <v>1</v>
      </c>
      <c r="AB565" t="s">
        <v>39</v>
      </c>
      <c r="AC565">
        <v>23</v>
      </c>
      <c r="AD565">
        <v>4</v>
      </c>
      <c r="AE565" t="str" cm="1">
        <f t="array" ref="AE565">_xlfn.IFS(AD565=1,"Low",AD565=2,"Good",AD565=3,"Excellent",AD565=4,"Outstanding")</f>
        <v>Outstanding</v>
      </c>
      <c r="AF565">
        <v>2</v>
      </c>
      <c r="AG565" t="str" cm="1">
        <f t="array" ref="AG565">_xlfn.IFS(AF565=1,"Low",AF565=2,"Medium",AF565=3,"High",AF565=4,"Very High")</f>
        <v>Medium</v>
      </c>
      <c r="AH565">
        <v>0</v>
      </c>
      <c r="AI565">
        <v>6</v>
      </c>
      <c r="AJ565">
        <v>5</v>
      </c>
      <c r="AK565">
        <v>2</v>
      </c>
      <c r="AL565" t="str" cm="1">
        <f t="array" ref="AL565">_xlfn.IFS(AK565=1,"Low",AK565=2,"Medium",AK565=3,"High",AK565=4,"Very High")</f>
        <v>Medium</v>
      </c>
      <c r="AM565">
        <v>6</v>
      </c>
      <c r="AN565">
        <v>5</v>
      </c>
      <c r="AO565">
        <v>1</v>
      </c>
      <c r="AP565">
        <v>4</v>
      </c>
    </row>
    <row r="566" spans="1:42">
      <c r="A566">
        <v>45</v>
      </c>
      <c r="B566" t="str" cm="1">
        <f t="array" ref="B566">_xlfn.IFS(A566&lt;=25,"18-25",A566&lt;=35,"26-35",A566&lt;=45,"36-45",A566&lt;=55,"46-55",A566&gt;55,"56+")</f>
        <v>36-45</v>
      </c>
      <c r="C566" t="s">
        <v>39</v>
      </c>
      <c r="D566" t="s">
        <v>33</v>
      </c>
      <c r="E566" s="2">
        <v>954</v>
      </c>
      <c r="F566" t="s">
        <v>34</v>
      </c>
      <c r="G566">
        <v>2</v>
      </c>
      <c r="H566" t="str">
        <f t="shared" si="8"/>
        <v>1-10 km</v>
      </c>
      <c r="I566">
        <v>2</v>
      </c>
      <c r="J566" t="str" cm="1">
        <f t="array" ref="J566">_xlfn.IFS(I566=1,"Below College",I566=2,"College",I566=3,"Bachelor",I566=4,"Master",I566=5,"Doctor")</f>
        <v>College</v>
      </c>
      <c r="K566" t="s">
        <v>56</v>
      </c>
      <c r="L566">
        <v>783</v>
      </c>
      <c r="M566">
        <v>2</v>
      </c>
      <c r="N566" t="str" cm="1">
        <f t="array" ref="N566">_xlfn.IFS(M566=1,"Low",M566=2,"Medium",M566=3,"High",M566=4,"Very High")</f>
        <v>Medium</v>
      </c>
      <c r="O566" t="s">
        <v>42</v>
      </c>
      <c r="P566" s="2">
        <v>46</v>
      </c>
      <c r="Q566">
        <v>1</v>
      </c>
      <c r="R566" t="str" cm="1">
        <f t="array" ref="R566">_xlfn.IFS(Q566=1,"Low",Q566=2,"Medium",Q566=3,"High",Q566=4,"Very High")</f>
        <v>Low</v>
      </c>
      <c r="S566">
        <v>2</v>
      </c>
      <c r="T566" t="str" cm="1">
        <f t="array" ref="T566">_xlfn.IFS(S566=1,"Entry Level",S566=2,"Junior",S566=3,"Mid-Level",S566=4,"Senior",S566=5,"Executive")</f>
        <v>Junior</v>
      </c>
      <c r="U566" t="s">
        <v>53</v>
      </c>
      <c r="V566">
        <v>3</v>
      </c>
      <c r="W566" t="str" cm="1">
        <f t="array" ref="W566">_xlfn.IFS(V566=1,"Low",V566=2,"Medium",V566=3,"High",V566=4,"Very High")</f>
        <v>High</v>
      </c>
      <c r="X566" t="s">
        <v>38</v>
      </c>
      <c r="Y566" s="2">
        <v>6632</v>
      </c>
      <c r="Z566" s="2">
        <v>12388</v>
      </c>
      <c r="AA566">
        <v>0</v>
      </c>
      <c r="AB566" t="s">
        <v>39</v>
      </c>
      <c r="AC566">
        <v>13</v>
      </c>
      <c r="AD566">
        <v>3</v>
      </c>
      <c r="AE566" t="str" cm="1">
        <f t="array" ref="AE566">_xlfn.IFS(AD566=1,"Low",AD566=2,"Good",AD566=3,"Excellent",AD566=4,"Outstanding")</f>
        <v>Excellent</v>
      </c>
      <c r="AF566">
        <v>1</v>
      </c>
      <c r="AG566" t="str" cm="1">
        <f t="array" ref="AG566">_xlfn.IFS(AF566=1,"Low",AF566=2,"Medium",AF566=3,"High",AF566=4,"Very High")</f>
        <v>Low</v>
      </c>
      <c r="AH566">
        <v>0</v>
      </c>
      <c r="AI566">
        <v>9</v>
      </c>
      <c r="AJ566">
        <v>3</v>
      </c>
      <c r="AK566">
        <v>3</v>
      </c>
      <c r="AL566" t="str" cm="1">
        <f t="array" ref="AL566">_xlfn.IFS(AK566=1,"Low",AK566=2,"Medium",AK566=3,"High",AK566=4,"Very High")</f>
        <v>High</v>
      </c>
      <c r="AM566">
        <v>8</v>
      </c>
      <c r="AN566">
        <v>7</v>
      </c>
      <c r="AO566">
        <v>3</v>
      </c>
      <c r="AP566">
        <v>1</v>
      </c>
    </row>
    <row r="567" spans="1:42">
      <c r="A567">
        <v>23</v>
      </c>
      <c r="B567" t="str" cm="1">
        <f t="array" ref="B567">_xlfn.IFS(A567&lt;=25,"18-25",A567&lt;=35,"26-35",A567&lt;=45,"36-45",A567&lt;=55,"46-55",A567&gt;55,"56+")</f>
        <v>18-25</v>
      </c>
      <c r="C567" t="s">
        <v>39</v>
      </c>
      <c r="D567" t="s">
        <v>33</v>
      </c>
      <c r="E567" s="2">
        <v>310</v>
      </c>
      <c r="F567" t="s">
        <v>41</v>
      </c>
      <c r="G567">
        <v>10</v>
      </c>
      <c r="H567" t="str">
        <f t="shared" si="8"/>
        <v>1-10 km</v>
      </c>
      <c r="I567">
        <v>1</v>
      </c>
      <c r="J567" t="str" cm="1">
        <f t="array" ref="J567">_xlfn.IFS(I567=1,"Below College",I567=2,"College",I567=3,"Bachelor",I567=4,"Master",I567=5,"Doctor")</f>
        <v>Below College</v>
      </c>
      <c r="K567" t="s">
        <v>47</v>
      </c>
      <c r="L567">
        <v>784</v>
      </c>
      <c r="M567">
        <v>1</v>
      </c>
      <c r="N567" t="str" cm="1">
        <f t="array" ref="N567">_xlfn.IFS(M567=1,"Low",M567=2,"Medium",M567=3,"High",M567=4,"Very High")</f>
        <v>Low</v>
      </c>
      <c r="O567" t="s">
        <v>42</v>
      </c>
      <c r="P567" s="2">
        <v>79</v>
      </c>
      <c r="Q567">
        <v>4</v>
      </c>
      <c r="R567" t="str" cm="1">
        <f t="array" ref="R567">_xlfn.IFS(Q567=1,"Low",Q567=2,"Medium",Q567=3,"High",Q567=4,"Very High")</f>
        <v>Very High</v>
      </c>
      <c r="S567">
        <v>1</v>
      </c>
      <c r="T567" t="str" cm="1">
        <f t="array" ref="T567">_xlfn.IFS(S567=1,"Entry Level",S567=2,"Junior",S567=3,"Mid-Level",S567=4,"Senior",S567=5,"Executive")</f>
        <v>Entry Level</v>
      </c>
      <c r="U567" t="s">
        <v>43</v>
      </c>
      <c r="V567">
        <v>3</v>
      </c>
      <c r="W567" t="str" cm="1">
        <f t="array" ref="W567">_xlfn.IFS(V567=1,"Low",V567=2,"Medium",V567=3,"High",V567=4,"Very High")</f>
        <v>High</v>
      </c>
      <c r="X567" t="s">
        <v>38</v>
      </c>
      <c r="Y567" s="2">
        <v>3505</v>
      </c>
      <c r="Z567" s="2">
        <v>19630</v>
      </c>
      <c r="AA567">
        <v>1</v>
      </c>
      <c r="AB567" t="s">
        <v>39</v>
      </c>
      <c r="AC567">
        <v>18</v>
      </c>
      <c r="AD567">
        <v>3</v>
      </c>
      <c r="AE567" t="str" cm="1">
        <f t="array" ref="AE567">_xlfn.IFS(AD567=1,"Low",AD567=2,"Good",AD567=3,"Excellent",AD567=4,"Outstanding")</f>
        <v>Excellent</v>
      </c>
      <c r="AF567">
        <v>4</v>
      </c>
      <c r="AG567" t="str" cm="1">
        <f t="array" ref="AG567">_xlfn.IFS(AF567=1,"Low",AF567=2,"Medium",AF567=3,"High",AF567=4,"Very High")</f>
        <v>Very High</v>
      </c>
      <c r="AH567">
        <v>0</v>
      </c>
      <c r="AI567">
        <v>2</v>
      </c>
      <c r="AJ567">
        <v>3</v>
      </c>
      <c r="AK567">
        <v>3</v>
      </c>
      <c r="AL567" t="str" cm="1">
        <f t="array" ref="AL567">_xlfn.IFS(AK567=1,"Low",AK567=2,"Medium",AK567=3,"High",AK567=4,"Very High")</f>
        <v>High</v>
      </c>
      <c r="AM567">
        <v>2</v>
      </c>
      <c r="AN567">
        <v>2</v>
      </c>
      <c r="AO567">
        <v>0</v>
      </c>
      <c r="AP567">
        <v>2</v>
      </c>
    </row>
    <row r="568" spans="1:42">
      <c r="A568">
        <v>47</v>
      </c>
      <c r="B568" t="str" cm="1">
        <f t="array" ref="B568">_xlfn.IFS(A568&lt;=25,"18-25",A568&lt;=35,"26-35",A568&lt;=45,"36-45",A568&lt;=55,"46-55",A568&gt;55,"56+")</f>
        <v>46-55</v>
      </c>
      <c r="C568" t="s">
        <v>32</v>
      </c>
      <c r="D568" t="s">
        <v>40</v>
      </c>
      <c r="E568" s="2">
        <v>719</v>
      </c>
      <c r="F568" t="s">
        <v>34</v>
      </c>
      <c r="G568">
        <v>27</v>
      </c>
      <c r="H568" t="str">
        <f t="shared" si="8"/>
        <v>21-30 km</v>
      </c>
      <c r="I568">
        <v>2</v>
      </c>
      <c r="J568" t="str" cm="1">
        <f t="array" ref="J568">_xlfn.IFS(I568=1,"Below College",I568=2,"College",I568=3,"Bachelor",I568=4,"Master",I568=5,"Doctor")</f>
        <v>College</v>
      </c>
      <c r="K568" t="s">
        <v>35</v>
      </c>
      <c r="L568">
        <v>785</v>
      </c>
      <c r="M568">
        <v>2</v>
      </c>
      <c r="N568" t="str" cm="1">
        <f t="array" ref="N568">_xlfn.IFS(M568=1,"Low",M568=2,"Medium",M568=3,"High",M568=4,"Very High")</f>
        <v>Medium</v>
      </c>
      <c r="O568" t="s">
        <v>36</v>
      </c>
      <c r="P568" s="2">
        <v>77</v>
      </c>
      <c r="Q568">
        <v>4</v>
      </c>
      <c r="R568" t="str" cm="1">
        <f t="array" ref="R568">_xlfn.IFS(Q568=1,"Low",Q568=2,"Medium",Q568=3,"High",Q568=4,"Very High")</f>
        <v>Very High</v>
      </c>
      <c r="S568">
        <v>2</v>
      </c>
      <c r="T568" t="str" cm="1">
        <f t="array" ref="T568">_xlfn.IFS(S568=1,"Entry Level",S568=2,"Junior",S568=3,"Mid-Level",S568=4,"Senior",S568=5,"Executive")</f>
        <v>Junior</v>
      </c>
      <c r="U568" t="s">
        <v>37</v>
      </c>
      <c r="V568">
        <v>3</v>
      </c>
      <c r="W568" t="str" cm="1">
        <f t="array" ref="W568">_xlfn.IFS(V568=1,"Low",V568=2,"Medium",V568=3,"High",V568=4,"Very High")</f>
        <v>High</v>
      </c>
      <c r="X568" t="s">
        <v>38</v>
      </c>
      <c r="Y568" s="2">
        <v>6397</v>
      </c>
      <c r="Z568" s="2">
        <v>10339</v>
      </c>
      <c r="AA568">
        <v>4</v>
      </c>
      <c r="AB568" t="s">
        <v>32</v>
      </c>
      <c r="AC568">
        <v>12</v>
      </c>
      <c r="AD568">
        <v>3</v>
      </c>
      <c r="AE568" t="str" cm="1">
        <f t="array" ref="AE568">_xlfn.IFS(AD568=1,"Low",AD568=2,"Good",AD568=3,"Excellent",AD568=4,"Outstanding")</f>
        <v>Excellent</v>
      </c>
      <c r="AF568">
        <v>4</v>
      </c>
      <c r="AG568" t="str" cm="1">
        <f t="array" ref="AG568">_xlfn.IFS(AF568=1,"Low",AF568=2,"Medium",AF568=3,"High",AF568=4,"Very High")</f>
        <v>Very High</v>
      </c>
      <c r="AH568">
        <v>0</v>
      </c>
      <c r="AI568">
        <v>8</v>
      </c>
      <c r="AJ568">
        <v>2</v>
      </c>
      <c r="AK568">
        <v>3</v>
      </c>
      <c r="AL568" t="str" cm="1">
        <f t="array" ref="AL568">_xlfn.IFS(AK568=1,"Low",AK568=2,"Medium",AK568=3,"High",AK568=4,"Very High")</f>
        <v>High</v>
      </c>
      <c r="AM568">
        <v>5</v>
      </c>
      <c r="AN568">
        <v>4</v>
      </c>
      <c r="AO568">
        <v>1</v>
      </c>
      <c r="AP568">
        <v>3</v>
      </c>
    </row>
    <row r="569" spans="1:42">
      <c r="A569">
        <v>34</v>
      </c>
      <c r="B569" t="str" cm="1">
        <f t="array" ref="B569">_xlfn.IFS(A569&lt;=25,"18-25",A569&lt;=35,"26-35",A569&lt;=45,"36-45",A569&lt;=55,"46-55",A569&gt;55,"56+")</f>
        <v>26-35</v>
      </c>
      <c r="C569" t="s">
        <v>39</v>
      </c>
      <c r="D569" t="s">
        <v>33</v>
      </c>
      <c r="E569" s="2">
        <v>304</v>
      </c>
      <c r="F569" t="s">
        <v>34</v>
      </c>
      <c r="G569">
        <v>2</v>
      </c>
      <c r="H569" t="str">
        <f t="shared" si="8"/>
        <v>1-10 km</v>
      </c>
      <c r="I569">
        <v>3</v>
      </c>
      <c r="J569" t="str" cm="1">
        <f t="array" ref="J569">_xlfn.IFS(I569=1,"Below College",I569=2,"College",I569=3,"Bachelor",I569=4,"Master",I569=5,"Doctor")</f>
        <v>Bachelor</v>
      </c>
      <c r="K569" t="s">
        <v>45</v>
      </c>
      <c r="L569">
        <v>786</v>
      </c>
      <c r="M569">
        <v>4</v>
      </c>
      <c r="N569" t="str" cm="1">
        <f t="array" ref="N569">_xlfn.IFS(M569=1,"Low",M569=2,"Medium",M569=3,"High",M569=4,"Very High")</f>
        <v>Very High</v>
      </c>
      <c r="O569" t="s">
        <v>42</v>
      </c>
      <c r="P569" s="2">
        <v>60</v>
      </c>
      <c r="Q569">
        <v>3</v>
      </c>
      <c r="R569" t="str" cm="1">
        <f t="array" ref="R569">_xlfn.IFS(Q569=1,"Low",Q569=2,"Medium",Q569=3,"High",Q569=4,"Very High")</f>
        <v>High</v>
      </c>
      <c r="S569">
        <v>2</v>
      </c>
      <c r="T569" t="str" cm="1">
        <f t="array" ref="T569">_xlfn.IFS(S569=1,"Entry Level",S569=2,"Junior",S569=3,"Mid-Level",S569=4,"Senior",S569=5,"Executive")</f>
        <v>Junior</v>
      </c>
      <c r="U569" t="s">
        <v>37</v>
      </c>
      <c r="V569">
        <v>4</v>
      </c>
      <c r="W569" t="str" cm="1">
        <f t="array" ref="W569">_xlfn.IFS(V569=1,"Low",V569=2,"Medium",V569=3,"High",V569=4,"Very High")</f>
        <v>Very High</v>
      </c>
      <c r="X569" t="s">
        <v>38</v>
      </c>
      <c r="Y569" s="2">
        <v>6274</v>
      </c>
      <c r="Z569" s="2">
        <v>18686</v>
      </c>
      <c r="AA569">
        <v>1</v>
      </c>
      <c r="AB569" t="s">
        <v>39</v>
      </c>
      <c r="AC569">
        <v>22</v>
      </c>
      <c r="AD569">
        <v>4</v>
      </c>
      <c r="AE569" t="str" cm="1">
        <f t="array" ref="AE569">_xlfn.IFS(AD569=1,"Low",AD569=2,"Good",AD569=3,"Excellent",AD569=4,"Outstanding")</f>
        <v>Outstanding</v>
      </c>
      <c r="AF569">
        <v>3</v>
      </c>
      <c r="AG569" t="str" cm="1">
        <f t="array" ref="AG569">_xlfn.IFS(AF569=1,"Low",AF569=2,"Medium",AF569=3,"High",AF569=4,"Very High")</f>
        <v>High</v>
      </c>
      <c r="AH569">
        <v>0</v>
      </c>
      <c r="AI569">
        <v>6</v>
      </c>
      <c r="AJ569">
        <v>5</v>
      </c>
      <c r="AK569">
        <v>3</v>
      </c>
      <c r="AL569" t="str" cm="1">
        <f t="array" ref="AL569">_xlfn.IFS(AK569=1,"Low",AK569=2,"Medium",AK569=3,"High",AK569=4,"Very High")</f>
        <v>High</v>
      </c>
      <c r="AM569">
        <v>6</v>
      </c>
      <c r="AN569">
        <v>5</v>
      </c>
      <c r="AO569">
        <v>1</v>
      </c>
      <c r="AP569">
        <v>4</v>
      </c>
    </row>
    <row r="570" spans="1:42">
      <c r="A570">
        <v>55</v>
      </c>
      <c r="B570" t="str" cm="1">
        <f t="array" ref="B570">_xlfn.IFS(A570&lt;=25,"18-25",A570&lt;=35,"26-35",A570&lt;=45,"36-45",A570&lt;=55,"46-55",A570&gt;55,"56+")</f>
        <v>46-55</v>
      </c>
      <c r="C570" t="s">
        <v>32</v>
      </c>
      <c r="D570" t="s">
        <v>33</v>
      </c>
      <c r="E570" s="2">
        <v>725</v>
      </c>
      <c r="F570" t="s">
        <v>41</v>
      </c>
      <c r="G570">
        <v>2</v>
      </c>
      <c r="H570" t="str">
        <f t="shared" si="8"/>
        <v>1-10 km</v>
      </c>
      <c r="I570">
        <v>3</v>
      </c>
      <c r="J570" t="str" cm="1">
        <f t="array" ref="J570">_xlfn.IFS(I570=1,"Below College",I570=2,"College",I570=3,"Bachelor",I570=4,"Master",I570=5,"Doctor")</f>
        <v>Bachelor</v>
      </c>
      <c r="K570" t="s">
        <v>47</v>
      </c>
      <c r="L570">
        <v>787</v>
      </c>
      <c r="M570">
        <v>4</v>
      </c>
      <c r="N570" t="str" cm="1">
        <f t="array" ref="N570">_xlfn.IFS(M570=1,"Low",M570=2,"Medium",M570=3,"High",M570=4,"Very High")</f>
        <v>Very High</v>
      </c>
      <c r="O570" t="s">
        <v>42</v>
      </c>
      <c r="P570" s="2">
        <v>78</v>
      </c>
      <c r="Q570">
        <v>3</v>
      </c>
      <c r="R570" t="str" cm="1">
        <f t="array" ref="R570">_xlfn.IFS(Q570=1,"Low",Q570=2,"Medium",Q570=3,"High",Q570=4,"Very High")</f>
        <v>High</v>
      </c>
      <c r="S570">
        <v>5</v>
      </c>
      <c r="T570" t="str" cm="1">
        <f t="array" ref="T570">_xlfn.IFS(S570=1,"Entry Level",S570=2,"Junior",S570=3,"Mid-Level",S570=4,"Senior",S570=5,"Executive")</f>
        <v>Executive</v>
      </c>
      <c r="U570" t="s">
        <v>52</v>
      </c>
      <c r="V570">
        <v>1</v>
      </c>
      <c r="W570" t="str" cm="1">
        <f t="array" ref="W570">_xlfn.IFS(V570=1,"Low",V570=2,"Medium",V570=3,"High",V570=4,"Very High")</f>
        <v>Low</v>
      </c>
      <c r="X570" t="s">
        <v>44</v>
      </c>
      <c r="Y570" s="2">
        <v>19859</v>
      </c>
      <c r="Z570" s="2">
        <v>21199</v>
      </c>
      <c r="AA570">
        <v>5</v>
      </c>
      <c r="AB570" t="s">
        <v>32</v>
      </c>
      <c r="AC570">
        <v>13</v>
      </c>
      <c r="AD570">
        <v>3</v>
      </c>
      <c r="AE570" t="str" cm="1">
        <f t="array" ref="AE570">_xlfn.IFS(AD570=1,"Low",AD570=2,"Good",AD570=3,"Excellent",AD570=4,"Outstanding")</f>
        <v>Excellent</v>
      </c>
      <c r="AF570">
        <v>4</v>
      </c>
      <c r="AG570" t="str" cm="1">
        <f t="array" ref="AG570">_xlfn.IFS(AF570=1,"Low",AF570=2,"Medium",AF570=3,"High",AF570=4,"Very High")</f>
        <v>Very High</v>
      </c>
      <c r="AH570">
        <v>1</v>
      </c>
      <c r="AI570">
        <v>24</v>
      </c>
      <c r="AJ570">
        <v>2</v>
      </c>
      <c r="AK570">
        <v>3</v>
      </c>
      <c r="AL570" t="str" cm="1">
        <f t="array" ref="AL570">_xlfn.IFS(AK570=1,"Low",AK570=2,"Medium",AK570=3,"High",AK570=4,"Very High")</f>
        <v>High</v>
      </c>
      <c r="AM570">
        <v>5</v>
      </c>
      <c r="AN570">
        <v>2</v>
      </c>
      <c r="AO570">
        <v>1</v>
      </c>
      <c r="AP570">
        <v>4</v>
      </c>
    </row>
    <row r="571" spans="1:42">
      <c r="A571">
        <v>36</v>
      </c>
      <c r="B571" t="str" cm="1">
        <f t="array" ref="B571">_xlfn.IFS(A571&lt;=25,"18-25",A571&lt;=35,"26-35",A571&lt;=45,"36-45",A571&lt;=55,"46-55",A571&gt;55,"56+")</f>
        <v>36-45</v>
      </c>
      <c r="C571" t="s">
        <v>39</v>
      </c>
      <c r="D571" t="s">
        <v>51</v>
      </c>
      <c r="E571" s="2">
        <v>1434</v>
      </c>
      <c r="F571" t="s">
        <v>34</v>
      </c>
      <c r="G571">
        <v>8</v>
      </c>
      <c r="H571" t="str">
        <f t="shared" si="8"/>
        <v>1-10 km</v>
      </c>
      <c r="I571">
        <v>4</v>
      </c>
      <c r="J571" t="str" cm="1">
        <f t="array" ref="J571">_xlfn.IFS(I571=1,"Below College",I571=2,"College",I571=3,"Bachelor",I571=4,"Master",I571=5,"Doctor")</f>
        <v>Master</v>
      </c>
      <c r="K571" t="s">
        <v>35</v>
      </c>
      <c r="L571">
        <v>789</v>
      </c>
      <c r="M571">
        <v>1</v>
      </c>
      <c r="N571" t="str" cm="1">
        <f t="array" ref="N571">_xlfn.IFS(M571=1,"Low",M571=2,"Medium",M571=3,"High",M571=4,"Very High")</f>
        <v>Low</v>
      </c>
      <c r="O571" t="s">
        <v>42</v>
      </c>
      <c r="P571" s="2">
        <v>76</v>
      </c>
      <c r="Q571">
        <v>2</v>
      </c>
      <c r="R571" t="str" cm="1">
        <f t="array" ref="R571">_xlfn.IFS(Q571=1,"Low",Q571=2,"Medium",Q571=3,"High",Q571=4,"Very High")</f>
        <v>Medium</v>
      </c>
      <c r="S571">
        <v>3</v>
      </c>
      <c r="T571" t="str" cm="1">
        <f t="array" ref="T571">_xlfn.IFS(S571=1,"Entry Level",S571=2,"Junior",S571=3,"Mid-Level",S571=4,"Senior",S571=5,"Executive")</f>
        <v>Mid-Level</v>
      </c>
      <c r="U571" t="s">
        <v>37</v>
      </c>
      <c r="V571">
        <v>1</v>
      </c>
      <c r="W571" t="str" cm="1">
        <f t="array" ref="W571">_xlfn.IFS(V571=1,"Low",V571=2,"Medium",V571=3,"High",V571=4,"Very High")</f>
        <v>Low</v>
      </c>
      <c r="X571" t="s">
        <v>38</v>
      </c>
      <c r="Y571" s="2">
        <v>7587</v>
      </c>
      <c r="Z571" s="2">
        <v>14229</v>
      </c>
      <c r="AA571">
        <v>1</v>
      </c>
      <c r="AB571" t="s">
        <v>39</v>
      </c>
      <c r="AC571">
        <v>15</v>
      </c>
      <c r="AD571">
        <v>3</v>
      </c>
      <c r="AE571" t="str" cm="1">
        <f t="array" ref="AE571">_xlfn.IFS(AD571=1,"Low",AD571=2,"Good",AD571=3,"Excellent",AD571=4,"Outstanding")</f>
        <v>Excellent</v>
      </c>
      <c r="AF571">
        <v>2</v>
      </c>
      <c r="AG571" t="str" cm="1">
        <f t="array" ref="AG571">_xlfn.IFS(AF571=1,"Low",AF571=2,"Medium",AF571=3,"High",AF571=4,"Very High")</f>
        <v>Medium</v>
      </c>
      <c r="AH571">
        <v>0</v>
      </c>
      <c r="AI571">
        <v>10</v>
      </c>
      <c r="AJ571">
        <v>1</v>
      </c>
      <c r="AK571">
        <v>3</v>
      </c>
      <c r="AL571" t="str" cm="1">
        <f t="array" ref="AL571">_xlfn.IFS(AK571=1,"Low",AK571=2,"Medium",AK571=3,"High",AK571=4,"Very High")</f>
        <v>High</v>
      </c>
      <c r="AM571">
        <v>10</v>
      </c>
      <c r="AN571">
        <v>7</v>
      </c>
      <c r="AO571">
        <v>0</v>
      </c>
      <c r="AP571">
        <v>9</v>
      </c>
    </row>
    <row r="572" spans="1:42">
      <c r="A572">
        <v>52</v>
      </c>
      <c r="B572" t="str" cm="1">
        <f t="array" ref="B572">_xlfn.IFS(A572&lt;=25,"18-25",A572&lt;=35,"26-35",A572&lt;=45,"36-45",A572&lt;=55,"46-55",A572&gt;55,"56+")</f>
        <v>46-55</v>
      </c>
      <c r="C572" t="s">
        <v>39</v>
      </c>
      <c r="D572" t="s">
        <v>51</v>
      </c>
      <c r="E572" s="2">
        <v>715</v>
      </c>
      <c r="F572" t="s">
        <v>41</v>
      </c>
      <c r="G572">
        <v>19</v>
      </c>
      <c r="H572" t="str">
        <f t="shared" si="8"/>
        <v>11-20 km</v>
      </c>
      <c r="I572">
        <v>4</v>
      </c>
      <c r="J572" t="str" cm="1">
        <f t="array" ref="J572">_xlfn.IFS(I572=1,"Below College",I572=2,"College",I572=3,"Bachelor",I572=4,"Master",I572=5,"Doctor")</f>
        <v>Master</v>
      </c>
      <c r="K572" t="s">
        <v>47</v>
      </c>
      <c r="L572">
        <v>791</v>
      </c>
      <c r="M572">
        <v>4</v>
      </c>
      <c r="N572" t="str" cm="1">
        <f t="array" ref="N572">_xlfn.IFS(M572=1,"Low",M572=2,"Medium",M572=3,"High",M572=4,"Very High")</f>
        <v>Very High</v>
      </c>
      <c r="O572" t="s">
        <v>42</v>
      </c>
      <c r="P572" s="2">
        <v>41</v>
      </c>
      <c r="Q572">
        <v>3</v>
      </c>
      <c r="R572" t="str" cm="1">
        <f t="array" ref="R572">_xlfn.IFS(Q572=1,"Low",Q572=2,"Medium",Q572=3,"High",Q572=4,"Very High")</f>
        <v>High</v>
      </c>
      <c r="S572">
        <v>1</v>
      </c>
      <c r="T572" t="str" cm="1">
        <f t="array" ref="T572">_xlfn.IFS(S572=1,"Entry Level",S572=2,"Junior",S572=3,"Mid-Level",S572=4,"Senior",S572=5,"Executive")</f>
        <v>Entry Level</v>
      </c>
      <c r="U572" t="s">
        <v>43</v>
      </c>
      <c r="V572">
        <v>4</v>
      </c>
      <c r="W572" t="str" cm="1">
        <f t="array" ref="W572">_xlfn.IFS(V572=1,"Low",V572=2,"Medium",V572=3,"High",V572=4,"Very High")</f>
        <v>Very High</v>
      </c>
      <c r="X572" t="s">
        <v>44</v>
      </c>
      <c r="Y572" s="2">
        <v>4258</v>
      </c>
      <c r="Z572" s="2">
        <v>26589</v>
      </c>
      <c r="AA572">
        <v>0</v>
      </c>
      <c r="AB572" t="s">
        <v>39</v>
      </c>
      <c r="AC572">
        <v>18</v>
      </c>
      <c r="AD572">
        <v>3</v>
      </c>
      <c r="AE572" t="str" cm="1">
        <f t="array" ref="AE572">_xlfn.IFS(AD572=1,"Low",AD572=2,"Good",AD572=3,"Excellent",AD572=4,"Outstanding")</f>
        <v>Excellent</v>
      </c>
      <c r="AF572">
        <v>1</v>
      </c>
      <c r="AG572" t="str" cm="1">
        <f t="array" ref="AG572">_xlfn.IFS(AF572=1,"Low",AF572=2,"Medium",AF572=3,"High",AF572=4,"Very High")</f>
        <v>Low</v>
      </c>
      <c r="AH572">
        <v>1</v>
      </c>
      <c r="AI572">
        <v>5</v>
      </c>
      <c r="AJ572">
        <v>3</v>
      </c>
      <c r="AK572">
        <v>3</v>
      </c>
      <c r="AL572" t="str" cm="1">
        <f t="array" ref="AL572">_xlfn.IFS(AK572=1,"Low",AK572=2,"Medium",AK572=3,"High",AK572=4,"Very High")</f>
        <v>High</v>
      </c>
      <c r="AM572">
        <v>4</v>
      </c>
      <c r="AN572">
        <v>3</v>
      </c>
      <c r="AO572">
        <v>1</v>
      </c>
      <c r="AP572">
        <v>2</v>
      </c>
    </row>
    <row r="573" spans="1:42">
      <c r="A573">
        <v>26</v>
      </c>
      <c r="B573" t="str" cm="1">
        <f t="array" ref="B573">_xlfn.IFS(A573&lt;=25,"18-25",A573&lt;=35,"26-35",A573&lt;=45,"36-45",A573&lt;=55,"46-55",A573&gt;55,"56+")</f>
        <v>26-35</v>
      </c>
      <c r="C573" t="s">
        <v>39</v>
      </c>
      <c r="D573" t="s">
        <v>40</v>
      </c>
      <c r="E573" s="2">
        <v>575</v>
      </c>
      <c r="F573" t="s">
        <v>41</v>
      </c>
      <c r="G573">
        <v>1</v>
      </c>
      <c r="H573" t="str">
        <f t="shared" si="8"/>
        <v>1-10 km</v>
      </c>
      <c r="I573">
        <v>2</v>
      </c>
      <c r="J573" t="str" cm="1">
        <f t="array" ref="J573">_xlfn.IFS(I573=1,"Below College",I573=2,"College",I573=3,"Bachelor",I573=4,"Master",I573=5,"Doctor")</f>
        <v>College</v>
      </c>
      <c r="K573" t="s">
        <v>35</v>
      </c>
      <c r="L573">
        <v>792</v>
      </c>
      <c r="M573">
        <v>1</v>
      </c>
      <c r="N573" t="str" cm="1">
        <f t="array" ref="N573">_xlfn.IFS(M573=1,"Low",M573=2,"Medium",M573=3,"High",M573=4,"Very High")</f>
        <v>Low</v>
      </c>
      <c r="O573" t="s">
        <v>36</v>
      </c>
      <c r="P573" s="2">
        <v>71</v>
      </c>
      <c r="Q573">
        <v>1</v>
      </c>
      <c r="R573" t="str" cm="1">
        <f t="array" ref="R573">_xlfn.IFS(Q573=1,"Low",Q573=2,"Medium",Q573=3,"High",Q573=4,"Very High")</f>
        <v>Low</v>
      </c>
      <c r="S573">
        <v>1</v>
      </c>
      <c r="T573" t="str" cm="1">
        <f t="array" ref="T573">_xlfn.IFS(S573=1,"Entry Level",S573=2,"Junior",S573=3,"Mid-Level",S573=4,"Senior",S573=5,"Executive")</f>
        <v>Entry Level</v>
      </c>
      <c r="U573" t="s">
        <v>46</v>
      </c>
      <c r="V573">
        <v>4</v>
      </c>
      <c r="W573" t="str" cm="1">
        <f t="array" ref="W573">_xlfn.IFS(V573=1,"Low",V573=2,"Medium",V573=3,"High",V573=4,"Very High")</f>
        <v>Very High</v>
      </c>
      <c r="X573" t="s">
        <v>48</v>
      </c>
      <c r="Y573" s="2">
        <v>4364</v>
      </c>
      <c r="Z573" s="2">
        <v>5288</v>
      </c>
      <c r="AA573">
        <v>3</v>
      </c>
      <c r="AB573" t="s">
        <v>39</v>
      </c>
      <c r="AC573">
        <v>14</v>
      </c>
      <c r="AD573">
        <v>3</v>
      </c>
      <c r="AE573" t="str" cm="1">
        <f t="array" ref="AE573">_xlfn.IFS(AD573=1,"Low",AD573=2,"Good",AD573=3,"Excellent",AD573=4,"Outstanding")</f>
        <v>Excellent</v>
      </c>
      <c r="AF573">
        <v>1</v>
      </c>
      <c r="AG573" t="str" cm="1">
        <f t="array" ref="AG573">_xlfn.IFS(AF573=1,"Low",AF573=2,"Medium",AF573=3,"High",AF573=4,"Very High")</f>
        <v>Low</v>
      </c>
      <c r="AH573">
        <v>1</v>
      </c>
      <c r="AI573">
        <v>5</v>
      </c>
      <c r="AJ573">
        <v>2</v>
      </c>
      <c r="AK573">
        <v>3</v>
      </c>
      <c r="AL573" t="str" cm="1">
        <f t="array" ref="AL573">_xlfn.IFS(AK573=1,"Low",AK573=2,"Medium",AK573=3,"High",AK573=4,"Very High")</f>
        <v>High</v>
      </c>
      <c r="AM573">
        <v>2</v>
      </c>
      <c r="AN573">
        <v>2</v>
      </c>
      <c r="AO573">
        <v>2</v>
      </c>
      <c r="AP573">
        <v>0</v>
      </c>
    </row>
    <row r="574" spans="1:42">
      <c r="A574">
        <v>29</v>
      </c>
      <c r="B574" t="str" cm="1">
        <f t="array" ref="B574">_xlfn.IFS(A574&lt;=25,"18-25",A574&lt;=35,"26-35",A574&lt;=45,"36-45",A574&lt;=55,"46-55",A574&gt;55,"56+")</f>
        <v>26-35</v>
      </c>
      <c r="C574" t="s">
        <v>39</v>
      </c>
      <c r="D574" t="s">
        <v>33</v>
      </c>
      <c r="E574" s="2">
        <v>657</v>
      </c>
      <c r="F574" t="s">
        <v>41</v>
      </c>
      <c r="G574">
        <v>27</v>
      </c>
      <c r="H574" t="str">
        <f t="shared" si="8"/>
        <v>21-30 km</v>
      </c>
      <c r="I574">
        <v>3</v>
      </c>
      <c r="J574" t="str" cm="1">
        <f t="array" ref="J574">_xlfn.IFS(I574=1,"Below College",I574=2,"College",I574=3,"Bachelor",I574=4,"Master",I574=5,"Doctor")</f>
        <v>Bachelor</v>
      </c>
      <c r="K574" t="s">
        <v>47</v>
      </c>
      <c r="L574">
        <v>793</v>
      </c>
      <c r="M574">
        <v>2</v>
      </c>
      <c r="N574" t="str" cm="1">
        <f t="array" ref="N574">_xlfn.IFS(M574=1,"Low",M574=2,"Medium",M574=3,"High",M574=4,"Very High")</f>
        <v>Medium</v>
      </c>
      <c r="O574" t="s">
        <v>36</v>
      </c>
      <c r="P574" s="2">
        <v>66</v>
      </c>
      <c r="Q574">
        <v>3</v>
      </c>
      <c r="R574" t="str" cm="1">
        <f t="array" ref="R574">_xlfn.IFS(Q574=1,"Low",Q574=2,"Medium",Q574=3,"High",Q574=4,"Very High")</f>
        <v>High</v>
      </c>
      <c r="S574">
        <v>2</v>
      </c>
      <c r="T574" t="str" cm="1">
        <f t="array" ref="T574">_xlfn.IFS(S574=1,"Entry Level",S574=2,"Junior",S574=3,"Mid-Level",S574=4,"Senior",S574=5,"Executive")</f>
        <v>Junior</v>
      </c>
      <c r="U574" t="s">
        <v>50</v>
      </c>
      <c r="V574">
        <v>3</v>
      </c>
      <c r="W574" t="str" cm="1">
        <f t="array" ref="W574">_xlfn.IFS(V574=1,"Low",V574=2,"Medium",V574=3,"High",V574=4,"Very High")</f>
        <v>High</v>
      </c>
      <c r="X574" t="s">
        <v>44</v>
      </c>
      <c r="Y574" s="2">
        <v>4335</v>
      </c>
      <c r="Z574" s="2">
        <v>25549</v>
      </c>
      <c r="AA574">
        <v>4</v>
      </c>
      <c r="AB574" t="s">
        <v>39</v>
      </c>
      <c r="AC574">
        <v>12</v>
      </c>
      <c r="AD574">
        <v>3</v>
      </c>
      <c r="AE574" t="str" cm="1">
        <f t="array" ref="AE574">_xlfn.IFS(AD574=1,"Low",AD574=2,"Good",AD574=3,"Excellent",AD574=4,"Outstanding")</f>
        <v>Excellent</v>
      </c>
      <c r="AF574">
        <v>1</v>
      </c>
      <c r="AG574" t="str" cm="1">
        <f t="array" ref="AG574">_xlfn.IFS(AF574=1,"Low",AF574=2,"Medium",AF574=3,"High",AF574=4,"Very High")</f>
        <v>Low</v>
      </c>
      <c r="AH574">
        <v>1</v>
      </c>
      <c r="AI574">
        <v>11</v>
      </c>
      <c r="AJ574">
        <v>3</v>
      </c>
      <c r="AK574">
        <v>2</v>
      </c>
      <c r="AL574" t="str" cm="1">
        <f t="array" ref="AL574">_xlfn.IFS(AK574=1,"Low",AK574=2,"Medium",AK574=3,"High",AK574=4,"Very High")</f>
        <v>Medium</v>
      </c>
      <c r="AM574">
        <v>8</v>
      </c>
      <c r="AN574">
        <v>7</v>
      </c>
      <c r="AO574">
        <v>1</v>
      </c>
      <c r="AP574">
        <v>1</v>
      </c>
    </row>
    <row r="575" spans="1:42">
      <c r="A575">
        <v>26</v>
      </c>
      <c r="B575" t="str" cm="1">
        <f t="array" ref="B575">_xlfn.IFS(A575&lt;=25,"18-25",A575&lt;=35,"26-35",A575&lt;=45,"36-45",A575&lt;=55,"46-55",A575&gt;55,"56+")</f>
        <v>26-35</v>
      </c>
      <c r="C575" t="s">
        <v>32</v>
      </c>
      <c r="D575" t="s">
        <v>33</v>
      </c>
      <c r="E575" s="2">
        <v>1146</v>
      </c>
      <c r="F575" t="s">
        <v>34</v>
      </c>
      <c r="G575">
        <v>8</v>
      </c>
      <c r="H575" t="str">
        <f t="shared" si="8"/>
        <v>1-10 km</v>
      </c>
      <c r="I575">
        <v>3</v>
      </c>
      <c r="J575" t="str" cm="1">
        <f t="array" ref="J575">_xlfn.IFS(I575=1,"Below College",I575=2,"College",I575=3,"Bachelor",I575=4,"Master",I575=5,"Doctor")</f>
        <v>Bachelor</v>
      </c>
      <c r="K575" t="s">
        <v>56</v>
      </c>
      <c r="L575">
        <v>796</v>
      </c>
      <c r="M575">
        <v>4</v>
      </c>
      <c r="N575" t="str" cm="1">
        <f t="array" ref="N575">_xlfn.IFS(M575=1,"Low",M575=2,"Medium",M575=3,"High",M575=4,"Very High")</f>
        <v>Very High</v>
      </c>
      <c r="O575" t="s">
        <v>42</v>
      </c>
      <c r="P575" s="2">
        <v>38</v>
      </c>
      <c r="Q575">
        <v>2</v>
      </c>
      <c r="R575" t="str" cm="1">
        <f t="array" ref="R575">_xlfn.IFS(Q575=1,"Low",Q575=2,"Medium",Q575=3,"High",Q575=4,"Very High")</f>
        <v>Medium</v>
      </c>
      <c r="S575">
        <v>2</v>
      </c>
      <c r="T575" t="str" cm="1">
        <f t="array" ref="T575">_xlfn.IFS(S575=1,"Entry Level",S575=2,"Junior",S575=3,"Mid-Level",S575=4,"Senior",S575=5,"Executive")</f>
        <v>Junior</v>
      </c>
      <c r="U575" t="s">
        <v>37</v>
      </c>
      <c r="V575">
        <v>1</v>
      </c>
      <c r="W575" t="str" cm="1">
        <f t="array" ref="W575">_xlfn.IFS(V575=1,"Low",V575=2,"Medium",V575=3,"High",V575=4,"Very High")</f>
        <v>Low</v>
      </c>
      <c r="X575" t="s">
        <v>38</v>
      </c>
      <c r="Y575" s="2">
        <v>5326</v>
      </c>
      <c r="Z575" s="2">
        <v>3064</v>
      </c>
      <c r="AA575">
        <v>6</v>
      </c>
      <c r="AB575" t="s">
        <v>39</v>
      </c>
      <c r="AC575">
        <v>17</v>
      </c>
      <c r="AD575">
        <v>3</v>
      </c>
      <c r="AE575" t="str" cm="1">
        <f t="array" ref="AE575">_xlfn.IFS(AD575=1,"Low",AD575=2,"Good",AD575=3,"Excellent",AD575=4,"Outstanding")</f>
        <v>Excellent</v>
      </c>
      <c r="AF575">
        <v>3</v>
      </c>
      <c r="AG575" t="str" cm="1">
        <f t="array" ref="AG575">_xlfn.IFS(AF575=1,"Low",AF575=2,"Medium",AF575=3,"High",AF575=4,"Very High")</f>
        <v>High</v>
      </c>
      <c r="AH575">
        <v>0</v>
      </c>
      <c r="AI575">
        <v>6</v>
      </c>
      <c r="AJ575">
        <v>2</v>
      </c>
      <c r="AK575">
        <v>2</v>
      </c>
      <c r="AL575" t="str" cm="1">
        <f t="array" ref="AL575">_xlfn.IFS(AK575=1,"Low",AK575=2,"Medium",AK575=3,"High",AK575=4,"Very High")</f>
        <v>Medium</v>
      </c>
      <c r="AM575">
        <v>4</v>
      </c>
      <c r="AN575">
        <v>3</v>
      </c>
      <c r="AO575">
        <v>1</v>
      </c>
      <c r="AP575">
        <v>2</v>
      </c>
    </row>
    <row r="576" spans="1:42">
      <c r="A576">
        <v>34</v>
      </c>
      <c r="B576" t="str" cm="1">
        <f t="array" ref="B576">_xlfn.IFS(A576&lt;=25,"18-25",A576&lt;=35,"26-35",A576&lt;=45,"36-45",A576&lt;=55,"46-55",A576&gt;55,"56+")</f>
        <v>26-35</v>
      </c>
      <c r="C576" t="s">
        <v>39</v>
      </c>
      <c r="D576" t="s">
        <v>33</v>
      </c>
      <c r="E576" s="2">
        <v>182</v>
      </c>
      <c r="F576" t="s">
        <v>41</v>
      </c>
      <c r="G576">
        <v>1</v>
      </c>
      <c r="H576" t="str">
        <f t="shared" si="8"/>
        <v>1-10 km</v>
      </c>
      <c r="I576">
        <v>4</v>
      </c>
      <c r="J576" t="str" cm="1">
        <f t="array" ref="J576">_xlfn.IFS(I576=1,"Below College",I576=2,"College",I576=3,"Bachelor",I576=4,"Master",I576=5,"Doctor")</f>
        <v>Master</v>
      </c>
      <c r="K576" t="s">
        <v>35</v>
      </c>
      <c r="L576">
        <v>797</v>
      </c>
      <c r="M576">
        <v>2</v>
      </c>
      <c r="N576" t="str" cm="1">
        <f t="array" ref="N576">_xlfn.IFS(M576=1,"Low",M576=2,"Medium",M576=3,"High",M576=4,"Very High")</f>
        <v>Medium</v>
      </c>
      <c r="O576" t="s">
        <v>36</v>
      </c>
      <c r="P576" s="2">
        <v>72</v>
      </c>
      <c r="Q576">
        <v>4</v>
      </c>
      <c r="R576" t="str" cm="1">
        <f t="array" ref="R576">_xlfn.IFS(Q576=1,"Low",Q576=2,"Medium",Q576=3,"High",Q576=4,"Very High")</f>
        <v>Very High</v>
      </c>
      <c r="S576">
        <v>1</v>
      </c>
      <c r="T576" t="str" cm="1">
        <f t="array" ref="T576">_xlfn.IFS(S576=1,"Entry Level",S576=2,"Junior",S576=3,"Mid-Level",S576=4,"Senior",S576=5,"Executive")</f>
        <v>Entry Level</v>
      </c>
      <c r="U576" t="s">
        <v>43</v>
      </c>
      <c r="V576">
        <v>4</v>
      </c>
      <c r="W576" t="str" cm="1">
        <f t="array" ref="W576">_xlfn.IFS(V576=1,"Low",V576=2,"Medium",V576=3,"High",V576=4,"Very High")</f>
        <v>Very High</v>
      </c>
      <c r="X576" t="s">
        <v>38</v>
      </c>
      <c r="Y576" s="2">
        <v>3280</v>
      </c>
      <c r="Z576" s="2">
        <v>13551</v>
      </c>
      <c r="AA576">
        <v>2</v>
      </c>
      <c r="AB576" t="s">
        <v>39</v>
      </c>
      <c r="AC576">
        <v>16</v>
      </c>
      <c r="AD576">
        <v>3</v>
      </c>
      <c r="AE576" t="str" cm="1">
        <f t="array" ref="AE576">_xlfn.IFS(AD576=1,"Low",AD576=2,"Good",AD576=3,"Excellent",AD576=4,"Outstanding")</f>
        <v>Excellent</v>
      </c>
      <c r="AF576">
        <v>3</v>
      </c>
      <c r="AG576" t="str" cm="1">
        <f t="array" ref="AG576">_xlfn.IFS(AF576=1,"Low",AF576=2,"Medium",AF576=3,"High",AF576=4,"Very High")</f>
        <v>High</v>
      </c>
      <c r="AH576">
        <v>0</v>
      </c>
      <c r="AI576">
        <v>10</v>
      </c>
      <c r="AJ576">
        <v>2</v>
      </c>
      <c r="AK576">
        <v>3</v>
      </c>
      <c r="AL576" t="str" cm="1">
        <f t="array" ref="AL576">_xlfn.IFS(AK576=1,"Low",AK576=2,"Medium",AK576=3,"High",AK576=4,"Very High")</f>
        <v>High</v>
      </c>
      <c r="AM576">
        <v>4</v>
      </c>
      <c r="AN576">
        <v>2</v>
      </c>
      <c r="AO576">
        <v>1</v>
      </c>
      <c r="AP576">
        <v>3</v>
      </c>
    </row>
    <row r="577" spans="1:42">
      <c r="A577">
        <v>54</v>
      </c>
      <c r="B577" t="str" cm="1">
        <f t="array" ref="B577">_xlfn.IFS(A577&lt;=25,"18-25",A577&lt;=35,"26-35",A577&lt;=45,"36-45",A577&lt;=55,"46-55",A577&gt;55,"56+")</f>
        <v>46-55</v>
      </c>
      <c r="C577" t="s">
        <v>39</v>
      </c>
      <c r="D577" t="s">
        <v>33</v>
      </c>
      <c r="E577" s="2">
        <v>376</v>
      </c>
      <c r="F577" t="s">
        <v>41</v>
      </c>
      <c r="G577">
        <v>19</v>
      </c>
      <c r="H577" t="str">
        <f t="shared" si="8"/>
        <v>11-20 km</v>
      </c>
      <c r="I577">
        <v>4</v>
      </c>
      <c r="J577" t="str" cm="1">
        <f t="array" ref="J577">_xlfn.IFS(I577=1,"Below College",I577=2,"College",I577=3,"Bachelor",I577=4,"Master",I577=5,"Doctor")</f>
        <v>Master</v>
      </c>
      <c r="K577" t="s">
        <v>47</v>
      </c>
      <c r="L577">
        <v>799</v>
      </c>
      <c r="M577">
        <v>4</v>
      </c>
      <c r="N577" t="str" cm="1">
        <f t="array" ref="N577">_xlfn.IFS(M577=1,"Low",M577=2,"Medium",M577=3,"High",M577=4,"Very High")</f>
        <v>Very High</v>
      </c>
      <c r="O577" t="s">
        <v>36</v>
      </c>
      <c r="P577" s="2">
        <v>95</v>
      </c>
      <c r="Q577">
        <v>3</v>
      </c>
      <c r="R577" t="str" cm="1">
        <f t="array" ref="R577">_xlfn.IFS(Q577=1,"Low",Q577=2,"Medium",Q577=3,"High",Q577=4,"Very High")</f>
        <v>High</v>
      </c>
      <c r="S577">
        <v>2</v>
      </c>
      <c r="T577" t="str" cm="1">
        <f t="array" ref="T577">_xlfn.IFS(S577=1,"Entry Level",S577=2,"Junior",S577=3,"Mid-Level",S577=4,"Senior",S577=5,"Executive")</f>
        <v>Junior</v>
      </c>
      <c r="U577" t="s">
        <v>49</v>
      </c>
      <c r="V577">
        <v>1</v>
      </c>
      <c r="W577" t="str" cm="1">
        <f t="array" ref="W577">_xlfn.IFS(V577=1,"Low",V577=2,"Medium",V577=3,"High",V577=4,"Very High")</f>
        <v>Low</v>
      </c>
      <c r="X577" t="s">
        <v>48</v>
      </c>
      <c r="Y577" s="2">
        <v>5485</v>
      </c>
      <c r="Z577" s="2">
        <v>22670</v>
      </c>
      <c r="AA577">
        <v>9</v>
      </c>
      <c r="AB577" t="s">
        <v>32</v>
      </c>
      <c r="AC577">
        <v>11</v>
      </c>
      <c r="AD577">
        <v>3</v>
      </c>
      <c r="AE577" t="str" cm="1">
        <f t="array" ref="AE577">_xlfn.IFS(AD577=1,"Low",AD577=2,"Good",AD577=3,"Excellent",AD577=4,"Outstanding")</f>
        <v>Excellent</v>
      </c>
      <c r="AF577">
        <v>2</v>
      </c>
      <c r="AG577" t="str" cm="1">
        <f t="array" ref="AG577">_xlfn.IFS(AF577=1,"Low",AF577=2,"Medium",AF577=3,"High",AF577=4,"Very High")</f>
        <v>Medium</v>
      </c>
      <c r="AH577">
        <v>2</v>
      </c>
      <c r="AI577">
        <v>9</v>
      </c>
      <c r="AJ577">
        <v>4</v>
      </c>
      <c r="AK577">
        <v>3</v>
      </c>
      <c r="AL577" t="str" cm="1">
        <f t="array" ref="AL577">_xlfn.IFS(AK577=1,"Low",AK577=2,"Medium",AK577=3,"High",AK577=4,"Very High")</f>
        <v>High</v>
      </c>
      <c r="AM577">
        <v>5</v>
      </c>
      <c r="AN577">
        <v>3</v>
      </c>
      <c r="AO577">
        <v>1</v>
      </c>
      <c r="AP577">
        <v>4</v>
      </c>
    </row>
    <row r="578" spans="1:42">
      <c r="A578">
        <v>27</v>
      </c>
      <c r="B578" t="str" cm="1">
        <f t="array" ref="B578">_xlfn.IFS(A578&lt;=25,"18-25",A578&lt;=35,"26-35",A578&lt;=45,"36-45",A578&lt;=55,"46-55",A578&gt;55,"56+")</f>
        <v>26-35</v>
      </c>
      <c r="C578" t="s">
        <v>39</v>
      </c>
      <c r="D578" t="s">
        <v>40</v>
      </c>
      <c r="E578" s="2">
        <v>829</v>
      </c>
      <c r="F578" t="s">
        <v>34</v>
      </c>
      <c r="G578">
        <v>8</v>
      </c>
      <c r="H578" t="str">
        <f t="shared" si="8"/>
        <v>1-10 km</v>
      </c>
      <c r="I578">
        <v>1</v>
      </c>
      <c r="J578" t="str" cm="1">
        <f t="array" ref="J578">_xlfn.IFS(I578=1,"Below College",I578=2,"College",I578=3,"Bachelor",I578=4,"Master",I578=5,"Doctor")</f>
        <v>Below College</v>
      </c>
      <c r="K578" t="s">
        <v>55</v>
      </c>
      <c r="L578">
        <v>800</v>
      </c>
      <c r="M578">
        <v>3</v>
      </c>
      <c r="N578" t="str" cm="1">
        <f t="array" ref="N578">_xlfn.IFS(M578=1,"Low",M578=2,"Medium",M578=3,"High",M578=4,"Very High")</f>
        <v>High</v>
      </c>
      <c r="O578" t="s">
        <v>42</v>
      </c>
      <c r="P578" s="2">
        <v>84</v>
      </c>
      <c r="Q578">
        <v>3</v>
      </c>
      <c r="R578" t="str" cm="1">
        <f t="array" ref="R578">_xlfn.IFS(Q578=1,"Low",Q578=2,"Medium",Q578=3,"High",Q578=4,"Very High")</f>
        <v>High</v>
      </c>
      <c r="S578">
        <v>2</v>
      </c>
      <c r="T578" t="str" cm="1">
        <f t="array" ref="T578">_xlfn.IFS(S578=1,"Entry Level",S578=2,"Junior",S578=3,"Mid-Level",S578=4,"Senior",S578=5,"Executive")</f>
        <v>Junior</v>
      </c>
      <c r="U578" t="s">
        <v>37</v>
      </c>
      <c r="V578">
        <v>4</v>
      </c>
      <c r="W578" t="str" cm="1">
        <f t="array" ref="W578">_xlfn.IFS(V578=1,"Low",V578=2,"Medium",V578=3,"High",V578=4,"Very High")</f>
        <v>Very High</v>
      </c>
      <c r="X578" t="s">
        <v>44</v>
      </c>
      <c r="Y578" s="2">
        <v>4342</v>
      </c>
      <c r="Z578" s="2">
        <v>24008</v>
      </c>
      <c r="AA578">
        <v>0</v>
      </c>
      <c r="AB578" t="s">
        <v>39</v>
      </c>
      <c r="AC578">
        <v>19</v>
      </c>
      <c r="AD578">
        <v>3</v>
      </c>
      <c r="AE578" t="str" cm="1">
        <f t="array" ref="AE578">_xlfn.IFS(AD578=1,"Low",AD578=2,"Good",AD578=3,"Excellent",AD578=4,"Outstanding")</f>
        <v>Excellent</v>
      </c>
      <c r="AF578">
        <v>2</v>
      </c>
      <c r="AG578" t="str" cm="1">
        <f t="array" ref="AG578">_xlfn.IFS(AF578=1,"Low",AF578=2,"Medium",AF578=3,"High",AF578=4,"Very High")</f>
        <v>Medium</v>
      </c>
      <c r="AH578">
        <v>1</v>
      </c>
      <c r="AI578">
        <v>5</v>
      </c>
      <c r="AJ578">
        <v>3</v>
      </c>
      <c r="AK578">
        <v>3</v>
      </c>
      <c r="AL578" t="str" cm="1">
        <f t="array" ref="AL578">_xlfn.IFS(AK578=1,"Low",AK578=2,"Medium",AK578=3,"High",AK578=4,"Very High")</f>
        <v>High</v>
      </c>
      <c r="AM578">
        <v>4</v>
      </c>
      <c r="AN578">
        <v>2</v>
      </c>
      <c r="AO578">
        <v>1</v>
      </c>
      <c r="AP578">
        <v>1</v>
      </c>
    </row>
    <row r="579" spans="1:42">
      <c r="A579">
        <v>37</v>
      </c>
      <c r="B579" t="str" cm="1">
        <f t="array" ref="B579">_xlfn.IFS(A579&lt;=25,"18-25",A579&lt;=35,"26-35",A579&lt;=45,"36-45",A579&lt;=55,"46-55",A579&gt;55,"56+")</f>
        <v>36-45</v>
      </c>
      <c r="C579" t="s">
        <v>39</v>
      </c>
      <c r="D579" t="s">
        <v>33</v>
      </c>
      <c r="E579" s="2">
        <v>571</v>
      </c>
      <c r="F579" t="s">
        <v>41</v>
      </c>
      <c r="G579">
        <v>10</v>
      </c>
      <c r="H579" t="str">
        <f t="shared" ref="H579:H642" si="9">IF(G579&lt;=10,"1-10 km",IF(G579&lt;=20,"11-20 km",IF(G579&lt;=30,"21-30 km","31+ km")))</f>
        <v>1-10 km</v>
      </c>
      <c r="I579">
        <v>1</v>
      </c>
      <c r="J579" t="str" cm="1">
        <f t="array" ref="J579">_xlfn.IFS(I579=1,"Below College",I579=2,"College",I579=3,"Bachelor",I579=4,"Master",I579=5,"Doctor")</f>
        <v>Below College</v>
      </c>
      <c r="K579" t="s">
        <v>35</v>
      </c>
      <c r="L579">
        <v>802</v>
      </c>
      <c r="M579">
        <v>4</v>
      </c>
      <c r="N579" t="str" cm="1">
        <f t="array" ref="N579">_xlfn.IFS(M579=1,"Low",M579=2,"Medium",M579=3,"High",M579=4,"Very High")</f>
        <v>Very High</v>
      </c>
      <c r="O579" t="s">
        <v>36</v>
      </c>
      <c r="P579" s="2">
        <v>82</v>
      </c>
      <c r="Q579">
        <v>3</v>
      </c>
      <c r="R579" t="str" cm="1">
        <f t="array" ref="R579">_xlfn.IFS(Q579=1,"Low",Q579=2,"Medium",Q579=3,"High",Q579=4,"Very High")</f>
        <v>High</v>
      </c>
      <c r="S579">
        <v>1</v>
      </c>
      <c r="T579" t="str" cm="1">
        <f t="array" ref="T579">_xlfn.IFS(S579=1,"Entry Level",S579=2,"Junior",S579=3,"Mid-Level",S579=4,"Senior",S579=5,"Executive")</f>
        <v>Entry Level</v>
      </c>
      <c r="U579" t="s">
        <v>43</v>
      </c>
      <c r="V579">
        <v>1</v>
      </c>
      <c r="W579" t="str" cm="1">
        <f t="array" ref="W579">_xlfn.IFS(V579=1,"Low",V579=2,"Medium",V579=3,"High",V579=4,"Very High")</f>
        <v>Low</v>
      </c>
      <c r="X579" t="s">
        <v>48</v>
      </c>
      <c r="Y579" s="2">
        <v>2782</v>
      </c>
      <c r="Z579" s="2">
        <v>19905</v>
      </c>
      <c r="AA579">
        <v>0</v>
      </c>
      <c r="AB579" t="s">
        <v>32</v>
      </c>
      <c r="AC579">
        <v>13</v>
      </c>
      <c r="AD579">
        <v>3</v>
      </c>
      <c r="AE579" t="str" cm="1">
        <f t="array" ref="AE579">_xlfn.IFS(AD579=1,"Low",AD579=2,"Good",AD579=3,"Excellent",AD579=4,"Outstanding")</f>
        <v>Excellent</v>
      </c>
      <c r="AF579">
        <v>2</v>
      </c>
      <c r="AG579" t="str" cm="1">
        <f t="array" ref="AG579">_xlfn.IFS(AF579=1,"Low",AF579=2,"Medium",AF579=3,"High",AF579=4,"Very High")</f>
        <v>Medium</v>
      </c>
      <c r="AH579">
        <v>2</v>
      </c>
      <c r="AI579">
        <v>6</v>
      </c>
      <c r="AJ579">
        <v>3</v>
      </c>
      <c r="AK579">
        <v>2</v>
      </c>
      <c r="AL579" t="str" cm="1">
        <f t="array" ref="AL579">_xlfn.IFS(AK579=1,"Low",AK579=2,"Medium",AK579=3,"High",AK579=4,"Very High")</f>
        <v>Medium</v>
      </c>
      <c r="AM579">
        <v>5</v>
      </c>
      <c r="AN579">
        <v>3</v>
      </c>
      <c r="AO579">
        <v>4</v>
      </c>
      <c r="AP579">
        <v>3</v>
      </c>
    </row>
    <row r="580" spans="1:42">
      <c r="A580">
        <v>38</v>
      </c>
      <c r="B580" t="str" cm="1">
        <f t="array" ref="B580">_xlfn.IFS(A580&lt;=25,"18-25",A580&lt;=35,"26-35",A580&lt;=45,"36-45",A580&lt;=55,"46-55",A580&gt;55,"56+")</f>
        <v>36-45</v>
      </c>
      <c r="C580" t="s">
        <v>39</v>
      </c>
      <c r="D580" t="s">
        <v>40</v>
      </c>
      <c r="E580" s="2">
        <v>240</v>
      </c>
      <c r="F580" t="s">
        <v>41</v>
      </c>
      <c r="G580">
        <v>2</v>
      </c>
      <c r="H580" t="str">
        <f t="shared" si="9"/>
        <v>1-10 km</v>
      </c>
      <c r="I580">
        <v>4</v>
      </c>
      <c r="J580" t="str" cm="1">
        <f t="array" ref="J580">_xlfn.IFS(I580=1,"Below College",I580=2,"College",I580=3,"Bachelor",I580=4,"Master",I580=5,"Doctor")</f>
        <v>Master</v>
      </c>
      <c r="K580" t="s">
        <v>35</v>
      </c>
      <c r="L580">
        <v>803</v>
      </c>
      <c r="M580">
        <v>1</v>
      </c>
      <c r="N580" t="str" cm="1">
        <f t="array" ref="N580">_xlfn.IFS(M580=1,"Low",M580=2,"Medium",M580=3,"High",M580=4,"Very High")</f>
        <v>Low</v>
      </c>
      <c r="O580" t="s">
        <v>36</v>
      </c>
      <c r="P580" s="2">
        <v>75</v>
      </c>
      <c r="Q580">
        <v>4</v>
      </c>
      <c r="R580" t="str" cm="1">
        <f t="array" ref="R580">_xlfn.IFS(Q580=1,"Low",Q580=2,"Medium",Q580=3,"High",Q580=4,"Very High")</f>
        <v>Very High</v>
      </c>
      <c r="S580">
        <v>2</v>
      </c>
      <c r="T580" t="str" cm="1">
        <f t="array" ref="T580">_xlfn.IFS(S580=1,"Entry Level",S580=2,"Junior",S580=3,"Mid-Level",S580=4,"Senior",S580=5,"Executive")</f>
        <v>Junior</v>
      </c>
      <c r="U580" t="s">
        <v>49</v>
      </c>
      <c r="V580">
        <v>1</v>
      </c>
      <c r="W580" t="str" cm="1">
        <f t="array" ref="W580">_xlfn.IFS(V580=1,"Low",V580=2,"Medium",V580=3,"High",V580=4,"Very High")</f>
        <v>Low</v>
      </c>
      <c r="X580" t="s">
        <v>38</v>
      </c>
      <c r="Y580" s="2">
        <v>5980</v>
      </c>
      <c r="Z580" s="2">
        <v>26085</v>
      </c>
      <c r="AA580">
        <v>6</v>
      </c>
      <c r="AB580" t="s">
        <v>32</v>
      </c>
      <c r="AC580">
        <v>12</v>
      </c>
      <c r="AD580">
        <v>3</v>
      </c>
      <c r="AE580" t="str" cm="1">
        <f t="array" ref="AE580">_xlfn.IFS(AD580=1,"Low",AD580=2,"Good",AD580=3,"Excellent",AD580=4,"Outstanding")</f>
        <v>Excellent</v>
      </c>
      <c r="AF580">
        <v>4</v>
      </c>
      <c r="AG580" t="str" cm="1">
        <f t="array" ref="AG580">_xlfn.IFS(AF580=1,"Low",AF580=2,"Medium",AF580=3,"High",AF580=4,"Very High")</f>
        <v>Very High</v>
      </c>
      <c r="AH580">
        <v>0</v>
      </c>
      <c r="AI580">
        <v>17</v>
      </c>
      <c r="AJ580">
        <v>2</v>
      </c>
      <c r="AK580">
        <v>3</v>
      </c>
      <c r="AL580" t="str" cm="1">
        <f t="array" ref="AL580">_xlfn.IFS(AK580=1,"Low",AK580=2,"Medium",AK580=3,"High",AK580=4,"Very High")</f>
        <v>High</v>
      </c>
      <c r="AM580">
        <v>15</v>
      </c>
      <c r="AN580">
        <v>7</v>
      </c>
      <c r="AO580">
        <v>4</v>
      </c>
      <c r="AP580">
        <v>12</v>
      </c>
    </row>
    <row r="581" spans="1:42">
      <c r="A581">
        <v>34</v>
      </c>
      <c r="B581" t="str" cm="1">
        <f t="array" ref="B581">_xlfn.IFS(A581&lt;=25,"18-25",A581&lt;=35,"26-35",A581&lt;=45,"36-45",A581&lt;=55,"46-55",A581&gt;55,"56+")</f>
        <v>26-35</v>
      </c>
      <c r="C581" t="s">
        <v>39</v>
      </c>
      <c r="D581" t="s">
        <v>33</v>
      </c>
      <c r="E581" s="2">
        <v>121</v>
      </c>
      <c r="F581" t="s">
        <v>41</v>
      </c>
      <c r="G581">
        <v>2</v>
      </c>
      <c r="H581" t="str">
        <f t="shared" si="9"/>
        <v>1-10 km</v>
      </c>
      <c r="I581">
        <v>4</v>
      </c>
      <c r="J581" t="str" cm="1">
        <f t="array" ref="J581">_xlfn.IFS(I581=1,"Below College",I581=2,"College",I581=3,"Bachelor",I581=4,"Master",I581=5,"Doctor")</f>
        <v>Master</v>
      </c>
      <c r="K581" t="s">
        <v>47</v>
      </c>
      <c r="L581">
        <v>804</v>
      </c>
      <c r="M581">
        <v>3</v>
      </c>
      <c r="N581" t="str" cm="1">
        <f t="array" ref="N581">_xlfn.IFS(M581=1,"Low",M581=2,"Medium",M581=3,"High",M581=4,"Very High")</f>
        <v>High</v>
      </c>
      <c r="O581" t="s">
        <v>36</v>
      </c>
      <c r="P581" s="2">
        <v>86</v>
      </c>
      <c r="Q581">
        <v>2</v>
      </c>
      <c r="R581" t="str" cm="1">
        <f t="array" ref="R581">_xlfn.IFS(Q581=1,"Low",Q581=2,"Medium",Q581=3,"High",Q581=4,"Very High")</f>
        <v>Medium</v>
      </c>
      <c r="S581">
        <v>1</v>
      </c>
      <c r="T581" t="str" cm="1">
        <f t="array" ref="T581">_xlfn.IFS(S581=1,"Entry Level",S581=2,"Junior",S581=3,"Mid-Level",S581=4,"Senior",S581=5,"Executive")</f>
        <v>Entry Level</v>
      </c>
      <c r="U581" t="s">
        <v>43</v>
      </c>
      <c r="V581">
        <v>1</v>
      </c>
      <c r="W581" t="str" cm="1">
        <f t="array" ref="W581">_xlfn.IFS(V581=1,"Low",V581=2,"Medium",V581=3,"High",V581=4,"Very High")</f>
        <v>Low</v>
      </c>
      <c r="X581" t="s">
        <v>38</v>
      </c>
      <c r="Y581" s="2">
        <v>4381</v>
      </c>
      <c r="Z581" s="2">
        <v>7530</v>
      </c>
      <c r="AA581">
        <v>1</v>
      </c>
      <c r="AB581" t="s">
        <v>39</v>
      </c>
      <c r="AC581">
        <v>11</v>
      </c>
      <c r="AD581">
        <v>3</v>
      </c>
      <c r="AE581" t="str" cm="1">
        <f t="array" ref="AE581">_xlfn.IFS(AD581=1,"Low",AD581=2,"Good",AD581=3,"Excellent",AD581=4,"Outstanding")</f>
        <v>Excellent</v>
      </c>
      <c r="AF581">
        <v>3</v>
      </c>
      <c r="AG581" t="str" cm="1">
        <f t="array" ref="AG581">_xlfn.IFS(AF581=1,"Low",AF581=2,"Medium",AF581=3,"High",AF581=4,"Very High")</f>
        <v>High</v>
      </c>
      <c r="AH581">
        <v>0</v>
      </c>
      <c r="AI581">
        <v>6</v>
      </c>
      <c r="AJ581">
        <v>3</v>
      </c>
      <c r="AK581">
        <v>3</v>
      </c>
      <c r="AL581" t="str" cm="1">
        <f t="array" ref="AL581">_xlfn.IFS(AK581=1,"Low",AK581=2,"Medium",AK581=3,"High",AK581=4,"Very High")</f>
        <v>High</v>
      </c>
      <c r="AM581">
        <v>6</v>
      </c>
      <c r="AN581">
        <v>5</v>
      </c>
      <c r="AO581">
        <v>1</v>
      </c>
      <c r="AP581">
        <v>3</v>
      </c>
    </row>
    <row r="582" spans="1:42">
      <c r="A582">
        <v>35</v>
      </c>
      <c r="B582" t="str" cm="1">
        <f t="array" ref="B582">_xlfn.IFS(A582&lt;=25,"18-25",A582&lt;=35,"26-35",A582&lt;=45,"36-45",A582&lt;=55,"46-55",A582&gt;55,"56+")</f>
        <v>26-35</v>
      </c>
      <c r="C582" t="s">
        <v>39</v>
      </c>
      <c r="D582" t="s">
        <v>33</v>
      </c>
      <c r="E582" s="2">
        <v>384</v>
      </c>
      <c r="F582" t="s">
        <v>34</v>
      </c>
      <c r="G582">
        <v>8</v>
      </c>
      <c r="H582" t="str">
        <f t="shared" si="9"/>
        <v>1-10 km</v>
      </c>
      <c r="I582">
        <v>4</v>
      </c>
      <c r="J582" t="str" cm="1">
        <f t="array" ref="J582">_xlfn.IFS(I582=1,"Below College",I582=2,"College",I582=3,"Bachelor",I582=4,"Master",I582=5,"Doctor")</f>
        <v>Master</v>
      </c>
      <c r="K582" t="s">
        <v>35</v>
      </c>
      <c r="L582">
        <v>805</v>
      </c>
      <c r="M582">
        <v>1</v>
      </c>
      <c r="N582" t="str" cm="1">
        <f t="array" ref="N582">_xlfn.IFS(M582=1,"Low",M582=2,"Medium",M582=3,"High",M582=4,"Very High")</f>
        <v>Low</v>
      </c>
      <c r="O582" t="s">
        <v>36</v>
      </c>
      <c r="P582" s="2">
        <v>72</v>
      </c>
      <c r="Q582">
        <v>3</v>
      </c>
      <c r="R582" t="str" cm="1">
        <f t="array" ref="R582">_xlfn.IFS(Q582=1,"Low",Q582=2,"Medium",Q582=3,"High",Q582=4,"Very High")</f>
        <v>High</v>
      </c>
      <c r="S582">
        <v>1</v>
      </c>
      <c r="T582" t="str" cm="1">
        <f t="array" ref="T582">_xlfn.IFS(S582=1,"Entry Level",S582=2,"Junior",S582=3,"Mid-Level",S582=4,"Senior",S582=5,"Executive")</f>
        <v>Entry Level</v>
      </c>
      <c r="U582" t="s">
        <v>53</v>
      </c>
      <c r="V582">
        <v>4</v>
      </c>
      <c r="W582" t="str" cm="1">
        <f t="array" ref="W582">_xlfn.IFS(V582=1,"Low",V582=2,"Medium",V582=3,"High",V582=4,"Very High")</f>
        <v>Very High</v>
      </c>
      <c r="X582" t="s">
        <v>44</v>
      </c>
      <c r="Y582" s="2">
        <v>2572</v>
      </c>
      <c r="Z582" s="2">
        <v>20317</v>
      </c>
      <c r="AA582">
        <v>1</v>
      </c>
      <c r="AB582" t="s">
        <v>39</v>
      </c>
      <c r="AC582">
        <v>16</v>
      </c>
      <c r="AD582">
        <v>3</v>
      </c>
      <c r="AE582" t="str" cm="1">
        <f t="array" ref="AE582">_xlfn.IFS(AD582=1,"Low",AD582=2,"Good",AD582=3,"Excellent",AD582=4,"Outstanding")</f>
        <v>Excellent</v>
      </c>
      <c r="AF582">
        <v>2</v>
      </c>
      <c r="AG582" t="str" cm="1">
        <f t="array" ref="AG582">_xlfn.IFS(AF582=1,"Low",AF582=2,"Medium",AF582=3,"High",AF582=4,"Very High")</f>
        <v>Medium</v>
      </c>
      <c r="AH582">
        <v>1</v>
      </c>
      <c r="AI582">
        <v>3</v>
      </c>
      <c r="AJ582">
        <v>1</v>
      </c>
      <c r="AK582">
        <v>2</v>
      </c>
      <c r="AL582" t="str" cm="1">
        <f t="array" ref="AL582">_xlfn.IFS(AK582=1,"Low",AK582=2,"Medium",AK582=3,"High",AK582=4,"Very High")</f>
        <v>Medium</v>
      </c>
      <c r="AM582">
        <v>3</v>
      </c>
      <c r="AN582">
        <v>2</v>
      </c>
      <c r="AO582">
        <v>0</v>
      </c>
      <c r="AP582">
        <v>2</v>
      </c>
    </row>
    <row r="583" spans="1:42">
      <c r="A583">
        <v>30</v>
      </c>
      <c r="B583" t="str" cm="1">
        <f t="array" ref="B583">_xlfn.IFS(A583&lt;=25,"18-25",A583&lt;=35,"26-35",A583&lt;=45,"36-45",A583&lt;=55,"46-55",A583&gt;55,"56+")</f>
        <v>26-35</v>
      </c>
      <c r="C583" t="s">
        <v>39</v>
      </c>
      <c r="D583" t="s">
        <v>33</v>
      </c>
      <c r="E583" s="2">
        <v>921</v>
      </c>
      <c r="F583" t="s">
        <v>41</v>
      </c>
      <c r="G583">
        <v>1</v>
      </c>
      <c r="H583" t="str">
        <f t="shared" si="9"/>
        <v>1-10 km</v>
      </c>
      <c r="I583">
        <v>3</v>
      </c>
      <c r="J583" t="str" cm="1">
        <f t="array" ref="J583">_xlfn.IFS(I583=1,"Below College",I583=2,"College",I583=3,"Bachelor",I583=4,"Master",I583=5,"Doctor")</f>
        <v>Bachelor</v>
      </c>
      <c r="K583" t="s">
        <v>35</v>
      </c>
      <c r="L583">
        <v>806</v>
      </c>
      <c r="M583">
        <v>4</v>
      </c>
      <c r="N583" t="str" cm="1">
        <f t="array" ref="N583">_xlfn.IFS(M583=1,"Low",M583=2,"Medium",M583=3,"High",M583=4,"Very High")</f>
        <v>Very High</v>
      </c>
      <c r="O583" t="s">
        <v>42</v>
      </c>
      <c r="P583" s="2">
        <v>38</v>
      </c>
      <c r="Q583">
        <v>1</v>
      </c>
      <c r="R583" t="str" cm="1">
        <f t="array" ref="R583">_xlfn.IFS(Q583=1,"Low",Q583=2,"Medium",Q583=3,"High",Q583=4,"Very High")</f>
        <v>Low</v>
      </c>
      <c r="S583">
        <v>1</v>
      </c>
      <c r="T583" t="str" cm="1">
        <f t="array" ref="T583">_xlfn.IFS(S583=1,"Entry Level",S583=2,"Junior",S583=3,"Mid-Level",S583=4,"Senior",S583=5,"Executive")</f>
        <v>Entry Level</v>
      </c>
      <c r="U583" t="s">
        <v>46</v>
      </c>
      <c r="V583">
        <v>3</v>
      </c>
      <c r="W583" t="str" cm="1">
        <f t="array" ref="W583">_xlfn.IFS(V583=1,"Low",V583=2,"Medium",V583=3,"High",V583=4,"Very High")</f>
        <v>High</v>
      </c>
      <c r="X583" t="s">
        <v>44</v>
      </c>
      <c r="Y583" s="2">
        <v>3833</v>
      </c>
      <c r="Z583" s="2">
        <v>24375</v>
      </c>
      <c r="AA583">
        <v>3</v>
      </c>
      <c r="AB583" t="s">
        <v>39</v>
      </c>
      <c r="AC583">
        <v>21</v>
      </c>
      <c r="AD583">
        <v>4</v>
      </c>
      <c r="AE583" t="str" cm="1">
        <f t="array" ref="AE583">_xlfn.IFS(AD583=1,"Low",AD583=2,"Good",AD583=3,"Excellent",AD583=4,"Outstanding")</f>
        <v>Outstanding</v>
      </c>
      <c r="AF583">
        <v>3</v>
      </c>
      <c r="AG583" t="str" cm="1">
        <f t="array" ref="AG583">_xlfn.IFS(AF583=1,"Low",AF583=2,"Medium",AF583=3,"High",AF583=4,"Very High")</f>
        <v>High</v>
      </c>
      <c r="AH583">
        <v>2</v>
      </c>
      <c r="AI583">
        <v>7</v>
      </c>
      <c r="AJ583">
        <v>2</v>
      </c>
      <c r="AK583">
        <v>3</v>
      </c>
      <c r="AL583" t="str" cm="1">
        <f t="array" ref="AL583">_xlfn.IFS(AK583=1,"Low",AK583=2,"Medium",AK583=3,"High",AK583=4,"Very High")</f>
        <v>High</v>
      </c>
      <c r="AM583">
        <v>2</v>
      </c>
      <c r="AN583">
        <v>2</v>
      </c>
      <c r="AO583">
        <v>0</v>
      </c>
      <c r="AP583">
        <v>2</v>
      </c>
    </row>
    <row r="584" spans="1:42">
      <c r="A584">
        <v>40</v>
      </c>
      <c r="B584" t="str" cm="1">
        <f t="array" ref="B584">_xlfn.IFS(A584&lt;=25,"18-25",A584&lt;=35,"26-35",A584&lt;=45,"36-45",A584&lt;=55,"46-55",A584&gt;55,"56+")</f>
        <v>36-45</v>
      </c>
      <c r="C584" t="s">
        <v>39</v>
      </c>
      <c r="D584" t="s">
        <v>40</v>
      </c>
      <c r="E584" s="2">
        <v>791</v>
      </c>
      <c r="F584" t="s">
        <v>41</v>
      </c>
      <c r="G584">
        <v>2</v>
      </c>
      <c r="H584" t="str">
        <f t="shared" si="9"/>
        <v>1-10 km</v>
      </c>
      <c r="I584">
        <v>2</v>
      </c>
      <c r="J584" t="str" cm="1">
        <f t="array" ref="J584">_xlfn.IFS(I584=1,"Below College",I584=2,"College",I584=3,"Bachelor",I584=4,"Master",I584=5,"Doctor")</f>
        <v>College</v>
      </c>
      <c r="K584" t="s">
        <v>47</v>
      </c>
      <c r="L584">
        <v>807</v>
      </c>
      <c r="M584">
        <v>3</v>
      </c>
      <c r="N584" t="str" cm="1">
        <f t="array" ref="N584">_xlfn.IFS(M584=1,"Low",M584=2,"Medium",M584=3,"High",M584=4,"Very High")</f>
        <v>High</v>
      </c>
      <c r="O584" t="s">
        <v>36</v>
      </c>
      <c r="P584" s="2">
        <v>38</v>
      </c>
      <c r="Q584">
        <v>4</v>
      </c>
      <c r="R584" t="str" cm="1">
        <f t="array" ref="R584">_xlfn.IFS(Q584=1,"Low",Q584=2,"Medium",Q584=3,"High",Q584=4,"Very High")</f>
        <v>Very High</v>
      </c>
      <c r="S584">
        <v>2</v>
      </c>
      <c r="T584" t="str" cm="1">
        <f t="array" ref="T584">_xlfn.IFS(S584=1,"Entry Level",S584=2,"Junior",S584=3,"Mid-Level",S584=4,"Senior",S584=5,"Executive")</f>
        <v>Junior</v>
      </c>
      <c r="U584" t="s">
        <v>50</v>
      </c>
      <c r="V584">
        <v>2</v>
      </c>
      <c r="W584" t="str" cm="1">
        <f t="array" ref="W584">_xlfn.IFS(V584=1,"Low",V584=2,"Medium",V584=3,"High",V584=4,"Very High")</f>
        <v>Medium</v>
      </c>
      <c r="X584" t="s">
        <v>44</v>
      </c>
      <c r="Y584" s="2">
        <v>4244</v>
      </c>
      <c r="Z584" s="2">
        <v>9931</v>
      </c>
      <c r="AA584">
        <v>1</v>
      </c>
      <c r="AB584" t="s">
        <v>39</v>
      </c>
      <c r="AC584">
        <v>24</v>
      </c>
      <c r="AD584">
        <v>4</v>
      </c>
      <c r="AE584" t="str" cm="1">
        <f t="array" ref="AE584">_xlfn.IFS(AD584=1,"Low",AD584=2,"Good",AD584=3,"Excellent",AD584=4,"Outstanding")</f>
        <v>Outstanding</v>
      </c>
      <c r="AF584">
        <v>4</v>
      </c>
      <c r="AG584" t="str" cm="1">
        <f t="array" ref="AG584">_xlfn.IFS(AF584=1,"Low",AF584=2,"Medium",AF584=3,"High",AF584=4,"Very High")</f>
        <v>Very High</v>
      </c>
      <c r="AH584">
        <v>1</v>
      </c>
      <c r="AI584">
        <v>8</v>
      </c>
      <c r="AJ584">
        <v>2</v>
      </c>
      <c r="AK584">
        <v>3</v>
      </c>
      <c r="AL584" t="str" cm="1">
        <f t="array" ref="AL584">_xlfn.IFS(AK584=1,"Low",AK584=2,"Medium",AK584=3,"High",AK584=4,"Very High")</f>
        <v>High</v>
      </c>
      <c r="AM584">
        <v>8</v>
      </c>
      <c r="AN584">
        <v>7</v>
      </c>
      <c r="AO584">
        <v>3</v>
      </c>
      <c r="AP584">
        <v>7</v>
      </c>
    </row>
    <row r="585" spans="1:42">
      <c r="A585">
        <v>34</v>
      </c>
      <c r="B585" t="str" cm="1">
        <f t="array" ref="B585">_xlfn.IFS(A585&lt;=25,"18-25",A585&lt;=35,"26-35",A585&lt;=45,"36-45",A585&lt;=55,"46-55",A585&gt;55,"56+")</f>
        <v>26-35</v>
      </c>
      <c r="C585" t="s">
        <v>39</v>
      </c>
      <c r="D585" t="s">
        <v>33</v>
      </c>
      <c r="E585" s="2">
        <v>1111</v>
      </c>
      <c r="F585" t="s">
        <v>34</v>
      </c>
      <c r="G585">
        <v>8</v>
      </c>
      <c r="H585" t="str">
        <f t="shared" si="9"/>
        <v>1-10 km</v>
      </c>
      <c r="I585">
        <v>2</v>
      </c>
      <c r="J585" t="str" cm="1">
        <f t="array" ref="J585">_xlfn.IFS(I585=1,"Below College",I585=2,"College",I585=3,"Bachelor",I585=4,"Master",I585=5,"Doctor")</f>
        <v>College</v>
      </c>
      <c r="K585" t="s">
        <v>35</v>
      </c>
      <c r="L585">
        <v>808</v>
      </c>
      <c r="M585">
        <v>3</v>
      </c>
      <c r="N585" t="str" cm="1">
        <f t="array" ref="N585">_xlfn.IFS(M585=1,"Low",M585=2,"Medium",M585=3,"High",M585=4,"Very High")</f>
        <v>High</v>
      </c>
      <c r="O585" t="s">
        <v>36</v>
      </c>
      <c r="P585" s="2">
        <v>93</v>
      </c>
      <c r="Q585">
        <v>3</v>
      </c>
      <c r="R585" t="str" cm="1">
        <f t="array" ref="R585">_xlfn.IFS(Q585=1,"Low",Q585=2,"Medium",Q585=3,"High",Q585=4,"Very High")</f>
        <v>High</v>
      </c>
      <c r="S585">
        <v>2</v>
      </c>
      <c r="T585" t="str" cm="1">
        <f t="array" ref="T585">_xlfn.IFS(S585=1,"Entry Level",S585=2,"Junior",S585=3,"Mid-Level",S585=4,"Senior",S585=5,"Executive")</f>
        <v>Junior</v>
      </c>
      <c r="U585" t="s">
        <v>37</v>
      </c>
      <c r="V585">
        <v>1</v>
      </c>
      <c r="W585" t="str" cm="1">
        <f t="array" ref="W585">_xlfn.IFS(V585=1,"Low",V585=2,"Medium",V585=3,"High",V585=4,"Very High")</f>
        <v>Low</v>
      </c>
      <c r="X585" t="s">
        <v>44</v>
      </c>
      <c r="Y585" s="2">
        <v>6500</v>
      </c>
      <c r="Z585" s="2">
        <v>13305</v>
      </c>
      <c r="AA585">
        <v>5</v>
      </c>
      <c r="AB585" t="s">
        <v>39</v>
      </c>
      <c r="AC585">
        <v>17</v>
      </c>
      <c r="AD585">
        <v>3</v>
      </c>
      <c r="AE585" t="str" cm="1">
        <f t="array" ref="AE585">_xlfn.IFS(AD585=1,"Low",AD585=2,"Good",AD585=3,"Excellent",AD585=4,"Outstanding")</f>
        <v>Excellent</v>
      </c>
      <c r="AF585">
        <v>2</v>
      </c>
      <c r="AG585" t="str" cm="1">
        <f t="array" ref="AG585">_xlfn.IFS(AF585=1,"Low",AF585=2,"Medium",AF585=3,"High",AF585=4,"Very High")</f>
        <v>Medium</v>
      </c>
      <c r="AH585">
        <v>1</v>
      </c>
      <c r="AI585">
        <v>6</v>
      </c>
      <c r="AJ585">
        <v>1</v>
      </c>
      <c r="AK585">
        <v>3</v>
      </c>
      <c r="AL585" t="str" cm="1">
        <f t="array" ref="AL585">_xlfn.IFS(AK585=1,"Low",AK585=2,"Medium",AK585=3,"High",AK585=4,"Very High")</f>
        <v>High</v>
      </c>
      <c r="AM585">
        <v>3</v>
      </c>
      <c r="AN585">
        <v>2</v>
      </c>
      <c r="AO585">
        <v>1</v>
      </c>
      <c r="AP585">
        <v>2</v>
      </c>
    </row>
    <row r="586" spans="1:42">
      <c r="A586">
        <v>42</v>
      </c>
      <c r="B586" t="str" cm="1">
        <f t="array" ref="B586">_xlfn.IFS(A586&lt;=25,"18-25",A586&lt;=35,"26-35",A586&lt;=45,"36-45",A586&lt;=55,"46-55",A586&gt;55,"56+")</f>
        <v>36-45</v>
      </c>
      <c r="C586" t="s">
        <v>39</v>
      </c>
      <c r="D586" t="s">
        <v>40</v>
      </c>
      <c r="E586" s="2">
        <v>570</v>
      </c>
      <c r="F586" t="s">
        <v>41</v>
      </c>
      <c r="G586">
        <v>8</v>
      </c>
      <c r="H586" t="str">
        <f t="shared" si="9"/>
        <v>1-10 km</v>
      </c>
      <c r="I586">
        <v>3</v>
      </c>
      <c r="J586" t="str" cm="1">
        <f t="array" ref="J586">_xlfn.IFS(I586=1,"Below College",I586=2,"College",I586=3,"Bachelor",I586=4,"Master",I586=5,"Doctor")</f>
        <v>Bachelor</v>
      </c>
      <c r="K586" t="s">
        <v>35</v>
      </c>
      <c r="L586">
        <v>809</v>
      </c>
      <c r="M586">
        <v>2</v>
      </c>
      <c r="N586" t="str" cm="1">
        <f t="array" ref="N586">_xlfn.IFS(M586=1,"Low",M586=2,"Medium",M586=3,"High",M586=4,"Very High")</f>
        <v>Medium</v>
      </c>
      <c r="O586" t="s">
        <v>42</v>
      </c>
      <c r="P586" s="2">
        <v>66</v>
      </c>
      <c r="Q586">
        <v>3</v>
      </c>
      <c r="R586" t="str" cm="1">
        <f t="array" ref="R586">_xlfn.IFS(Q586=1,"Low",Q586=2,"Medium",Q586=3,"High",Q586=4,"Very High")</f>
        <v>High</v>
      </c>
      <c r="S586">
        <v>5</v>
      </c>
      <c r="T586" t="str" cm="1">
        <f t="array" ref="T586">_xlfn.IFS(S586=1,"Entry Level",S586=2,"Junior",S586=3,"Mid-Level",S586=4,"Senior",S586=5,"Executive")</f>
        <v>Executive</v>
      </c>
      <c r="U586" t="s">
        <v>52</v>
      </c>
      <c r="V586">
        <v>4</v>
      </c>
      <c r="W586" t="str" cm="1">
        <f t="array" ref="W586">_xlfn.IFS(V586=1,"Low",V586=2,"Medium",V586=3,"High",V586=4,"Very High")</f>
        <v>Very High</v>
      </c>
      <c r="X586" t="s">
        <v>48</v>
      </c>
      <c r="Y586" s="2">
        <v>18430</v>
      </c>
      <c r="Z586" s="2">
        <v>16225</v>
      </c>
      <c r="AA586">
        <v>1</v>
      </c>
      <c r="AB586" t="s">
        <v>39</v>
      </c>
      <c r="AC586">
        <v>13</v>
      </c>
      <c r="AD586">
        <v>3</v>
      </c>
      <c r="AE586" t="str" cm="1">
        <f t="array" ref="AE586">_xlfn.IFS(AD586=1,"Low",AD586=2,"Good",AD586=3,"Excellent",AD586=4,"Outstanding")</f>
        <v>Excellent</v>
      </c>
      <c r="AF586">
        <v>2</v>
      </c>
      <c r="AG586" t="str" cm="1">
        <f t="array" ref="AG586">_xlfn.IFS(AF586=1,"Low",AF586=2,"Medium",AF586=3,"High",AF586=4,"Very High")</f>
        <v>Medium</v>
      </c>
      <c r="AH586">
        <v>1</v>
      </c>
      <c r="AI586">
        <v>24</v>
      </c>
      <c r="AJ586">
        <v>4</v>
      </c>
      <c r="AK586">
        <v>2</v>
      </c>
      <c r="AL586" t="str" cm="1">
        <f t="array" ref="AL586">_xlfn.IFS(AK586=1,"Low",AK586=2,"Medium",AK586=3,"High",AK586=4,"Very High")</f>
        <v>Medium</v>
      </c>
      <c r="AM586">
        <v>24</v>
      </c>
      <c r="AN586">
        <v>7</v>
      </c>
      <c r="AO586">
        <v>14</v>
      </c>
      <c r="AP586">
        <v>9</v>
      </c>
    </row>
    <row r="587" spans="1:42">
      <c r="A587">
        <v>23</v>
      </c>
      <c r="B587" t="str" cm="1">
        <f t="array" ref="B587">_xlfn.IFS(A587&lt;=25,"18-25",A587&lt;=35,"26-35",A587&lt;=45,"36-45",A587&lt;=55,"46-55",A587&gt;55,"56+")</f>
        <v>18-25</v>
      </c>
      <c r="C587" t="s">
        <v>32</v>
      </c>
      <c r="D587" t="s">
        <v>33</v>
      </c>
      <c r="E587" s="2">
        <v>1243</v>
      </c>
      <c r="F587" t="s">
        <v>41</v>
      </c>
      <c r="G587">
        <v>6</v>
      </c>
      <c r="H587" t="str">
        <f t="shared" si="9"/>
        <v>1-10 km</v>
      </c>
      <c r="I587">
        <v>3</v>
      </c>
      <c r="J587" t="str" cm="1">
        <f t="array" ref="J587">_xlfn.IFS(I587=1,"Below College",I587=2,"College",I587=3,"Bachelor",I587=4,"Master",I587=5,"Doctor")</f>
        <v>Bachelor</v>
      </c>
      <c r="K587" t="s">
        <v>35</v>
      </c>
      <c r="L587">
        <v>811</v>
      </c>
      <c r="M587">
        <v>3</v>
      </c>
      <c r="N587" t="str" cm="1">
        <f t="array" ref="N587">_xlfn.IFS(M587=1,"Low",M587=2,"Medium",M587=3,"High",M587=4,"Very High")</f>
        <v>High</v>
      </c>
      <c r="O587" t="s">
        <v>42</v>
      </c>
      <c r="P587" s="2">
        <v>63</v>
      </c>
      <c r="Q587">
        <v>4</v>
      </c>
      <c r="R587" t="str" cm="1">
        <f t="array" ref="R587">_xlfn.IFS(Q587=1,"Low",Q587=2,"Medium",Q587=3,"High",Q587=4,"Very High")</f>
        <v>Very High</v>
      </c>
      <c r="S587">
        <v>1</v>
      </c>
      <c r="T587" t="str" cm="1">
        <f t="array" ref="T587">_xlfn.IFS(S587=1,"Entry Level",S587=2,"Junior",S587=3,"Mid-Level",S587=4,"Senior",S587=5,"Executive")</f>
        <v>Entry Level</v>
      </c>
      <c r="U587" t="s">
        <v>46</v>
      </c>
      <c r="V587">
        <v>1</v>
      </c>
      <c r="W587" t="str" cm="1">
        <f t="array" ref="W587">_xlfn.IFS(V587=1,"Low",V587=2,"Medium",V587=3,"High",V587=4,"Very High")</f>
        <v>Low</v>
      </c>
      <c r="X587" t="s">
        <v>44</v>
      </c>
      <c r="Y587" s="2">
        <v>1601</v>
      </c>
      <c r="Z587" s="2">
        <v>3445</v>
      </c>
      <c r="AA587">
        <v>1</v>
      </c>
      <c r="AB587" t="s">
        <v>32</v>
      </c>
      <c r="AC587">
        <v>21</v>
      </c>
      <c r="AD587">
        <v>4</v>
      </c>
      <c r="AE587" t="str" cm="1">
        <f t="array" ref="AE587">_xlfn.IFS(AD587=1,"Low",AD587=2,"Good",AD587=3,"Excellent",AD587=4,"Outstanding")</f>
        <v>Outstanding</v>
      </c>
      <c r="AF587">
        <v>3</v>
      </c>
      <c r="AG587" t="str" cm="1">
        <f t="array" ref="AG587">_xlfn.IFS(AF587=1,"Low",AF587=2,"Medium",AF587=3,"High",AF587=4,"Very High")</f>
        <v>High</v>
      </c>
      <c r="AH587">
        <v>2</v>
      </c>
      <c r="AI587">
        <v>1</v>
      </c>
      <c r="AJ587">
        <v>2</v>
      </c>
      <c r="AK587">
        <v>3</v>
      </c>
      <c r="AL587" t="str" cm="1">
        <f t="array" ref="AL587">_xlfn.IFS(AK587=1,"Low",AK587=2,"Medium",AK587=3,"High",AK587=4,"Very High")</f>
        <v>High</v>
      </c>
      <c r="AM587">
        <v>0</v>
      </c>
      <c r="AN587">
        <v>0</v>
      </c>
      <c r="AO587">
        <v>0</v>
      </c>
      <c r="AP587">
        <v>0</v>
      </c>
    </row>
    <row r="588" spans="1:42">
      <c r="A588">
        <v>24</v>
      </c>
      <c r="B588" t="str" cm="1">
        <f t="array" ref="B588">_xlfn.IFS(A588&lt;=25,"18-25",A588&lt;=35,"26-35",A588&lt;=45,"36-45",A588&lt;=55,"46-55",A588&gt;55,"56+")</f>
        <v>18-25</v>
      </c>
      <c r="C588" t="s">
        <v>39</v>
      </c>
      <c r="D588" t="s">
        <v>51</v>
      </c>
      <c r="E588" s="2">
        <v>1092</v>
      </c>
      <c r="F588" t="s">
        <v>41</v>
      </c>
      <c r="G588">
        <v>9</v>
      </c>
      <c r="H588" t="str">
        <f t="shared" si="9"/>
        <v>1-10 km</v>
      </c>
      <c r="I588">
        <v>3</v>
      </c>
      <c r="J588" t="str" cm="1">
        <f t="array" ref="J588">_xlfn.IFS(I588=1,"Below College",I588=2,"College",I588=3,"Bachelor",I588=4,"Master",I588=5,"Doctor")</f>
        <v>Bachelor</v>
      </c>
      <c r="K588" t="s">
        <v>35</v>
      </c>
      <c r="L588">
        <v>812</v>
      </c>
      <c r="M588">
        <v>3</v>
      </c>
      <c r="N588" t="str" cm="1">
        <f t="array" ref="N588">_xlfn.IFS(M588=1,"Low",M588=2,"Medium",M588=3,"High",M588=4,"Very High")</f>
        <v>High</v>
      </c>
      <c r="O588" t="s">
        <v>42</v>
      </c>
      <c r="P588" s="2">
        <v>60</v>
      </c>
      <c r="Q588">
        <v>2</v>
      </c>
      <c r="R588" t="str" cm="1">
        <f t="array" ref="R588">_xlfn.IFS(Q588=1,"Low",Q588=2,"Medium",Q588=3,"High",Q588=4,"Very High")</f>
        <v>Medium</v>
      </c>
      <c r="S588">
        <v>1</v>
      </c>
      <c r="T588" t="str" cm="1">
        <f t="array" ref="T588">_xlfn.IFS(S588=1,"Entry Level",S588=2,"Junior",S588=3,"Mid-Level",S588=4,"Senior",S588=5,"Executive")</f>
        <v>Entry Level</v>
      </c>
      <c r="U588" t="s">
        <v>46</v>
      </c>
      <c r="V588">
        <v>2</v>
      </c>
      <c r="W588" t="str" cm="1">
        <f t="array" ref="W588">_xlfn.IFS(V588=1,"Low",V588=2,"Medium",V588=3,"High",V588=4,"Very High")</f>
        <v>Medium</v>
      </c>
      <c r="X588" t="s">
        <v>48</v>
      </c>
      <c r="Y588" s="2">
        <v>2694</v>
      </c>
      <c r="Z588" s="2">
        <v>26551</v>
      </c>
      <c r="AA588">
        <v>1</v>
      </c>
      <c r="AB588" t="s">
        <v>39</v>
      </c>
      <c r="AC588">
        <v>11</v>
      </c>
      <c r="AD588">
        <v>3</v>
      </c>
      <c r="AE588" t="str" cm="1">
        <f t="array" ref="AE588">_xlfn.IFS(AD588=1,"Low",AD588=2,"Good",AD588=3,"Excellent",AD588=4,"Outstanding")</f>
        <v>Excellent</v>
      </c>
      <c r="AF588">
        <v>3</v>
      </c>
      <c r="AG588" t="str" cm="1">
        <f t="array" ref="AG588">_xlfn.IFS(AF588=1,"Low",AF588=2,"Medium",AF588=3,"High",AF588=4,"Very High")</f>
        <v>High</v>
      </c>
      <c r="AH588">
        <v>3</v>
      </c>
      <c r="AI588">
        <v>1</v>
      </c>
      <c r="AJ588">
        <v>4</v>
      </c>
      <c r="AK588">
        <v>3</v>
      </c>
      <c r="AL588" t="str" cm="1">
        <f t="array" ref="AL588">_xlfn.IFS(AK588=1,"Low",AK588=2,"Medium",AK588=3,"High",AK588=4,"Very High")</f>
        <v>High</v>
      </c>
      <c r="AM588">
        <v>1</v>
      </c>
      <c r="AN588">
        <v>0</v>
      </c>
      <c r="AO588">
        <v>0</v>
      </c>
      <c r="AP588">
        <v>0</v>
      </c>
    </row>
    <row r="589" spans="1:42">
      <c r="A589">
        <v>52</v>
      </c>
      <c r="B589" t="str" cm="1">
        <f t="array" ref="B589">_xlfn.IFS(A589&lt;=25,"18-25",A589&lt;=35,"26-35",A589&lt;=45,"36-45",A589&lt;=55,"46-55",A589&gt;55,"56+")</f>
        <v>46-55</v>
      </c>
      <c r="C589" t="s">
        <v>39</v>
      </c>
      <c r="D589" t="s">
        <v>33</v>
      </c>
      <c r="E589" s="2">
        <v>1325</v>
      </c>
      <c r="F589" t="s">
        <v>41</v>
      </c>
      <c r="G589">
        <v>11</v>
      </c>
      <c r="H589" t="str">
        <f t="shared" si="9"/>
        <v>11-20 km</v>
      </c>
      <c r="I589">
        <v>4</v>
      </c>
      <c r="J589" t="str" cm="1">
        <f t="array" ref="J589">_xlfn.IFS(I589=1,"Below College",I589=2,"College",I589=3,"Bachelor",I589=4,"Master",I589=5,"Doctor")</f>
        <v>Master</v>
      </c>
      <c r="K589" t="s">
        <v>35</v>
      </c>
      <c r="L589">
        <v>813</v>
      </c>
      <c r="M589">
        <v>4</v>
      </c>
      <c r="N589" t="str" cm="1">
        <f t="array" ref="N589">_xlfn.IFS(M589=1,"Low",M589=2,"Medium",M589=3,"High",M589=4,"Very High")</f>
        <v>Very High</v>
      </c>
      <c r="O589" t="s">
        <v>36</v>
      </c>
      <c r="P589" s="2">
        <v>82</v>
      </c>
      <c r="Q589">
        <v>3</v>
      </c>
      <c r="R589" t="str" cm="1">
        <f t="array" ref="R589">_xlfn.IFS(Q589=1,"Low",Q589=2,"Medium",Q589=3,"High",Q589=4,"Very High")</f>
        <v>High</v>
      </c>
      <c r="S589">
        <v>2</v>
      </c>
      <c r="T589" t="str" cm="1">
        <f t="array" ref="T589">_xlfn.IFS(S589=1,"Entry Level",S589=2,"Junior",S589=3,"Mid-Level",S589=4,"Senior",S589=5,"Executive")</f>
        <v>Junior</v>
      </c>
      <c r="U589" t="s">
        <v>46</v>
      </c>
      <c r="V589">
        <v>3</v>
      </c>
      <c r="W589" t="str" cm="1">
        <f t="array" ref="W589">_xlfn.IFS(V589=1,"Low",V589=2,"Medium",V589=3,"High",V589=4,"Very High")</f>
        <v>High</v>
      </c>
      <c r="X589" t="s">
        <v>44</v>
      </c>
      <c r="Y589" s="2">
        <v>3149</v>
      </c>
      <c r="Z589" s="2">
        <v>21821</v>
      </c>
      <c r="AA589">
        <v>8</v>
      </c>
      <c r="AB589" t="s">
        <v>39</v>
      </c>
      <c r="AC589">
        <v>20</v>
      </c>
      <c r="AD589">
        <v>4</v>
      </c>
      <c r="AE589" t="str" cm="1">
        <f t="array" ref="AE589">_xlfn.IFS(AD589=1,"Low",AD589=2,"Good",AD589=3,"Excellent",AD589=4,"Outstanding")</f>
        <v>Outstanding</v>
      </c>
      <c r="AF589">
        <v>2</v>
      </c>
      <c r="AG589" t="str" cm="1">
        <f t="array" ref="AG589">_xlfn.IFS(AF589=1,"Low",AF589=2,"Medium",AF589=3,"High",AF589=4,"Very High")</f>
        <v>Medium</v>
      </c>
      <c r="AH589">
        <v>1</v>
      </c>
      <c r="AI589">
        <v>9</v>
      </c>
      <c r="AJ589">
        <v>3</v>
      </c>
      <c r="AK589">
        <v>3</v>
      </c>
      <c r="AL589" t="str" cm="1">
        <f t="array" ref="AL589">_xlfn.IFS(AK589=1,"Low",AK589=2,"Medium",AK589=3,"High",AK589=4,"Very High")</f>
        <v>High</v>
      </c>
      <c r="AM589">
        <v>5</v>
      </c>
      <c r="AN589">
        <v>2</v>
      </c>
      <c r="AO589">
        <v>1</v>
      </c>
      <c r="AP589">
        <v>4</v>
      </c>
    </row>
    <row r="590" spans="1:42">
      <c r="A590">
        <v>50</v>
      </c>
      <c r="B590" t="str" cm="1">
        <f t="array" ref="B590">_xlfn.IFS(A590&lt;=25,"18-25",A590&lt;=35,"26-35",A590&lt;=45,"36-45",A590&lt;=55,"46-55",A590&gt;55,"56+")</f>
        <v>46-55</v>
      </c>
      <c r="C590" t="s">
        <v>39</v>
      </c>
      <c r="D590" t="s">
        <v>33</v>
      </c>
      <c r="E590" s="2">
        <v>691</v>
      </c>
      <c r="F590" t="s">
        <v>41</v>
      </c>
      <c r="G590">
        <v>2</v>
      </c>
      <c r="H590" t="str">
        <f t="shared" si="9"/>
        <v>1-10 km</v>
      </c>
      <c r="I590">
        <v>3</v>
      </c>
      <c r="J590" t="str" cm="1">
        <f t="array" ref="J590">_xlfn.IFS(I590=1,"Below College",I590=2,"College",I590=3,"Bachelor",I590=4,"Master",I590=5,"Doctor")</f>
        <v>Bachelor</v>
      </c>
      <c r="K590" t="s">
        <v>47</v>
      </c>
      <c r="L590">
        <v>815</v>
      </c>
      <c r="M590">
        <v>3</v>
      </c>
      <c r="N590" t="str" cm="1">
        <f t="array" ref="N590">_xlfn.IFS(M590=1,"Low",M590=2,"Medium",M590=3,"High",M590=4,"Very High")</f>
        <v>High</v>
      </c>
      <c r="O590" t="s">
        <v>42</v>
      </c>
      <c r="P590" s="2">
        <v>64</v>
      </c>
      <c r="Q590">
        <v>3</v>
      </c>
      <c r="R590" t="str" cm="1">
        <f t="array" ref="R590">_xlfn.IFS(Q590=1,"Low",Q590=2,"Medium",Q590=3,"High",Q590=4,"Very High")</f>
        <v>High</v>
      </c>
      <c r="S590">
        <v>4</v>
      </c>
      <c r="T590" t="str" cm="1">
        <f t="array" ref="T590">_xlfn.IFS(S590=1,"Entry Level",S590=2,"Junior",S590=3,"Mid-Level",S590=4,"Senior",S590=5,"Executive")</f>
        <v>Senior</v>
      </c>
      <c r="U590" t="s">
        <v>54</v>
      </c>
      <c r="V590">
        <v>3</v>
      </c>
      <c r="W590" t="str" cm="1">
        <f t="array" ref="W590">_xlfn.IFS(V590=1,"Low",V590=2,"Medium",V590=3,"High",V590=4,"Very High")</f>
        <v>High</v>
      </c>
      <c r="X590" t="s">
        <v>44</v>
      </c>
      <c r="Y590" s="2">
        <v>17639</v>
      </c>
      <c r="Z590" s="2">
        <v>6881</v>
      </c>
      <c r="AA590">
        <v>5</v>
      </c>
      <c r="AB590" t="s">
        <v>39</v>
      </c>
      <c r="AC590">
        <v>16</v>
      </c>
      <c r="AD590">
        <v>3</v>
      </c>
      <c r="AE590" t="str" cm="1">
        <f t="array" ref="AE590">_xlfn.IFS(AD590=1,"Low",AD590=2,"Good",AD590=3,"Excellent",AD590=4,"Outstanding")</f>
        <v>Excellent</v>
      </c>
      <c r="AF590">
        <v>4</v>
      </c>
      <c r="AG590" t="str" cm="1">
        <f t="array" ref="AG590">_xlfn.IFS(AF590=1,"Low",AF590=2,"Medium",AF590=3,"High",AF590=4,"Very High")</f>
        <v>Very High</v>
      </c>
      <c r="AH590">
        <v>0</v>
      </c>
      <c r="AI590">
        <v>30</v>
      </c>
      <c r="AJ590">
        <v>3</v>
      </c>
      <c r="AK590">
        <v>3</v>
      </c>
      <c r="AL590" t="str" cm="1">
        <f t="array" ref="AL590">_xlfn.IFS(AK590=1,"Low",AK590=2,"Medium",AK590=3,"High",AK590=4,"Very High")</f>
        <v>High</v>
      </c>
      <c r="AM590">
        <v>4</v>
      </c>
      <c r="AN590">
        <v>3</v>
      </c>
      <c r="AO590">
        <v>0</v>
      </c>
      <c r="AP590">
        <v>3</v>
      </c>
    </row>
    <row r="591" spans="1:42">
      <c r="A591">
        <v>29</v>
      </c>
      <c r="B591" t="str" cm="1">
        <f t="array" ref="B591">_xlfn.IFS(A591&lt;=25,"18-25",A591&lt;=35,"26-35",A591&lt;=45,"36-45",A591&lt;=55,"46-55",A591&gt;55,"56+")</f>
        <v>26-35</v>
      </c>
      <c r="C591" t="s">
        <v>32</v>
      </c>
      <c r="D591" t="s">
        <v>33</v>
      </c>
      <c r="E591" s="2">
        <v>805</v>
      </c>
      <c r="F591" t="s">
        <v>41</v>
      </c>
      <c r="G591">
        <v>1</v>
      </c>
      <c r="H591" t="str">
        <f t="shared" si="9"/>
        <v>1-10 km</v>
      </c>
      <c r="I591">
        <v>2</v>
      </c>
      <c r="J591" t="str" cm="1">
        <f t="array" ref="J591">_xlfn.IFS(I591=1,"Below College",I591=2,"College",I591=3,"Bachelor",I591=4,"Master",I591=5,"Doctor")</f>
        <v>College</v>
      </c>
      <c r="K591" t="s">
        <v>35</v>
      </c>
      <c r="L591">
        <v>816</v>
      </c>
      <c r="M591">
        <v>2</v>
      </c>
      <c r="N591" t="str" cm="1">
        <f t="array" ref="N591">_xlfn.IFS(M591=1,"Low",M591=2,"Medium",M591=3,"High",M591=4,"Very High")</f>
        <v>Medium</v>
      </c>
      <c r="O591" t="s">
        <v>36</v>
      </c>
      <c r="P591" s="2">
        <v>36</v>
      </c>
      <c r="Q591">
        <v>2</v>
      </c>
      <c r="R591" t="str" cm="1">
        <f t="array" ref="R591">_xlfn.IFS(Q591=1,"Low",Q591=2,"Medium",Q591=3,"High",Q591=4,"Very High")</f>
        <v>Medium</v>
      </c>
      <c r="S591">
        <v>1</v>
      </c>
      <c r="T591" t="str" cm="1">
        <f t="array" ref="T591">_xlfn.IFS(S591=1,"Entry Level",S591=2,"Junior",S591=3,"Mid-Level",S591=4,"Senior",S591=5,"Executive")</f>
        <v>Entry Level</v>
      </c>
      <c r="U591" t="s">
        <v>46</v>
      </c>
      <c r="V591">
        <v>1</v>
      </c>
      <c r="W591" t="str" cm="1">
        <f t="array" ref="W591">_xlfn.IFS(V591=1,"Low",V591=2,"Medium",V591=3,"High",V591=4,"Very High")</f>
        <v>Low</v>
      </c>
      <c r="X591" t="s">
        <v>44</v>
      </c>
      <c r="Y591" s="2">
        <v>2319</v>
      </c>
      <c r="Z591" s="2">
        <v>6689</v>
      </c>
      <c r="AA591">
        <v>1</v>
      </c>
      <c r="AB591" t="s">
        <v>32</v>
      </c>
      <c r="AC591">
        <v>11</v>
      </c>
      <c r="AD591">
        <v>3</v>
      </c>
      <c r="AE591" t="str" cm="1">
        <f t="array" ref="AE591">_xlfn.IFS(AD591=1,"Low",AD591=2,"Good",AD591=3,"Excellent",AD591=4,"Outstanding")</f>
        <v>Excellent</v>
      </c>
      <c r="AF591">
        <v>4</v>
      </c>
      <c r="AG591" t="str" cm="1">
        <f t="array" ref="AG591">_xlfn.IFS(AF591=1,"Low",AF591=2,"Medium",AF591=3,"High",AF591=4,"Very High")</f>
        <v>Very High</v>
      </c>
      <c r="AH591">
        <v>1</v>
      </c>
      <c r="AI591">
        <v>1</v>
      </c>
      <c r="AJ591">
        <v>1</v>
      </c>
      <c r="AK591">
        <v>3</v>
      </c>
      <c r="AL591" t="str" cm="1">
        <f t="array" ref="AL591">_xlfn.IFS(AK591=1,"Low",AK591=2,"Medium",AK591=3,"High",AK591=4,"Very High")</f>
        <v>High</v>
      </c>
      <c r="AM591">
        <v>1</v>
      </c>
      <c r="AN591">
        <v>0</v>
      </c>
      <c r="AO591">
        <v>0</v>
      </c>
      <c r="AP591">
        <v>0</v>
      </c>
    </row>
    <row r="592" spans="1:42">
      <c r="A592">
        <v>33</v>
      </c>
      <c r="B592" t="str" cm="1">
        <f t="array" ref="B592">_xlfn.IFS(A592&lt;=25,"18-25",A592&lt;=35,"26-35",A592&lt;=45,"36-45",A592&lt;=55,"46-55",A592&gt;55,"56+")</f>
        <v>26-35</v>
      </c>
      <c r="C592" t="s">
        <v>39</v>
      </c>
      <c r="D592" t="s">
        <v>33</v>
      </c>
      <c r="E592" s="2">
        <v>213</v>
      </c>
      <c r="F592" t="s">
        <v>41</v>
      </c>
      <c r="G592">
        <v>7</v>
      </c>
      <c r="H592" t="str">
        <f t="shared" si="9"/>
        <v>1-10 km</v>
      </c>
      <c r="I592">
        <v>3</v>
      </c>
      <c r="J592" t="str" cm="1">
        <f t="array" ref="J592">_xlfn.IFS(I592=1,"Below College",I592=2,"College",I592=3,"Bachelor",I592=4,"Master",I592=5,"Doctor")</f>
        <v>Bachelor</v>
      </c>
      <c r="K592" t="s">
        <v>47</v>
      </c>
      <c r="L592">
        <v>817</v>
      </c>
      <c r="M592">
        <v>3</v>
      </c>
      <c r="N592" t="str" cm="1">
        <f t="array" ref="N592">_xlfn.IFS(M592=1,"Low",M592=2,"Medium",M592=3,"High",M592=4,"Very High")</f>
        <v>High</v>
      </c>
      <c r="O592" t="s">
        <v>42</v>
      </c>
      <c r="P592" s="2">
        <v>49</v>
      </c>
      <c r="Q592">
        <v>3</v>
      </c>
      <c r="R592" t="str" cm="1">
        <f t="array" ref="R592">_xlfn.IFS(Q592=1,"Low",Q592=2,"Medium",Q592=3,"High",Q592=4,"Very High")</f>
        <v>High</v>
      </c>
      <c r="S592">
        <v>3</v>
      </c>
      <c r="T592" t="str" cm="1">
        <f t="array" ref="T592">_xlfn.IFS(S592=1,"Entry Level",S592=2,"Junior",S592=3,"Mid-Level",S592=4,"Senior",S592=5,"Executive")</f>
        <v>Mid-Level</v>
      </c>
      <c r="U592" t="s">
        <v>54</v>
      </c>
      <c r="V592">
        <v>3</v>
      </c>
      <c r="W592" t="str" cm="1">
        <f t="array" ref="W592">_xlfn.IFS(V592=1,"Low",V592=2,"Medium",V592=3,"High",V592=4,"Very High")</f>
        <v>High</v>
      </c>
      <c r="X592" t="s">
        <v>44</v>
      </c>
      <c r="Y592" s="2">
        <v>11691</v>
      </c>
      <c r="Z592" s="2">
        <v>25995</v>
      </c>
      <c r="AA592">
        <v>0</v>
      </c>
      <c r="AB592" t="s">
        <v>39</v>
      </c>
      <c r="AC592">
        <v>11</v>
      </c>
      <c r="AD592">
        <v>3</v>
      </c>
      <c r="AE592" t="str" cm="1">
        <f t="array" ref="AE592">_xlfn.IFS(AD592=1,"Low",AD592=2,"Good",AD592=3,"Excellent",AD592=4,"Outstanding")</f>
        <v>Excellent</v>
      </c>
      <c r="AF592">
        <v>4</v>
      </c>
      <c r="AG592" t="str" cm="1">
        <f t="array" ref="AG592">_xlfn.IFS(AF592=1,"Low",AF592=2,"Medium",AF592=3,"High",AF592=4,"Very High")</f>
        <v>Very High</v>
      </c>
      <c r="AH592">
        <v>0</v>
      </c>
      <c r="AI592">
        <v>14</v>
      </c>
      <c r="AJ592">
        <v>3</v>
      </c>
      <c r="AK592">
        <v>4</v>
      </c>
      <c r="AL592" t="str" cm="1">
        <f t="array" ref="AL592">_xlfn.IFS(AK592=1,"Low",AK592=2,"Medium",AK592=3,"High",AK592=4,"Very High")</f>
        <v>Very High</v>
      </c>
      <c r="AM592">
        <v>13</v>
      </c>
      <c r="AN592">
        <v>9</v>
      </c>
      <c r="AO592">
        <v>3</v>
      </c>
      <c r="AP592">
        <v>7</v>
      </c>
    </row>
    <row r="593" spans="1:42">
      <c r="A593">
        <v>33</v>
      </c>
      <c r="B593" t="str" cm="1">
        <f t="array" ref="B593">_xlfn.IFS(A593&lt;=25,"18-25",A593&lt;=35,"26-35",A593&lt;=45,"36-45",A593&lt;=55,"46-55",A593&gt;55,"56+")</f>
        <v>26-35</v>
      </c>
      <c r="C593" t="s">
        <v>32</v>
      </c>
      <c r="D593" t="s">
        <v>33</v>
      </c>
      <c r="E593" s="2">
        <v>118</v>
      </c>
      <c r="F593" t="s">
        <v>34</v>
      </c>
      <c r="G593">
        <v>16</v>
      </c>
      <c r="H593" t="str">
        <f t="shared" si="9"/>
        <v>11-20 km</v>
      </c>
      <c r="I593">
        <v>3</v>
      </c>
      <c r="J593" t="str" cm="1">
        <f t="array" ref="J593">_xlfn.IFS(I593=1,"Below College",I593=2,"College",I593=3,"Bachelor",I593=4,"Master",I593=5,"Doctor")</f>
        <v>Bachelor</v>
      </c>
      <c r="K593" t="s">
        <v>55</v>
      </c>
      <c r="L593">
        <v>819</v>
      </c>
      <c r="M593">
        <v>1</v>
      </c>
      <c r="N593" t="str" cm="1">
        <f t="array" ref="N593">_xlfn.IFS(M593=1,"Low",M593=2,"Medium",M593=3,"High",M593=4,"Very High")</f>
        <v>Low</v>
      </c>
      <c r="O593" t="s">
        <v>36</v>
      </c>
      <c r="P593" s="2">
        <v>69</v>
      </c>
      <c r="Q593">
        <v>3</v>
      </c>
      <c r="R593" t="str" cm="1">
        <f t="array" ref="R593">_xlfn.IFS(Q593=1,"Low",Q593=2,"Medium",Q593=3,"High",Q593=4,"Very High")</f>
        <v>High</v>
      </c>
      <c r="S593">
        <v>2</v>
      </c>
      <c r="T593" t="str" cm="1">
        <f t="array" ref="T593">_xlfn.IFS(S593=1,"Entry Level",S593=2,"Junior",S593=3,"Mid-Level",S593=4,"Senior",S593=5,"Executive")</f>
        <v>Junior</v>
      </c>
      <c r="U593" t="s">
        <v>37</v>
      </c>
      <c r="V593">
        <v>1</v>
      </c>
      <c r="W593" t="str" cm="1">
        <f t="array" ref="W593">_xlfn.IFS(V593=1,"Low",V593=2,"Medium",V593=3,"High",V593=4,"Very High")</f>
        <v>Low</v>
      </c>
      <c r="X593" t="s">
        <v>38</v>
      </c>
      <c r="Y593" s="2">
        <v>5324</v>
      </c>
      <c r="Z593" s="2">
        <v>26507</v>
      </c>
      <c r="AA593">
        <v>5</v>
      </c>
      <c r="AB593" t="s">
        <v>39</v>
      </c>
      <c r="AC593">
        <v>15</v>
      </c>
      <c r="AD593">
        <v>3</v>
      </c>
      <c r="AE593" t="str" cm="1">
        <f t="array" ref="AE593">_xlfn.IFS(AD593=1,"Low",AD593=2,"Good",AD593=3,"Excellent",AD593=4,"Outstanding")</f>
        <v>Excellent</v>
      </c>
      <c r="AF593">
        <v>3</v>
      </c>
      <c r="AG593" t="str" cm="1">
        <f t="array" ref="AG593">_xlfn.IFS(AF593=1,"Low",AF593=2,"Medium",AF593=3,"High",AF593=4,"Very High")</f>
        <v>High</v>
      </c>
      <c r="AH593">
        <v>0</v>
      </c>
      <c r="AI593">
        <v>6</v>
      </c>
      <c r="AJ593">
        <v>3</v>
      </c>
      <c r="AK593">
        <v>3</v>
      </c>
      <c r="AL593" t="str" cm="1">
        <f t="array" ref="AL593">_xlfn.IFS(AK593=1,"Low",AK593=2,"Medium",AK593=3,"High",AK593=4,"Very High")</f>
        <v>High</v>
      </c>
      <c r="AM593">
        <v>3</v>
      </c>
      <c r="AN593">
        <v>2</v>
      </c>
      <c r="AO593">
        <v>0</v>
      </c>
      <c r="AP593">
        <v>2</v>
      </c>
    </row>
    <row r="594" spans="1:42">
      <c r="A594">
        <v>47</v>
      </c>
      <c r="B594" t="str" cm="1">
        <f t="array" ref="B594">_xlfn.IFS(A594&lt;=25,"18-25",A594&lt;=35,"26-35",A594&lt;=45,"36-45",A594&lt;=55,"46-55",A594&gt;55,"56+")</f>
        <v>46-55</v>
      </c>
      <c r="C594" t="s">
        <v>39</v>
      </c>
      <c r="D594" t="s">
        <v>33</v>
      </c>
      <c r="E594" s="2">
        <v>202</v>
      </c>
      <c r="F594" t="s">
        <v>41</v>
      </c>
      <c r="G594">
        <v>2</v>
      </c>
      <c r="H594" t="str">
        <f t="shared" si="9"/>
        <v>1-10 km</v>
      </c>
      <c r="I594">
        <v>2</v>
      </c>
      <c r="J594" t="str" cm="1">
        <f t="array" ref="J594">_xlfn.IFS(I594=1,"Below College",I594=2,"College",I594=3,"Bachelor",I594=4,"Master",I594=5,"Doctor")</f>
        <v>College</v>
      </c>
      <c r="K594" t="s">
        <v>45</v>
      </c>
      <c r="L594">
        <v>820</v>
      </c>
      <c r="M594">
        <v>3</v>
      </c>
      <c r="N594" t="str" cm="1">
        <f t="array" ref="N594">_xlfn.IFS(M594=1,"Low",M594=2,"Medium",M594=3,"High",M594=4,"Very High")</f>
        <v>High</v>
      </c>
      <c r="O594" t="s">
        <v>36</v>
      </c>
      <c r="P594" s="2">
        <v>33</v>
      </c>
      <c r="Q594">
        <v>3</v>
      </c>
      <c r="R594" t="str" cm="1">
        <f t="array" ref="R594">_xlfn.IFS(Q594=1,"Low",Q594=2,"Medium",Q594=3,"High",Q594=4,"Very High")</f>
        <v>High</v>
      </c>
      <c r="S594">
        <v>4</v>
      </c>
      <c r="T594" t="str" cm="1">
        <f t="array" ref="T594">_xlfn.IFS(S594=1,"Entry Level",S594=2,"Junior",S594=3,"Mid-Level",S594=4,"Senior",S594=5,"Executive")</f>
        <v>Senior</v>
      </c>
      <c r="U594" t="s">
        <v>52</v>
      </c>
      <c r="V594">
        <v>4</v>
      </c>
      <c r="W594" t="str" cm="1">
        <f t="array" ref="W594">_xlfn.IFS(V594=1,"Low",V594=2,"Medium",V594=3,"High",V594=4,"Very High")</f>
        <v>Very High</v>
      </c>
      <c r="X594" t="s">
        <v>44</v>
      </c>
      <c r="Y594" s="2">
        <v>16752</v>
      </c>
      <c r="Z594" s="2">
        <v>12982</v>
      </c>
      <c r="AA594">
        <v>1</v>
      </c>
      <c r="AB594" t="s">
        <v>32</v>
      </c>
      <c r="AC594">
        <v>11</v>
      </c>
      <c r="AD594">
        <v>3</v>
      </c>
      <c r="AE594" t="str" cm="1">
        <f t="array" ref="AE594">_xlfn.IFS(AD594=1,"Low",AD594=2,"Good",AD594=3,"Excellent",AD594=4,"Outstanding")</f>
        <v>Excellent</v>
      </c>
      <c r="AF594">
        <v>3</v>
      </c>
      <c r="AG594" t="str" cm="1">
        <f t="array" ref="AG594">_xlfn.IFS(AF594=1,"Low",AF594=2,"Medium",AF594=3,"High",AF594=4,"Very High")</f>
        <v>High</v>
      </c>
      <c r="AH594">
        <v>1</v>
      </c>
      <c r="AI594">
        <v>26</v>
      </c>
      <c r="AJ594">
        <v>3</v>
      </c>
      <c r="AK594">
        <v>2</v>
      </c>
      <c r="AL594" t="str" cm="1">
        <f t="array" ref="AL594">_xlfn.IFS(AK594=1,"Low",AK594=2,"Medium",AK594=3,"High",AK594=4,"Very High")</f>
        <v>Medium</v>
      </c>
      <c r="AM594">
        <v>26</v>
      </c>
      <c r="AN594">
        <v>14</v>
      </c>
      <c r="AO594">
        <v>3</v>
      </c>
      <c r="AP594">
        <v>0</v>
      </c>
    </row>
    <row r="595" spans="1:42">
      <c r="A595">
        <v>36</v>
      </c>
      <c r="B595" t="str" cm="1">
        <f t="array" ref="B595">_xlfn.IFS(A595&lt;=25,"18-25",A595&lt;=35,"26-35",A595&lt;=45,"36-45",A595&lt;=55,"46-55",A595&gt;55,"56+")</f>
        <v>36-45</v>
      </c>
      <c r="C595" t="s">
        <v>39</v>
      </c>
      <c r="D595" t="s">
        <v>33</v>
      </c>
      <c r="E595" s="2">
        <v>676</v>
      </c>
      <c r="F595" t="s">
        <v>41</v>
      </c>
      <c r="G595">
        <v>1</v>
      </c>
      <c r="H595" t="str">
        <f t="shared" si="9"/>
        <v>1-10 km</v>
      </c>
      <c r="I595">
        <v>3</v>
      </c>
      <c r="J595" t="str" cm="1">
        <f t="array" ref="J595">_xlfn.IFS(I595=1,"Below College",I595=2,"College",I595=3,"Bachelor",I595=4,"Master",I595=5,"Doctor")</f>
        <v>Bachelor</v>
      </c>
      <c r="K595" t="s">
        <v>45</v>
      </c>
      <c r="L595">
        <v>823</v>
      </c>
      <c r="M595">
        <v>3</v>
      </c>
      <c r="N595" t="str" cm="1">
        <f t="array" ref="N595">_xlfn.IFS(M595=1,"Low",M595=2,"Medium",M595=3,"High",M595=4,"Very High")</f>
        <v>High</v>
      </c>
      <c r="O595" t="s">
        <v>36</v>
      </c>
      <c r="P595" s="2">
        <v>35</v>
      </c>
      <c r="Q595">
        <v>3</v>
      </c>
      <c r="R595" t="str" cm="1">
        <f t="array" ref="R595">_xlfn.IFS(Q595=1,"Low",Q595=2,"Medium",Q595=3,"High",Q595=4,"Very High")</f>
        <v>High</v>
      </c>
      <c r="S595">
        <v>2</v>
      </c>
      <c r="T595" t="str" cm="1">
        <f t="array" ref="T595">_xlfn.IFS(S595=1,"Entry Level",S595=2,"Junior",S595=3,"Mid-Level",S595=4,"Senior",S595=5,"Executive")</f>
        <v>Junior</v>
      </c>
      <c r="U595" t="s">
        <v>49</v>
      </c>
      <c r="V595">
        <v>2</v>
      </c>
      <c r="W595" t="str" cm="1">
        <f t="array" ref="W595">_xlfn.IFS(V595=1,"Low",V595=2,"Medium",V595=3,"High",V595=4,"Very High")</f>
        <v>Medium</v>
      </c>
      <c r="X595" t="s">
        <v>44</v>
      </c>
      <c r="Y595" s="2">
        <v>5228</v>
      </c>
      <c r="Z595" s="2">
        <v>23361</v>
      </c>
      <c r="AA595">
        <v>0</v>
      </c>
      <c r="AB595" t="s">
        <v>39</v>
      </c>
      <c r="AC595">
        <v>15</v>
      </c>
      <c r="AD595">
        <v>3</v>
      </c>
      <c r="AE595" t="str" cm="1">
        <f t="array" ref="AE595">_xlfn.IFS(AD595=1,"Low",AD595=2,"Good",AD595=3,"Excellent",AD595=4,"Outstanding")</f>
        <v>Excellent</v>
      </c>
      <c r="AF595">
        <v>1</v>
      </c>
      <c r="AG595" t="str" cm="1">
        <f t="array" ref="AG595">_xlfn.IFS(AF595=1,"Low",AF595=2,"Medium",AF595=3,"High",AF595=4,"Very High")</f>
        <v>Low</v>
      </c>
      <c r="AH595">
        <v>1</v>
      </c>
      <c r="AI595">
        <v>10</v>
      </c>
      <c r="AJ595">
        <v>2</v>
      </c>
      <c r="AK595">
        <v>3</v>
      </c>
      <c r="AL595" t="str" cm="1">
        <f t="array" ref="AL595">_xlfn.IFS(AK595=1,"Low",AK595=2,"Medium",AK595=3,"High",AK595=4,"Very High")</f>
        <v>High</v>
      </c>
      <c r="AM595">
        <v>9</v>
      </c>
      <c r="AN595">
        <v>7</v>
      </c>
      <c r="AO595">
        <v>0</v>
      </c>
      <c r="AP595">
        <v>5</v>
      </c>
    </row>
    <row r="596" spans="1:42">
      <c r="A596">
        <v>29</v>
      </c>
      <c r="B596" t="str" cm="1">
        <f t="array" ref="B596">_xlfn.IFS(A596&lt;=25,"18-25",A596&lt;=35,"26-35",A596&lt;=45,"36-45",A596&lt;=55,"46-55",A596&gt;55,"56+")</f>
        <v>26-35</v>
      </c>
      <c r="C596" t="s">
        <v>39</v>
      </c>
      <c r="D596" t="s">
        <v>33</v>
      </c>
      <c r="E596" s="2">
        <v>1252</v>
      </c>
      <c r="F596" t="s">
        <v>41</v>
      </c>
      <c r="G596">
        <v>23</v>
      </c>
      <c r="H596" t="str">
        <f t="shared" si="9"/>
        <v>21-30 km</v>
      </c>
      <c r="I596">
        <v>2</v>
      </c>
      <c r="J596" t="str" cm="1">
        <f t="array" ref="J596">_xlfn.IFS(I596=1,"Below College",I596=2,"College",I596=3,"Bachelor",I596=4,"Master",I596=5,"Doctor")</f>
        <v>College</v>
      </c>
      <c r="K596" t="s">
        <v>35</v>
      </c>
      <c r="L596">
        <v>824</v>
      </c>
      <c r="M596">
        <v>3</v>
      </c>
      <c r="N596" t="str" cm="1">
        <f t="array" ref="N596">_xlfn.IFS(M596=1,"Low",M596=2,"Medium",M596=3,"High",M596=4,"Very High")</f>
        <v>High</v>
      </c>
      <c r="O596" t="s">
        <v>42</v>
      </c>
      <c r="P596" s="2">
        <v>81</v>
      </c>
      <c r="Q596">
        <v>4</v>
      </c>
      <c r="R596" t="str" cm="1">
        <f t="array" ref="R596">_xlfn.IFS(Q596=1,"Low",Q596=2,"Medium",Q596=3,"High",Q596=4,"Very High")</f>
        <v>Very High</v>
      </c>
      <c r="S596">
        <v>1</v>
      </c>
      <c r="T596" t="str" cm="1">
        <f t="array" ref="T596">_xlfn.IFS(S596=1,"Entry Level",S596=2,"Junior",S596=3,"Mid-Level",S596=4,"Senior",S596=5,"Executive")</f>
        <v>Entry Level</v>
      </c>
      <c r="U596" t="s">
        <v>43</v>
      </c>
      <c r="V596">
        <v>3</v>
      </c>
      <c r="W596" t="str" cm="1">
        <f t="array" ref="W596">_xlfn.IFS(V596=1,"Low",V596=2,"Medium",V596=3,"High",V596=4,"Very High")</f>
        <v>High</v>
      </c>
      <c r="X596" t="s">
        <v>44</v>
      </c>
      <c r="Y596" s="2">
        <v>2700</v>
      </c>
      <c r="Z596" s="2">
        <v>23779</v>
      </c>
      <c r="AA596">
        <v>1</v>
      </c>
      <c r="AB596" t="s">
        <v>39</v>
      </c>
      <c r="AC596">
        <v>24</v>
      </c>
      <c r="AD596">
        <v>4</v>
      </c>
      <c r="AE596" t="str" cm="1">
        <f t="array" ref="AE596">_xlfn.IFS(AD596=1,"Low",AD596=2,"Good",AD596=3,"Excellent",AD596=4,"Outstanding")</f>
        <v>Outstanding</v>
      </c>
      <c r="AF596">
        <v>3</v>
      </c>
      <c r="AG596" t="str" cm="1">
        <f t="array" ref="AG596">_xlfn.IFS(AF596=1,"Low",AF596=2,"Medium",AF596=3,"High",AF596=4,"Very High")</f>
        <v>High</v>
      </c>
      <c r="AH596">
        <v>1</v>
      </c>
      <c r="AI596">
        <v>10</v>
      </c>
      <c r="AJ596">
        <v>3</v>
      </c>
      <c r="AK596">
        <v>3</v>
      </c>
      <c r="AL596" t="str" cm="1">
        <f t="array" ref="AL596">_xlfn.IFS(AK596=1,"Low",AK596=2,"Medium",AK596=3,"High",AK596=4,"Very High")</f>
        <v>High</v>
      </c>
      <c r="AM596">
        <v>10</v>
      </c>
      <c r="AN596">
        <v>7</v>
      </c>
      <c r="AO596">
        <v>0</v>
      </c>
      <c r="AP596">
        <v>7</v>
      </c>
    </row>
    <row r="597" spans="1:42">
      <c r="A597">
        <v>58</v>
      </c>
      <c r="B597" t="str" cm="1">
        <f t="array" ref="B597">_xlfn.IFS(A597&lt;=25,"18-25",A597&lt;=35,"26-35",A597&lt;=45,"36-45",A597&lt;=55,"46-55",A597&gt;55,"56+")</f>
        <v>56+</v>
      </c>
      <c r="C597" t="s">
        <v>32</v>
      </c>
      <c r="D597" t="s">
        <v>33</v>
      </c>
      <c r="E597" s="2">
        <v>286</v>
      </c>
      <c r="F597" t="s">
        <v>41</v>
      </c>
      <c r="G597">
        <v>2</v>
      </c>
      <c r="H597" t="str">
        <f t="shared" si="9"/>
        <v>1-10 km</v>
      </c>
      <c r="I597">
        <v>4</v>
      </c>
      <c r="J597" t="str" cm="1">
        <f t="array" ref="J597">_xlfn.IFS(I597=1,"Below College",I597=2,"College",I597=3,"Bachelor",I597=4,"Master",I597=5,"Doctor")</f>
        <v>Master</v>
      </c>
      <c r="K597" t="s">
        <v>35</v>
      </c>
      <c r="L597">
        <v>825</v>
      </c>
      <c r="M597">
        <v>4</v>
      </c>
      <c r="N597" t="str" cm="1">
        <f t="array" ref="N597">_xlfn.IFS(M597=1,"Low",M597=2,"Medium",M597=3,"High",M597=4,"Very High")</f>
        <v>Very High</v>
      </c>
      <c r="O597" t="s">
        <v>42</v>
      </c>
      <c r="P597" s="2">
        <v>31</v>
      </c>
      <c r="Q597">
        <v>3</v>
      </c>
      <c r="R597" t="str" cm="1">
        <f t="array" ref="R597">_xlfn.IFS(Q597=1,"Low",Q597=2,"Medium",Q597=3,"High",Q597=4,"Very High")</f>
        <v>High</v>
      </c>
      <c r="S597">
        <v>5</v>
      </c>
      <c r="T597" t="str" cm="1">
        <f t="array" ref="T597">_xlfn.IFS(S597=1,"Entry Level",S597=2,"Junior",S597=3,"Mid-Level",S597=4,"Senior",S597=5,"Executive")</f>
        <v>Executive</v>
      </c>
      <c r="U597" t="s">
        <v>54</v>
      </c>
      <c r="V597">
        <v>2</v>
      </c>
      <c r="W597" t="str" cm="1">
        <f t="array" ref="W597">_xlfn.IFS(V597=1,"Low",V597=2,"Medium",V597=3,"High",V597=4,"Very High")</f>
        <v>Medium</v>
      </c>
      <c r="X597" t="s">
        <v>38</v>
      </c>
      <c r="Y597" s="2">
        <v>19246</v>
      </c>
      <c r="Z597" s="2">
        <v>25761</v>
      </c>
      <c r="AA597">
        <v>7</v>
      </c>
      <c r="AB597" t="s">
        <v>32</v>
      </c>
      <c r="AC597">
        <v>12</v>
      </c>
      <c r="AD597">
        <v>3</v>
      </c>
      <c r="AE597" t="str" cm="1">
        <f t="array" ref="AE597">_xlfn.IFS(AD597=1,"Low",AD597=2,"Good",AD597=3,"Excellent",AD597=4,"Outstanding")</f>
        <v>Excellent</v>
      </c>
      <c r="AF597">
        <v>4</v>
      </c>
      <c r="AG597" t="str" cm="1">
        <f t="array" ref="AG597">_xlfn.IFS(AF597=1,"Low",AF597=2,"Medium",AF597=3,"High",AF597=4,"Very High")</f>
        <v>Very High</v>
      </c>
      <c r="AH597">
        <v>0</v>
      </c>
      <c r="AI597">
        <v>40</v>
      </c>
      <c r="AJ597">
        <v>2</v>
      </c>
      <c r="AK597">
        <v>3</v>
      </c>
      <c r="AL597" t="str" cm="1">
        <f t="array" ref="AL597">_xlfn.IFS(AK597=1,"Low",AK597=2,"Medium",AK597=3,"High",AK597=4,"Very High")</f>
        <v>High</v>
      </c>
      <c r="AM597">
        <v>31</v>
      </c>
      <c r="AN597">
        <v>15</v>
      </c>
      <c r="AO597">
        <v>13</v>
      </c>
      <c r="AP597">
        <v>8</v>
      </c>
    </row>
    <row r="598" spans="1:42">
      <c r="A598">
        <v>35</v>
      </c>
      <c r="B598" t="str" cm="1">
        <f t="array" ref="B598">_xlfn.IFS(A598&lt;=25,"18-25",A598&lt;=35,"26-35",A598&lt;=45,"36-45",A598&lt;=55,"46-55",A598&gt;55,"56+")</f>
        <v>26-35</v>
      </c>
      <c r="C598" t="s">
        <v>39</v>
      </c>
      <c r="D598" t="s">
        <v>33</v>
      </c>
      <c r="E598" s="2">
        <v>1258</v>
      </c>
      <c r="F598" t="s">
        <v>41</v>
      </c>
      <c r="G598">
        <v>1</v>
      </c>
      <c r="H598" t="str">
        <f t="shared" si="9"/>
        <v>1-10 km</v>
      </c>
      <c r="I598">
        <v>4</v>
      </c>
      <c r="J598" t="str" cm="1">
        <f t="array" ref="J598">_xlfn.IFS(I598=1,"Below College",I598=2,"College",I598=3,"Bachelor",I598=4,"Master",I598=5,"Doctor")</f>
        <v>Master</v>
      </c>
      <c r="K598" t="s">
        <v>35</v>
      </c>
      <c r="L598">
        <v>826</v>
      </c>
      <c r="M598">
        <v>4</v>
      </c>
      <c r="N598" t="str" cm="1">
        <f t="array" ref="N598">_xlfn.IFS(M598=1,"Low",M598=2,"Medium",M598=3,"High",M598=4,"Very High")</f>
        <v>Very High</v>
      </c>
      <c r="O598" t="s">
        <v>36</v>
      </c>
      <c r="P598" s="2">
        <v>40</v>
      </c>
      <c r="Q598">
        <v>4</v>
      </c>
      <c r="R598" t="str" cm="1">
        <f t="array" ref="R598">_xlfn.IFS(Q598=1,"Low",Q598=2,"Medium",Q598=3,"High",Q598=4,"Very High")</f>
        <v>Very High</v>
      </c>
      <c r="S598">
        <v>1</v>
      </c>
      <c r="T598" t="str" cm="1">
        <f t="array" ref="T598">_xlfn.IFS(S598=1,"Entry Level",S598=2,"Junior",S598=3,"Mid-Level",S598=4,"Senior",S598=5,"Executive")</f>
        <v>Entry Level</v>
      </c>
      <c r="U598" t="s">
        <v>43</v>
      </c>
      <c r="V598">
        <v>3</v>
      </c>
      <c r="W598" t="str" cm="1">
        <f t="array" ref="W598">_xlfn.IFS(V598=1,"Low",V598=2,"Medium",V598=3,"High",V598=4,"Very High")</f>
        <v>High</v>
      </c>
      <c r="X598" t="s">
        <v>38</v>
      </c>
      <c r="Y598" s="2">
        <v>2506</v>
      </c>
      <c r="Z598" s="2">
        <v>13301</v>
      </c>
      <c r="AA598">
        <v>3</v>
      </c>
      <c r="AB598" t="s">
        <v>39</v>
      </c>
      <c r="AC598">
        <v>13</v>
      </c>
      <c r="AD598">
        <v>3</v>
      </c>
      <c r="AE598" t="str" cm="1">
        <f t="array" ref="AE598">_xlfn.IFS(AD598=1,"Low",AD598=2,"Good",AD598=3,"Excellent",AD598=4,"Outstanding")</f>
        <v>Excellent</v>
      </c>
      <c r="AF598">
        <v>3</v>
      </c>
      <c r="AG598" t="str" cm="1">
        <f t="array" ref="AG598">_xlfn.IFS(AF598=1,"Low",AF598=2,"Medium",AF598=3,"High",AF598=4,"Very High")</f>
        <v>High</v>
      </c>
      <c r="AH598">
        <v>0</v>
      </c>
      <c r="AI598">
        <v>7</v>
      </c>
      <c r="AJ598">
        <v>0</v>
      </c>
      <c r="AK598">
        <v>3</v>
      </c>
      <c r="AL598" t="str" cm="1">
        <f t="array" ref="AL598">_xlfn.IFS(AK598=1,"Low",AK598=2,"Medium",AK598=3,"High",AK598=4,"Very High")</f>
        <v>High</v>
      </c>
      <c r="AM598">
        <v>2</v>
      </c>
      <c r="AN598">
        <v>2</v>
      </c>
      <c r="AO598">
        <v>2</v>
      </c>
      <c r="AP598">
        <v>2</v>
      </c>
    </row>
    <row r="599" spans="1:42">
      <c r="A599">
        <v>42</v>
      </c>
      <c r="B599" t="str" cm="1">
        <f t="array" ref="B599">_xlfn.IFS(A599&lt;=25,"18-25",A599&lt;=35,"26-35",A599&lt;=45,"36-45",A599&lt;=55,"46-55",A599&gt;55,"56+")</f>
        <v>36-45</v>
      </c>
      <c r="C599" t="s">
        <v>39</v>
      </c>
      <c r="D599" t="s">
        <v>33</v>
      </c>
      <c r="E599" s="2">
        <v>932</v>
      </c>
      <c r="F599" t="s">
        <v>41</v>
      </c>
      <c r="G599">
        <v>1</v>
      </c>
      <c r="H599" t="str">
        <f t="shared" si="9"/>
        <v>1-10 km</v>
      </c>
      <c r="I599">
        <v>2</v>
      </c>
      <c r="J599" t="str" cm="1">
        <f t="array" ref="J599">_xlfn.IFS(I599=1,"Below College",I599=2,"College",I599=3,"Bachelor",I599=4,"Master",I599=5,"Doctor")</f>
        <v>College</v>
      </c>
      <c r="K599" t="s">
        <v>35</v>
      </c>
      <c r="L599">
        <v>827</v>
      </c>
      <c r="M599">
        <v>4</v>
      </c>
      <c r="N599" t="str" cm="1">
        <f t="array" ref="N599">_xlfn.IFS(M599=1,"Low",M599=2,"Medium",M599=3,"High",M599=4,"Very High")</f>
        <v>Very High</v>
      </c>
      <c r="O599" t="s">
        <v>36</v>
      </c>
      <c r="P599" s="2">
        <v>43</v>
      </c>
      <c r="Q599">
        <v>2</v>
      </c>
      <c r="R599" t="str" cm="1">
        <f t="array" ref="R599">_xlfn.IFS(Q599=1,"Low",Q599=2,"Medium",Q599=3,"High",Q599=4,"Very High")</f>
        <v>Medium</v>
      </c>
      <c r="S599">
        <v>2</v>
      </c>
      <c r="T599" t="str" cm="1">
        <f t="array" ref="T599">_xlfn.IFS(S599=1,"Entry Level",S599=2,"Junior",S599=3,"Mid-Level",S599=4,"Senior",S599=5,"Executive")</f>
        <v>Junior</v>
      </c>
      <c r="U599" t="s">
        <v>49</v>
      </c>
      <c r="V599">
        <v>4</v>
      </c>
      <c r="W599" t="str" cm="1">
        <f t="array" ref="W599">_xlfn.IFS(V599=1,"Low",V599=2,"Medium",V599=3,"High",V599=4,"Very High")</f>
        <v>Very High</v>
      </c>
      <c r="X599" t="s">
        <v>44</v>
      </c>
      <c r="Y599" s="2">
        <v>6062</v>
      </c>
      <c r="Z599" s="2">
        <v>4051</v>
      </c>
      <c r="AA599">
        <v>9</v>
      </c>
      <c r="AB599" t="s">
        <v>32</v>
      </c>
      <c r="AC599">
        <v>13</v>
      </c>
      <c r="AD599">
        <v>3</v>
      </c>
      <c r="AE599" t="str" cm="1">
        <f t="array" ref="AE599">_xlfn.IFS(AD599=1,"Low",AD599=2,"Good",AD599=3,"Excellent",AD599=4,"Outstanding")</f>
        <v>Excellent</v>
      </c>
      <c r="AF599">
        <v>4</v>
      </c>
      <c r="AG599" t="str" cm="1">
        <f t="array" ref="AG599">_xlfn.IFS(AF599=1,"Low",AF599=2,"Medium",AF599=3,"High",AF599=4,"Very High")</f>
        <v>Very High</v>
      </c>
      <c r="AH599">
        <v>1</v>
      </c>
      <c r="AI599">
        <v>8</v>
      </c>
      <c r="AJ599">
        <v>4</v>
      </c>
      <c r="AK599">
        <v>3</v>
      </c>
      <c r="AL599" t="str" cm="1">
        <f t="array" ref="AL599">_xlfn.IFS(AK599=1,"Low",AK599=2,"Medium",AK599=3,"High",AK599=4,"Very High")</f>
        <v>High</v>
      </c>
      <c r="AM599">
        <v>4</v>
      </c>
      <c r="AN599">
        <v>3</v>
      </c>
      <c r="AO599">
        <v>0</v>
      </c>
      <c r="AP599">
        <v>2</v>
      </c>
    </row>
    <row r="600" spans="1:42">
      <c r="A600">
        <v>28</v>
      </c>
      <c r="B600" t="str" cm="1">
        <f t="array" ref="B600">_xlfn.IFS(A600&lt;=25,"18-25",A600&lt;=35,"26-35",A600&lt;=45,"36-45",A600&lt;=55,"46-55",A600&gt;55,"56+")</f>
        <v>26-35</v>
      </c>
      <c r="C600" t="s">
        <v>32</v>
      </c>
      <c r="D600" t="s">
        <v>33</v>
      </c>
      <c r="E600" s="2">
        <v>890</v>
      </c>
      <c r="F600" t="s">
        <v>41</v>
      </c>
      <c r="G600">
        <v>2</v>
      </c>
      <c r="H600" t="str">
        <f t="shared" si="9"/>
        <v>1-10 km</v>
      </c>
      <c r="I600">
        <v>4</v>
      </c>
      <c r="J600" t="str" cm="1">
        <f t="array" ref="J600">_xlfn.IFS(I600=1,"Below College",I600=2,"College",I600=3,"Bachelor",I600=4,"Master",I600=5,"Doctor")</f>
        <v>Master</v>
      </c>
      <c r="K600" t="s">
        <v>47</v>
      </c>
      <c r="L600">
        <v>828</v>
      </c>
      <c r="M600">
        <v>3</v>
      </c>
      <c r="N600" t="str" cm="1">
        <f t="array" ref="N600">_xlfn.IFS(M600=1,"Low",M600=2,"Medium",M600=3,"High",M600=4,"Very High")</f>
        <v>High</v>
      </c>
      <c r="O600" t="s">
        <v>42</v>
      </c>
      <c r="P600" s="2">
        <v>46</v>
      </c>
      <c r="Q600">
        <v>3</v>
      </c>
      <c r="R600" t="str" cm="1">
        <f t="array" ref="R600">_xlfn.IFS(Q600=1,"Low",Q600=2,"Medium",Q600=3,"High",Q600=4,"Very High")</f>
        <v>High</v>
      </c>
      <c r="S600">
        <v>1</v>
      </c>
      <c r="T600" t="str" cm="1">
        <f t="array" ref="T600">_xlfn.IFS(S600=1,"Entry Level",S600=2,"Junior",S600=3,"Mid-Level",S600=4,"Senior",S600=5,"Executive")</f>
        <v>Entry Level</v>
      </c>
      <c r="U600" t="s">
        <v>43</v>
      </c>
      <c r="V600">
        <v>3</v>
      </c>
      <c r="W600" t="str" cm="1">
        <f t="array" ref="W600">_xlfn.IFS(V600=1,"Low",V600=2,"Medium",V600=3,"High",V600=4,"Very High")</f>
        <v>High</v>
      </c>
      <c r="X600" t="s">
        <v>38</v>
      </c>
      <c r="Y600" s="2">
        <v>4382</v>
      </c>
      <c r="Z600" s="2">
        <v>16374</v>
      </c>
      <c r="AA600">
        <v>6</v>
      </c>
      <c r="AB600" t="s">
        <v>39</v>
      </c>
      <c r="AC600">
        <v>17</v>
      </c>
      <c r="AD600">
        <v>3</v>
      </c>
      <c r="AE600" t="str" cm="1">
        <f t="array" ref="AE600">_xlfn.IFS(AD600=1,"Low",AD600=2,"Good",AD600=3,"Excellent",AD600=4,"Outstanding")</f>
        <v>Excellent</v>
      </c>
      <c r="AF600">
        <v>4</v>
      </c>
      <c r="AG600" t="str" cm="1">
        <f t="array" ref="AG600">_xlfn.IFS(AF600=1,"Low",AF600=2,"Medium",AF600=3,"High",AF600=4,"Very High")</f>
        <v>Very High</v>
      </c>
      <c r="AH600">
        <v>0</v>
      </c>
      <c r="AI600">
        <v>5</v>
      </c>
      <c r="AJ600">
        <v>3</v>
      </c>
      <c r="AK600">
        <v>2</v>
      </c>
      <c r="AL600" t="str" cm="1">
        <f t="array" ref="AL600">_xlfn.IFS(AK600=1,"Low",AK600=2,"Medium",AK600=3,"High",AK600=4,"Very High")</f>
        <v>Medium</v>
      </c>
      <c r="AM600">
        <v>2</v>
      </c>
      <c r="AN600">
        <v>2</v>
      </c>
      <c r="AO600">
        <v>2</v>
      </c>
      <c r="AP600">
        <v>1</v>
      </c>
    </row>
    <row r="601" spans="1:42">
      <c r="A601">
        <v>36</v>
      </c>
      <c r="B601" t="str" cm="1">
        <f t="array" ref="B601">_xlfn.IFS(A601&lt;=25,"18-25",A601&lt;=35,"26-35",A601&lt;=45,"36-45",A601&lt;=55,"46-55",A601&gt;55,"56+")</f>
        <v>36-45</v>
      </c>
      <c r="C601" t="s">
        <v>39</v>
      </c>
      <c r="D601" t="s">
        <v>33</v>
      </c>
      <c r="E601" s="2">
        <v>1041</v>
      </c>
      <c r="F601" t="s">
        <v>57</v>
      </c>
      <c r="G601">
        <v>13</v>
      </c>
      <c r="H601" t="str">
        <f t="shared" si="9"/>
        <v>11-20 km</v>
      </c>
      <c r="I601">
        <v>3</v>
      </c>
      <c r="J601" t="str" cm="1">
        <f t="array" ref="J601">_xlfn.IFS(I601=1,"Below College",I601=2,"College",I601=3,"Bachelor",I601=4,"Master",I601=5,"Doctor")</f>
        <v>Bachelor</v>
      </c>
      <c r="K601" t="s">
        <v>57</v>
      </c>
      <c r="L601">
        <v>829</v>
      </c>
      <c r="M601">
        <v>3</v>
      </c>
      <c r="N601" t="str" cm="1">
        <f t="array" ref="N601">_xlfn.IFS(M601=1,"Low",M601=2,"Medium",M601=3,"High",M601=4,"Very High")</f>
        <v>High</v>
      </c>
      <c r="O601" t="s">
        <v>42</v>
      </c>
      <c r="P601" s="2">
        <v>36</v>
      </c>
      <c r="Q601">
        <v>3</v>
      </c>
      <c r="R601" t="str" cm="1">
        <f t="array" ref="R601">_xlfn.IFS(Q601=1,"Low",Q601=2,"Medium",Q601=3,"High",Q601=4,"Very High")</f>
        <v>High</v>
      </c>
      <c r="S601">
        <v>1</v>
      </c>
      <c r="T601" t="str" cm="1">
        <f t="array" ref="T601">_xlfn.IFS(S601=1,"Entry Level",S601=2,"Junior",S601=3,"Mid-Level",S601=4,"Senior",S601=5,"Executive")</f>
        <v>Entry Level</v>
      </c>
      <c r="U601" t="s">
        <v>57</v>
      </c>
      <c r="V601">
        <v>2</v>
      </c>
      <c r="W601" t="str" cm="1">
        <f t="array" ref="W601">_xlfn.IFS(V601=1,"Low",V601=2,"Medium",V601=3,"High",V601=4,"Very High")</f>
        <v>Medium</v>
      </c>
      <c r="X601" t="s">
        <v>44</v>
      </c>
      <c r="Y601" s="2">
        <v>2143</v>
      </c>
      <c r="Z601" s="2">
        <v>25527</v>
      </c>
      <c r="AA601">
        <v>4</v>
      </c>
      <c r="AB601" t="s">
        <v>39</v>
      </c>
      <c r="AC601">
        <v>13</v>
      </c>
      <c r="AD601">
        <v>3</v>
      </c>
      <c r="AE601" t="str" cm="1">
        <f t="array" ref="AE601">_xlfn.IFS(AD601=1,"Low",AD601=2,"Good",AD601=3,"Excellent",AD601=4,"Outstanding")</f>
        <v>Excellent</v>
      </c>
      <c r="AF601">
        <v>2</v>
      </c>
      <c r="AG601" t="str" cm="1">
        <f t="array" ref="AG601">_xlfn.IFS(AF601=1,"Low",AF601=2,"Medium",AF601=3,"High",AF601=4,"Very High")</f>
        <v>Medium</v>
      </c>
      <c r="AH601">
        <v>1</v>
      </c>
      <c r="AI601">
        <v>8</v>
      </c>
      <c r="AJ601">
        <v>2</v>
      </c>
      <c r="AK601">
        <v>3</v>
      </c>
      <c r="AL601" t="str" cm="1">
        <f t="array" ref="AL601">_xlfn.IFS(AK601=1,"Low",AK601=2,"Medium",AK601=3,"High",AK601=4,"Very High")</f>
        <v>High</v>
      </c>
      <c r="AM601">
        <v>5</v>
      </c>
      <c r="AN601">
        <v>2</v>
      </c>
      <c r="AO601">
        <v>0</v>
      </c>
      <c r="AP601">
        <v>4</v>
      </c>
    </row>
    <row r="602" spans="1:42">
      <c r="A602">
        <v>32</v>
      </c>
      <c r="B602" t="str" cm="1">
        <f t="array" ref="B602">_xlfn.IFS(A602&lt;=25,"18-25",A602&lt;=35,"26-35",A602&lt;=45,"36-45",A602&lt;=55,"46-55",A602&gt;55,"56+")</f>
        <v>26-35</v>
      </c>
      <c r="C602" t="s">
        <v>39</v>
      </c>
      <c r="D602" t="s">
        <v>33</v>
      </c>
      <c r="E602" s="2">
        <v>859</v>
      </c>
      <c r="F602" t="s">
        <v>41</v>
      </c>
      <c r="G602">
        <v>4</v>
      </c>
      <c r="H602" t="str">
        <f t="shared" si="9"/>
        <v>1-10 km</v>
      </c>
      <c r="I602">
        <v>3</v>
      </c>
      <c r="J602" t="str" cm="1">
        <f t="array" ref="J602">_xlfn.IFS(I602=1,"Below College",I602=2,"College",I602=3,"Bachelor",I602=4,"Master",I602=5,"Doctor")</f>
        <v>Bachelor</v>
      </c>
      <c r="K602" t="s">
        <v>35</v>
      </c>
      <c r="L602">
        <v>830</v>
      </c>
      <c r="M602">
        <v>3</v>
      </c>
      <c r="N602" t="str" cm="1">
        <f t="array" ref="N602">_xlfn.IFS(M602=1,"Low",M602=2,"Medium",M602=3,"High",M602=4,"Very High")</f>
        <v>High</v>
      </c>
      <c r="O602" t="s">
        <v>36</v>
      </c>
      <c r="P602" s="2">
        <v>98</v>
      </c>
      <c r="Q602">
        <v>2</v>
      </c>
      <c r="R602" t="str" cm="1">
        <f t="array" ref="R602">_xlfn.IFS(Q602=1,"Low",Q602=2,"Medium",Q602=3,"High",Q602=4,"Very High")</f>
        <v>Medium</v>
      </c>
      <c r="S602">
        <v>2</v>
      </c>
      <c r="T602" t="str" cm="1">
        <f t="array" ref="T602">_xlfn.IFS(S602=1,"Entry Level",S602=2,"Junior",S602=3,"Mid-Level",S602=4,"Senior",S602=5,"Executive")</f>
        <v>Junior</v>
      </c>
      <c r="U602" t="s">
        <v>49</v>
      </c>
      <c r="V602">
        <v>3</v>
      </c>
      <c r="W602" t="str" cm="1">
        <f t="array" ref="W602">_xlfn.IFS(V602=1,"Low",V602=2,"Medium",V602=3,"High",V602=4,"Very High")</f>
        <v>High</v>
      </c>
      <c r="X602" t="s">
        <v>44</v>
      </c>
      <c r="Y602" s="2">
        <v>6162</v>
      </c>
      <c r="Z602" s="2">
        <v>19124</v>
      </c>
      <c r="AA602">
        <v>1</v>
      </c>
      <c r="AB602" t="s">
        <v>39</v>
      </c>
      <c r="AC602">
        <v>12</v>
      </c>
      <c r="AD602">
        <v>3</v>
      </c>
      <c r="AE602" t="str" cm="1">
        <f t="array" ref="AE602">_xlfn.IFS(AD602=1,"Low",AD602=2,"Good",AD602=3,"Excellent",AD602=4,"Outstanding")</f>
        <v>Excellent</v>
      </c>
      <c r="AF602">
        <v>3</v>
      </c>
      <c r="AG602" t="str" cm="1">
        <f t="array" ref="AG602">_xlfn.IFS(AF602=1,"Low",AF602=2,"Medium",AF602=3,"High",AF602=4,"Very High")</f>
        <v>High</v>
      </c>
      <c r="AH602">
        <v>1</v>
      </c>
      <c r="AI602">
        <v>14</v>
      </c>
      <c r="AJ602">
        <v>3</v>
      </c>
      <c r="AK602">
        <v>3</v>
      </c>
      <c r="AL602" t="str" cm="1">
        <f t="array" ref="AL602">_xlfn.IFS(AK602=1,"Low",AK602=2,"Medium",AK602=3,"High",AK602=4,"Very High")</f>
        <v>High</v>
      </c>
      <c r="AM602">
        <v>14</v>
      </c>
      <c r="AN602">
        <v>13</v>
      </c>
      <c r="AO602">
        <v>6</v>
      </c>
      <c r="AP602">
        <v>8</v>
      </c>
    </row>
    <row r="603" spans="1:42">
      <c r="A603">
        <v>40</v>
      </c>
      <c r="B603" t="str" cm="1">
        <f t="array" ref="B603">_xlfn.IFS(A603&lt;=25,"18-25",A603&lt;=35,"26-35",A603&lt;=45,"36-45",A603&lt;=55,"46-55",A603&gt;55,"56+")</f>
        <v>36-45</v>
      </c>
      <c r="C603" t="s">
        <v>39</v>
      </c>
      <c r="D603" t="s">
        <v>40</v>
      </c>
      <c r="E603" s="2">
        <v>720</v>
      </c>
      <c r="F603" t="s">
        <v>41</v>
      </c>
      <c r="G603">
        <v>16</v>
      </c>
      <c r="H603" t="str">
        <f t="shared" si="9"/>
        <v>11-20 km</v>
      </c>
      <c r="I603">
        <v>4</v>
      </c>
      <c r="J603" t="str" cm="1">
        <f t="array" ref="J603">_xlfn.IFS(I603=1,"Below College",I603=2,"College",I603=3,"Bachelor",I603=4,"Master",I603=5,"Doctor")</f>
        <v>Master</v>
      </c>
      <c r="K603" t="s">
        <v>47</v>
      </c>
      <c r="L603">
        <v>832</v>
      </c>
      <c r="M603">
        <v>1</v>
      </c>
      <c r="N603" t="str" cm="1">
        <f t="array" ref="N603">_xlfn.IFS(M603=1,"Low",M603=2,"Medium",M603=3,"High",M603=4,"Very High")</f>
        <v>Low</v>
      </c>
      <c r="O603" t="s">
        <v>42</v>
      </c>
      <c r="P603" s="2">
        <v>51</v>
      </c>
      <c r="Q603">
        <v>2</v>
      </c>
      <c r="R603" t="str" cm="1">
        <f t="array" ref="R603">_xlfn.IFS(Q603=1,"Low",Q603=2,"Medium",Q603=3,"High",Q603=4,"Very High")</f>
        <v>Medium</v>
      </c>
      <c r="S603">
        <v>2</v>
      </c>
      <c r="T603" t="str" cm="1">
        <f t="array" ref="T603">_xlfn.IFS(S603=1,"Entry Level",S603=2,"Junior",S603=3,"Mid-Level",S603=4,"Senior",S603=5,"Executive")</f>
        <v>Junior</v>
      </c>
      <c r="U603" t="s">
        <v>46</v>
      </c>
      <c r="V603">
        <v>3</v>
      </c>
      <c r="W603" t="str" cm="1">
        <f t="array" ref="W603">_xlfn.IFS(V603=1,"Low",V603=2,"Medium",V603=3,"High",V603=4,"Very High")</f>
        <v>High</v>
      </c>
      <c r="X603" t="s">
        <v>38</v>
      </c>
      <c r="Y603" s="2">
        <v>5094</v>
      </c>
      <c r="Z603" s="2">
        <v>11983</v>
      </c>
      <c r="AA603">
        <v>6</v>
      </c>
      <c r="AB603" t="s">
        <v>39</v>
      </c>
      <c r="AC603">
        <v>14</v>
      </c>
      <c r="AD603">
        <v>3</v>
      </c>
      <c r="AE603" t="str" cm="1">
        <f t="array" ref="AE603">_xlfn.IFS(AD603=1,"Low",AD603=2,"Good",AD603=3,"Excellent",AD603=4,"Outstanding")</f>
        <v>Excellent</v>
      </c>
      <c r="AF603">
        <v>4</v>
      </c>
      <c r="AG603" t="str" cm="1">
        <f t="array" ref="AG603">_xlfn.IFS(AF603=1,"Low",AF603=2,"Medium",AF603=3,"High",AF603=4,"Very High")</f>
        <v>Very High</v>
      </c>
      <c r="AH603">
        <v>0</v>
      </c>
      <c r="AI603">
        <v>10</v>
      </c>
      <c r="AJ603">
        <v>6</v>
      </c>
      <c r="AK603">
        <v>3</v>
      </c>
      <c r="AL603" t="str" cm="1">
        <f t="array" ref="AL603">_xlfn.IFS(AK603=1,"Low",AK603=2,"Medium",AK603=3,"High",AK603=4,"Very High")</f>
        <v>High</v>
      </c>
      <c r="AM603">
        <v>1</v>
      </c>
      <c r="AN603">
        <v>0</v>
      </c>
      <c r="AO603">
        <v>0</v>
      </c>
      <c r="AP603">
        <v>0</v>
      </c>
    </row>
    <row r="604" spans="1:42">
      <c r="A604">
        <v>30</v>
      </c>
      <c r="B604" t="str" cm="1">
        <f t="array" ref="B604">_xlfn.IFS(A604&lt;=25,"18-25",A604&lt;=35,"26-35",A604&lt;=45,"36-45",A604&lt;=55,"46-55",A604&gt;55,"56+")</f>
        <v>26-35</v>
      </c>
      <c r="C604" t="s">
        <v>39</v>
      </c>
      <c r="D604" t="s">
        <v>33</v>
      </c>
      <c r="E604" s="2">
        <v>946</v>
      </c>
      <c r="F604" t="s">
        <v>41</v>
      </c>
      <c r="G604">
        <v>2</v>
      </c>
      <c r="H604" t="str">
        <f t="shared" si="9"/>
        <v>1-10 km</v>
      </c>
      <c r="I604">
        <v>3</v>
      </c>
      <c r="J604" t="str" cm="1">
        <f t="array" ref="J604">_xlfn.IFS(I604=1,"Below College",I604=2,"College",I604=3,"Bachelor",I604=4,"Master",I604=5,"Doctor")</f>
        <v>Bachelor</v>
      </c>
      <c r="K604" t="s">
        <v>47</v>
      </c>
      <c r="L604">
        <v>833</v>
      </c>
      <c r="M604">
        <v>3</v>
      </c>
      <c r="N604" t="str" cm="1">
        <f t="array" ref="N604">_xlfn.IFS(M604=1,"Low",M604=2,"Medium",M604=3,"High",M604=4,"Very High")</f>
        <v>High</v>
      </c>
      <c r="O604" t="s">
        <v>36</v>
      </c>
      <c r="P604" s="2">
        <v>52</v>
      </c>
      <c r="Q604">
        <v>2</v>
      </c>
      <c r="R604" t="str" cm="1">
        <f t="array" ref="R604">_xlfn.IFS(Q604=1,"Low",Q604=2,"Medium",Q604=3,"High",Q604=4,"Very High")</f>
        <v>Medium</v>
      </c>
      <c r="S604">
        <v>2</v>
      </c>
      <c r="T604" t="str" cm="1">
        <f t="array" ref="T604">_xlfn.IFS(S604=1,"Entry Level",S604=2,"Junior",S604=3,"Mid-Level",S604=4,"Senior",S604=5,"Executive")</f>
        <v>Junior</v>
      </c>
      <c r="U604" t="s">
        <v>49</v>
      </c>
      <c r="V604">
        <v>4</v>
      </c>
      <c r="W604" t="str" cm="1">
        <f t="array" ref="W604">_xlfn.IFS(V604=1,"Low",V604=2,"Medium",V604=3,"High",V604=4,"Very High")</f>
        <v>Very High</v>
      </c>
      <c r="X604" t="s">
        <v>38</v>
      </c>
      <c r="Y604" s="2">
        <v>6877</v>
      </c>
      <c r="Z604" s="2">
        <v>20234</v>
      </c>
      <c r="AA604">
        <v>5</v>
      </c>
      <c r="AB604" t="s">
        <v>32</v>
      </c>
      <c r="AC604">
        <v>24</v>
      </c>
      <c r="AD604">
        <v>4</v>
      </c>
      <c r="AE604" t="str" cm="1">
        <f t="array" ref="AE604">_xlfn.IFS(AD604=1,"Low",AD604=2,"Good",AD604=3,"Excellent",AD604=4,"Outstanding")</f>
        <v>Outstanding</v>
      </c>
      <c r="AF604">
        <v>2</v>
      </c>
      <c r="AG604" t="str" cm="1">
        <f t="array" ref="AG604">_xlfn.IFS(AF604=1,"Low",AF604=2,"Medium",AF604=3,"High",AF604=4,"Very High")</f>
        <v>Medium</v>
      </c>
      <c r="AH604">
        <v>0</v>
      </c>
      <c r="AI604">
        <v>12</v>
      </c>
      <c r="AJ604">
        <v>4</v>
      </c>
      <c r="AK604">
        <v>2</v>
      </c>
      <c r="AL604" t="str" cm="1">
        <f t="array" ref="AL604">_xlfn.IFS(AK604=1,"Low",AK604=2,"Medium",AK604=3,"High",AK604=4,"Very High")</f>
        <v>Medium</v>
      </c>
      <c r="AM604">
        <v>0</v>
      </c>
      <c r="AN604">
        <v>0</v>
      </c>
      <c r="AO604">
        <v>0</v>
      </c>
      <c r="AP604">
        <v>0</v>
      </c>
    </row>
    <row r="605" spans="1:42">
      <c r="A605">
        <v>45</v>
      </c>
      <c r="B605" t="str" cm="1">
        <f t="array" ref="B605">_xlfn.IFS(A605&lt;=25,"18-25",A605&lt;=35,"26-35",A605&lt;=45,"36-45",A605&lt;=55,"46-55",A605&gt;55,"56+")</f>
        <v>36-45</v>
      </c>
      <c r="C605" t="s">
        <v>39</v>
      </c>
      <c r="D605" t="s">
        <v>33</v>
      </c>
      <c r="E605" s="2">
        <v>252</v>
      </c>
      <c r="F605" t="s">
        <v>41</v>
      </c>
      <c r="G605">
        <v>2</v>
      </c>
      <c r="H605" t="str">
        <f t="shared" si="9"/>
        <v>1-10 km</v>
      </c>
      <c r="I605">
        <v>3</v>
      </c>
      <c r="J605" t="str" cm="1">
        <f t="array" ref="J605">_xlfn.IFS(I605=1,"Below College",I605=2,"College",I605=3,"Bachelor",I605=4,"Master",I605=5,"Doctor")</f>
        <v>Bachelor</v>
      </c>
      <c r="K605" t="s">
        <v>35</v>
      </c>
      <c r="L605">
        <v>834</v>
      </c>
      <c r="M605">
        <v>2</v>
      </c>
      <c r="N605" t="str" cm="1">
        <f t="array" ref="N605">_xlfn.IFS(M605=1,"Low",M605=2,"Medium",M605=3,"High",M605=4,"Very High")</f>
        <v>Medium</v>
      </c>
      <c r="O605" t="s">
        <v>36</v>
      </c>
      <c r="P605" s="2">
        <v>95</v>
      </c>
      <c r="Q605">
        <v>2</v>
      </c>
      <c r="R605" t="str" cm="1">
        <f t="array" ref="R605">_xlfn.IFS(Q605=1,"Low",Q605=2,"Medium",Q605=3,"High",Q605=4,"Very High")</f>
        <v>Medium</v>
      </c>
      <c r="S605">
        <v>1</v>
      </c>
      <c r="T605" t="str" cm="1">
        <f t="array" ref="T605">_xlfn.IFS(S605=1,"Entry Level",S605=2,"Junior",S605=3,"Mid-Level",S605=4,"Senior",S605=5,"Executive")</f>
        <v>Entry Level</v>
      </c>
      <c r="U605" t="s">
        <v>43</v>
      </c>
      <c r="V605">
        <v>3</v>
      </c>
      <c r="W605" t="str" cm="1">
        <f t="array" ref="W605">_xlfn.IFS(V605=1,"Low",V605=2,"Medium",V605=3,"High",V605=4,"Very High")</f>
        <v>High</v>
      </c>
      <c r="X605" t="s">
        <v>38</v>
      </c>
      <c r="Y605" s="2">
        <v>2274</v>
      </c>
      <c r="Z605" s="2">
        <v>6153</v>
      </c>
      <c r="AA605">
        <v>1</v>
      </c>
      <c r="AB605" t="s">
        <v>39</v>
      </c>
      <c r="AC605">
        <v>14</v>
      </c>
      <c r="AD605">
        <v>3</v>
      </c>
      <c r="AE605" t="str" cm="1">
        <f t="array" ref="AE605">_xlfn.IFS(AD605=1,"Low",AD605=2,"Good",AD605=3,"Excellent",AD605=4,"Outstanding")</f>
        <v>Excellent</v>
      </c>
      <c r="AF605">
        <v>4</v>
      </c>
      <c r="AG605" t="str" cm="1">
        <f t="array" ref="AG605">_xlfn.IFS(AF605=1,"Low",AF605=2,"Medium",AF605=3,"High",AF605=4,"Very High")</f>
        <v>Very High</v>
      </c>
      <c r="AH605">
        <v>0</v>
      </c>
      <c r="AI605">
        <v>1</v>
      </c>
      <c r="AJ605">
        <v>3</v>
      </c>
      <c r="AK605">
        <v>3</v>
      </c>
      <c r="AL605" t="str" cm="1">
        <f t="array" ref="AL605">_xlfn.IFS(AK605=1,"Low",AK605=2,"Medium",AK605=3,"High",AK605=4,"Very High")</f>
        <v>High</v>
      </c>
      <c r="AM605">
        <v>1</v>
      </c>
      <c r="AN605">
        <v>0</v>
      </c>
      <c r="AO605">
        <v>0</v>
      </c>
      <c r="AP605">
        <v>0</v>
      </c>
    </row>
    <row r="606" spans="1:42">
      <c r="A606">
        <v>42</v>
      </c>
      <c r="B606" t="str" cm="1">
        <f t="array" ref="B606">_xlfn.IFS(A606&lt;=25,"18-25",A606&lt;=35,"26-35",A606&lt;=45,"36-45",A606&lt;=55,"46-55",A606&gt;55,"56+")</f>
        <v>36-45</v>
      </c>
      <c r="C606" t="s">
        <v>39</v>
      </c>
      <c r="D606" t="s">
        <v>33</v>
      </c>
      <c r="E606" s="2">
        <v>933</v>
      </c>
      <c r="F606" t="s">
        <v>41</v>
      </c>
      <c r="G606">
        <v>29</v>
      </c>
      <c r="H606" t="str">
        <f t="shared" si="9"/>
        <v>21-30 km</v>
      </c>
      <c r="I606">
        <v>3</v>
      </c>
      <c r="J606" t="str" cm="1">
        <f t="array" ref="J606">_xlfn.IFS(I606=1,"Below College",I606=2,"College",I606=3,"Bachelor",I606=4,"Master",I606=5,"Doctor")</f>
        <v>Bachelor</v>
      </c>
      <c r="K606" t="s">
        <v>35</v>
      </c>
      <c r="L606">
        <v>836</v>
      </c>
      <c r="M606">
        <v>2</v>
      </c>
      <c r="N606" t="str" cm="1">
        <f t="array" ref="N606">_xlfn.IFS(M606=1,"Low",M606=2,"Medium",M606=3,"High",M606=4,"Very High")</f>
        <v>Medium</v>
      </c>
      <c r="O606" t="s">
        <v>42</v>
      </c>
      <c r="P606" s="2">
        <v>98</v>
      </c>
      <c r="Q606">
        <v>3</v>
      </c>
      <c r="R606" t="str" cm="1">
        <f t="array" ref="R606">_xlfn.IFS(Q606=1,"Low",Q606=2,"Medium",Q606=3,"High",Q606=4,"Very High")</f>
        <v>High</v>
      </c>
      <c r="S606">
        <v>2</v>
      </c>
      <c r="T606" t="str" cm="1">
        <f t="array" ref="T606">_xlfn.IFS(S606=1,"Entry Level",S606=2,"Junior",S606=3,"Mid-Level",S606=4,"Senior",S606=5,"Executive")</f>
        <v>Junior</v>
      </c>
      <c r="U606" t="s">
        <v>49</v>
      </c>
      <c r="V606">
        <v>2</v>
      </c>
      <c r="W606" t="str" cm="1">
        <f t="array" ref="W606">_xlfn.IFS(V606=1,"Low",V606=2,"Medium",V606=3,"High",V606=4,"Very High")</f>
        <v>Medium</v>
      </c>
      <c r="X606" t="s">
        <v>44</v>
      </c>
      <c r="Y606" s="2">
        <v>4434</v>
      </c>
      <c r="Z606" s="2">
        <v>11806</v>
      </c>
      <c r="AA606">
        <v>1</v>
      </c>
      <c r="AB606" t="s">
        <v>39</v>
      </c>
      <c r="AC606">
        <v>13</v>
      </c>
      <c r="AD606">
        <v>3</v>
      </c>
      <c r="AE606" t="str" cm="1">
        <f t="array" ref="AE606">_xlfn.IFS(AD606=1,"Low",AD606=2,"Good",AD606=3,"Excellent",AD606=4,"Outstanding")</f>
        <v>Excellent</v>
      </c>
      <c r="AF606">
        <v>4</v>
      </c>
      <c r="AG606" t="str" cm="1">
        <f t="array" ref="AG606">_xlfn.IFS(AF606=1,"Low",AF606=2,"Medium",AF606=3,"High",AF606=4,"Very High")</f>
        <v>Very High</v>
      </c>
      <c r="AH606">
        <v>1</v>
      </c>
      <c r="AI606">
        <v>10</v>
      </c>
      <c r="AJ606">
        <v>3</v>
      </c>
      <c r="AK606">
        <v>2</v>
      </c>
      <c r="AL606" t="str" cm="1">
        <f t="array" ref="AL606">_xlfn.IFS(AK606=1,"Low",AK606=2,"Medium",AK606=3,"High",AK606=4,"Very High")</f>
        <v>Medium</v>
      </c>
      <c r="AM606">
        <v>9</v>
      </c>
      <c r="AN606">
        <v>8</v>
      </c>
      <c r="AO606">
        <v>7</v>
      </c>
      <c r="AP606">
        <v>8</v>
      </c>
    </row>
    <row r="607" spans="1:42">
      <c r="A607">
        <v>38</v>
      </c>
      <c r="B607" t="str" cm="1">
        <f t="array" ref="B607">_xlfn.IFS(A607&lt;=25,"18-25",A607&lt;=35,"26-35",A607&lt;=45,"36-45",A607&lt;=55,"46-55",A607&gt;55,"56+")</f>
        <v>36-45</v>
      </c>
      <c r="C607" t="s">
        <v>39</v>
      </c>
      <c r="D607" t="s">
        <v>40</v>
      </c>
      <c r="E607" s="2">
        <v>471</v>
      </c>
      <c r="F607" t="s">
        <v>41</v>
      </c>
      <c r="G607">
        <v>12</v>
      </c>
      <c r="H607" t="str">
        <f t="shared" si="9"/>
        <v>11-20 km</v>
      </c>
      <c r="I607">
        <v>3</v>
      </c>
      <c r="J607" t="str" cm="1">
        <f t="array" ref="J607">_xlfn.IFS(I607=1,"Below College",I607=2,"College",I607=3,"Bachelor",I607=4,"Master",I607=5,"Doctor")</f>
        <v>Bachelor</v>
      </c>
      <c r="K607" t="s">
        <v>35</v>
      </c>
      <c r="L607">
        <v>837</v>
      </c>
      <c r="M607">
        <v>1</v>
      </c>
      <c r="N607" t="str" cm="1">
        <f t="array" ref="N607">_xlfn.IFS(M607=1,"Low",M607=2,"Medium",M607=3,"High",M607=4,"Very High")</f>
        <v>Low</v>
      </c>
      <c r="O607" t="s">
        <v>42</v>
      </c>
      <c r="P607" s="2">
        <v>45</v>
      </c>
      <c r="Q607">
        <v>2</v>
      </c>
      <c r="R607" t="str" cm="1">
        <f t="array" ref="R607">_xlfn.IFS(Q607=1,"Low",Q607=2,"Medium",Q607=3,"High",Q607=4,"Very High")</f>
        <v>Medium</v>
      </c>
      <c r="S607">
        <v>2</v>
      </c>
      <c r="T607" t="str" cm="1">
        <f t="array" ref="T607">_xlfn.IFS(S607=1,"Entry Level",S607=2,"Junior",S607=3,"Mid-Level",S607=4,"Senior",S607=5,"Executive")</f>
        <v>Junior</v>
      </c>
      <c r="U607" t="s">
        <v>50</v>
      </c>
      <c r="V607">
        <v>1</v>
      </c>
      <c r="W607" t="str" cm="1">
        <f t="array" ref="W607">_xlfn.IFS(V607=1,"Low",V607=2,"Medium",V607=3,"High",V607=4,"Very High")</f>
        <v>Low</v>
      </c>
      <c r="X607" t="s">
        <v>48</v>
      </c>
      <c r="Y607" s="2">
        <v>6288</v>
      </c>
      <c r="Z607" s="2">
        <v>4284</v>
      </c>
      <c r="AA607">
        <v>2</v>
      </c>
      <c r="AB607" t="s">
        <v>39</v>
      </c>
      <c r="AC607">
        <v>15</v>
      </c>
      <c r="AD607">
        <v>3</v>
      </c>
      <c r="AE607" t="str" cm="1">
        <f t="array" ref="AE607">_xlfn.IFS(AD607=1,"Low",AD607=2,"Good",AD607=3,"Excellent",AD607=4,"Outstanding")</f>
        <v>Excellent</v>
      </c>
      <c r="AF607">
        <v>3</v>
      </c>
      <c r="AG607" t="str" cm="1">
        <f t="array" ref="AG607">_xlfn.IFS(AF607=1,"Low",AF607=2,"Medium",AF607=3,"High",AF607=4,"Very High")</f>
        <v>High</v>
      </c>
      <c r="AH607">
        <v>1</v>
      </c>
      <c r="AI607">
        <v>13</v>
      </c>
      <c r="AJ607">
        <v>3</v>
      </c>
      <c r="AK607">
        <v>2</v>
      </c>
      <c r="AL607" t="str" cm="1">
        <f t="array" ref="AL607">_xlfn.IFS(AK607=1,"Low",AK607=2,"Medium",AK607=3,"High",AK607=4,"Very High")</f>
        <v>Medium</v>
      </c>
      <c r="AM607">
        <v>4</v>
      </c>
      <c r="AN607">
        <v>3</v>
      </c>
      <c r="AO607">
        <v>1</v>
      </c>
      <c r="AP607">
        <v>2</v>
      </c>
    </row>
    <row r="608" spans="1:42">
      <c r="A608">
        <v>34</v>
      </c>
      <c r="B608" t="str" cm="1">
        <f t="array" ref="B608">_xlfn.IFS(A608&lt;=25,"18-25",A608&lt;=35,"26-35",A608&lt;=45,"36-45",A608&lt;=55,"46-55",A608&gt;55,"56+")</f>
        <v>26-35</v>
      </c>
      <c r="C608" t="s">
        <v>39</v>
      </c>
      <c r="D608" t="s">
        <v>40</v>
      </c>
      <c r="E608" s="2">
        <v>702</v>
      </c>
      <c r="F608" t="s">
        <v>41</v>
      </c>
      <c r="G608">
        <v>16</v>
      </c>
      <c r="H608" t="str">
        <f t="shared" si="9"/>
        <v>11-20 km</v>
      </c>
      <c r="I608">
        <v>4</v>
      </c>
      <c r="J608" t="str" cm="1">
        <f t="array" ref="J608">_xlfn.IFS(I608=1,"Below College",I608=2,"College",I608=3,"Bachelor",I608=4,"Master",I608=5,"Doctor")</f>
        <v>Master</v>
      </c>
      <c r="K608" t="s">
        <v>35</v>
      </c>
      <c r="L608">
        <v>838</v>
      </c>
      <c r="M608">
        <v>3</v>
      </c>
      <c r="N608" t="str" cm="1">
        <f t="array" ref="N608">_xlfn.IFS(M608=1,"Low",M608=2,"Medium",M608=3,"High",M608=4,"Very High")</f>
        <v>High</v>
      </c>
      <c r="O608" t="s">
        <v>36</v>
      </c>
      <c r="P608" s="2">
        <v>100</v>
      </c>
      <c r="Q608">
        <v>2</v>
      </c>
      <c r="R608" t="str" cm="1">
        <f t="array" ref="R608">_xlfn.IFS(Q608=1,"Low",Q608=2,"Medium",Q608=3,"High",Q608=4,"Very High")</f>
        <v>Medium</v>
      </c>
      <c r="S608">
        <v>1</v>
      </c>
      <c r="T608" t="str" cm="1">
        <f t="array" ref="T608">_xlfn.IFS(S608=1,"Entry Level",S608=2,"Junior",S608=3,"Mid-Level",S608=4,"Senior",S608=5,"Executive")</f>
        <v>Entry Level</v>
      </c>
      <c r="U608" t="s">
        <v>43</v>
      </c>
      <c r="V608">
        <v>4</v>
      </c>
      <c r="W608" t="str" cm="1">
        <f t="array" ref="W608">_xlfn.IFS(V608=1,"Low",V608=2,"Medium",V608=3,"High",V608=4,"Very High")</f>
        <v>Very High</v>
      </c>
      <c r="X608" t="s">
        <v>38</v>
      </c>
      <c r="Y608" s="2">
        <v>2553</v>
      </c>
      <c r="Z608" s="2">
        <v>8306</v>
      </c>
      <c r="AA608">
        <v>1</v>
      </c>
      <c r="AB608" t="s">
        <v>39</v>
      </c>
      <c r="AC608">
        <v>16</v>
      </c>
      <c r="AD608">
        <v>3</v>
      </c>
      <c r="AE608" t="str" cm="1">
        <f t="array" ref="AE608">_xlfn.IFS(AD608=1,"Low",AD608=2,"Good",AD608=3,"Excellent",AD608=4,"Outstanding")</f>
        <v>Excellent</v>
      </c>
      <c r="AF608">
        <v>3</v>
      </c>
      <c r="AG608" t="str" cm="1">
        <f t="array" ref="AG608">_xlfn.IFS(AF608=1,"Low",AF608=2,"Medium",AF608=3,"High",AF608=4,"Very High")</f>
        <v>High</v>
      </c>
      <c r="AH608">
        <v>0</v>
      </c>
      <c r="AI608">
        <v>6</v>
      </c>
      <c r="AJ608">
        <v>3</v>
      </c>
      <c r="AK608">
        <v>3</v>
      </c>
      <c r="AL608" t="str" cm="1">
        <f t="array" ref="AL608">_xlfn.IFS(AK608=1,"Low",AK608=2,"Medium",AK608=3,"High",AK608=4,"Very High")</f>
        <v>High</v>
      </c>
      <c r="AM608">
        <v>5</v>
      </c>
      <c r="AN608">
        <v>2</v>
      </c>
      <c r="AO608">
        <v>1</v>
      </c>
      <c r="AP608">
        <v>3</v>
      </c>
    </row>
    <row r="609" spans="1:42">
      <c r="A609">
        <v>49</v>
      </c>
      <c r="B609" t="str" cm="1">
        <f t="array" ref="B609">_xlfn.IFS(A609&lt;=25,"18-25",A609&lt;=35,"26-35",A609&lt;=45,"36-45",A609&lt;=55,"46-55",A609&gt;55,"56+")</f>
        <v>46-55</v>
      </c>
      <c r="C609" t="s">
        <v>32</v>
      </c>
      <c r="D609" t="s">
        <v>33</v>
      </c>
      <c r="E609" s="2">
        <v>1184</v>
      </c>
      <c r="F609" t="s">
        <v>34</v>
      </c>
      <c r="G609">
        <v>11</v>
      </c>
      <c r="H609" t="str">
        <f t="shared" si="9"/>
        <v>11-20 km</v>
      </c>
      <c r="I609">
        <v>3</v>
      </c>
      <c r="J609" t="str" cm="1">
        <f t="array" ref="J609">_xlfn.IFS(I609=1,"Below College",I609=2,"College",I609=3,"Bachelor",I609=4,"Master",I609=5,"Doctor")</f>
        <v>Bachelor</v>
      </c>
      <c r="K609" t="s">
        <v>55</v>
      </c>
      <c r="L609">
        <v>840</v>
      </c>
      <c r="M609">
        <v>3</v>
      </c>
      <c r="N609" t="str" cm="1">
        <f t="array" ref="N609">_xlfn.IFS(M609=1,"Low",M609=2,"Medium",M609=3,"High",M609=4,"Very High")</f>
        <v>High</v>
      </c>
      <c r="O609" t="s">
        <v>36</v>
      </c>
      <c r="P609" s="2">
        <v>43</v>
      </c>
      <c r="Q609">
        <v>3</v>
      </c>
      <c r="R609" t="str" cm="1">
        <f t="array" ref="R609">_xlfn.IFS(Q609=1,"Low",Q609=2,"Medium",Q609=3,"High",Q609=4,"Very High")</f>
        <v>High</v>
      </c>
      <c r="S609">
        <v>3</v>
      </c>
      <c r="T609" t="str" cm="1">
        <f t="array" ref="T609">_xlfn.IFS(S609=1,"Entry Level",S609=2,"Junior",S609=3,"Mid-Level",S609=4,"Senior",S609=5,"Executive")</f>
        <v>Mid-Level</v>
      </c>
      <c r="U609" t="s">
        <v>37</v>
      </c>
      <c r="V609">
        <v>4</v>
      </c>
      <c r="W609" t="str" cm="1">
        <f t="array" ref="W609">_xlfn.IFS(V609=1,"Low",V609=2,"Medium",V609=3,"High",V609=4,"Very High")</f>
        <v>Very High</v>
      </c>
      <c r="X609" t="s">
        <v>44</v>
      </c>
      <c r="Y609" s="2">
        <v>7654</v>
      </c>
      <c r="Z609" s="2">
        <v>5860</v>
      </c>
      <c r="AA609">
        <v>1</v>
      </c>
      <c r="AB609" t="s">
        <v>39</v>
      </c>
      <c r="AC609">
        <v>18</v>
      </c>
      <c r="AD609">
        <v>3</v>
      </c>
      <c r="AE609" t="str" cm="1">
        <f t="array" ref="AE609">_xlfn.IFS(AD609=1,"Low",AD609=2,"Good",AD609=3,"Excellent",AD609=4,"Outstanding")</f>
        <v>Excellent</v>
      </c>
      <c r="AF609">
        <v>1</v>
      </c>
      <c r="AG609" t="str" cm="1">
        <f t="array" ref="AG609">_xlfn.IFS(AF609=1,"Low",AF609=2,"Medium",AF609=3,"High",AF609=4,"Very High")</f>
        <v>Low</v>
      </c>
      <c r="AH609">
        <v>2</v>
      </c>
      <c r="AI609">
        <v>9</v>
      </c>
      <c r="AJ609">
        <v>3</v>
      </c>
      <c r="AK609">
        <v>4</v>
      </c>
      <c r="AL609" t="str" cm="1">
        <f t="array" ref="AL609">_xlfn.IFS(AK609=1,"Low",AK609=2,"Medium",AK609=3,"High",AK609=4,"Very High")</f>
        <v>Very High</v>
      </c>
      <c r="AM609">
        <v>9</v>
      </c>
      <c r="AN609">
        <v>8</v>
      </c>
      <c r="AO609">
        <v>7</v>
      </c>
      <c r="AP609">
        <v>7</v>
      </c>
    </row>
    <row r="610" spans="1:42">
      <c r="A610">
        <v>55</v>
      </c>
      <c r="B610" t="str" cm="1">
        <f t="array" ref="B610">_xlfn.IFS(A610&lt;=25,"18-25",A610&lt;=35,"26-35",A610&lt;=45,"36-45",A610&lt;=55,"46-55",A610&gt;55,"56+")</f>
        <v>46-55</v>
      </c>
      <c r="C610" t="s">
        <v>32</v>
      </c>
      <c r="D610" t="s">
        <v>33</v>
      </c>
      <c r="E610" s="2">
        <v>436</v>
      </c>
      <c r="F610" t="s">
        <v>34</v>
      </c>
      <c r="G610">
        <v>2</v>
      </c>
      <c r="H610" t="str">
        <f t="shared" si="9"/>
        <v>1-10 km</v>
      </c>
      <c r="I610">
        <v>1</v>
      </c>
      <c r="J610" t="str" cm="1">
        <f t="array" ref="J610">_xlfn.IFS(I610=1,"Below College",I610=2,"College",I610=3,"Bachelor",I610=4,"Master",I610=5,"Doctor")</f>
        <v>Below College</v>
      </c>
      <c r="K610" t="s">
        <v>47</v>
      </c>
      <c r="L610">
        <v>842</v>
      </c>
      <c r="M610">
        <v>3</v>
      </c>
      <c r="N610" t="str" cm="1">
        <f t="array" ref="N610">_xlfn.IFS(M610=1,"Low",M610=2,"Medium",M610=3,"High",M610=4,"Very High")</f>
        <v>High</v>
      </c>
      <c r="O610" t="s">
        <v>42</v>
      </c>
      <c r="P610" s="2">
        <v>37</v>
      </c>
      <c r="Q610">
        <v>3</v>
      </c>
      <c r="R610" t="str" cm="1">
        <f t="array" ref="R610">_xlfn.IFS(Q610=1,"Low",Q610=2,"Medium",Q610=3,"High",Q610=4,"Very High")</f>
        <v>High</v>
      </c>
      <c r="S610">
        <v>2</v>
      </c>
      <c r="T610" t="str" cm="1">
        <f t="array" ref="T610">_xlfn.IFS(S610=1,"Entry Level",S610=2,"Junior",S610=3,"Mid-Level",S610=4,"Senior",S610=5,"Executive")</f>
        <v>Junior</v>
      </c>
      <c r="U610" t="s">
        <v>37</v>
      </c>
      <c r="V610">
        <v>4</v>
      </c>
      <c r="W610" t="str" cm="1">
        <f t="array" ref="W610">_xlfn.IFS(V610=1,"Low",V610=2,"Medium",V610=3,"High",V610=4,"Very High")</f>
        <v>Very High</v>
      </c>
      <c r="X610" t="s">
        <v>38</v>
      </c>
      <c r="Y610" s="2">
        <v>5160</v>
      </c>
      <c r="Z610" s="2">
        <v>21519</v>
      </c>
      <c r="AA610">
        <v>4</v>
      </c>
      <c r="AB610" t="s">
        <v>39</v>
      </c>
      <c r="AC610">
        <v>16</v>
      </c>
      <c r="AD610">
        <v>3</v>
      </c>
      <c r="AE610" t="str" cm="1">
        <f t="array" ref="AE610">_xlfn.IFS(AD610=1,"Low",AD610=2,"Good",AD610=3,"Excellent",AD610=4,"Outstanding")</f>
        <v>Excellent</v>
      </c>
      <c r="AF610">
        <v>3</v>
      </c>
      <c r="AG610" t="str" cm="1">
        <f t="array" ref="AG610">_xlfn.IFS(AF610=1,"Low",AF610=2,"Medium",AF610=3,"High",AF610=4,"Very High")</f>
        <v>High</v>
      </c>
      <c r="AH610">
        <v>0</v>
      </c>
      <c r="AI610">
        <v>12</v>
      </c>
      <c r="AJ610">
        <v>3</v>
      </c>
      <c r="AK610">
        <v>2</v>
      </c>
      <c r="AL610" t="str" cm="1">
        <f t="array" ref="AL610">_xlfn.IFS(AK610=1,"Low",AK610=2,"Medium",AK610=3,"High",AK610=4,"Very High")</f>
        <v>Medium</v>
      </c>
      <c r="AM610">
        <v>9</v>
      </c>
      <c r="AN610">
        <v>7</v>
      </c>
      <c r="AO610">
        <v>7</v>
      </c>
      <c r="AP610">
        <v>3</v>
      </c>
    </row>
    <row r="611" spans="1:42">
      <c r="A611">
        <v>43</v>
      </c>
      <c r="B611" t="str" cm="1">
        <f t="array" ref="B611">_xlfn.IFS(A611&lt;=25,"18-25",A611&lt;=35,"26-35",A611&lt;=45,"36-45",A611&lt;=55,"46-55",A611&gt;55,"56+")</f>
        <v>36-45</v>
      </c>
      <c r="C611" t="s">
        <v>39</v>
      </c>
      <c r="D611" t="s">
        <v>33</v>
      </c>
      <c r="E611" s="2">
        <v>589</v>
      </c>
      <c r="F611" t="s">
        <v>41</v>
      </c>
      <c r="G611">
        <v>14</v>
      </c>
      <c r="H611" t="str">
        <f t="shared" si="9"/>
        <v>11-20 km</v>
      </c>
      <c r="I611">
        <v>2</v>
      </c>
      <c r="J611" t="str" cm="1">
        <f t="array" ref="J611">_xlfn.IFS(I611=1,"Below College",I611=2,"College",I611=3,"Bachelor",I611=4,"Master",I611=5,"Doctor")</f>
        <v>College</v>
      </c>
      <c r="K611" t="s">
        <v>35</v>
      </c>
      <c r="L611">
        <v>843</v>
      </c>
      <c r="M611">
        <v>2</v>
      </c>
      <c r="N611" t="str" cm="1">
        <f t="array" ref="N611">_xlfn.IFS(M611=1,"Low",M611=2,"Medium",M611=3,"High",M611=4,"Very High")</f>
        <v>Medium</v>
      </c>
      <c r="O611" t="s">
        <v>42</v>
      </c>
      <c r="P611" s="2">
        <v>94</v>
      </c>
      <c r="Q611">
        <v>3</v>
      </c>
      <c r="R611" t="str" cm="1">
        <f t="array" ref="R611">_xlfn.IFS(Q611=1,"Low",Q611=2,"Medium",Q611=3,"High",Q611=4,"Very High")</f>
        <v>High</v>
      </c>
      <c r="S611">
        <v>4</v>
      </c>
      <c r="T611" t="str" cm="1">
        <f t="array" ref="T611">_xlfn.IFS(S611=1,"Entry Level",S611=2,"Junior",S611=3,"Mid-Level",S611=4,"Senior",S611=5,"Executive")</f>
        <v>Senior</v>
      </c>
      <c r="U611" t="s">
        <v>54</v>
      </c>
      <c r="V611">
        <v>1</v>
      </c>
      <c r="W611" t="str" cm="1">
        <f t="array" ref="W611">_xlfn.IFS(V611=1,"Low",V611=2,"Medium",V611=3,"High",V611=4,"Very High")</f>
        <v>Low</v>
      </c>
      <c r="X611" t="s">
        <v>44</v>
      </c>
      <c r="Y611" s="2">
        <v>17159</v>
      </c>
      <c r="Z611" s="2">
        <v>5200</v>
      </c>
      <c r="AA611">
        <v>6</v>
      </c>
      <c r="AB611" t="s">
        <v>39</v>
      </c>
      <c r="AC611">
        <v>24</v>
      </c>
      <c r="AD611">
        <v>4</v>
      </c>
      <c r="AE611" t="str" cm="1">
        <f t="array" ref="AE611">_xlfn.IFS(AD611=1,"Low",AD611=2,"Good",AD611=3,"Excellent",AD611=4,"Outstanding")</f>
        <v>Outstanding</v>
      </c>
      <c r="AF611">
        <v>3</v>
      </c>
      <c r="AG611" t="str" cm="1">
        <f t="array" ref="AG611">_xlfn.IFS(AF611=1,"Low",AF611=2,"Medium",AF611=3,"High",AF611=4,"Very High")</f>
        <v>High</v>
      </c>
      <c r="AH611">
        <v>1</v>
      </c>
      <c r="AI611">
        <v>22</v>
      </c>
      <c r="AJ611">
        <v>3</v>
      </c>
      <c r="AK611">
        <v>3</v>
      </c>
      <c r="AL611" t="str" cm="1">
        <f t="array" ref="AL611">_xlfn.IFS(AK611=1,"Low",AK611=2,"Medium",AK611=3,"High",AK611=4,"Very High")</f>
        <v>High</v>
      </c>
      <c r="AM611">
        <v>4</v>
      </c>
      <c r="AN611">
        <v>1</v>
      </c>
      <c r="AO611">
        <v>1</v>
      </c>
      <c r="AP611">
        <v>0</v>
      </c>
    </row>
    <row r="612" spans="1:42">
      <c r="A612">
        <v>27</v>
      </c>
      <c r="B612" t="str" cm="1">
        <f t="array" ref="B612">_xlfn.IFS(A612&lt;=25,"18-25",A612&lt;=35,"26-35",A612&lt;=45,"36-45",A612&lt;=55,"46-55",A612&gt;55,"56+")</f>
        <v>26-35</v>
      </c>
      <c r="C612" t="s">
        <v>39</v>
      </c>
      <c r="D612" t="s">
        <v>33</v>
      </c>
      <c r="E612" s="2">
        <v>269</v>
      </c>
      <c r="F612" t="s">
        <v>41</v>
      </c>
      <c r="G612">
        <v>5</v>
      </c>
      <c r="H612" t="str">
        <f t="shared" si="9"/>
        <v>1-10 km</v>
      </c>
      <c r="I612">
        <v>1</v>
      </c>
      <c r="J612" t="str" cm="1">
        <f t="array" ref="J612">_xlfn.IFS(I612=1,"Below College",I612=2,"College",I612=3,"Bachelor",I612=4,"Master",I612=5,"Doctor")</f>
        <v>Below College</v>
      </c>
      <c r="K612" t="s">
        <v>56</v>
      </c>
      <c r="L612">
        <v>844</v>
      </c>
      <c r="M612">
        <v>3</v>
      </c>
      <c r="N612" t="str" cm="1">
        <f t="array" ref="N612">_xlfn.IFS(M612=1,"Low",M612=2,"Medium",M612=3,"High",M612=4,"Very High")</f>
        <v>High</v>
      </c>
      <c r="O612" t="s">
        <v>42</v>
      </c>
      <c r="P612" s="2">
        <v>42</v>
      </c>
      <c r="Q612">
        <v>2</v>
      </c>
      <c r="R612" t="str" cm="1">
        <f t="array" ref="R612">_xlfn.IFS(Q612=1,"Low",Q612=2,"Medium",Q612=3,"High",Q612=4,"Very High")</f>
        <v>Medium</v>
      </c>
      <c r="S612">
        <v>3</v>
      </c>
      <c r="T612" t="str" cm="1">
        <f t="array" ref="T612">_xlfn.IFS(S612=1,"Entry Level",S612=2,"Junior",S612=3,"Mid-Level",S612=4,"Senior",S612=5,"Executive")</f>
        <v>Mid-Level</v>
      </c>
      <c r="U612" t="s">
        <v>54</v>
      </c>
      <c r="V612">
        <v>4</v>
      </c>
      <c r="W612" t="str" cm="1">
        <f t="array" ref="W612">_xlfn.IFS(V612=1,"Low",V612=2,"Medium",V612=3,"High",V612=4,"Very High")</f>
        <v>Very High</v>
      </c>
      <c r="X612" t="s">
        <v>48</v>
      </c>
      <c r="Y612" s="2">
        <v>12808</v>
      </c>
      <c r="Z612" s="2">
        <v>8842</v>
      </c>
      <c r="AA612">
        <v>1</v>
      </c>
      <c r="AB612" t="s">
        <v>32</v>
      </c>
      <c r="AC612">
        <v>16</v>
      </c>
      <c r="AD612">
        <v>3</v>
      </c>
      <c r="AE612" t="str" cm="1">
        <f t="array" ref="AE612">_xlfn.IFS(AD612=1,"Low",AD612=2,"Good",AD612=3,"Excellent",AD612=4,"Outstanding")</f>
        <v>Excellent</v>
      </c>
      <c r="AF612">
        <v>2</v>
      </c>
      <c r="AG612" t="str" cm="1">
        <f t="array" ref="AG612">_xlfn.IFS(AF612=1,"Low",AF612=2,"Medium",AF612=3,"High",AF612=4,"Very High")</f>
        <v>Medium</v>
      </c>
      <c r="AH612">
        <v>1</v>
      </c>
      <c r="AI612">
        <v>9</v>
      </c>
      <c r="AJ612">
        <v>3</v>
      </c>
      <c r="AK612">
        <v>3</v>
      </c>
      <c r="AL612" t="str" cm="1">
        <f t="array" ref="AL612">_xlfn.IFS(AK612=1,"Low",AK612=2,"Medium",AK612=3,"High",AK612=4,"Very High")</f>
        <v>High</v>
      </c>
      <c r="AM612">
        <v>9</v>
      </c>
      <c r="AN612">
        <v>8</v>
      </c>
      <c r="AO612">
        <v>0</v>
      </c>
      <c r="AP612">
        <v>8</v>
      </c>
    </row>
    <row r="613" spans="1:42">
      <c r="A613">
        <v>35</v>
      </c>
      <c r="B613" t="str" cm="1">
        <f t="array" ref="B613">_xlfn.IFS(A613&lt;=25,"18-25",A613&lt;=35,"26-35",A613&lt;=45,"36-45",A613&lt;=55,"46-55",A613&gt;55,"56+")</f>
        <v>26-35</v>
      </c>
      <c r="C613" t="s">
        <v>39</v>
      </c>
      <c r="D613" t="s">
        <v>33</v>
      </c>
      <c r="E613" s="2">
        <v>950</v>
      </c>
      <c r="F613" t="s">
        <v>41</v>
      </c>
      <c r="G613">
        <v>7</v>
      </c>
      <c r="H613" t="str">
        <f t="shared" si="9"/>
        <v>1-10 km</v>
      </c>
      <c r="I613">
        <v>3</v>
      </c>
      <c r="J613" t="str" cm="1">
        <f t="array" ref="J613">_xlfn.IFS(I613=1,"Below College",I613=2,"College",I613=3,"Bachelor",I613=4,"Master",I613=5,"Doctor")</f>
        <v>Bachelor</v>
      </c>
      <c r="K613" t="s">
        <v>45</v>
      </c>
      <c r="L613">
        <v>845</v>
      </c>
      <c r="M613">
        <v>3</v>
      </c>
      <c r="N613" t="str" cm="1">
        <f t="array" ref="N613">_xlfn.IFS(M613=1,"Low",M613=2,"Medium",M613=3,"High",M613=4,"Very High")</f>
        <v>High</v>
      </c>
      <c r="O613" t="s">
        <v>42</v>
      </c>
      <c r="P613" s="2">
        <v>59</v>
      </c>
      <c r="Q613">
        <v>3</v>
      </c>
      <c r="R613" t="str" cm="1">
        <f t="array" ref="R613">_xlfn.IFS(Q613=1,"Low",Q613=2,"Medium",Q613=3,"High",Q613=4,"Very High")</f>
        <v>High</v>
      </c>
      <c r="S613">
        <v>3</v>
      </c>
      <c r="T613" t="str" cm="1">
        <f t="array" ref="T613">_xlfn.IFS(S613=1,"Entry Level",S613=2,"Junior",S613=3,"Mid-Level",S613=4,"Senior",S613=5,"Executive")</f>
        <v>Mid-Level</v>
      </c>
      <c r="U613" t="s">
        <v>49</v>
      </c>
      <c r="V613">
        <v>3</v>
      </c>
      <c r="W613" t="str" cm="1">
        <f t="array" ref="W613">_xlfn.IFS(V613=1,"Low",V613=2,"Medium",V613=3,"High",V613=4,"Very High")</f>
        <v>High</v>
      </c>
      <c r="X613" t="s">
        <v>38</v>
      </c>
      <c r="Y613" s="2">
        <v>10221</v>
      </c>
      <c r="Z613" s="2">
        <v>18869</v>
      </c>
      <c r="AA613">
        <v>3</v>
      </c>
      <c r="AB613" t="s">
        <v>39</v>
      </c>
      <c r="AC613">
        <v>21</v>
      </c>
      <c r="AD613">
        <v>4</v>
      </c>
      <c r="AE613" t="str" cm="1">
        <f t="array" ref="AE613">_xlfn.IFS(AD613=1,"Low",AD613=2,"Good",AD613=3,"Excellent",AD613=4,"Outstanding")</f>
        <v>Outstanding</v>
      </c>
      <c r="AF613">
        <v>2</v>
      </c>
      <c r="AG613" t="str" cm="1">
        <f t="array" ref="AG613">_xlfn.IFS(AF613=1,"Low",AF613=2,"Medium",AF613=3,"High",AF613=4,"Very High")</f>
        <v>Medium</v>
      </c>
      <c r="AH613">
        <v>0</v>
      </c>
      <c r="AI613">
        <v>17</v>
      </c>
      <c r="AJ613">
        <v>3</v>
      </c>
      <c r="AK613">
        <v>4</v>
      </c>
      <c r="AL613" t="str" cm="1">
        <f t="array" ref="AL613">_xlfn.IFS(AK613=1,"Low",AK613=2,"Medium",AK613=3,"High",AK613=4,"Very High")</f>
        <v>Very High</v>
      </c>
      <c r="AM613">
        <v>8</v>
      </c>
      <c r="AN613">
        <v>5</v>
      </c>
      <c r="AO613">
        <v>1</v>
      </c>
      <c r="AP613">
        <v>6</v>
      </c>
    </row>
    <row r="614" spans="1:42">
      <c r="A614">
        <v>28</v>
      </c>
      <c r="B614" t="str" cm="1">
        <f t="array" ref="B614">_xlfn.IFS(A614&lt;=25,"18-25",A614&lt;=35,"26-35",A614&lt;=45,"36-45",A614&lt;=55,"46-55",A614&gt;55,"56+")</f>
        <v>26-35</v>
      </c>
      <c r="C614" t="s">
        <v>39</v>
      </c>
      <c r="D614" t="s">
        <v>33</v>
      </c>
      <c r="E614" s="2">
        <v>760</v>
      </c>
      <c r="F614" t="s">
        <v>34</v>
      </c>
      <c r="G614">
        <v>2</v>
      </c>
      <c r="H614" t="str">
        <f t="shared" si="9"/>
        <v>1-10 km</v>
      </c>
      <c r="I614">
        <v>4</v>
      </c>
      <c r="J614" t="str" cm="1">
        <f t="array" ref="J614">_xlfn.IFS(I614=1,"Below College",I614=2,"College",I614=3,"Bachelor",I614=4,"Master",I614=5,"Doctor")</f>
        <v>Master</v>
      </c>
      <c r="K614" t="s">
        <v>55</v>
      </c>
      <c r="L614">
        <v>846</v>
      </c>
      <c r="M614">
        <v>2</v>
      </c>
      <c r="N614" t="str" cm="1">
        <f t="array" ref="N614">_xlfn.IFS(M614=1,"Low",M614=2,"Medium",M614=3,"High",M614=4,"Very High")</f>
        <v>Medium</v>
      </c>
      <c r="O614" t="s">
        <v>36</v>
      </c>
      <c r="P614" s="2">
        <v>81</v>
      </c>
      <c r="Q614">
        <v>3</v>
      </c>
      <c r="R614" t="str" cm="1">
        <f t="array" ref="R614">_xlfn.IFS(Q614=1,"Low",Q614=2,"Medium",Q614=3,"High",Q614=4,"Very High")</f>
        <v>High</v>
      </c>
      <c r="S614">
        <v>2</v>
      </c>
      <c r="T614" t="str" cm="1">
        <f t="array" ref="T614">_xlfn.IFS(S614=1,"Entry Level",S614=2,"Junior",S614=3,"Mid-Level",S614=4,"Senior",S614=5,"Executive")</f>
        <v>Junior</v>
      </c>
      <c r="U614" t="s">
        <v>37</v>
      </c>
      <c r="V614">
        <v>2</v>
      </c>
      <c r="W614" t="str" cm="1">
        <f t="array" ref="W614">_xlfn.IFS(V614=1,"Low",V614=2,"Medium",V614=3,"High",V614=4,"Very High")</f>
        <v>Medium</v>
      </c>
      <c r="X614" t="s">
        <v>44</v>
      </c>
      <c r="Y614" s="2">
        <v>4779</v>
      </c>
      <c r="Z614" s="2">
        <v>3698</v>
      </c>
      <c r="AA614">
        <v>1</v>
      </c>
      <c r="AB614" t="s">
        <v>32</v>
      </c>
      <c r="AC614">
        <v>20</v>
      </c>
      <c r="AD614">
        <v>4</v>
      </c>
      <c r="AE614" t="str" cm="1">
        <f t="array" ref="AE614">_xlfn.IFS(AD614=1,"Low",AD614=2,"Good",AD614=3,"Excellent",AD614=4,"Outstanding")</f>
        <v>Outstanding</v>
      </c>
      <c r="AF614">
        <v>1</v>
      </c>
      <c r="AG614" t="str" cm="1">
        <f t="array" ref="AG614">_xlfn.IFS(AF614=1,"Low",AF614=2,"Medium",AF614=3,"High",AF614=4,"Very High")</f>
        <v>Low</v>
      </c>
      <c r="AH614">
        <v>0</v>
      </c>
      <c r="AI614">
        <v>8</v>
      </c>
      <c r="AJ614">
        <v>2</v>
      </c>
      <c r="AK614">
        <v>3</v>
      </c>
      <c r="AL614" t="str" cm="1">
        <f t="array" ref="AL614">_xlfn.IFS(AK614=1,"Low",AK614=2,"Medium",AK614=3,"High",AK614=4,"Very High")</f>
        <v>High</v>
      </c>
      <c r="AM614">
        <v>8</v>
      </c>
      <c r="AN614">
        <v>7</v>
      </c>
      <c r="AO614">
        <v>7</v>
      </c>
      <c r="AP614">
        <v>5</v>
      </c>
    </row>
    <row r="615" spans="1:42">
      <c r="A615">
        <v>34</v>
      </c>
      <c r="B615" t="str" cm="1">
        <f t="array" ref="B615">_xlfn.IFS(A615&lt;=25,"18-25",A615&lt;=35,"26-35",A615&lt;=45,"36-45",A615&lt;=55,"46-55",A615&gt;55,"56+")</f>
        <v>26-35</v>
      </c>
      <c r="C615" t="s">
        <v>39</v>
      </c>
      <c r="D615" t="s">
        <v>33</v>
      </c>
      <c r="E615" s="2">
        <v>829</v>
      </c>
      <c r="F615" t="s">
        <v>57</v>
      </c>
      <c r="G615">
        <v>3</v>
      </c>
      <c r="H615" t="str">
        <f t="shared" si="9"/>
        <v>1-10 km</v>
      </c>
      <c r="I615">
        <v>2</v>
      </c>
      <c r="J615" t="str" cm="1">
        <f t="array" ref="J615">_xlfn.IFS(I615=1,"Below College",I615=2,"College",I615=3,"Bachelor",I615=4,"Master",I615=5,"Doctor")</f>
        <v>College</v>
      </c>
      <c r="K615" t="s">
        <v>57</v>
      </c>
      <c r="L615">
        <v>847</v>
      </c>
      <c r="M615">
        <v>3</v>
      </c>
      <c r="N615" t="str" cm="1">
        <f t="array" ref="N615">_xlfn.IFS(M615=1,"Low",M615=2,"Medium",M615=3,"High",M615=4,"Very High")</f>
        <v>High</v>
      </c>
      <c r="O615" t="s">
        <v>42</v>
      </c>
      <c r="P615" s="2">
        <v>88</v>
      </c>
      <c r="Q615">
        <v>3</v>
      </c>
      <c r="R615" t="str" cm="1">
        <f t="array" ref="R615">_xlfn.IFS(Q615=1,"Low",Q615=2,"Medium",Q615=3,"High",Q615=4,"Very High")</f>
        <v>High</v>
      </c>
      <c r="S615">
        <v>1</v>
      </c>
      <c r="T615" t="str" cm="1">
        <f t="array" ref="T615">_xlfn.IFS(S615=1,"Entry Level",S615=2,"Junior",S615=3,"Mid-Level",S615=4,"Senior",S615=5,"Executive")</f>
        <v>Entry Level</v>
      </c>
      <c r="U615" t="s">
        <v>57</v>
      </c>
      <c r="V615">
        <v>4</v>
      </c>
      <c r="W615" t="str" cm="1">
        <f t="array" ref="W615">_xlfn.IFS(V615=1,"Low",V615=2,"Medium",V615=3,"High",V615=4,"Very High")</f>
        <v>Very High</v>
      </c>
      <c r="X615" t="s">
        <v>44</v>
      </c>
      <c r="Y615" s="2">
        <v>3737</v>
      </c>
      <c r="Z615" s="2">
        <v>2243</v>
      </c>
      <c r="AA615">
        <v>0</v>
      </c>
      <c r="AB615" t="s">
        <v>39</v>
      </c>
      <c r="AC615">
        <v>19</v>
      </c>
      <c r="AD615">
        <v>3</v>
      </c>
      <c r="AE615" t="str" cm="1">
        <f t="array" ref="AE615">_xlfn.IFS(AD615=1,"Low",AD615=2,"Good",AD615=3,"Excellent",AD615=4,"Outstanding")</f>
        <v>Excellent</v>
      </c>
      <c r="AF615">
        <v>3</v>
      </c>
      <c r="AG615" t="str" cm="1">
        <f t="array" ref="AG615">_xlfn.IFS(AF615=1,"Low",AF615=2,"Medium",AF615=3,"High",AF615=4,"Very High")</f>
        <v>High</v>
      </c>
      <c r="AH615">
        <v>1</v>
      </c>
      <c r="AI615">
        <v>4</v>
      </c>
      <c r="AJ615">
        <v>1</v>
      </c>
      <c r="AK615">
        <v>1</v>
      </c>
      <c r="AL615" t="str" cm="1">
        <f t="array" ref="AL615">_xlfn.IFS(AK615=1,"Low",AK615=2,"Medium",AK615=3,"High",AK615=4,"Very High")</f>
        <v>Low</v>
      </c>
      <c r="AM615">
        <v>3</v>
      </c>
      <c r="AN615">
        <v>2</v>
      </c>
      <c r="AO615">
        <v>0</v>
      </c>
      <c r="AP615">
        <v>2</v>
      </c>
    </row>
    <row r="616" spans="1:42">
      <c r="A616">
        <v>26</v>
      </c>
      <c r="B616" t="str" cm="1">
        <f t="array" ref="B616">_xlfn.IFS(A616&lt;=25,"18-25",A616&lt;=35,"26-35",A616&lt;=45,"36-45",A616&lt;=55,"46-55",A616&gt;55,"56+")</f>
        <v>26-35</v>
      </c>
      <c r="C616" t="s">
        <v>32</v>
      </c>
      <c r="D616" t="s">
        <v>40</v>
      </c>
      <c r="E616" s="2">
        <v>887</v>
      </c>
      <c r="F616" t="s">
        <v>41</v>
      </c>
      <c r="G616">
        <v>5</v>
      </c>
      <c r="H616" t="str">
        <f t="shared" si="9"/>
        <v>1-10 km</v>
      </c>
      <c r="I616">
        <v>2</v>
      </c>
      <c r="J616" t="str" cm="1">
        <f t="array" ref="J616">_xlfn.IFS(I616=1,"Below College",I616=2,"College",I616=3,"Bachelor",I616=4,"Master",I616=5,"Doctor")</f>
        <v>College</v>
      </c>
      <c r="K616" t="s">
        <v>47</v>
      </c>
      <c r="L616">
        <v>848</v>
      </c>
      <c r="M616">
        <v>3</v>
      </c>
      <c r="N616" t="str" cm="1">
        <f t="array" ref="N616">_xlfn.IFS(M616=1,"Low",M616=2,"Medium",M616=3,"High",M616=4,"Very High")</f>
        <v>High</v>
      </c>
      <c r="O616" t="s">
        <v>36</v>
      </c>
      <c r="P616" s="2">
        <v>88</v>
      </c>
      <c r="Q616">
        <v>2</v>
      </c>
      <c r="R616" t="str" cm="1">
        <f t="array" ref="R616">_xlfn.IFS(Q616=1,"Low",Q616=2,"Medium",Q616=3,"High",Q616=4,"Very High")</f>
        <v>Medium</v>
      </c>
      <c r="S616">
        <v>1</v>
      </c>
      <c r="T616" t="str" cm="1">
        <f t="array" ref="T616">_xlfn.IFS(S616=1,"Entry Level",S616=2,"Junior",S616=3,"Mid-Level",S616=4,"Senior",S616=5,"Executive")</f>
        <v>Entry Level</v>
      </c>
      <c r="U616" t="s">
        <v>43</v>
      </c>
      <c r="V616">
        <v>3</v>
      </c>
      <c r="W616" t="str" cm="1">
        <f t="array" ref="W616">_xlfn.IFS(V616=1,"Low",V616=2,"Medium",V616=3,"High",V616=4,"Very High")</f>
        <v>High</v>
      </c>
      <c r="X616" t="s">
        <v>44</v>
      </c>
      <c r="Y616" s="2">
        <v>2366</v>
      </c>
      <c r="Z616" s="2">
        <v>20898</v>
      </c>
      <c r="AA616">
        <v>1</v>
      </c>
      <c r="AB616" t="s">
        <v>32</v>
      </c>
      <c r="AC616">
        <v>14</v>
      </c>
      <c r="AD616">
        <v>3</v>
      </c>
      <c r="AE616" t="str" cm="1">
        <f t="array" ref="AE616">_xlfn.IFS(AD616=1,"Low",AD616=2,"Good",AD616=3,"Excellent",AD616=4,"Outstanding")</f>
        <v>Excellent</v>
      </c>
      <c r="AF616">
        <v>1</v>
      </c>
      <c r="AG616" t="str" cm="1">
        <f t="array" ref="AG616">_xlfn.IFS(AF616=1,"Low",AF616=2,"Medium",AF616=3,"High",AF616=4,"Very High")</f>
        <v>Low</v>
      </c>
      <c r="AH616">
        <v>1</v>
      </c>
      <c r="AI616">
        <v>8</v>
      </c>
      <c r="AJ616">
        <v>2</v>
      </c>
      <c r="AK616">
        <v>3</v>
      </c>
      <c r="AL616" t="str" cm="1">
        <f t="array" ref="AL616">_xlfn.IFS(AK616=1,"Low",AK616=2,"Medium",AK616=3,"High",AK616=4,"Very High")</f>
        <v>High</v>
      </c>
      <c r="AM616">
        <v>8</v>
      </c>
      <c r="AN616">
        <v>7</v>
      </c>
      <c r="AO616">
        <v>1</v>
      </c>
      <c r="AP616">
        <v>7</v>
      </c>
    </row>
    <row r="617" spans="1:42">
      <c r="A617">
        <v>27</v>
      </c>
      <c r="B617" t="str" cm="1">
        <f t="array" ref="B617">_xlfn.IFS(A617&lt;=25,"18-25",A617&lt;=35,"26-35",A617&lt;=45,"36-45",A617&lt;=55,"46-55",A617&gt;55,"56+")</f>
        <v>26-35</v>
      </c>
      <c r="C617" t="s">
        <v>39</v>
      </c>
      <c r="D617" t="s">
        <v>51</v>
      </c>
      <c r="E617" s="2">
        <v>443</v>
      </c>
      <c r="F617" t="s">
        <v>41</v>
      </c>
      <c r="G617">
        <v>3</v>
      </c>
      <c r="H617" t="str">
        <f t="shared" si="9"/>
        <v>1-10 km</v>
      </c>
      <c r="I617">
        <v>3</v>
      </c>
      <c r="J617" t="str" cm="1">
        <f t="array" ref="J617">_xlfn.IFS(I617=1,"Below College",I617=2,"College",I617=3,"Bachelor",I617=4,"Master",I617=5,"Doctor")</f>
        <v>Bachelor</v>
      </c>
      <c r="K617" t="s">
        <v>47</v>
      </c>
      <c r="L617">
        <v>850</v>
      </c>
      <c r="M617">
        <v>4</v>
      </c>
      <c r="N617" t="str" cm="1">
        <f t="array" ref="N617">_xlfn.IFS(M617=1,"Low",M617=2,"Medium",M617=3,"High",M617=4,"Very High")</f>
        <v>Very High</v>
      </c>
      <c r="O617" t="s">
        <v>42</v>
      </c>
      <c r="P617" s="2">
        <v>50</v>
      </c>
      <c r="Q617">
        <v>3</v>
      </c>
      <c r="R617" t="str" cm="1">
        <f t="array" ref="R617">_xlfn.IFS(Q617=1,"Low",Q617=2,"Medium",Q617=3,"High",Q617=4,"Very High")</f>
        <v>High</v>
      </c>
      <c r="S617">
        <v>1</v>
      </c>
      <c r="T617" t="str" cm="1">
        <f t="array" ref="T617">_xlfn.IFS(S617=1,"Entry Level",S617=2,"Junior",S617=3,"Mid-Level",S617=4,"Senior",S617=5,"Executive")</f>
        <v>Entry Level</v>
      </c>
      <c r="U617" t="s">
        <v>43</v>
      </c>
      <c r="V617">
        <v>4</v>
      </c>
      <c r="W617" t="str" cm="1">
        <f t="array" ref="W617">_xlfn.IFS(V617=1,"Low",V617=2,"Medium",V617=3,"High",V617=4,"Very High")</f>
        <v>Very High</v>
      </c>
      <c r="X617" t="s">
        <v>44</v>
      </c>
      <c r="Y617" s="2">
        <v>1706</v>
      </c>
      <c r="Z617" s="2">
        <v>16571</v>
      </c>
      <c r="AA617">
        <v>1</v>
      </c>
      <c r="AB617" t="s">
        <v>39</v>
      </c>
      <c r="AC617">
        <v>11</v>
      </c>
      <c r="AD617">
        <v>3</v>
      </c>
      <c r="AE617" t="str" cm="1">
        <f t="array" ref="AE617">_xlfn.IFS(AD617=1,"Low",AD617=2,"Good",AD617=3,"Excellent",AD617=4,"Outstanding")</f>
        <v>Excellent</v>
      </c>
      <c r="AF617">
        <v>3</v>
      </c>
      <c r="AG617" t="str" cm="1">
        <f t="array" ref="AG617">_xlfn.IFS(AF617=1,"Low",AF617=2,"Medium",AF617=3,"High",AF617=4,"Very High")</f>
        <v>High</v>
      </c>
      <c r="AH617">
        <v>3</v>
      </c>
      <c r="AI617">
        <v>0</v>
      </c>
      <c r="AJ617">
        <v>6</v>
      </c>
      <c r="AK617">
        <v>2</v>
      </c>
      <c r="AL617" t="str" cm="1">
        <f t="array" ref="AL617">_xlfn.IFS(AK617=1,"Low",AK617=2,"Medium",AK617=3,"High",AK617=4,"Very High")</f>
        <v>Medium</v>
      </c>
      <c r="AM617">
        <v>0</v>
      </c>
      <c r="AN617">
        <v>0</v>
      </c>
      <c r="AO617">
        <v>0</v>
      </c>
      <c r="AP617">
        <v>0</v>
      </c>
    </row>
    <row r="618" spans="1:42">
      <c r="A618">
        <v>51</v>
      </c>
      <c r="B618" t="str" cm="1">
        <f t="array" ref="B618">_xlfn.IFS(A618&lt;=25,"18-25",A618&lt;=35,"26-35",A618&lt;=45,"36-45",A618&lt;=55,"46-55",A618&gt;55,"56+")</f>
        <v>46-55</v>
      </c>
      <c r="C618" t="s">
        <v>39</v>
      </c>
      <c r="D618" t="s">
        <v>33</v>
      </c>
      <c r="E618" s="2">
        <v>1318</v>
      </c>
      <c r="F618" t="s">
        <v>34</v>
      </c>
      <c r="G618">
        <v>26</v>
      </c>
      <c r="H618" t="str">
        <f t="shared" si="9"/>
        <v>21-30 km</v>
      </c>
      <c r="I618">
        <v>4</v>
      </c>
      <c r="J618" t="str" cm="1">
        <f t="array" ref="J618">_xlfn.IFS(I618=1,"Below College",I618=2,"College",I618=3,"Bachelor",I618=4,"Master",I618=5,"Doctor")</f>
        <v>Master</v>
      </c>
      <c r="K618" t="s">
        <v>55</v>
      </c>
      <c r="L618">
        <v>851</v>
      </c>
      <c r="M618">
        <v>1</v>
      </c>
      <c r="N618" t="str" cm="1">
        <f t="array" ref="N618">_xlfn.IFS(M618=1,"Low",M618=2,"Medium",M618=3,"High",M618=4,"Very High")</f>
        <v>Low</v>
      </c>
      <c r="O618" t="s">
        <v>36</v>
      </c>
      <c r="P618" s="2">
        <v>66</v>
      </c>
      <c r="Q618">
        <v>3</v>
      </c>
      <c r="R618" t="str" cm="1">
        <f t="array" ref="R618">_xlfn.IFS(Q618=1,"Low",Q618=2,"Medium",Q618=3,"High",Q618=4,"Very High")</f>
        <v>High</v>
      </c>
      <c r="S618">
        <v>4</v>
      </c>
      <c r="T618" t="str" cm="1">
        <f t="array" ref="T618">_xlfn.IFS(S618=1,"Entry Level",S618=2,"Junior",S618=3,"Mid-Level",S618=4,"Senior",S618=5,"Executive")</f>
        <v>Senior</v>
      </c>
      <c r="U618" t="s">
        <v>52</v>
      </c>
      <c r="V618">
        <v>3</v>
      </c>
      <c r="W618" t="str" cm="1">
        <f t="array" ref="W618">_xlfn.IFS(V618=1,"Low",V618=2,"Medium",V618=3,"High",V618=4,"Very High")</f>
        <v>High</v>
      </c>
      <c r="X618" t="s">
        <v>44</v>
      </c>
      <c r="Y618" s="2">
        <v>16307</v>
      </c>
      <c r="Z618" s="2">
        <v>5594</v>
      </c>
      <c r="AA618">
        <v>2</v>
      </c>
      <c r="AB618" t="s">
        <v>39</v>
      </c>
      <c r="AC618">
        <v>14</v>
      </c>
      <c r="AD618">
        <v>3</v>
      </c>
      <c r="AE618" t="str" cm="1">
        <f t="array" ref="AE618">_xlfn.IFS(AD618=1,"Low",AD618=2,"Good",AD618=3,"Excellent",AD618=4,"Outstanding")</f>
        <v>Excellent</v>
      </c>
      <c r="AF618">
        <v>3</v>
      </c>
      <c r="AG618" t="str" cm="1">
        <f t="array" ref="AG618">_xlfn.IFS(AF618=1,"Low",AF618=2,"Medium",AF618=3,"High",AF618=4,"Very High")</f>
        <v>High</v>
      </c>
      <c r="AH618">
        <v>1</v>
      </c>
      <c r="AI618">
        <v>29</v>
      </c>
      <c r="AJ618">
        <v>2</v>
      </c>
      <c r="AK618">
        <v>2</v>
      </c>
      <c r="AL618" t="str" cm="1">
        <f t="array" ref="AL618">_xlfn.IFS(AK618=1,"Low",AK618=2,"Medium",AK618=3,"High",AK618=4,"Very High")</f>
        <v>Medium</v>
      </c>
      <c r="AM618">
        <v>20</v>
      </c>
      <c r="AN618">
        <v>6</v>
      </c>
      <c r="AO618">
        <v>4</v>
      </c>
      <c r="AP618">
        <v>17</v>
      </c>
    </row>
    <row r="619" spans="1:42">
      <c r="A619">
        <v>44</v>
      </c>
      <c r="B619" t="str" cm="1">
        <f t="array" ref="B619">_xlfn.IFS(A619&lt;=25,"18-25",A619&lt;=35,"26-35",A619&lt;=45,"36-45",A619&lt;=55,"46-55",A619&gt;55,"56+")</f>
        <v>36-45</v>
      </c>
      <c r="C619" t="s">
        <v>39</v>
      </c>
      <c r="D619" t="s">
        <v>33</v>
      </c>
      <c r="E619" s="2">
        <v>625</v>
      </c>
      <c r="F619" t="s">
        <v>41</v>
      </c>
      <c r="G619">
        <v>4</v>
      </c>
      <c r="H619" t="str">
        <f t="shared" si="9"/>
        <v>1-10 km</v>
      </c>
      <c r="I619">
        <v>3</v>
      </c>
      <c r="J619" t="str" cm="1">
        <f t="array" ref="J619">_xlfn.IFS(I619=1,"Below College",I619=2,"College",I619=3,"Bachelor",I619=4,"Master",I619=5,"Doctor")</f>
        <v>Bachelor</v>
      </c>
      <c r="K619" t="s">
        <v>47</v>
      </c>
      <c r="L619">
        <v>852</v>
      </c>
      <c r="M619">
        <v>4</v>
      </c>
      <c r="N619" t="str" cm="1">
        <f t="array" ref="N619">_xlfn.IFS(M619=1,"Low",M619=2,"Medium",M619=3,"High",M619=4,"Very High")</f>
        <v>Very High</v>
      </c>
      <c r="O619" t="s">
        <v>42</v>
      </c>
      <c r="P619" s="2">
        <v>50</v>
      </c>
      <c r="Q619">
        <v>3</v>
      </c>
      <c r="R619" t="str" cm="1">
        <f t="array" ref="R619">_xlfn.IFS(Q619=1,"Low",Q619=2,"Medium",Q619=3,"High",Q619=4,"Very High")</f>
        <v>High</v>
      </c>
      <c r="S619">
        <v>2</v>
      </c>
      <c r="T619" t="str" cm="1">
        <f t="array" ref="T619">_xlfn.IFS(S619=1,"Entry Level",S619=2,"Junior",S619=3,"Mid-Level",S619=4,"Senior",S619=5,"Executive")</f>
        <v>Junior</v>
      </c>
      <c r="U619" t="s">
        <v>50</v>
      </c>
      <c r="V619">
        <v>2</v>
      </c>
      <c r="W619" t="str" cm="1">
        <f t="array" ref="W619">_xlfn.IFS(V619=1,"Low",V619=2,"Medium",V619=3,"High",V619=4,"Very High")</f>
        <v>Medium</v>
      </c>
      <c r="X619" t="s">
        <v>38</v>
      </c>
      <c r="Y619" s="2">
        <v>5933</v>
      </c>
      <c r="Z619" s="2">
        <v>5197</v>
      </c>
      <c r="AA619">
        <v>9</v>
      </c>
      <c r="AB619" t="s">
        <v>39</v>
      </c>
      <c r="AC619">
        <v>12</v>
      </c>
      <c r="AD619">
        <v>3</v>
      </c>
      <c r="AE619" t="str" cm="1">
        <f t="array" ref="AE619">_xlfn.IFS(AD619=1,"Low",AD619=2,"Good",AD619=3,"Excellent",AD619=4,"Outstanding")</f>
        <v>Excellent</v>
      </c>
      <c r="AF619">
        <v>4</v>
      </c>
      <c r="AG619" t="str" cm="1">
        <f t="array" ref="AG619">_xlfn.IFS(AF619=1,"Low",AF619=2,"Medium",AF619=3,"High",AF619=4,"Very High")</f>
        <v>Very High</v>
      </c>
      <c r="AH619">
        <v>0</v>
      </c>
      <c r="AI619">
        <v>10</v>
      </c>
      <c r="AJ619">
        <v>2</v>
      </c>
      <c r="AK619">
        <v>2</v>
      </c>
      <c r="AL619" t="str" cm="1">
        <f t="array" ref="AL619">_xlfn.IFS(AK619=1,"Low",AK619=2,"Medium",AK619=3,"High",AK619=4,"Very High")</f>
        <v>Medium</v>
      </c>
      <c r="AM619">
        <v>5</v>
      </c>
      <c r="AN619">
        <v>2</v>
      </c>
      <c r="AO619">
        <v>2</v>
      </c>
      <c r="AP619">
        <v>3</v>
      </c>
    </row>
    <row r="620" spans="1:42">
      <c r="A620">
        <v>25</v>
      </c>
      <c r="B620" t="str" cm="1">
        <f t="array" ref="B620">_xlfn.IFS(A620&lt;=25,"18-25",A620&lt;=35,"26-35",A620&lt;=45,"36-45",A620&lt;=55,"46-55",A620&gt;55,"56+")</f>
        <v>18-25</v>
      </c>
      <c r="C620" t="s">
        <v>39</v>
      </c>
      <c r="D620" t="s">
        <v>33</v>
      </c>
      <c r="E620" s="2">
        <v>180</v>
      </c>
      <c r="F620" t="s">
        <v>41</v>
      </c>
      <c r="G620">
        <v>2</v>
      </c>
      <c r="H620" t="str">
        <f t="shared" si="9"/>
        <v>1-10 km</v>
      </c>
      <c r="I620">
        <v>1</v>
      </c>
      <c r="J620" t="str" cm="1">
        <f t="array" ref="J620">_xlfn.IFS(I620=1,"Below College",I620=2,"College",I620=3,"Bachelor",I620=4,"Master",I620=5,"Doctor")</f>
        <v>Below College</v>
      </c>
      <c r="K620" t="s">
        <v>47</v>
      </c>
      <c r="L620">
        <v>854</v>
      </c>
      <c r="M620">
        <v>1</v>
      </c>
      <c r="N620" t="str" cm="1">
        <f t="array" ref="N620">_xlfn.IFS(M620=1,"Low",M620=2,"Medium",M620=3,"High",M620=4,"Very High")</f>
        <v>Low</v>
      </c>
      <c r="O620" t="s">
        <v>42</v>
      </c>
      <c r="P620" s="2">
        <v>65</v>
      </c>
      <c r="Q620">
        <v>4</v>
      </c>
      <c r="R620" t="str" cm="1">
        <f t="array" ref="R620">_xlfn.IFS(Q620=1,"Low",Q620=2,"Medium",Q620=3,"High",Q620=4,"Very High")</f>
        <v>Very High</v>
      </c>
      <c r="S620">
        <v>1</v>
      </c>
      <c r="T620" t="str" cm="1">
        <f t="array" ref="T620">_xlfn.IFS(S620=1,"Entry Level",S620=2,"Junior",S620=3,"Mid-Level",S620=4,"Senior",S620=5,"Executive")</f>
        <v>Entry Level</v>
      </c>
      <c r="U620" t="s">
        <v>43</v>
      </c>
      <c r="V620">
        <v>1</v>
      </c>
      <c r="W620" t="str" cm="1">
        <f t="array" ref="W620">_xlfn.IFS(V620=1,"Low",V620=2,"Medium",V620=3,"High",V620=4,"Very High")</f>
        <v>Low</v>
      </c>
      <c r="X620" t="s">
        <v>38</v>
      </c>
      <c r="Y620" s="2">
        <v>3424</v>
      </c>
      <c r="Z620" s="2">
        <v>21632</v>
      </c>
      <c r="AA620">
        <v>7</v>
      </c>
      <c r="AB620" t="s">
        <v>39</v>
      </c>
      <c r="AC620">
        <v>13</v>
      </c>
      <c r="AD620">
        <v>3</v>
      </c>
      <c r="AE620" t="str" cm="1">
        <f t="array" ref="AE620">_xlfn.IFS(AD620=1,"Low",AD620=2,"Good",AD620=3,"Excellent",AD620=4,"Outstanding")</f>
        <v>Excellent</v>
      </c>
      <c r="AF620">
        <v>3</v>
      </c>
      <c r="AG620" t="str" cm="1">
        <f t="array" ref="AG620">_xlfn.IFS(AF620=1,"Low",AF620=2,"Medium",AF620=3,"High",AF620=4,"Very High")</f>
        <v>High</v>
      </c>
      <c r="AH620">
        <v>0</v>
      </c>
      <c r="AI620">
        <v>6</v>
      </c>
      <c r="AJ620">
        <v>3</v>
      </c>
      <c r="AK620">
        <v>2</v>
      </c>
      <c r="AL620" t="str" cm="1">
        <f t="array" ref="AL620">_xlfn.IFS(AK620=1,"Low",AK620=2,"Medium",AK620=3,"High",AK620=4,"Very High")</f>
        <v>Medium</v>
      </c>
      <c r="AM620">
        <v>4</v>
      </c>
      <c r="AN620">
        <v>3</v>
      </c>
      <c r="AO620">
        <v>0</v>
      </c>
      <c r="AP620">
        <v>1</v>
      </c>
    </row>
    <row r="621" spans="1:42">
      <c r="A621">
        <v>33</v>
      </c>
      <c r="B621" t="str" cm="1">
        <f t="array" ref="B621">_xlfn.IFS(A621&lt;=25,"18-25",A621&lt;=35,"26-35",A621&lt;=45,"36-45",A621&lt;=55,"46-55",A621&gt;55,"56+")</f>
        <v>26-35</v>
      </c>
      <c r="C621" t="s">
        <v>39</v>
      </c>
      <c r="D621" t="s">
        <v>33</v>
      </c>
      <c r="E621" s="2">
        <v>586</v>
      </c>
      <c r="F621" t="s">
        <v>34</v>
      </c>
      <c r="G621">
        <v>1</v>
      </c>
      <c r="H621" t="str">
        <f t="shared" si="9"/>
        <v>1-10 km</v>
      </c>
      <c r="I621">
        <v>3</v>
      </c>
      <c r="J621" t="str" cm="1">
        <f t="array" ref="J621">_xlfn.IFS(I621=1,"Below College",I621=2,"College",I621=3,"Bachelor",I621=4,"Master",I621=5,"Doctor")</f>
        <v>Bachelor</v>
      </c>
      <c r="K621" t="s">
        <v>47</v>
      </c>
      <c r="L621">
        <v>855</v>
      </c>
      <c r="M621">
        <v>1</v>
      </c>
      <c r="N621" t="str" cm="1">
        <f t="array" ref="N621">_xlfn.IFS(M621=1,"Low",M621=2,"Medium",M621=3,"High",M621=4,"Very High")</f>
        <v>Low</v>
      </c>
      <c r="O621" t="s">
        <v>42</v>
      </c>
      <c r="P621" s="2">
        <v>48</v>
      </c>
      <c r="Q621">
        <v>4</v>
      </c>
      <c r="R621" t="str" cm="1">
        <f t="array" ref="R621">_xlfn.IFS(Q621=1,"Low",Q621=2,"Medium",Q621=3,"High",Q621=4,"Very High")</f>
        <v>Very High</v>
      </c>
      <c r="S621">
        <v>2</v>
      </c>
      <c r="T621" t="str" cm="1">
        <f t="array" ref="T621">_xlfn.IFS(S621=1,"Entry Level",S621=2,"Junior",S621=3,"Mid-Level",S621=4,"Senior",S621=5,"Executive")</f>
        <v>Junior</v>
      </c>
      <c r="U621" t="s">
        <v>37</v>
      </c>
      <c r="V621">
        <v>1</v>
      </c>
      <c r="W621" t="str" cm="1">
        <f t="array" ref="W621">_xlfn.IFS(V621=1,"Low",V621=2,"Medium",V621=3,"High",V621=4,"Very High")</f>
        <v>Low</v>
      </c>
      <c r="X621" t="s">
        <v>48</v>
      </c>
      <c r="Y621" s="2">
        <v>4037</v>
      </c>
      <c r="Z621" s="2">
        <v>21816</v>
      </c>
      <c r="AA621">
        <v>1</v>
      </c>
      <c r="AB621" t="s">
        <v>39</v>
      </c>
      <c r="AC621">
        <v>22</v>
      </c>
      <c r="AD621">
        <v>4</v>
      </c>
      <c r="AE621" t="str" cm="1">
        <f t="array" ref="AE621">_xlfn.IFS(AD621=1,"Low",AD621=2,"Good",AD621=3,"Excellent",AD621=4,"Outstanding")</f>
        <v>Outstanding</v>
      </c>
      <c r="AF621">
        <v>1</v>
      </c>
      <c r="AG621" t="str" cm="1">
        <f t="array" ref="AG621">_xlfn.IFS(AF621=1,"Low",AF621=2,"Medium",AF621=3,"High",AF621=4,"Very High")</f>
        <v>Low</v>
      </c>
      <c r="AH621">
        <v>1</v>
      </c>
      <c r="AI621">
        <v>9</v>
      </c>
      <c r="AJ621">
        <v>5</v>
      </c>
      <c r="AK621">
        <v>3</v>
      </c>
      <c r="AL621" t="str" cm="1">
        <f t="array" ref="AL621">_xlfn.IFS(AK621=1,"Low",AK621=2,"Medium",AK621=3,"High",AK621=4,"Very High")</f>
        <v>High</v>
      </c>
      <c r="AM621">
        <v>9</v>
      </c>
      <c r="AN621">
        <v>8</v>
      </c>
      <c r="AO621">
        <v>0</v>
      </c>
      <c r="AP621">
        <v>8</v>
      </c>
    </row>
    <row r="622" spans="1:42">
      <c r="A622">
        <v>35</v>
      </c>
      <c r="B622" t="str" cm="1">
        <f t="array" ref="B622">_xlfn.IFS(A622&lt;=25,"18-25",A622&lt;=35,"26-35",A622&lt;=45,"36-45",A622&lt;=55,"46-55",A622&gt;55,"56+")</f>
        <v>26-35</v>
      </c>
      <c r="C622" t="s">
        <v>39</v>
      </c>
      <c r="D622" t="s">
        <v>33</v>
      </c>
      <c r="E622" s="2">
        <v>1343</v>
      </c>
      <c r="F622" t="s">
        <v>41</v>
      </c>
      <c r="G622">
        <v>27</v>
      </c>
      <c r="H622" t="str">
        <f t="shared" si="9"/>
        <v>21-30 km</v>
      </c>
      <c r="I622">
        <v>1</v>
      </c>
      <c r="J622" t="str" cm="1">
        <f t="array" ref="J622">_xlfn.IFS(I622=1,"Below College",I622=2,"College",I622=3,"Bachelor",I622=4,"Master",I622=5,"Doctor")</f>
        <v>Below College</v>
      </c>
      <c r="K622" t="s">
        <v>47</v>
      </c>
      <c r="L622">
        <v>856</v>
      </c>
      <c r="M622">
        <v>3</v>
      </c>
      <c r="N622" t="str" cm="1">
        <f t="array" ref="N622">_xlfn.IFS(M622=1,"Low",M622=2,"Medium",M622=3,"High",M622=4,"Very High")</f>
        <v>High</v>
      </c>
      <c r="O622" t="s">
        <v>36</v>
      </c>
      <c r="P622" s="2">
        <v>53</v>
      </c>
      <c r="Q622">
        <v>2</v>
      </c>
      <c r="R622" t="str" cm="1">
        <f t="array" ref="R622">_xlfn.IFS(Q622=1,"Low",Q622=2,"Medium",Q622=3,"High",Q622=4,"Very High")</f>
        <v>Medium</v>
      </c>
      <c r="S622">
        <v>1</v>
      </c>
      <c r="T622" t="str" cm="1">
        <f t="array" ref="T622">_xlfn.IFS(S622=1,"Entry Level",S622=2,"Junior",S622=3,"Mid-Level",S622=4,"Senior",S622=5,"Executive")</f>
        <v>Entry Level</v>
      </c>
      <c r="U622" t="s">
        <v>43</v>
      </c>
      <c r="V622">
        <v>1</v>
      </c>
      <c r="W622" t="str" cm="1">
        <f t="array" ref="W622">_xlfn.IFS(V622=1,"Low",V622=2,"Medium",V622=3,"High",V622=4,"Very High")</f>
        <v>Low</v>
      </c>
      <c r="X622" t="s">
        <v>38</v>
      </c>
      <c r="Y622" s="2">
        <v>2559</v>
      </c>
      <c r="Z622" s="2">
        <v>17852</v>
      </c>
      <c r="AA622">
        <v>1</v>
      </c>
      <c r="AB622" t="s">
        <v>39</v>
      </c>
      <c r="AC622">
        <v>11</v>
      </c>
      <c r="AD622">
        <v>3</v>
      </c>
      <c r="AE622" t="str" cm="1">
        <f t="array" ref="AE622">_xlfn.IFS(AD622=1,"Low",AD622=2,"Good",AD622=3,"Excellent",AD622=4,"Outstanding")</f>
        <v>Excellent</v>
      </c>
      <c r="AF622">
        <v>4</v>
      </c>
      <c r="AG622" t="str" cm="1">
        <f t="array" ref="AG622">_xlfn.IFS(AF622=1,"Low",AF622=2,"Medium",AF622=3,"High",AF622=4,"Very High")</f>
        <v>Very High</v>
      </c>
      <c r="AH622">
        <v>0</v>
      </c>
      <c r="AI622">
        <v>6</v>
      </c>
      <c r="AJ622">
        <v>3</v>
      </c>
      <c r="AK622">
        <v>2</v>
      </c>
      <c r="AL622" t="str" cm="1">
        <f t="array" ref="AL622">_xlfn.IFS(AK622=1,"Low",AK622=2,"Medium",AK622=3,"High",AK622=4,"Very High")</f>
        <v>Medium</v>
      </c>
      <c r="AM622">
        <v>6</v>
      </c>
      <c r="AN622">
        <v>5</v>
      </c>
      <c r="AO622">
        <v>1</v>
      </c>
      <c r="AP622">
        <v>1</v>
      </c>
    </row>
    <row r="623" spans="1:42">
      <c r="A623">
        <v>36</v>
      </c>
      <c r="B623" t="str" cm="1">
        <f t="array" ref="B623">_xlfn.IFS(A623&lt;=25,"18-25",A623&lt;=35,"26-35",A623&lt;=45,"36-45",A623&lt;=55,"46-55",A623&gt;55,"56+")</f>
        <v>36-45</v>
      </c>
      <c r="C623" t="s">
        <v>39</v>
      </c>
      <c r="D623" t="s">
        <v>33</v>
      </c>
      <c r="E623" s="2">
        <v>928</v>
      </c>
      <c r="F623" t="s">
        <v>34</v>
      </c>
      <c r="G623">
        <v>1</v>
      </c>
      <c r="H623" t="str">
        <f t="shared" si="9"/>
        <v>1-10 km</v>
      </c>
      <c r="I623">
        <v>2</v>
      </c>
      <c r="J623" t="str" cm="1">
        <f t="array" ref="J623">_xlfn.IFS(I623=1,"Below College",I623=2,"College",I623=3,"Bachelor",I623=4,"Master",I623=5,"Doctor")</f>
        <v>College</v>
      </c>
      <c r="K623" t="s">
        <v>35</v>
      </c>
      <c r="L623">
        <v>857</v>
      </c>
      <c r="M623">
        <v>2</v>
      </c>
      <c r="N623" t="str" cm="1">
        <f t="array" ref="N623">_xlfn.IFS(M623=1,"Low",M623=2,"Medium",M623=3,"High",M623=4,"Very High")</f>
        <v>Medium</v>
      </c>
      <c r="O623" t="s">
        <v>42</v>
      </c>
      <c r="P623" s="2">
        <v>56</v>
      </c>
      <c r="Q623">
        <v>3</v>
      </c>
      <c r="R623" t="str" cm="1">
        <f t="array" ref="R623">_xlfn.IFS(Q623=1,"Low",Q623=2,"Medium",Q623=3,"High",Q623=4,"Very High")</f>
        <v>High</v>
      </c>
      <c r="S623">
        <v>2</v>
      </c>
      <c r="T623" t="str" cm="1">
        <f t="array" ref="T623">_xlfn.IFS(S623=1,"Entry Level",S623=2,"Junior",S623=3,"Mid-Level",S623=4,"Senior",S623=5,"Executive")</f>
        <v>Junior</v>
      </c>
      <c r="U623" t="s">
        <v>37</v>
      </c>
      <c r="V623">
        <v>4</v>
      </c>
      <c r="W623" t="str" cm="1">
        <f t="array" ref="W623">_xlfn.IFS(V623=1,"Low",V623=2,"Medium",V623=3,"High",V623=4,"Very High")</f>
        <v>Very High</v>
      </c>
      <c r="X623" t="s">
        <v>44</v>
      </c>
      <c r="Y623" s="2">
        <v>6201</v>
      </c>
      <c r="Z623" s="2">
        <v>2823</v>
      </c>
      <c r="AA623">
        <v>1</v>
      </c>
      <c r="AB623" t="s">
        <v>32</v>
      </c>
      <c r="AC623">
        <v>14</v>
      </c>
      <c r="AD623">
        <v>3</v>
      </c>
      <c r="AE623" t="str" cm="1">
        <f t="array" ref="AE623">_xlfn.IFS(AD623=1,"Low",AD623=2,"Good",AD623=3,"Excellent",AD623=4,"Outstanding")</f>
        <v>Excellent</v>
      </c>
      <c r="AF623">
        <v>4</v>
      </c>
      <c r="AG623" t="str" cm="1">
        <f t="array" ref="AG623">_xlfn.IFS(AF623=1,"Low",AF623=2,"Medium",AF623=3,"High",AF623=4,"Very High")</f>
        <v>Very High</v>
      </c>
      <c r="AH623">
        <v>1</v>
      </c>
      <c r="AI623">
        <v>18</v>
      </c>
      <c r="AJ623">
        <v>1</v>
      </c>
      <c r="AK623">
        <v>2</v>
      </c>
      <c r="AL623" t="str" cm="1">
        <f t="array" ref="AL623">_xlfn.IFS(AK623=1,"Low",AK623=2,"Medium",AK623=3,"High",AK623=4,"Very High")</f>
        <v>Medium</v>
      </c>
      <c r="AM623">
        <v>18</v>
      </c>
      <c r="AN623">
        <v>14</v>
      </c>
      <c r="AO623">
        <v>4</v>
      </c>
      <c r="AP623">
        <v>11</v>
      </c>
    </row>
    <row r="624" spans="1:42">
      <c r="A624">
        <v>32</v>
      </c>
      <c r="B624" t="str" cm="1">
        <f t="array" ref="B624">_xlfn.IFS(A624&lt;=25,"18-25",A624&lt;=35,"26-35",A624&lt;=45,"36-45",A624&lt;=55,"46-55",A624&gt;55,"56+")</f>
        <v>26-35</v>
      </c>
      <c r="C624" t="s">
        <v>39</v>
      </c>
      <c r="D624" t="s">
        <v>33</v>
      </c>
      <c r="E624" s="2">
        <v>117</v>
      </c>
      <c r="F624" t="s">
        <v>34</v>
      </c>
      <c r="G624">
        <v>13</v>
      </c>
      <c r="H624" t="str">
        <f t="shared" si="9"/>
        <v>11-20 km</v>
      </c>
      <c r="I624">
        <v>4</v>
      </c>
      <c r="J624" t="str" cm="1">
        <f t="array" ref="J624">_xlfn.IFS(I624=1,"Below College",I624=2,"College",I624=3,"Bachelor",I624=4,"Master",I624=5,"Doctor")</f>
        <v>Master</v>
      </c>
      <c r="K624" t="s">
        <v>35</v>
      </c>
      <c r="L624">
        <v>859</v>
      </c>
      <c r="M624">
        <v>2</v>
      </c>
      <c r="N624" t="str" cm="1">
        <f t="array" ref="N624">_xlfn.IFS(M624=1,"Low",M624=2,"Medium",M624=3,"High",M624=4,"Very High")</f>
        <v>Medium</v>
      </c>
      <c r="O624" t="s">
        <v>42</v>
      </c>
      <c r="P624" s="2">
        <v>73</v>
      </c>
      <c r="Q624">
        <v>3</v>
      </c>
      <c r="R624" t="str" cm="1">
        <f t="array" ref="R624">_xlfn.IFS(Q624=1,"Low",Q624=2,"Medium",Q624=3,"High",Q624=4,"Very High")</f>
        <v>High</v>
      </c>
      <c r="S624">
        <v>2</v>
      </c>
      <c r="T624" t="str" cm="1">
        <f t="array" ref="T624">_xlfn.IFS(S624=1,"Entry Level",S624=2,"Junior",S624=3,"Mid-Level",S624=4,"Senior",S624=5,"Executive")</f>
        <v>Junior</v>
      </c>
      <c r="U624" t="s">
        <v>37</v>
      </c>
      <c r="V624">
        <v>4</v>
      </c>
      <c r="W624" t="str" cm="1">
        <f t="array" ref="W624">_xlfn.IFS(V624=1,"Low",V624=2,"Medium",V624=3,"High",V624=4,"Very High")</f>
        <v>Very High</v>
      </c>
      <c r="X624" t="s">
        <v>48</v>
      </c>
      <c r="Y624" s="2">
        <v>4403</v>
      </c>
      <c r="Z624" s="2">
        <v>9250</v>
      </c>
      <c r="AA624">
        <v>2</v>
      </c>
      <c r="AB624" t="s">
        <v>39</v>
      </c>
      <c r="AC624">
        <v>11</v>
      </c>
      <c r="AD624">
        <v>3</v>
      </c>
      <c r="AE624" t="str" cm="1">
        <f t="array" ref="AE624">_xlfn.IFS(AD624=1,"Low",AD624=2,"Good",AD624=3,"Excellent",AD624=4,"Outstanding")</f>
        <v>Excellent</v>
      </c>
      <c r="AF624">
        <v>3</v>
      </c>
      <c r="AG624" t="str" cm="1">
        <f t="array" ref="AG624">_xlfn.IFS(AF624=1,"Low",AF624=2,"Medium",AF624=3,"High",AF624=4,"Very High")</f>
        <v>High</v>
      </c>
      <c r="AH624">
        <v>1</v>
      </c>
      <c r="AI624">
        <v>8</v>
      </c>
      <c r="AJ624">
        <v>3</v>
      </c>
      <c r="AK624">
        <v>2</v>
      </c>
      <c r="AL624" t="str" cm="1">
        <f t="array" ref="AL624">_xlfn.IFS(AK624=1,"Low",AK624=2,"Medium",AK624=3,"High",AK624=4,"Very High")</f>
        <v>Medium</v>
      </c>
      <c r="AM624">
        <v>5</v>
      </c>
      <c r="AN624">
        <v>2</v>
      </c>
      <c r="AO624">
        <v>0</v>
      </c>
      <c r="AP624">
        <v>3</v>
      </c>
    </row>
    <row r="625" spans="1:42">
      <c r="A625">
        <v>30</v>
      </c>
      <c r="B625" t="str" cm="1">
        <f t="array" ref="B625">_xlfn.IFS(A625&lt;=25,"18-25",A625&lt;=35,"26-35",A625&lt;=45,"36-45",A625&lt;=55,"46-55",A625&gt;55,"56+")</f>
        <v>26-35</v>
      </c>
      <c r="C625" t="s">
        <v>39</v>
      </c>
      <c r="D625" t="s">
        <v>40</v>
      </c>
      <c r="E625" s="2">
        <v>1012</v>
      </c>
      <c r="F625" t="s">
        <v>41</v>
      </c>
      <c r="G625">
        <v>5</v>
      </c>
      <c r="H625" t="str">
        <f t="shared" si="9"/>
        <v>1-10 km</v>
      </c>
      <c r="I625">
        <v>4</v>
      </c>
      <c r="J625" t="str" cm="1">
        <f t="array" ref="J625">_xlfn.IFS(I625=1,"Below College",I625=2,"College",I625=3,"Bachelor",I625=4,"Master",I625=5,"Doctor")</f>
        <v>Master</v>
      </c>
      <c r="K625" t="s">
        <v>35</v>
      </c>
      <c r="L625">
        <v>861</v>
      </c>
      <c r="M625">
        <v>2</v>
      </c>
      <c r="N625" t="str" cm="1">
        <f t="array" ref="N625">_xlfn.IFS(M625=1,"Low",M625=2,"Medium",M625=3,"High",M625=4,"Very High")</f>
        <v>Medium</v>
      </c>
      <c r="O625" t="s">
        <v>42</v>
      </c>
      <c r="P625" s="2">
        <v>75</v>
      </c>
      <c r="Q625">
        <v>2</v>
      </c>
      <c r="R625" t="str" cm="1">
        <f t="array" ref="R625">_xlfn.IFS(Q625=1,"Low",Q625=2,"Medium",Q625=3,"High",Q625=4,"Very High")</f>
        <v>Medium</v>
      </c>
      <c r="S625">
        <v>1</v>
      </c>
      <c r="T625" t="str" cm="1">
        <f t="array" ref="T625">_xlfn.IFS(S625=1,"Entry Level",S625=2,"Junior",S625=3,"Mid-Level",S625=4,"Senior",S625=5,"Executive")</f>
        <v>Entry Level</v>
      </c>
      <c r="U625" t="s">
        <v>43</v>
      </c>
      <c r="V625">
        <v>4</v>
      </c>
      <c r="W625" t="str" cm="1">
        <f t="array" ref="W625">_xlfn.IFS(V625=1,"Low",V625=2,"Medium",V625=3,"High",V625=4,"Very High")</f>
        <v>Very High</v>
      </c>
      <c r="X625" t="s">
        <v>48</v>
      </c>
      <c r="Y625" s="2">
        <v>3761</v>
      </c>
      <c r="Z625" s="2">
        <v>2373</v>
      </c>
      <c r="AA625">
        <v>9</v>
      </c>
      <c r="AB625" t="s">
        <v>39</v>
      </c>
      <c r="AC625">
        <v>12</v>
      </c>
      <c r="AD625">
        <v>3</v>
      </c>
      <c r="AE625" t="str" cm="1">
        <f t="array" ref="AE625">_xlfn.IFS(AD625=1,"Low",AD625=2,"Good",AD625=3,"Excellent",AD625=4,"Outstanding")</f>
        <v>Excellent</v>
      </c>
      <c r="AF625">
        <v>2</v>
      </c>
      <c r="AG625" t="str" cm="1">
        <f t="array" ref="AG625">_xlfn.IFS(AF625=1,"Low",AF625=2,"Medium",AF625=3,"High",AF625=4,"Very High")</f>
        <v>Medium</v>
      </c>
      <c r="AH625">
        <v>1</v>
      </c>
      <c r="AI625">
        <v>10</v>
      </c>
      <c r="AJ625">
        <v>3</v>
      </c>
      <c r="AK625">
        <v>2</v>
      </c>
      <c r="AL625" t="str" cm="1">
        <f t="array" ref="AL625">_xlfn.IFS(AK625=1,"Low",AK625=2,"Medium",AK625=3,"High",AK625=4,"Very High")</f>
        <v>Medium</v>
      </c>
      <c r="AM625">
        <v>5</v>
      </c>
      <c r="AN625">
        <v>4</v>
      </c>
      <c r="AO625">
        <v>0</v>
      </c>
      <c r="AP625">
        <v>3</v>
      </c>
    </row>
    <row r="626" spans="1:42">
      <c r="A626">
        <v>53</v>
      </c>
      <c r="B626" t="str" cm="1">
        <f t="array" ref="B626">_xlfn.IFS(A626&lt;=25,"18-25",A626&lt;=35,"26-35",A626&lt;=45,"36-45",A626&lt;=55,"46-55",A626&gt;55,"56+")</f>
        <v>46-55</v>
      </c>
      <c r="C626" t="s">
        <v>39</v>
      </c>
      <c r="D626" t="s">
        <v>33</v>
      </c>
      <c r="E626" s="2">
        <v>661</v>
      </c>
      <c r="F626" t="s">
        <v>34</v>
      </c>
      <c r="G626">
        <v>7</v>
      </c>
      <c r="H626" t="str">
        <f t="shared" si="9"/>
        <v>1-10 km</v>
      </c>
      <c r="I626">
        <v>2</v>
      </c>
      <c r="J626" t="str" cm="1">
        <f t="array" ref="J626">_xlfn.IFS(I626=1,"Below College",I626=2,"College",I626=3,"Bachelor",I626=4,"Master",I626=5,"Doctor")</f>
        <v>College</v>
      </c>
      <c r="K626" t="s">
        <v>55</v>
      </c>
      <c r="L626">
        <v>862</v>
      </c>
      <c r="M626">
        <v>1</v>
      </c>
      <c r="N626" t="str" cm="1">
        <f t="array" ref="N626">_xlfn.IFS(M626=1,"Low",M626=2,"Medium",M626=3,"High",M626=4,"Very High")</f>
        <v>Low</v>
      </c>
      <c r="O626" t="s">
        <v>36</v>
      </c>
      <c r="P626" s="2">
        <v>78</v>
      </c>
      <c r="Q626">
        <v>2</v>
      </c>
      <c r="R626" t="str" cm="1">
        <f t="array" ref="R626">_xlfn.IFS(Q626=1,"Low",Q626=2,"Medium",Q626=3,"High",Q626=4,"Very High")</f>
        <v>Medium</v>
      </c>
      <c r="S626">
        <v>3</v>
      </c>
      <c r="T626" t="str" cm="1">
        <f t="array" ref="T626">_xlfn.IFS(S626=1,"Entry Level",S626=2,"Junior",S626=3,"Mid-Level",S626=4,"Senior",S626=5,"Executive")</f>
        <v>Mid-Level</v>
      </c>
      <c r="U626" t="s">
        <v>37</v>
      </c>
      <c r="V626">
        <v>4</v>
      </c>
      <c r="W626" t="str" cm="1">
        <f t="array" ref="W626">_xlfn.IFS(V626=1,"Low",V626=2,"Medium",V626=3,"High",V626=4,"Very High")</f>
        <v>Very High</v>
      </c>
      <c r="X626" t="s">
        <v>44</v>
      </c>
      <c r="Y626" s="2">
        <v>10934</v>
      </c>
      <c r="Z626" s="2">
        <v>20715</v>
      </c>
      <c r="AA626">
        <v>7</v>
      </c>
      <c r="AB626" t="s">
        <v>32</v>
      </c>
      <c r="AC626">
        <v>18</v>
      </c>
      <c r="AD626">
        <v>3</v>
      </c>
      <c r="AE626" t="str" cm="1">
        <f t="array" ref="AE626">_xlfn.IFS(AD626=1,"Low",AD626=2,"Good",AD626=3,"Excellent",AD626=4,"Outstanding")</f>
        <v>Excellent</v>
      </c>
      <c r="AF626">
        <v>4</v>
      </c>
      <c r="AG626" t="str" cm="1">
        <f t="array" ref="AG626">_xlfn.IFS(AF626=1,"Low",AF626=2,"Medium",AF626=3,"High",AF626=4,"Very High")</f>
        <v>Very High</v>
      </c>
      <c r="AH626">
        <v>1</v>
      </c>
      <c r="AI626">
        <v>35</v>
      </c>
      <c r="AJ626">
        <v>3</v>
      </c>
      <c r="AK626">
        <v>3</v>
      </c>
      <c r="AL626" t="str" cm="1">
        <f t="array" ref="AL626">_xlfn.IFS(AK626=1,"Low",AK626=2,"Medium",AK626=3,"High",AK626=4,"Very High")</f>
        <v>High</v>
      </c>
      <c r="AM626">
        <v>5</v>
      </c>
      <c r="AN626">
        <v>2</v>
      </c>
      <c r="AO626">
        <v>0</v>
      </c>
      <c r="AP626">
        <v>4</v>
      </c>
    </row>
    <row r="627" spans="1:42">
      <c r="A627">
        <v>45</v>
      </c>
      <c r="B627" t="str" cm="1">
        <f t="array" ref="B627">_xlfn.IFS(A627&lt;=25,"18-25",A627&lt;=35,"26-35",A627&lt;=45,"36-45",A627&lt;=55,"46-55",A627&gt;55,"56+")</f>
        <v>36-45</v>
      </c>
      <c r="C627" t="s">
        <v>39</v>
      </c>
      <c r="D627" t="s">
        <v>33</v>
      </c>
      <c r="E627" s="2">
        <v>930</v>
      </c>
      <c r="F627" t="s">
        <v>34</v>
      </c>
      <c r="G627">
        <v>9</v>
      </c>
      <c r="H627" t="str">
        <f t="shared" si="9"/>
        <v>1-10 km</v>
      </c>
      <c r="I627">
        <v>3</v>
      </c>
      <c r="J627" t="str" cm="1">
        <f t="array" ref="J627">_xlfn.IFS(I627=1,"Below College",I627=2,"College",I627=3,"Bachelor",I627=4,"Master",I627=5,"Doctor")</f>
        <v>Bachelor</v>
      </c>
      <c r="K627" t="s">
        <v>55</v>
      </c>
      <c r="L627">
        <v>864</v>
      </c>
      <c r="M627">
        <v>4</v>
      </c>
      <c r="N627" t="str" cm="1">
        <f t="array" ref="N627">_xlfn.IFS(M627=1,"Low",M627=2,"Medium",M627=3,"High",M627=4,"Very High")</f>
        <v>Very High</v>
      </c>
      <c r="O627" t="s">
        <v>42</v>
      </c>
      <c r="P627" s="2">
        <v>74</v>
      </c>
      <c r="Q627">
        <v>3</v>
      </c>
      <c r="R627" t="str" cm="1">
        <f t="array" ref="R627">_xlfn.IFS(Q627=1,"Low",Q627=2,"Medium",Q627=3,"High",Q627=4,"Very High")</f>
        <v>High</v>
      </c>
      <c r="S627">
        <v>3</v>
      </c>
      <c r="T627" t="str" cm="1">
        <f t="array" ref="T627">_xlfn.IFS(S627=1,"Entry Level",S627=2,"Junior",S627=3,"Mid-Level",S627=4,"Senior",S627=5,"Executive")</f>
        <v>Mid-Level</v>
      </c>
      <c r="U627" t="s">
        <v>37</v>
      </c>
      <c r="V627">
        <v>1</v>
      </c>
      <c r="W627" t="str" cm="1">
        <f t="array" ref="W627">_xlfn.IFS(V627=1,"Low",V627=2,"Medium",V627=3,"High",V627=4,"Very High")</f>
        <v>Low</v>
      </c>
      <c r="X627" t="s">
        <v>48</v>
      </c>
      <c r="Y627" s="2">
        <v>10761</v>
      </c>
      <c r="Z627" s="2">
        <v>19239</v>
      </c>
      <c r="AA627">
        <v>4</v>
      </c>
      <c r="AB627" t="s">
        <v>32</v>
      </c>
      <c r="AC627">
        <v>12</v>
      </c>
      <c r="AD627">
        <v>3</v>
      </c>
      <c r="AE627" t="str" cm="1">
        <f t="array" ref="AE627">_xlfn.IFS(AD627=1,"Low",AD627=2,"Good",AD627=3,"Excellent",AD627=4,"Outstanding")</f>
        <v>Excellent</v>
      </c>
      <c r="AF627">
        <v>3</v>
      </c>
      <c r="AG627" t="str" cm="1">
        <f t="array" ref="AG627">_xlfn.IFS(AF627=1,"Low",AF627=2,"Medium",AF627=3,"High",AF627=4,"Very High")</f>
        <v>High</v>
      </c>
      <c r="AH627">
        <v>1</v>
      </c>
      <c r="AI627">
        <v>18</v>
      </c>
      <c r="AJ627">
        <v>2</v>
      </c>
      <c r="AK627">
        <v>3</v>
      </c>
      <c r="AL627" t="str" cm="1">
        <f t="array" ref="AL627">_xlfn.IFS(AK627=1,"Low",AK627=2,"Medium",AK627=3,"High",AK627=4,"Very High")</f>
        <v>High</v>
      </c>
      <c r="AM627">
        <v>5</v>
      </c>
      <c r="AN627">
        <v>4</v>
      </c>
      <c r="AO627">
        <v>0</v>
      </c>
      <c r="AP627">
        <v>2</v>
      </c>
    </row>
    <row r="628" spans="1:42">
      <c r="A628">
        <v>32</v>
      </c>
      <c r="B628" t="str" cm="1">
        <f t="array" ref="B628">_xlfn.IFS(A628&lt;=25,"18-25",A628&lt;=35,"26-35",A628&lt;=45,"36-45",A628&lt;=55,"46-55",A628&gt;55,"56+")</f>
        <v>26-35</v>
      </c>
      <c r="C628" t="s">
        <v>39</v>
      </c>
      <c r="D628" t="s">
        <v>33</v>
      </c>
      <c r="E628" s="2">
        <v>638</v>
      </c>
      <c r="F628" t="s">
        <v>41</v>
      </c>
      <c r="G628">
        <v>8</v>
      </c>
      <c r="H628" t="str">
        <f t="shared" si="9"/>
        <v>1-10 km</v>
      </c>
      <c r="I628">
        <v>2</v>
      </c>
      <c r="J628" t="str" cm="1">
        <f t="array" ref="J628">_xlfn.IFS(I628=1,"Below College",I628=2,"College",I628=3,"Bachelor",I628=4,"Master",I628=5,"Doctor")</f>
        <v>College</v>
      </c>
      <c r="K628" t="s">
        <v>47</v>
      </c>
      <c r="L628">
        <v>865</v>
      </c>
      <c r="M628">
        <v>3</v>
      </c>
      <c r="N628" t="str" cm="1">
        <f t="array" ref="N628">_xlfn.IFS(M628=1,"Low",M628=2,"Medium",M628=3,"High",M628=4,"Very High")</f>
        <v>High</v>
      </c>
      <c r="O628" t="s">
        <v>36</v>
      </c>
      <c r="P628" s="2">
        <v>91</v>
      </c>
      <c r="Q628">
        <v>4</v>
      </c>
      <c r="R628" t="str" cm="1">
        <f t="array" ref="R628">_xlfn.IFS(Q628=1,"Low",Q628=2,"Medium",Q628=3,"High",Q628=4,"Very High")</f>
        <v>Very High</v>
      </c>
      <c r="S628">
        <v>2</v>
      </c>
      <c r="T628" t="str" cm="1">
        <f t="array" ref="T628">_xlfn.IFS(S628=1,"Entry Level",S628=2,"Junior",S628=3,"Mid-Level",S628=4,"Senior",S628=5,"Executive")</f>
        <v>Junior</v>
      </c>
      <c r="U628" t="s">
        <v>43</v>
      </c>
      <c r="V628">
        <v>3</v>
      </c>
      <c r="W628" t="str" cm="1">
        <f t="array" ref="W628">_xlfn.IFS(V628=1,"Low",V628=2,"Medium",V628=3,"High",V628=4,"Very High")</f>
        <v>High</v>
      </c>
      <c r="X628" t="s">
        <v>44</v>
      </c>
      <c r="Y628" s="2">
        <v>5175</v>
      </c>
      <c r="Z628" s="2">
        <v>22162</v>
      </c>
      <c r="AA628">
        <v>5</v>
      </c>
      <c r="AB628" t="s">
        <v>39</v>
      </c>
      <c r="AC628">
        <v>12</v>
      </c>
      <c r="AD628">
        <v>3</v>
      </c>
      <c r="AE628" t="str" cm="1">
        <f t="array" ref="AE628">_xlfn.IFS(AD628=1,"Low",AD628=2,"Good",AD628=3,"Excellent",AD628=4,"Outstanding")</f>
        <v>Excellent</v>
      </c>
      <c r="AF628">
        <v>3</v>
      </c>
      <c r="AG628" t="str" cm="1">
        <f t="array" ref="AG628">_xlfn.IFS(AF628=1,"Low",AF628=2,"Medium",AF628=3,"High",AF628=4,"Very High")</f>
        <v>High</v>
      </c>
      <c r="AH628">
        <v>1</v>
      </c>
      <c r="AI628">
        <v>9</v>
      </c>
      <c r="AJ628">
        <v>3</v>
      </c>
      <c r="AK628">
        <v>2</v>
      </c>
      <c r="AL628" t="str" cm="1">
        <f t="array" ref="AL628">_xlfn.IFS(AK628=1,"Low",AK628=2,"Medium",AK628=3,"High",AK628=4,"Very High")</f>
        <v>Medium</v>
      </c>
      <c r="AM628">
        <v>5</v>
      </c>
      <c r="AN628">
        <v>3</v>
      </c>
      <c r="AO628">
        <v>1</v>
      </c>
      <c r="AP628">
        <v>3</v>
      </c>
    </row>
    <row r="629" spans="1:42">
      <c r="A629">
        <v>52</v>
      </c>
      <c r="B629" t="str" cm="1">
        <f t="array" ref="B629">_xlfn.IFS(A629&lt;=25,"18-25",A629&lt;=35,"26-35",A629&lt;=45,"36-45",A629&lt;=55,"46-55",A629&gt;55,"56+")</f>
        <v>46-55</v>
      </c>
      <c r="C629" t="s">
        <v>39</v>
      </c>
      <c r="D629" t="s">
        <v>40</v>
      </c>
      <c r="E629" s="2">
        <v>890</v>
      </c>
      <c r="F629" t="s">
        <v>41</v>
      </c>
      <c r="G629">
        <v>25</v>
      </c>
      <c r="H629" t="str">
        <f t="shared" si="9"/>
        <v>21-30 km</v>
      </c>
      <c r="I629">
        <v>4</v>
      </c>
      <c r="J629" t="str" cm="1">
        <f t="array" ref="J629">_xlfn.IFS(I629=1,"Below College",I629=2,"College",I629=3,"Bachelor",I629=4,"Master",I629=5,"Doctor")</f>
        <v>Master</v>
      </c>
      <c r="K629" t="s">
        <v>47</v>
      </c>
      <c r="L629">
        <v>867</v>
      </c>
      <c r="M629">
        <v>3</v>
      </c>
      <c r="N629" t="str" cm="1">
        <f t="array" ref="N629">_xlfn.IFS(M629=1,"Low",M629=2,"Medium",M629=3,"High",M629=4,"Very High")</f>
        <v>High</v>
      </c>
      <c r="O629" t="s">
        <v>36</v>
      </c>
      <c r="P629" s="2">
        <v>81</v>
      </c>
      <c r="Q629">
        <v>2</v>
      </c>
      <c r="R629" t="str" cm="1">
        <f t="array" ref="R629">_xlfn.IFS(Q629=1,"Low",Q629=2,"Medium",Q629=3,"High",Q629=4,"Very High")</f>
        <v>Medium</v>
      </c>
      <c r="S629">
        <v>4</v>
      </c>
      <c r="T629" t="str" cm="1">
        <f t="array" ref="T629">_xlfn.IFS(S629=1,"Entry Level",S629=2,"Junior",S629=3,"Mid-Level",S629=4,"Senior",S629=5,"Executive")</f>
        <v>Senior</v>
      </c>
      <c r="U629" t="s">
        <v>49</v>
      </c>
      <c r="V629">
        <v>4</v>
      </c>
      <c r="W629" t="str" cm="1">
        <f t="array" ref="W629">_xlfn.IFS(V629=1,"Low",V629=2,"Medium",V629=3,"High",V629=4,"Very High")</f>
        <v>Very High</v>
      </c>
      <c r="X629" t="s">
        <v>44</v>
      </c>
      <c r="Y629" s="2">
        <v>13826</v>
      </c>
      <c r="Z629" s="2">
        <v>19028</v>
      </c>
      <c r="AA629">
        <v>3</v>
      </c>
      <c r="AB629" t="s">
        <v>39</v>
      </c>
      <c r="AC629">
        <v>22</v>
      </c>
      <c r="AD629">
        <v>4</v>
      </c>
      <c r="AE629" t="str" cm="1">
        <f t="array" ref="AE629">_xlfn.IFS(AD629=1,"Low",AD629=2,"Good",AD629=3,"Excellent",AD629=4,"Outstanding")</f>
        <v>Outstanding</v>
      </c>
      <c r="AF629">
        <v>3</v>
      </c>
      <c r="AG629" t="str" cm="1">
        <f t="array" ref="AG629">_xlfn.IFS(AF629=1,"Low",AF629=2,"Medium",AF629=3,"High",AF629=4,"Very High")</f>
        <v>High</v>
      </c>
      <c r="AH629">
        <v>0</v>
      </c>
      <c r="AI629">
        <v>31</v>
      </c>
      <c r="AJ629">
        <v>3</v>
      </c>
      <c r="AK629">
        <v>3</v>
      </c>
      <c r="AL629" t="str" cm="1">
        <f t="array" ref="AL629">_xlfn.IFS(AK629=1,"Low",AK629=2,"Medium",AK629=3,"High",AK629=4,"Very High")</f>
        <v>High</v>
      </c>
      <c r="AM629">
        <v>9</v>
      </c>
      <c r="AN629">
        <v>8</v>
      </c>
      <c r="AO629">
        <v>0</v>
      </c>
      <c r="AP629">
        <v>0</v>
      </c>
    </row>
    <row r="630" spans="1:42">
      <c r="A630">
        <v>37</v>
      </c>
      <c r="B630" t="str" cm="1">
        <f t="array" ref="B630">_xlfn.IFS(A630&lt;=25,"18-25",A630&lt;=35,"26-35",A630&lt;=45,"36-45",A630&lt;=55,"46-55",A630&gt;55,"56+")</f>
        <v>36-45</v>
      </c>
      <c r="C630" t="s">
        <v>39</v>
      </c>
      <c r="D630" t="s">
        <v>33</v>
      </c>
      <c r="E630" s="2">
        <v>342</v>
      </c>
      <c r="F630" t="s">
        <v>34</v>
      </c>
      <c r="G630">
        <v>16</v>
      </c>
      <c r="H630" t="str">
        <f t="shared" si="9"/>
        <v>11-20 km</v>
      </c>
      <c r="I630">
        <v>4</v>
      </c>
      <c r="J630" t="str" cm="1">
        <f t="array" ref="J630">_xlfn.IFS(I630=1,"Below College",I630=2,"College",I630=3,"Bachelor",I630=4,"Master",I630=5,"Doctor")</f>
        <v>Master</v>
      </c>
      <c r="K630" t="s">
        <v>55</v>
      </c>
      <c r="L630">
        <v>868</v>
      </c>
      <c r="M630">
        <v>4</v>
      </c>
      <c r="N630" t="str" cm="1">
        <f t="array" ref="N630">_xlfn.IFS(M630=1,"Low",M630=2,"Medium",M630=3,"High",M630=4,"Very High")</f>
        <v>Very High</v>
      </c>
      <c r="O630" t="s">
        <v>42</v>
      </c>
      <c r="P630" s="2">
        <v>66</v>
      </c>
      <c r="Q630">
        <v>2</v>
      </c>
      <c r="R630" t="str" cm="1">
        <f t="array" ref="R630">_xlfn.IFS(Q630=1,"Low",Q630=2,"Medium",Q630=3,"High",Q630=4,"Very High")</f>
        <v>Medium</v>
      </c>
      <c r="S630">
        <v>2</v>
      </c>
      <c r="T630" t="str" cm="1">
        <f t="array" ref="T630">_xlfn.IFS(S630=1,"Entry Level",S630=2,"Junior",S630=3,"Mid-Level",S630=4,"Senior",S630=5,"Executive")</f>
        <v>Junior</v>
      </c>
      <c r="U630" t="s">
        <v>37</v>
      </c>
      <c r="V630">
        <v>3</v>
      </c>
      <c r="W630" t="str" cm="1">
        <f t="array" ref="W630">_xlfn.IFS(V630=1,"Low",V630=2,"Medium",V630=3,"High",V630=4,"Very High")</f>
        <v>High</v>
      </c>
      <c r="X630" t="s">
        <v>48</v>
      </c>
      <c r="Y630" s="2">
        <v>6334</v>
      </c>
      <c r="Z630" s="2">
        <v>24558</v>
      </c>
      <c r="AA630">
        <v>4</v>
      </c>
      <c r="AB630" t="s">
        <v>39</v>
      </c>
      <c r="AC630">
        <v>19</v>
      </c>
      <c r="AD630">
        <v>3</v>
      </c>
      <c r="AE630" t="str" cm="1">
        <f t="array" ref="AE630">_xlfn.IFS(AD630=1,"Low",AD630=2,"Good",AD630=3,"Excellent",AD630=4,"Outstanding")</f>
        <v>Excellent</v>
      </c>
      <c r="AF630">
        <v>4</v>
      </c>
      <c r="AG630" t="str" cm="1">
        <f t="array" ref="AG630">_xlfn.IFS(AF630=1,"Low",AF630=2,"Medium",AF630=3,"High",AF630=4,"Very High")</f>
        <v>Very High</v>
      </c>
      <c r="AH630">
        <v>2</v>
      </c>
      <c r="AI630">
        <v>9</v>
      </c>
      <c r="AJ630">
        <v>2</v>
      </c>
      <c r="AK630">
        <v>3</v>
      </c>
      <c r="AL630" t="str" cm="1">
        <f t="array" ref="AL630">_xlfn.IFS(AK630=1,"Low",AK630=2,"Medium",AK630=3,"High",AK630=4,"Very High")</f>
        <v>High</v>
      </c>
      <c r="AM630">
        <v>1</v>
      </c>
      <c r="AN630">
        <v>0</v>
      </c>
      <c r="AO630">
        <v>0</v>
      </c>
      <c r="AP630">
        <v>0</v>
      </c>
    </row>
    <row r="631" spans="1:42">
      <c r="A631">
        <v>28</v>
      </c>
      <c r="B631" t="str" cm="1">
        <f t="array" ref="B631">_xlfn.IFS(A631&lt;=25,"18-25",A631&lt;=35,"26-35",A631&lt;=45,"36-45",A631&lt;=55,"46-55",A631&gt;55,"56+")</f>
        <v>26-35</v>
      </c>
      <c r="C631" t="s">
        <v>39</v>
      </c>
      <c r="D631" t="s">
        <v>33</v>
      </c>
      <c r="E631" s="2">
        <v>1169</v>
      </c>
      <c r="F631" t="s">
        <v>57</v>
      </c>
      <c r="G631">
        <v>8</v>
      </c>
      <c r="H631" t="str">
        <f t="shared" si="9"/>
        <v>1-10 km</v>
      </c>
      <c r="I631">
        <v>2</v>
      </c>
      <c r="J631" t="str" cm="1">
        <f t="array" ref="J631">_xlfn.IFS(I631=1,"Below College",I631=2,"College",I631=3,"Bachelor",I631=4,"Master",I631=5,"Doctor")</f>
        <v>College</v>
      </c>
      <c r="K631" t="s">
        <v>47</v>
      </c>
      <c r="L631">
        <v>869</v>
      </c>
      <c r="M631">
        <v>2</v>
      </c>
      <c r="N631" t="str" cm="1">
        <f t="array" ref="N631">_xlfn.IFS(M631=1,"Low",M631=2,"Medium",M631=3,"High",M631=4,"Very High")</f>
        <v>Medium</v>
      </c>
      <c r="O631" t="s">
        <v>42</v>
      </c>
      <c r="P631" s="2">
        <v>63</v>
      </c>
      <c r="Q631">
        <v>2</v>
      </c>
      <c r="R631" t="str" cm="1">
        <f t="array" ref="R631">_xlfn.IFS(Q631=1,"Low",Q631=2,"Medium",Q631=3,"High",Q631=4,"Very High")</f>
        <v>Medium</v>
      </c>
      <c r="S631">
        <v>1</v>
      </c>
      <c r="T631" t="str" cm="1">
        <f t="array" ref="T631">_xlfn.IFS(S631=1,"Entry Level",S631=2,"Junior",S631=3,"Mid-Level",S631=4,"Senior",S631=5,"Executive")</f>
        <v>Entry Level</v>
      </c>
      <c r="U631" t="s">
        <v>57</v>
      </c>
      <c r="V631">
        <v>4</v>
      </c>
      <c r="W631" t="str" cm="1">
        <f t="array" ref="W631">_xlfn.IFS(V631=1,"Low",V631=2,"Medium",V631=3,"High",V631=4,"Very High")</f>
        <v>Very High</v>
      </c>
      <c r="X631" t="s">
        <v>48</v>
      </c>
      <c r="Y631" s="2">
        <v>4936</v>
      </c>
      <c r="Z631" s="2">
        <v>23965</v>
      </c>
      <c r="AA631">
        <v>1</v>
      </c>
      <c r="AB631" t="s">
        <v>39</v>
      </c>
      <c r="AC631">
        <v>13</v>
      </c>
      <c r="AD631">
        <v>3</v>
      </c>
      <c r="AE631" t="str" cm="1">
        <f t="array" ref="AE631">_xlfn.IFS(AD631=1,"Low",AD631=2,"Good",AD631=3,"Excellent",AD631=4,"Outstanding")</f>
        <v>Excellent</v>
      </c>
      <c r="AF631">
        <v>4</v>
      </c>
      <c r="AG631" t="str" cm="1">
        <f t="array" ref="AG631">_xlfn.IFS(AF631=1,"Low",AF631=2,"Medium",AF631=3,"High",AF631=4,"Very High")</f>
        <v>Very High</v>
      </c>
      <c r="AH631">
        <v>1</v>
      </c>
      <c r="AI631">
        <v>6</v>
      </c>
      <c r="AJ631">
        <v>6</v>
      </c>
      <c r="AK631">
        <v>3</v>
      </c>
      <c r="AL631" t="str" cm="1">
        <f t="array" ref="AL631">_xlfn.IFS(AK631=1,"Low",AK631=2,"Medium",AK631=3,"High",AK631=4,"Very High")</f>
        <v>High</v>
      </c>
      <c r="AM631">
        <v>5</v>
      </c>
      <c r="AN631">
        <v>1</v>
      </c>
      <c r="AO631">
        <v>0</v>
      </c>
      <c r="AP631">
        <v>4</v>
      </c>
    </row>
    <row r="632" spans="1:42">
      <c r="A632">
        <v>22</v>
      </c>
      <c r="B632" t="str" cm="1">
        <f t="array" ref="B632">_xlfn.IFS(A632&lt;=25,"18-25",A632&lt;=35,"26-35",A632&lt;=45,"36-45",A632&lt;=55,"46-55",A632&gt;55,"56+")</f>
        <v>18-25</v>
      </c>
      <c r="C632" t="s">
        <v>39</v>
      </c>
      <c r="D632" t="s">
        <v>33</v>
      </c>
      <c r="E632" s="2">
        <v>1230</v>
      </c>
      <c r="F632" t="s">
        <v>41</v>
      </c>
      <c r="G632">
        <v>1</v>
      </c>
      <c r="H632" t="str">
        <f t="shared" si="9"/>
        <v>1-10 km</v>
      </c>
      <c r="I632">
        <v>2</v>
      </c>
      <c r="J632" t="str" cm="1">
        <f t="array" ref="J632">_xlfn.IFS(I632=1,"Below College",I632=2,"College",I632=3,"Bachelor",I632=4,"Master",I632=5,"Doctor")</f>
        <v>College</v>
      </c>
      <c r="K632" t="s">
        <v>35</v>
      </c>
      <c r="L632">
        <v>872</v>
      </c>
      <c r="M632">
        <v>4</v>
      </c>
      <c r="N632" t="str" cm="1">
        <f t="array" ref="N632">_xlfn.IFS(M632=1,"Low",M632=2,"Medium",M632=3,"High",M632=4,"Very High")</f>
        <v>Very High</v>
      </c>
      <c r="O632" t="s">
        <v>42</v>
      </c>
      <c r="P632" s="2">
        <v>33</v>
      </c>
      <c r="Q632">
        <v>2</v>
      </c>
      <c r="R632" t="str" cm="1">
        <f t="array" ref="R632">_xlfn.IFS(Q632=1,"Low",Q632=2,"Medium",Q632=3,"High",Q632=4,"Very High")</f>
        <v>Medium</v>
      </c>
      <c r="S632">
        <v>2</v>
      </c>
      <c r="T632" t="str" cm="1">
        <f t="array" ref="T632">_xlfn.IFS(S632=1,"Entry Level",S632=2,"Junior",S632=3,"Mid-Level",S632=4,"Senior",S632=5,"Executive")</f>
        <v>Junior</v>
      </c>
      <c r="U632" t="s">
        <v>49</v>
      </c>
      <c r="V632">
        <v>4</v>
      </c>
      <c r="W632" t="str" cm="1">
        <f t="array" ref="W632">_xlfn.IFS(V632=1,"Low",V632=2,"Medium",V632=3,"High",V632=4,"Very High")</f>
        <v>Very High</v>
      </c>
      <c r="X632" t="s">
        <v>44</v>
      </c>
      <c r="Y632" s="2">
        <v>4775</v>
      </c>
      <c r="Z632" s="2">
        <v>19146</v>
      </c>
      <c r="AA632">
        <v>6</v>
      </c>
      <c r="AB632" t="s">
        <v>39</v>
      </c>
      <c r="AC632">
        <v>22</v>
      </c>
      <c r="AD632">
        <v>4</v>
      </c>
      <c r="AE632" t="str" cm="1">
        <f t="array" ref="AE632">_xlfn.IFS(AD632=1,"Low",AD632=2,"Good",AD632=3,"Excellent",AD632=4,"Outstanding")</f>
        <v>Outstanding</v>
      </c>
      <c r="AF632">
        <v>1</v>
      </c>
      <c r="AG632" t="str" cm="1">
        <f t="array" ref="AG632">_xlfn.IFS(AF632=1,"Low",AF632=2,"Medium",AF632=3,"High",AF632=4,"Very High")</f>
        <v>Low</v>
      </c>
      <c r="AH632">
        <v>2</v>
      </c>
      <c r="AI632">
        <v>4</v>
      </c>
      <c r="AJ632">
        <v>2</v>
      </c>
      <c r="AK632">
        <v>1</v>
      </c>
      <c r="AL632" t="str" cm="1">
        <f t="array" ref="AL632">_xlfn.IFS(AK632=1,"Low",AK632=2,"Medium",AK632=3,"High",AK632=4,"Very High")</f>
        <v>Low</v>
      </c>
      <c r="AM632">
        <v>2</v>
      </c>
      <c r="AN632">
        <v>2</v>
      </c>
      <c r="AO632">
        <v>2</v>
      </c>
      <c r="AP632">
        <v>2</v>
      </c>
    </row>
    <row r="633" spans="1:42">
      <c r="A633">
        <v>44</v>
      </c>
      <c r="B633" t="str" cm="1">
        <f t="array" ref="B633">_xlfn.IFS(A633&lt;=25,"18-25",A633&lt;=35,"26-35",A633&lt;=45,"36-45",A633&lt;=55,"46-55",A633&gt;55,"56+")</f>
        <v>36-45</v>
      </c>
      <c r="C633" t="s">
        <v>39</v>
      </c>
      <c r="D633" t="s">
        <v>33</v>
      </c>
      <c r="E633" s="2">
        <v>986</v>
      </c>
      <c r="F633" t="s">
        <v>41</v>
      </c>
      <c r="G633">
        <v>8</v>
      </c>
      <c r="H633" t="str">
        <f t="shared" si="9"/>
        <v>1-10 km</v>
      </c>
      <c r="I633">
        <v>4</v>
      </c>
      <c r="J633" t="str" cm="1">
        <f t="array" ref="J633">_xlfn.IFS(I633=1,"Below College",I633=2,"College",I633=3,"Bachelor",I633=4,"Master",I633=5,"Doctor")</f>
        <v>Master</v>
      </c>
      <c r="K633" t="s">
        <v>35</v>
      </c>
      <c r="L633">
        <v>874</v>
      </c>
      <c r="M633">
        <v>1</v>
      </c>
      <c r="N633" t="str" cm="1">
        <f t="array" ref="N633">_xlfn.IFS(M633=1,"Low",M633=2,"Medium",M633=3,"High",M633=4,"Very High")</f>
        <v>Low</v>
      </c>
      <c r="O633" t="s">
        <v>42</v>
      </c>
      <c r="P633" s="2">
        <v>62</v>
      </c>
      <c r="Q633">
        <v>4</v>
      </c>
      <c r="R633" t="str" cm="1">
        <f t="array" ref="R633">_xlfn.IFS(Q633=1,"Low",Q633=2,"Medium",Q633=3,"High",Q633=4,"Very High")</f>
        <v>Very High</v>
      </c>
      <c r="S633">
        <v>1</v>
      </c>
      <c r="T633" t="str" cm="1">
        <f t="array" ref="T633">_xlfn.IFS(S633=1,"Entry Level",S633=2,"Junior",S633=3,"Mid-Level",S633=4,"Senior",S633=5,"Executive")</f>
        <v>Entry Level</v>
      </c>
      <c r="U633" t="s">
        <v>46</v>
      </c>
      <c r="V633">
        <v>4</v>
      </c>
      <c r="W633" t="str" cm="1">
        <f t="array" ref="W633">_xlfn.IFS(V633=1,"Low",V633=2,"Medium",V633=3,"High",V633=4,"Very High")</f>
        <v>Very High</v>
      </c>
      <c r="X633" t="s">
        <v>44</v>
      </c>
      <c r="Y633" s="2">
        <v>2818</v>
      </c>
      <c r="Z633" s="2">
        <v>5044</v>
      </c>
      <c r="AA633">
        <v>2</v>
      </c>
      <c r="AB633" t="s">
        <v>32</v>
      </c>
      <c r="AC633">
        <v>24</v>
      </c>
      <c r="AD633">
        <v>4</v>
      </c>
      <c r="AE633" t="str" cm="1">
        <f t="array" ref="AE633">_xlfn.IFS(AD633=1,"Low",AD633=2,"Good",AD633=3,"Excellent",AD633=4,"Outstanding")</f>
        <v>Outstanding</v>
      </c>
      <c r="AF633">
        <v>3</v>
      </c>
      <c r="AG633" t="str" cm="1">
        <f t="array" ref="AG633">_xlfn.IFS(AF633=1,"Low",AF633=2,"Medium",AF633=3,"High",AF633=4,"Very High")</f>
        <v>High</v>
      </c>
      <c r="AH633">
        <v>1</v>
      </c>
      <c r="AI633">
        <v>10</v>
      </c>
      <c r="AJ633">
        <v>2</v>
      </c>
      <c r="AK633">
        <v>2</v>
      </c>
      <c r="AL633" t="str" cm="1">
        <f t="array" ref="AL633">_xlfn.IFS(AK633=1,"Low",AK633=2,"Medium",AK633=3,"High",AK633=4,"Very High")</f>
        <v>Medium</v>
      </c>
      <c r="AM633">
        <v>3</v>
      </c>
      <c r="AN633">
        <v>2</v>
      </c>
      <c r="AO633">
        <v>0</v>
      </c>
      <c r="AP633">
        <v>2</v>
      </c>
    </row>
    <row r="634" spans="1:42">
      <c r="A634">
        <v>42</v>
      </c>
      <c r="B634" t="str" cm="1">
        <f t="array" ref="B634">_xlfn.IFS(A634&lt;=25,"18-25",A634&lt;=35,"26-35",A634&lt;=45,"36-45",A634&lt;=55,"46-55",A634&gt;55,"56+")</f>
        <v>36-45</v>
      </c>
      <c r="C634" t="s">
        <v>39</v>
      </c>
      <c r="D634" t="s">
        <v>40</v>
      </c>
      <c r="E634" s="2">
        <v>1271</v>
      </c>
      <c r="F634" t="s">
        <v>41</v>
      </c>
      <c r="G634">
        <v>2</v>
      </c>
      <c r="H634" t="str">
        <f t="shared" si="9"/>
        <v>1-10 km</v>
      </c>
      <c r="I634">
        <v>1</v>
      </c>
      <c r="J634" t="str" cm="1">
        <f t="array" ref="J634">_xlfn.IFS(I634=1,"Below College",I634=2,"College",I634=3,"Bachelor",I634=4,"Master",I634=5,"Doctor")</f>
        <v>Below College</v>
      </c>
      <c r="K634" t="s">
        <v>47</v>
      </c>
      <c r="L634">
        <v>875</v>
      </c>
      <c r="M634">
        <v>2</v>
      </c>
      <c r="N634" t="str" cm="1">
        <f t="array" ref="N634">_xlfn.IFS(M634=1,"Low",M634=2,"Medium",M634=3,"High",M634=4,"Very High")</f>
        <v>Medium</v>
      </c>
      <c r="O634" t="s">
        <v>42</v>
      </c>
      <c r="P634" s="2">
        <v>35</v>
      </c>
      <c r="Q634">
        <v>3</v>
      </c>
      <c r="R634" t="str" cm="1">
        <f t="array" ref="R634">_xlfn.IFS(Q634=1,"Low",Q634=2,"Medium",Q634=3,"High",Q634=4,"Very High")</f>
        <v>High</v>
      </c>
      <c r="S634">
        <v>1</v>
      </c>
      <c r="T634" t="str" cm="1">
        <f t="array" ref="T634">_xlfn.IFS(S634=1,"Entry Level",S634=2,"Junior",S634=3,"Mid-Level",S634=4,"Senior",S634=5,"Executive")</f>
        <v>Entry Level</v>
      </c>
      <c r="U634" t="s">
        <v>43</v>
      </c>
      <c r="V634">
        <v>4</v>
      </c>
      <c r="W634" t="str" cm="1">
        <f t="array" ref="W634">_xlfn.IFS(V634=1,"Low",V634=2,"Medium",V634=3,"High",V634=4,"Very High")</f>
        <v>Very High</v>
      </c>
      <c r="X634" t="s">
        <v>38</v>
      </c>
      <c r="Y634" s="2">
        <v>2515</v>
      </c>
      <c r="Z634" s="2">
        <v>9068</v>
      </c>
      <c r="AA634">
        <v>5</v>
      </c>
      <c r="AB634" t="s">
        <v>32</v>
      </c>
      <c r="AC634">
        <v>14</v>
      </c>
      <c r="AD634">
        <v>3</v>
      </c>
      <c r="AE634" t="str" cm="1">
        <f t="array" ref="AE634">_xlfn.IFS(AD634=1,"Low",AD634=2,"Good",AD634=3,"Excellent",AD634=4,"Outstanding")</f>
        <v>Excellent</v>
      </c>
      <c r="AF634">
        <v>4</v>
      </c>
      <c r="AG634" t="str" cm="1">
        <f t="array" ref="AG634">_xlfn.IFS(AF634=1,"Low",AF634=2,"Medium",AF634=3,"High",AF634=4,"Very High")</f>
        <v>Very High</v>
      </c>
      <c r="AH634">
        <v>0</v>
      </c>
      <c r="AI634">
        <v>8</v>
      </c>
      <c r="AJ634">
        <v>2</v>
      </c>
      <c r="AK634">
        <v>3</v>
      </c>
      <c r="AL634" t="str" cm="1">
        <f t="array" ref="AL634">_xlfn.IFS(AK634=1,"Low",AK634=2,"Medium",AK634=3,"High",AK634=4,"Very High")</f>
        <v>High</v>
      </c>
      <c r="AM634">
        <v>2</v>
      </c>
      <c r="AN634">
        <v>1</v>
      </c>
      <c r="AO634">
        <v>2</v>
      </c>
      <c r="AP634">
        <v>2</v>
      </c>
    </row>
    <row r="635" spans="1:42">
      <c r="A635">
        <v>36</v>
      </c>
      <c r="B635" t="str" cm="1">
        <f t="array" ref="B635">_xlfn.IFS(A635&lt;=25,"18-25",A635&lt;=35,"26-35",A635&lt;=45,"36-45",A635&lt;=55,"46-55",A635&gt;55,"56+")</f>
        <v>36-45</v>
      </c>
      <c r="C635" t="s">
        <v>39</v>
      </c>
      <c r="D635" t="s">
        <v>33</v>
      </c>
      <c r="E635" s="2">
        <v>1278</v>
      </c>
      <c r="F635" t="s">
        <v>57</v>
      </c>
      <c r="G635">
        <v>8</v>
      </c>
      <c r="H635" t="str">
        <f t="shared" si="9"/>
        <v>1-10 km</v>
      </c>
      <c r="I635">
        <v>3</v>
      </c>
      <c r="J635" t="str" cm="1">
        <f t="array" ref="J635">_xlfn.IFS(I635=1,"Below College",I635=2,"College",I635=3,"Bachelor",I635=4,"Master",I635=5,"Doctor")</f>
        <v>Bachelor</v>
      </c>
      <c r="K635" t="s">
        <v>35</v>
      </c>
      <c r="L635">
        <v>878</v>
      </c>
      <c r="M635">
        <v>1</v>
      </c>
      <c r="N635" t="str" cm="1">
        <f t="array" ref="N635">_xlfn.IFS(M635=1,"Low",M635=2,"Medium",M635=3,"High",M635=4,"Very High")</f>
        <v>Low</v>
      </c>
      <c r="O635" t="s">
        <v>42</v>
      </c>
      <c r="P635" s="2">
        <v>77</v>
      </c>
      <c r="Q635">
        <v>2</v>
      </c>
      <c r="R635" t="str" cm="1">
        <f t="array" ref="R635">_xlfn.IFS(Q635=1,"Low",Q635=2,"Medium",Q635=3,"High",Q635=4,"Very High")</f>
        <v>Medium</v>
      </c>
      <c r="S635">
        <v>1</v>
      </c>
      <c r="T635" t="str" cm="1">
        <f t="array" ref="T635">_xlfn.IFS(S635=1,"Entry Level",S635=2,"Junior",S635=3,"Mid-Level",S635=4,"Senior",S635=5,"Executive")</f>
        <v>Entry Level</v>
      </c>
      <c r="U635" t="s">
        <v>57</v>
      </c>
      <c r="V635">
        <v>1</v>
      </c>
      <c r="W635" t="str" cm="1">
        <f t="array" ref="W635">_xlfn.IFS(V635=1,"Low",V635=2,"Medium",V635=3,"High",V635=4,"Very High")</f>
        <v>Low</v>
      </c>
      <c r="X635" t="s">
        <v>44</v>
      </c>
      <c r="Y635" s="2">
        <v>2342</v>
      </c>
      <c r="Z635" s="2">
        <v>8635</v>
      </c>
      <c r="AA635">
        <v>0</v>
      </c>
      <c r="AB635" t="s">
        <v>39</v>
      </c>
      <c r="AC635">
        <v>21</v>
      </c>
      <c r="AD635">
        <v>4</v>
      </c>
      <c r="AE635" t="str" cm="1">
        <f t="array" ref="AE635">_xlfn.IFS(AD635=1,"Low",AD635=2,"Good",AD635=3,"Excellent",AD635=4,"Outstanding")</f>
        <v>Outstanding</v>
      </c>
      <c r="AF635">
        <v>3</v>
      </c>
      <c r="AG635" t="str" cm="1">
        <f t="array" ref="AG635">_xlfn.IFS(AF635=1,"Low",AF635=2,"Medium",AF635=3,"High",AF635=4,"Very High")</f>
        <v>High</v>
      </c>
      <c r="AH635">
        <v>0</v>
      </c>
      <c r="AI635">
        <v>6</v>
      </c>
      <c r="AJ635">
        <v>3</v>
      </c>
      <c r="AK635">
        <v>3</v>
      </c>
      <c r="AL635" t="str" cm="1">
        <f t="array" ref="AL635">_xlfn.IFS(AK635=1,"Low",AK635=2,"Medium",AK635=3,"High",AK635=4,"Very High")</f>
        <v>High</v>
      </c>
      <c r="AM635">
        <v>5</v>
      </c>
      <c r="AN635">
        <v>4</v>
      </c>
      <c r="AO635">
        <v>0</v>
      </c>
      <c r="AP635">
        <v>3</v>
      </c>
    </row>
    <row r="636" spans="1:42">
      <c r="A636">
        <v>25</v>
      </c>
      <c r="B636" t="str" cm="1">
        <f t="array" ref="B636">_xlfn.IFS(A636&lt;=25,"18-25",A636&lt;=35,"26-35",A636&lt;=45,"36-45",A636&lt;=55,"46-55",A636&gt;55,"56+")</f>
        <v>18-25</v>
      </c>
      <c r="C636" t="s">
        <v>39</v>
      </c>
      <c r="D636" t="s">
        <v>33</v>
      </c>
      <c r="E636" s="2">
        <v>141</v>
      </c>
      <c r="F636" t="s">
        <v>34</v>
      </c>
      <c r="G636">
        <v>3</v>
      </c>
      <c r="H636" t="str">
        <f t="shared" si="9"/>
        <v>1-10 km</v>
      </c>
      <c r="I636">
        <v>1</v>
      </c>
      <c r="J636" t="str" cm="1">
        <f t="array" ref="J636">_xlfn.IFS(I636=1,"Below College",I636=2,"College",I636=3,"Bachelor",I636=4,"Master",I636=5,"Doctor")</f>
        <v>Below College</v>
      </c>
      <c r="K636" t="s">
        <v>45</v>
      </c>
      <c r="L636">
        <v>879</v>
      </c>
      <c r="M636">
        <v>3</v>
      </c>
      <c r="N636" t="str" cm="1">
        <f t="array" ref="N636">_xlfn.IFS(M636=1,"Low",M636=2,"Medium",M636=3,"High",M636=4,"Very High")</f>
        <v>High</v>
      </c>
      <c r="O636" t="s">
        <v>42</v>
      </c>
      <c r="P636" s="2">
        <v>98</v>
      </c>
      <c r="Q636">
        <v>3</v>
      </c>
      <c r="R636" t="str" cm="1">
        <f t="array" ref="R636">_xlfn.IFS(Q636=1,"Low",Q636=2,"Medium",Q636=3,"High",Q636=4,"Very High")</f>
        <v>High</v>
      </c>
      <c r="S636">
        <v>2</v>
      </c>
      <c r="T636" t="str" cm="1">
        <f t="array" ref="T636">_xlfn.IFS(S636=1,"Entry Level",S636=2,"Junior",S636=3,"Mid-Level",S636=4,"Senior",S636=5,"Executive")</f>
        <v>Junior</v>
      </c>
      <c r="U636" t="s">
        <v>37</v>
      </c>
      <c r="V636">
        <v>1</v>
      </c>
      <c r="W636" t="str" cm="1">
        <f t="array" ref="W636">_xlfn.IFS(V636=1,"Low",V636=2,"Medium",V636=3,"High",V636=4,"Very High")</f>
        <v>Low</v>
      </c>
      <c r="X636" t="s">
        <v>44</v>
      </c>
      <c r="Y636" s="2">
        <v>4194</v>
      </c>
      <c r="Z636" s="2">
        <v>14363</v>
      </c>
      <c r="AA636">
        <v>1</v>
      </c>
      <c r="AB636" t="s">
        <v>32</v>
      </c>
      <c r="AC636">
        <v>18</v>
      </c>
      <c r="AD636">
        <v>3</v>
      </c>
      <c r="AE636" t="str" cm="1">
        <f t="array" ref="AE636">_xlfn.IFS(AD636=1,"Low",AD636=2,"Good",AD636=3,"Excellent",AD636=4,"Outstanding")</f>
        <v>Excellent</v>
      </c>
      <c r="AF636">
        <v>4</v>
      </c>
      <c r="AG636" t="str" cm="1">
        <f t="array" ref="AG636">_xlfn.IFS(AF636=1,"Low",AF636=2,"Medium",AF636=3,"High",AF636=4,"Very High")</f>
        <v>Very High</v>
      </c>
      <c r="AH636">
        <v>0</v>
      </c>
      <c r="AI636">
        <v>5</v>
      </c>
      <c r="AJ636">
        <v>3</v>
      </c>
      <c r="AK636">
        <v>3</v>
      </c>
      <c r="AL636" t="str" cm="1">
        <f t="array" ref="AL636">_xlfn.IFS(AK636=1,"Low",AK636=2,"Medium",AK636=3,"High",AK636=4,"Very High")</f>
        <v>High</v>
      </c>
      <c r="AM636">
        <v>5</v>
      </c>
      <c r="AN636">
        <v>3</v>
      </c>
      <c r="AO636">
        <v>0</v>
      </c>
      <c r="AP636">
        <v>3</v>
      </c>
    </row>
    <row r="637" spans="1:42">
      <c r="A637">
        <v>35</v>
      </c>
      <c r="B637" t="str" cm="1">
        <f t="array" ref="B637">_xlfn.IFS(A637&lt;=25,"18-25",A637&lt;=35,"26-35",A637&lt;=45,"36-45",A637&lt;=55,"46-55",A637&gt;55,"56+")</f>
        <v>26-35</v>
      </c>
      <c r="C637" t="s">
        <v>39</v>
      </c>
      <c r="D637" t="s">
        <v>33</v>
      </c>
      <c r="E637" s="2">
        <v>607</v>
      </c>
      <c r="F637" t="s">
        <v>41</v>
      </c>
      <c r="G637">
        <v>9</v>
      </c>
      <c r="H637" t="str">
        <f t="shared" si="9"/>
        <v>1-10 km</v>
      </c>
      <c r="I637">
        <v>3</v>
      </c>
      <c r="J637" t="str" cm="1">
        <f t="array" ref="J637">_xlfn.IFS(I637=1,"Below College",I637=2,"College",I637=3,"Bachelor",I637=4,"Master",I637=5,"Doctor")</f>
        <v>Bachelor</v>
      </c>
      <c r="K637" t="s">
        <v>35</v>
      </c>
      <c r="L637">
        <v>880</v>
      </c>
      <c r="M637">
        <v>4</v>
      </c>
      <c r="N637" t="str" cm="1">
        <f t="array" ref="N637">_xlfn.IFS(M637=1,"Low",M637=2,"Medium",M637=3,"High",M637=4,"Very High")</f>
        <v>Very High</v>
      </c>
      <c r="O637" t="s">
        <v>36</v>
      </c>
      <c r="P637" s="2">
        <v>66</v>
      </c>
      <c r="Q637">
        <v>2</v>
      </c>
      <c r="R637" t="str" cm="1">
        <f t="array" ref="R637">_xlfn.IFS(Q637=1,"Low",Q637=2,"Medium",Q637=3,"High",Q637=4,"Very High")</f>
        <v>Medium</v>
      </c>
      <c r="S637">
        <v>3</v>
      </c>
      <c r="T637" t="str" cm="1">
        <f t="array" ref="T637">_xlfn.IFS(S637=1,"Entry Level",S637=2,"Junior",S637=3,"Mid-Level",S637=4,"Senior",S637=5,"Executive")</f>
        <v>Mid-Level</v>
      </c>
      <c r="U637" t="s">
        <v>49</v>
      </c>
      <c r="V637">
        <v>3</v>
      </c>
      <c r="W637" t="str" cm="1">
        <f t="array" ref="W637">_xlfn.IFS(V637=1,"Low",V637=2,"Medium",V637=3,"High",V637=4,"Very High")</f>
        <v>High</v>
      </c>
      <c r="X637" t="s">
        <v>44</v>
      </c>
      <c r="Y637" s="2">
        <v>10685</v>
      </c>
      <c r="Z637" s="2">
        <v>23457</v>
      </c>
      <c r="AA637">
        <v>1</v>
      </c>
      <c r="AB637" t="s">
        <v>32</v>
      </c>
      <c r="AC637">
        <v>20</v>
      </c>
      <c r="AD637">
        <v>4</v>
      </c>
      <c r="AE637" t="str" cm="1">
        <f t="array" ref="AE637">_xlfn.IFS(AD637=1,"Low",AD637=2,"Good",AD637=3,"Excellent",AD637=4,"Outstanding")</f>
        <v>Outstanding</v>
      </c>
      <c r="AF637">
        <v>2</v>
      </c>
      <c r="AG637" t="str" cm="1">
        <f t="array" ref="AG637">_xlfn.IFS(AF637=1,"Low",AF637=2,"Medium",AF637=3,"High",AF637=4,"Very High")</f>
        <v>Medium</v>
      </c>
      <c r="AH637">
        <v>1</v>
      </c>
      <c r="AI637">
        <v>17</v>
      </c>
      <c r="AJ637">
        <v>2</v>
      </c>
      <c r="AK637">
        <v>3</v>
      </c>
      <c r="AL637" t="str" cm="1">
        <f t="array" ref="AL637">_xlfn.IFS(AK637=1,"Low",AK637=2,"Medium",AK637=3,"High",AK637=4,"Very High")</f>
        <v>High</v>
      </c>
      <c r="AM637">
        <v>17</v>
      </c>
      <c r="AN637">
        <v>14</v>
      </c>
      <c r="AO637">
        <v>5</v>
      </c>
      <c r="AP637">
        <v>15</v>
      </c>
    </row>
    <row r="638" spans="1:42">
      <c r="A638">
        <v>35</v>
      </c>
      <c r="B638" t="str" cm="1">
        <f t="array" ref="B638">_xlfn.IFS(A638&lt;=25,"18-25",A638&lt;=35,"26-35",A638&lt;=45,"36-45",A638&lt;=55,"46-55",A638&gt;55,"56+")</f>
        <v>26-35</v>
      </c>
      <c r="C638" t="s">
        <v>32</v>
      </c>
      <c r="D638" t="s">
        <v>40</v>
      </c>
      <c r="E638" s="2">
        <v>130</v>
      </c>
      <c r="F638" t="s">
        <v>41</v>
      </c>
      <c r="G638">
        <v>25</v>
      </c>
      <c r="H638" t="str">
        <f t="shared" si="9"/>
        <v>21-30 km</v>
      </c>
      <c r="I638">
        <v>4</v>
      </c>
      <c r="J638" t="str" cm="1">
        <f t="array" ref="J638">_xlfn.IFS(I638=1,"Below College",I638=2,"College",I638=3,"Bachelor",I638=4,"Master",I638=5,"Doctor")</f>
        <v>Master</v>
      </c>
      <c r="K638" t="s">
        <v>35</v>
      </c>
      <c r="L638">
        <v>881</v>
      </c>
      <c r="M638">
        <v>4</v>
      </c>
      <c r="N638" t="str" cm="1">
        <f t="array" ref="N638">_xlfn.IFS(M638=1,"Low",M638=2,"Medium",M638=3,"High",M638=4,"Very High")</f>
        <v>Very High</v>
      </c>
      <c r="O638" t="s">
        <v>36</v>
      </c>
      <c r="P638" s="2">
        <v>96</v>
      </c>
      <c r="Q638">
        <v>3</v>
      </c>
      <c r="R638" t="str" cm="1">
        <f t="array" ref="R638">_xlfn.IFS(Q638=1,"Low",Q638=2,"Medium",Q638=3,"High",Q638=4,"Very High")</f>
        <v>High</v>
      </c>
      <c r="S638">
        <v>1</v>
      </c>
      <c r="T638" t="str" cm="1">
        <f t="array" ref="T638">_xlfn.IFS(S638=1,"Entry Level",S638=2,"Junior",S638=3,"Mid-Level",S638=4,"Senior",S638=5,"Executive")</f>
        <v>Entry Level</v>
      </c>
      <c r="U638" t="s">
        <v>43</v>
      </c>
      <c r="V638">
        <v>2</v>
      </c>
      <c r="W638" t="str" cm="1">
        <f t="array" ref="W638">_xlfn.IFS(V638=1,"Low",V638=2,"Medium",V638=3,"High",V638=4,"Very High")</f>
        <v>Medium</v>
      </c>
      <c r="X638" t="s">
        <v>48</v>
      </c>
      <c r="Y638" s="2">
        <v>2022</v>
      </c>
      <c r="Z638" s="2">
        <v>16612</v>
      </c>
      <c r="AA638">
        <v>1</v>
      </c>
      <c r="AB638" t="s">
        <v>32</v>
      </c>
      <c r="AC638">
        <v>19</v>
      </c>
      <c r="AD638">
        <v>3</v>
      </c>
      <c r="AE638" t="str" cm="1">
        <f t="array" ref="AE638">_xlfn.IFS(AD638=1,"Low",AD638=2,"Good",AD638=3,"Excellent",AD638=4,"Outstanding")</f>
        <v>Excellent</v>
      </c>
      <c r="AF638">
        <v>1</v>
      </c>
      <c r="AG638" t="str" cm="1">
        <f t="array" ref="AG638">_xlfn.IFS(AF638=1,"Low",AF638=2,"Medium",AF638=3,"High",AF638=4,"Very High")</f>
        <v>Low</v>
      </c>
      <c r="AH638">
        <v>1</v>
      </c>
      <c r="AI638">
        <v>10</v>
      </c>
      <c r="AJ638">
        <v>3</v>
      </c>
      <c r="AK638">
        <v>2</v>
      </c>
      <c r="AL638" t="str" cm="1">
        <f t="array" ref="AL638">_xlfn.IFS(AK638=1,"Low",AK638=2,"Medium",AK638=3,"High",AK638=4,"Very High")</f>
        <v>Medium</v>
      </c>
      <c r="AM638">
        <v>10</v>
      </c>
      <c r="AN638">
        <v>2</v>
      </c>
      <c r="AO638">
        <v>7</v>
      </c>
      <c r="AP638">
        <v>8</v>
      </c>
    </row>
    <row r="639" spans="1:42">
      <c r="A639">
        <v>32</v>
      </c>
      <c r="B639" t="str" cm="1">
        <f t="array" ref="B639">_xlfn.IFS(A639&lt;=25,"18-25",A639&lt;=35,"26-35",A639&lt;=45,"36-45",A639&lt;=55,"46-55",A639&gt;55,"56+")</f>
        <v>26-35</v>
      </c>
      <c r="C639" t="s">
        <v>39</v>
      </c>
      <c r="D639" t="s">
        <v>51</v>
      </c>
      <c r="E639" s="2">
        <v>300</v>
      </c>
      <c r="F639" t="s">
        <v>41</v>
      </c>
      <c r="G639">
        <v>1</v>
      </c>
      <c r="H639" t="str">
        <f t="shared" si="9"/>
        <v>1-10 km</v>
      </c>
      <c r="I639">
        <v>3</v>
      </c>
      <c r="J639" t="str" cm="1">
        <f t="array" ref="J639">_xlfn.IFS(I639=1,"Below College",I639=2,"College",I639=3,"Bachelor",I639=4,"Master",I639=5,"Doctor")</f>
        <v>Bachelor</v>
      </c>
      <c r="K639" t="s">
        <v>35</v>
      </c>
      <c r="L639">
        <v>882</v>
      </c>
      <c r="M639">
        <v>4</v>
      </c>
      <c r="N639" t="str" cm="1">
        <f t="array" ref="N639">_xlfn.IFS(M639=1,"Low",M639=2,"Medium",M639=3,"High",M639=4,"Very High")</f>
        <v>Very High</v>
      </c>
      <c r="O639" t="s">
        <v>42</v>
      </c>
      <c r="P639" s="2">
        <v>61</v>
      </c>
      <c r="Q639">
        <v>3</v>
      </c>
      <c r="R639" t="str" cm="1">
        <f t="array" ref="R639">_xlfn.IFS(Q639=1,"Low",Q639=2,"Medium",Q639=3,"High",Q639=4,"Very High")</f>
        <v>High</v>
      </c>
      <c r="S639">
        <v>1</v>
      </c>
      <c r="T639" t="str" cm="1">
        <f t="array" ref="T639">_xlfn.IFS(S639=1,"Entry Level",S639=2,"Junior",S639=3,"Mid-Level",S639=4,"Senior",S639=5,"Executive")</f>
        <v>Entry Level</v>
      </c>
      <c r="U639" t="s">
        <v>46</v>
      </c>
      <c r="V639">
        <v>4</v>
      </c>
      <c r="W639" t="str" cm="1">
        <f t="array" ref="W639">_xlfn.IFS(V639=1,"Low",V639=2,"Medium",V639=3,"High",V639=4,"Very High")</f>
        <v>Very High</v>
      </c>
      <c r="X639" t="s">
        <v>48</v>
      </c>
      <c r="Y639" s="2">
        <v>2314</v>
      </c>
      <c r="Z639" s="2">
        <v>9148</v>
      </c>
      <c r="AA639">
        <v>0</v>
      </c>
      <c r="AB639" t="s">
        <v>39</v>
      </c>
      <c r="AC639">
        <v>12</v>
      </c>
      <c r="AD639">
        <v>3</v>
      </c>
      <c r="AE639" t="str" cm="1">
        <f t="array" ref="AE639">_xlfn.IFS(AD639=1,"Low",AD639=2,"Good",AD639=3,"Excellent",AD639=4,"Outstanding")</f>
        <v>Excellent</v>
      </c>
      <c r="AF639">
        <v>2</v>
      </c>
      <c r="AG639" t="str" cm="1">
        <f t="array" ref="AG639">_xlfn.IFS(AF639=1,"Low",AF639=2,"Medium",AF639=3,"High",AF639=4,"Very High")</f>
        <v>Medium</v>
      </c>
      <c r="AH639">
        <v>1</v>
      </c>
      <c r="AI639">
        <v>4</v>
      </c>
      <c r="AJ639">
        <v>2</v>
      </c>
      <c r="AK639">
        <v>3</v>
      </c>
      <c r="AL639" t="str" cm="1">
        <f t="array" ref="AL639">_xlfn.IFS(AK639=1,"Low",AK639=2,"Medium",AK639=3,"High",AK639=4,"Very High")</f>
        <v>High</v>
      </c>
      <c r="AM639">
        <v>3</v>
      </c>
      <c r="AN639">
        <v>0</v>
      </c>
      <c r="AO639">
        <v>0</v>
      </c>
      <c r="AP639">
        <v>2</v>
      </c>
    </row>
    <row r="640" spans="1:42">
      <c r="A640">
        <v>25</v>
      </c>
      <c r="B640" t="str" cm="1">
        <f t="array" ref="B640">_xlfn.IFS(A640&lt;=25,"18-25",A640&lt;=35,"26-35",A640&lt;=45,"36-45",A640&lt;=55,"46-55",A640&gt;55,"56+")</f>
        <v>18-25</v>
      </c>
      <c r="C640" t="s">
        <v>39</v>
      </c>
      <c r="D640" t="s">
        <v>33</v>
      </c>
      <c r="E640" s="2">
        <v>583</v>
      </c>
      <c r="F640" t="s">
        <v>34</v>
      </c>
      <c r="G640">
        <v>4</v>
      </c>
      <c r="H640" t="str">
        <f t="shared" si="9"/>
        <v>1-10 km</v>
      </c>
      <c r="I640">
        <v>1</v>
      </c>
      <c r="J640" t="str" cm="1">
        <f t="array" ref="J640">_xlfn.IFS(I640=1,"Below College",I640=2,"College",I640=3,"Bachelor",I640=4,"Master",I640=5,"Doctor")</f>
        <v>Below College</v>
      </c>
      <c r="K640" t="s">
        <v>55</v>
      </c>
      <c r="L640">
        <v>885</v>
      </c>
      <c r="M640">
        <v>3</v>
      </c>
      <c r="N640" t="str" cm="1">
        <f t="array" ref="N640">_xlfn.IFS(M640=1,"Low",M640=2,"Medium",M640=3,"High",M640=4,"Very High")</f>
        <v>High</v>
      </c>
      <c r="O640" t="s">
        <v>42</v>
      </c>
      <c r="P640" s="2">
        <v>87</v>
      </c>
      <c r="Q640">
        <v>2</v>
      </c>
      <c r="R640" t="str" cm="1">
        <f t="array" ref="R640">_xlfn.IFS(Q640=1,"Low",Q640=2,"Medium",Q640=3,"High",Q640=4,"Very High")</f>
        <v>Medium</v>
      </c>
      <c r="S640">
        <v>2</v>
      </c>
      <c r="T640" t="str" cm="1">
        <f t="array" ref="T640">_xlfn.IFS(S640=1,"Entry Level",S640=2,"Junior",S640=3,"Mid-Level",S640=4,"Senior",S640=5,"Executive")</f>
        <v>Junior</v>
      </c>
      <c r="U640" t="s">
        <v>37</v>
      </c>
      <c r="V640">
        <v>1</v>
      </c>
      <c r="W640" t="str" cm="1">
        <f t="array" ref="W640">_xlfn.IFS(V640=1,"Low",V640=2,"Medium",V640=3,"High",V640=4,"Very High")</f>
        <v>Low</v>
      </c>
      <c r="X640" t="s">
        <v>44</v>
      </c>
      <c r="Y640" s="2">
        <v>4256</v>
      </c>
      <c r="Z640" s="2">
        <v>18154</v>
      </c>
      <c r="AA640">
        <v>1</v>
      </c>
      <c r="AB640" t="s">
        <v>39</v>
      </c>
      <c r="AC640">
        <v>12</v>
      </c>
      <c r="AD640">
        <v>3</v>
      </c>
      <c r="AE640" t="str" cm="1">
        <f t="array" ref="AE640">_xlfn.IFS(AD640=1,"Low",AD640=2,"Good",AD640=3,"Excellent",AD640=4,"Outstanding")</f>
        <v>Excellent</v>
      </c>
      <c r="AF640">
        <v>1</v>
      </c>
      <c r="AG640" t="str" cm="1">
        <f t="array" ref="AG640">_xlfn.IFS(AF640=1,"Low",AF640=2,"Medium",AF640=3,"High",AF640=4,"Very High")</f>
        <v>Low</v>
      </c>
      <c r="AH640">
        <v>0</v>
      </c>
      <c r="AI640">
        <v>5</v>
      </c>
      <c r="AJ640">
        <v>1</v>
      </c>
      <c r="AK640">
        <v>4</v>
      </c>
      <c r="AL640" t="str" cm="1">
        <f t="array" ref="AL640">_xlfn.IFS(AK640=1,"Low",AK640=2,"Medium",AK640=3,"High",AK640=4,"Very High")</f>
        <v>Very High</v>
      </c>
      <c r="AM640">
        <v>5</v>
      </c>
      <c r="AN640">
        <v>2</v>
      </c>
      <c r="AO640">
        <v>0</v>
      </c>
      <c r="AP640">
        <v>3</v>
      </c>
    </row>
    <row r="641" spans="1:42">
      <c r="A641">
        <v>49</v>
      </c>
      <c r="B641" t="str" cm="1">
        <f t="array" ref="B641">_xlfn.IFS(A641&lt;=25,"18-25",A641&lt;=35,"26-35",A641&lt;=45,"36-45",A641&lt;=55,"46-55",A641&gt;55,"56+")</f>
        <v>46-55</v>
      </c>
      <c r="C641" t="s">
        <v>39</v>
      </c>
      <c r="D641" t="s">
        <v>33</v>
      </c>
      <c r="E641" s="2">
        <v>1418</v>
      </c>
      <c r="F641" t="s">
        <v>41</v>
      </c>
      <c r="G641">
        <v>1</v>
      </c>
      <c r="H641" t="str">
        <f t="shared" si="9"/>
        <v>1-10 km</v>
      </c>
      <c r="I641">
        <v>3</v>
      </c>
      <c r="J641" t="str" cm="1">
        <f t="array" ref="J641">_xlfn.IFS(I641=1,"Below College",I641=2,"College",I641=3,"Bachelor",I641=4,"Master",I641=5,"Doctor")</f>
        <v>Bachelor</v>
      </c>
      <c r="K641" t="s">
        <v>56</v>
      </c>
      <c r="L641">
        <v>887</v>
      </c>
      <c r="M641">
        <v>3</v>
      </c>
      <c r="N641" t="str" cm="1">
        <f t="array" ref="N641">_xlfn.IFS(M641=1,"Low",M641=2,"Medium",M641=3,"High",M641=4,"Very High")</f>
        <v>High</v>
      </c>
      <c r="O641" t="s">
        <v>36</v>
      </c>
      <c r="P641" s="2">
        <v>36</v>
      </c>
      <c r="Q641">
        <v>3</v>
      </c>
      <c r="R641" t="str" cm="1">
        <f t="array" ref="R641">_xlfn.IFS(Q641=1,"Low",Q641=2,"Medium",Q641=3,"High",Q641=4,"Very High")</f>
        <v>High</v>
      </c>
      <c r="S641">
        <v>1</v>
      </c>
      <c r="T641" t="str" cm="1">
        <f t="array" ref="T641">_xlfn.IFS(S641=1,"Entry Level",S641=2,"Junior",S641=3,"Mid-Level",S641=4,"Senior",S641=5,"Executive")</f>
        <v>Entry Level</v>
      </c>
      <c r="U641" t="s">
        <v>43</v>
      </c>
      <c r="V641">
        <v>1</v>
      </c>
      <c r="W641" t="str" cm="1">
        <f t="array" ref="W641">_xlfn.IFS(V641=1,"Low",V641=2,"Medium",V641=3,"High",V641=4,"Very High")</f>
        <v>Low</v>
      </c>
      <c r="X641" t="s">
        <v>44</v>
      </c>
      <c r="Y641" s="2">
        <v>3580</v>
      </c>
      <c r="Z641" s="2">
        <v>10554</v>
      </c>
      <c r="AA641">
        <v>2</v>
      </c>
      <c r="AB641" t="s">
        <v>39</v>
      </c>
      <c r="AC641">
        <v>16</v>
      </c>
      <c r="AD641">
        <v>3</v>
      </c>
      <c r="AE641" t="str" cm="1">
        <f t="array" ref="AE641">_xlfn.IFS(AD641=1,"Low",AD641=2,"Good",AD641=3,"Excellent",AD641=4,"Outstanding")</f>
        <v>Excellent</v>
      </c>
      <c r="AF641">
        <v>2</v>
      </c>
      <c r="AG641" t="str" cm="1">
        <f t="array" ref="AG641">_xlfn.IFS(AF641=1,"Low",AF641=2,"Medium",AF641=3,"High",AF641=4,"Very High")</f>
        <v>Medium</v>
      </c>
      <c r="AH641">
        <v>1</v>
      </c>
      <c r="AI641">
        <v>7</v>
      </c>
      <c r="AJ641">
        <v>2</v>
      </c>
      <c r="AK641">
        <v>3</v>
      </c>
      <c r="AL641" t="str" cm="1">
        <f t="array" ref="AL641">_xlfn.IFS(AK641=1,"Low",AK641=2,"Medium",AK641=3,"High",AK641=4,"Very High")</f>
        <v>High</v>
      </c>
      <c r="AM641">
        <v>4</v>
      </c>
      <c r="AN641">
        <v>2</v>
      </c>
      <c r="AO641">
        <v>0</v>
      </c>
      <c r="AP641">
        <v>2</v>
      </c>
    </row>
    <row r="642" spans="1:42">
      <c r="A642">
        <v>24</v>
      </c>
      <c r="B642" t="str" cm="1">
        <f t="array" ref="B642">_xlfn.IFS(A642&lt;=25,"18-25",A642&lt;=35,"26-35",A642&lt;=45,"36-45",A642&lt;=55,"46-55",A642&gt;55,"56+")</f>
        <v>18-25</v>
      </c>
      <c r="C642" t="s">
        <v>39</v>
      </c>
      <c r="D642" t="s">
        <v>51</v>
      </c>
      <c r="E642" s="2">
        <v>1269</v>
      </c>
      <c r="F642" t="s">
        <v>41</v>
      </c>
      <c r="G642">
        <v>4</v>
      </c>
      <c r="H642" t="str">
        <f t="shared" si="9"/>
        <v>1-10 km</v>
      </c>
      <c r="I642">
        <v>1</v>
      </c>
      <c r="J642" t="str" cm="1">
        <f t="array" ref="J642">_xlfn.IFS(I642=1,"Below College",I642=2,"College",I642=3,"Bachelor",I642=4,"Master",I642=5,"Doctor")</f>
        <v>Below College</v>
      </c>
      <c r="K642" t="s">
        <v>35</v>
      </c>
      <c r="L642">
        <v>888</v>
      </c>
      <c r="M642">
        <v>1</v>
      </c>
      <c r="N642" t="str" cm="1">
        <f t="array" ref="N642">_xlfn.IFS(M642=1,"Low",M642=2,"Medium",M642=3,"High",M642=4,"Very High")</f>
        <v>Low</v>
      </c>
      <c r="O642" t="s">
        <v>42</v>
      </c>
      <c r="P642" s="2">
        <v>46</v>
      </c>
      <c r="Q642">
        <v>2</v>
      </c>
      <c r="R642" t="str" cm="1">
        <f t="array" ref="R642">_xlfn.IFS(Q642=1,"Low",Q642=2,"Medium",Q642=3,"High",Q642=4,"Very High")</f>
        <v>Medium</v>
      </c>
      <c r="S642">
        <v>1</v>
      </c>
      <c r="T642" t="str" cm="1">
        <f t="array" ref="T642">_xlfn.IFS(S642=1,"Entry Level",S642=2,"Junior",S642=3,"Mid-Level",S642=4,"Senior",S642=5,"Executive")</f>
        <v>Entry Level</v>
      </c>
      <c r="U642" t="s">
        <v>46</v>
      </c>
      <c r="V642">
        <v>4</v>
      </c>
      <c r="W642" t="str" cm="1">
        <f t="array" ref="W642">_xlfn.IFS(V642=1,"Low",V642=2,"Medium",V642=3,"High",V642=4,"Very High")</f>
        <v>Very High</v>
      </c>
      <c r="X642" t="s">
        <v>44</v>
      </c>
      <c r="Y642" s="2">
        <v>3162</v>
      </c>
      <c r="Z642" s="2">
        <v>10778</v>
      </c>
      <c r="AA642">
        <v>0</v>
      </c>
      <c r="AB642" t="s">
        <v>39</v>
      </c>
      <c r="AC642">
        <v>17</v>
      </c>
      <c r="AD642">
        <v>3</v>
      </c>
      <c r="AE642" t="str" cm="1">
        <f t="array" ref="AE642">_xlfn.IFS(AD642=1,"Low",AD642=2,"Good",AD642=3,"Excellent",AD642=4,"Outstanding")</f>
        <v>Excellent</v>
      </c>
      <c r="AF642">
        <v>4</v>
      </c>
      <c r="AG642" t="str" cm="1">
        <f t="array" ref="AG642">_xlfn.IFS(AF642=1,"Low",AF642=2,"Medium",AF642=3,"High",AF642=4,"Very High")</f>
        <v>Very High</v>
      </c>
      <c r="AH642">
        <v>0</v>
      </c>
      <c r="AI642">
        <v>6</v>
      </c>
      <c r="AJ642">
        <v>2</v>
      </c>
      <c r="AK642">
        <v>2</v>
      </c>
      <c r="AL642" t="str" cm="1">
        <f t="array" ref="AL642">_xlfn.IFS(AK642=1,"Low",AK642=2,"Medium",AK642=3,"High",AK642=4,"Very High")</f>
        <v>Medium</v>
      </c>
      <c r="AM642">
        <v>5</v>
      </c>
      <c r="AN642">
        <v>2</v>
      </c>
      <c r="AO642">
        <v>3</v>
      </c>
      <c r="AP642">
        <v>4</v>
      </c>
    </row>
    <row r="643" spans="1:42">
      <c r="A643">
        <v>32</v>
      </c>
      <c r="B643" t="str" cm="1">
        <f t="array" ref="B643">_xlfn.IFS(A643&lt;=25,"18-25",A643&lt;=35,"26-35",A643&lt;=45,"36-45",A643&lt;=55,"46-55",A643&gt;55,"56+")</f>
        <v>26-35</v>
      </c>
      <c r="C643" t="s">
        <v>39</v>
      </c>
      <c r="D643" t="s">
        <v>40</v>
      </c>
      <c r="E643" s="2">
        <v>379</v>
      </c>
      <c r="F643" t="s">
        <v>34</v>
      </c>
      <c r="G643">
        <v>5</v>
      </c>
      <c r="H643" t="str">
        <f t="shared" ref="H643:H706" si="10">IF(G643&lt;=10,"1-10 km",IF(G643&lt;=20,"11-20 km",IF(G643&lt;=30,"21-30 km","31+ km")))</f>
        <v>1-10 km</v>
      </c>
      <c r="I643">
        <v>2</v>
      </c>
      <c r="J643" t="str" cm="1">
        <f t="array" ref="J643">_xlfn.IFS(I643=1,"Below College",I643=2,"College",I643=3,"Bachelor",I643=4,"Master",I643=5,"Doctor")</f>
        <v>College</v>
      </c>
      <c r="K643" t="s">
        <v>35</v>
      </c>
      <c r="L643">
        <v>889</v>
      </c>
      <c r="M643">
        <v>2</v>
      </c>
      <c r="N643" t="str" cm="1">
        <f t="array" ref="N643">_xlfn.IFS(M643=1,"Low",M643=2,"Medium",M643=3,"High",M643=4,"Very High")</f>
        <v>Medium</v>
      </c>
      <c r="O643" t="s">
        <v>42</v>
      </c>
      <c r="P643" s="2">
        <v>48</v>
      </c>
      <c r="Q643">
        <v>3</v>
      </c>
      <c r="R643" t="str" cm="1">
        <f t="array" ref="R643">_xlfn.IFS(Q643=1,"Low",Q643=2,"Medium",Q643=3,"High",Q643=4,"Very High")</f>
        <v>High</v>
      </c>
      <c r="S643">
        <v>2</v>
      </c>
      <c r="T643" t="str" cm="1">
        <f t="array" ref="T643">_xlfn.IFS(S643=1,"Entry Level",S643=2,"Junior",S643=3,"Mid-Level",S643=4,"Senior",S643=5,"Executive")</f>
        <v>Junior</v>
      </c>
      <c r="U643" t="s">
        <v>37</v>
      </c>
      <c r="V643">
        <v>2</v>
      </c>
      <c r="W643" t="str" cm="1">
        <f t="array" ref="W643">_xlfn.IFS(V643=1,"Low",V643=2,"Medium",V643=3,"High",V643=4,"Very High")</f>
        <v>Medium</v>
      </c>
      <c r="X643" t="s">
        <v>44</v>
      </c>
      <c r="Y643" s="2">
        <v>6524</v>
      </c>
      <c r="Z643" s="2">
        <v>8891</v>
      </c>
      <c r="AA643">
        <v>1</v>
      </c>
      <c r="AB643" t="s">
        <v>39</v>
      </c>
      <c r="AC643">
        <v>14</v>
      </c>
      <c r="AD643">
        <v>3</v>
      </c>
      <c r="AE643" t="str" cm="1">
        <f t="array" ref="AE643">_xlfn.IFS(AD643=1,"Low",AD643=2,"Good",AD643=3,"Excellent",AD643=4,"Outstanding")</f>
        <v>Excellent</v>
      </c>
      <c r="AF643">
        <v>4</v>
      </c>
      <c r="AG643" t="str" cm="1">
        <f t="array" ref="AG643">_xlfn.IFS(AF643=1,"Low",AF643=2,"Medium",AF643=3,"High",AF643=4,"Very High")</f>
        <v>Very High</v>
      </c>
      <c r="AH643">
        <v>1</v>
      </c>
      <c r="AI643">
        <v>10</v>
      </c>
      <c r="AJ643">
        <v>3</v>
      </c>
      <c r="AK643">
        <v>3</v>
      </c>
      <c r="AL643" t="str" cm="1">
        <f t="array" ref="AL643">_xlfn.IFS(AK643=1,"Low",AK643=2,"Medium",AK643=3,"High",AK643=4,"Very High")</f>
        <v>High</v>
      </c>
      <c r="AM643">
        <v>10</v>
      </c>
      <c r="AN643">
        <v>8</v>
      </c>
      <c r="AO643">
        <v>5</v>
      </c>
      <c r="AP643">
        <v>3</v>
      </c>
    </row>
    <row r="644" spans="1:42">
      <c r="A644">
        <v>38</v>
      </c>
      <c r="B644" t="str" cm="1">
        <f t="array" ref="B644">_xlfn.IFS(A644&lt;=25,"18-25",A644&lt;=35,"26-35",A644&lt;=45,"36-45",A644&lt;=55,"46-55",A644&gt;55,"56+")</f>
        <v>36-45</v>
      </c>
      <c r="C644" t="s">
        <v>39</v>
      </c>
      <c r="D644" t="s">
        <v>33</v>
      </c>
      <c r="E644" s="2">
        <v>395</v>
      </c>
      <c r="F644" t="s">
        <v>34</v>
      </c>
      <c r="G644">
        <v>9</v>
      </c>
      <c r="H644" t="str">
        <f t="shared" si="10"/>
        <v>1-10 km</v>
      </c>
      <c r="I644">
        <v>3</v>
      </c>
      <c r="J644" t="str" cm="1">
        <f t="array" ref="J644">_xlfn.IFS(I644=1,"Below College",I644=2,"College",I644=3,"Bachelor",I644=4,"Master",I644=5,"Doctor")</f>
        <v>Bachelor</v>
      </c>
      <c r="K644" t="s">
        <v>55</v>
      </c>
      <c r="L644">
        <v>893</v>
      </c>
      <c r="M644">
        <v>2</v>
      </c>
      <c r="N644" t="str" cm="1">
        <f t="array" ref="N644">_xlfn.IFS(M644=1,"Low",M644=2,"Medium",M644=3,"High",M644=4,"Very High")</f>
        <v>Medium</v>
      </c>
      <c r="O644" t="s">
        <v>42</v>
      </c>
      <c r="P644" s="2">
        <v>98</v>
      </c>
      <c r="Q644">
        <v>2</v>
      </c>
      <c r="R644" t="str" cm="1">
        <f t="array" ref="R644">_xlfn.IFS(Q644=1,"Low",Q644=2,"Medium",Q644=3,"High",Q644=4,"Very High")</f>
        <v>Medium</v>
      </c>
      <c r="S644">
        <v>1</v>
      </c>
      <c r="T644" t="str" cm="1">
        <f t="array" ref="T644">_xlfn.IFS(S644=1,"Entry Level",S644=2,"Junior",S644=3,"Mid-Level",S644=4,"Senior",S644=5,"Executive")</f>
        <v>Entry Level</v>
      </c>
      <c r="U644" t="s">
        <v>53</v>
      </c>
      <c r="V644">
        <v>2</v>
      </c>
      <c r="W644" t="str" cm="1">
        <f t="array" ref="W644">_xlfn.IFS(V644=1,"Low",V644=2,"Medium",V644=3,"High",V644=4,"Very High")</f>
        <v>Medium</v>
      </c>
      <c r="X644" t="s">
        <v>44</v>
      </c>
      <c r="Y644" s="2">
        <v>2899</v>
      </c>
      <c r="Z644" s="2">
        <v>12102</v>
      </c>
      <c r="AA644">
        <v>0</v>
      </c>
      <c r="AB644" t="s">
        <v>39</v>
      </c>
      <c r="AC644">
        <v>19</v>
      </c>
      <c r="AD644">
        <v>3</v>
      </c>
      <c r="AE644" t="str" cm="1">
        <f t="array" ref="AE644">_xlfn.IFS(AD644=1,"Low",AD644=2,"Good",AD644=3,"Excellent",AD644=4,"Outstanding")</f>
        <v>Excellent</v>
      </c>
      <c r="AF644">
        <v>4</v>
      </c>
      <c r="AG644" t="str" cm="1">
        <f t="array" ref="AG644">_xlfn.IFS(AF644=1,"Low",AF644=2,"Medium",AF644=3,"High",AF644=4,"Very High")</f>
        <v>Very High</v>
      </c>
      <c r="AH644">
        <v>1</v>
      </c>
      <c r="AI644">
        <v>3</v>
      </c>
      <c r="AJ644">
        <v>3</v>
      </c>
      <c r="AK644">
        <v>3</v>
      </c>
      <c r="AL644" t="str" cm="1">
        <f t="array" ref="AL644">_xlfn.IFS(AK644=1,"Low",AK644=2,"Medium",AK644=3,"High",AK644=4,"Very High")</f>
        <v>High</v>
      </c>
      <c r="AM644">
        <v>2</v>
      </c>
      <c r="AN644">
        <v>2</v>
      </c>
      <c r="AO644">
        <v>1</v>
      </c>
      <c r="AP644">
        <v>2</v>
      </c>
    </row>
    <row r="645" spans="1:42">
      <c r="A645">
        <v>42</v>
      </c>
      <c r="B645" t="str" cm="1">
        <f t="array" ref="B645">_xlfn.IFS(A645&lt;=25,"18-25",A645&lt;=35,"26-35",A645&lt;=45,"36-45",A645&lt;=55,"46-55",A645&gt;55,"56+")</f>
        <v>36-45</v>
      </c>
      <c r="C645" t="s">
        <v>39</v>
      </c>
      <c r="D645" t="s">
        <v>33</v>
      </c>
      <c r="E645" s="2">
        <v>1265</v>
      </c>
      <c r="F645" t="s">
        <v>41</v>
      </c>
      <c r="G645">
        <v>3</v>
      </c>
      <c r="H645" t="str">
        <f t="shared" si="10"/>
        <v>1-10 km</v>
      </c>
      <c r="I645">
        <v>3</v>
      </c>
      <c r="J645" t="str" cm="1">
        <f t="array" ref="J645">_xlfn.IFS(I645=1,"Below College",I645=2,"College",I645=3,"Bachelor",I645=4,"Master",I645=5,"Doctor")</f>
        <v>Bachelor</v>
      </c>
      <c r="K645" t="s">
        <v>35</v>
      </c>
      <c r="L645">
        <v>894</v>
      </c>
      <c r="M645">
        <v>3</v>
      </c>
      <c r="N645" t="str" cm="1">
        <f t="array" ref="N645">_xlfn.IFS(M645=1,"Low",M645=2,"Medium",M645=3,"High",M645=4,"Very High")</f>
        <v>High</v>
      </c>
      <c r="O645" t="s">
        <v>36</v>
      </c>
      <c r="P645" s="2">
        <v>95</v>
      </c>
      <c r="Q645">
        <v>4</v>
      </c>
      <c r="R645" t="str" cm="1">
        <f t="array" ref="R645">_xlfn.IFS(Q645=1,"Low",Q645=2,"Medium",Q645=3,"High",Q645=4,"Very High")</f>
        <v>Very High</v>
      </c>
      <c r="S645">
        <v>2</v>
      </c>
      <c r="T645" t="str" cm="1">
        <f t="array" ref="T645">_xlfn.IFS(S645=1,"Entry Level",S645=2,"Junior",S645=3,"Mid-Level",S645=4,"Senior",S645=5,"Executive")</f>
        <v>Junior</v>
      </c>
      <c r="U645" t="s">
        <v>46</v>
      </c>
      <c r="V645">
        <v>4</v>
      </c>
      <c r="W645" t="str" cm="1">
        <f t="array" ref="W645">_xlfn.IFS(V645=1,"Low",V645=2,"Medium",V645=3,"High",V645=4,"Very High")</f>
        <v>Very High</v>
      </c>
      <c r="X645" t="s">
        <v>44</v>
      </c>
      <c r="Y645" s="2">
        <v>5231</v>
      </c>
      <c r="Z645" s="2">
        <v>23726</v>
      </c>
      <c r="AA645">
        <v>2</v>
      </c>
      <c r="AB645" t="s">
        <v>32</v>
      </c>
      <c r="AC645">
        <v>13</v>
      </c>
      <c r="AD645">
        <v>3</v>
      </c>
      <c r="AE645" t="str" cm="1">
        <f t="array" ref="AE645">_xlfn.IFS(AD645=1,"Low",AD645=2,"Good",AD645=3,"Excellent",AD645=4,"Outstanding")</f>
        <v>Excellent</v>
      </c>
      <c r="AF645">
        <v>2</v>
      </c>
      <c r="AG645" t="str" cm="1">
        <f t="array" ref="AG645">_xlfn.IFS(AF645=1,"Low",AF645=2,"Medium",AF645=3,"High",AF645=4,"Very High")</f>
        <v>Medium</v>
      </c>
      <c r="AH645">
        <v>1</v>
      </c>
      <c r="AI645">
        <v>17</v>
      </c>
      <c r="AJ645">
        <v>1</v>
      </c>
      <c r="AK645">
        <v>2</v>
      </c>
      <c r="AL645" t="str" cm="1">
        <f t="array" ref="AL645">_xlfn.IFS(AK645=1,"Low",AK645=2,"Medium",AK645=3,"High",AK645=4,"Very High")</f>
        <v>Medium</v>
      </c>
      <c r="AM645">
        <v>5</v>
      </c>
      <c r="AN645">
        <v>3</v>
      </c>
      <c r="AO645">
        <v>1</v>
      </c>
      <c r="AP645">
        <v>3</v>
      </c>
    </row>
    <row r="646" spans="1:42">
      <c r="A646">
        <v>31</v>
      </c>
      <c r="B646" t="str" cm="1">
        <f t="array" ref="B646">_xlfn.IFS(A646&lt;=25,"18-25",A646&lt;=35,"26-35",A646&lt;=45,"36-45",A646&lt;=55,"46-55",A646&gt;55,"56+")</f>
        <v>26-35</v>
      </c>
      <c r="C646" t="s">
        <v>39</v>
      </c>
      <c r="D646" t="s">
        <v>33</v>
      </c>
      <c r="E646" s="2">
        <v>1222</v>
      </c>
      <c r="F646" t="s">
        <v>41</v>
      </c>
      <c r="G646">
        <v>11</v>
      </c>
      <c r="H646" t="str">
        <f t="shared" si="10"/>
        <v>11-20 km</v>
      </c>
      <c r="I646">
        <v>4</v>
      </c>
      <c r="J646" t="str" cm="1">
        <f t="array" ref="J646">_xlfn.IFS(I646=1,"Below College",I646=2,"College",I646=3,"Bachelor",I646=4,"Master",I646=5,"Doctor")</f>
        <v>Master</v>
      </c>
      <c r="K646" t="s">
        <v>35</v>
      </c>
      <c r="L646">
        <v>895</v>
      </c>
      <c r="M646">
        <v>4</v>
      </c>
      <c r="N646" t="str" cm="1">
        <f t="array" ref="N646">_xlfn.IFS(M646=1,"Low",M646=2,"Medium",M646=3,"High",M646=4,"Very High")</f>
        <v>Very High</v>
      </c>
      <c r="O646" t="s">
        <v>42</v>
      </c>
      <c r="P646" s="2">
        <v>48</v>
      </c>
      <c r="Q646">
        <v>3</v>
      </c>
      <c r="R646" t="str" cm="1">
        <f t="array" ref="R646">_xlfn.IFS(Q646=1,"Low",Q646=2,"Medium",Q646=3,"High",Q646=4,"Very High")</f>
        <v>High</v>
      </c>
      <c r="S646">
        <v>1</v>
      </c>
      <c r="T646" t="str" cm="1">
        <f t="array" ref="T646">_xlfn.IFS(S646=1,"Entry Level",S646=2,"Junior",S646=3,"Mid-Level",S646=4,"Senior",S646=5,"Executive")</f>
        <v>Entry Level</v>
      </c>
      <c r="U646" t="s">
        <v>43</v>
      </c>
      <c r="V646">
        <v>4</v>
      </c>
      <c r="W646" t="str" cm="1">
        <f t="array" ref="W646">_xlfn.IFS(V646=1,"Low",V646=2,"Medium",V646=3,"High",V646=4,"Very High")</f>
        <v>Very High</v>
      </c>
      <c r="X646" t="s">
        <v>44</v>
      </c>
      <c r="Y646" s="2">
        <v>2356</v>
      </c>
      <c r="Z646" s="2">
        <v>14871</v>
      </c>
      <c r="AA646">
        <v>3</v>
      </c>
      <c r="AB646" t="s">
        <v>32</v>
      </c>
      <c r="AC646">
        <v>19</v>
      </c>
      <c r="AD646">
        <v>3</v>
      </c>
      <c r="AE646" t="str" cm="1">
        <f t="array" ref="AE646">_xlfn.IFS(AD646=1,"Low",AD646=2,"Good",AD646=3,"Excellent",AD646=4,"Outstanding")</f>
        <v>Excellent</v>
      </c>
      <c r="AF646">
        <v>2</v>
      </c>
      <c r="AG646" t="str" cm="1">
        <f t="array" ref="AG646">_xlfn.IFS(AF646=1,"Low",AF646=2,"Medium",AF646=3,"High",AF646=4,"Very High")</f>
        <v>Medium</v>
      </c>
      <c r="AH646">
        <v>1</v>
      </c>
      <c r="AI646">
        <v>8</v>
      </c>
      <c r="AJ646">
        <v>2</v>
      </c>
      <c r="AK646">
        <v>3</v>
      </c>
      <c r="AL646" t="str" cm="1">
        <f t="array" ref="AL646">_xlfn.IFS(AK646=1,"Low",AK646=2,"Medium",AK646=3,"High",AK646=4,"Very High")</f>
        <v>High</v>
      </c>
      <c r="AM646">
        <v>6</v>
      </c>
      <c r="AN646">
        <v>4</v>
      </c>
      <c r="AO646">
        <v>0</v>
      </c>
      <c r="AP646">
        <v>2</v>
      </c>
    </row>
    <row r="647" spans="1:42">
      <c r="A647">
        <v>29</v>
      </c>
      <c r="B647" t="str" cm="1">
        <f t="array" ref="B647">_xlfn.IFS(A647&lt;=25,"18-25",A647&lt;=35,"26-35",A647&lt;=45,"36-45",A647&lt;=55,"46-55",A647&gt;55,"56+")</f>
        <v>26-35</v>
      </c>
      <c r="C647" t="s">
        <v>32</v>
      </c>
      <c r="D647" t="s">
        <v>33</v>
      </c>
      <c r="E647" s="2">
        <v>341</v>
      </c>
      <c r="F647" t="s">
        <v>34</v>
      </c>
      <c r="G647">
        <v>1</v>
      </c>
      <c r="H647" t="str">
        <f t="shared" si="10"/>
        <v>1-10 km</v>
      </c>
      <c r="I647">
        <v>3</v>
      </c>
      <c r="J647" t="str" cm="1">
        <f t="array" ref="J647">_xlfn.IFS(I647=1,"Below College",I647=2,"College",I647=3,"Bachelor",I647=4,"Master",I647=5,"Doctor")</f>
        <v>Bachelor</v>
      </c>
      <c r="K647" t="s">
        <v>47</v>
      </c>
      <c r="L647">
        <v>896</v>
      </c>
      <c r="M647">
        <v>2</v>
      </c>
      <c r="N647" t="str" cm="1">
        <f t="array" ref="N647">_xlfn.IFS(M647=1,"Low",M647=2,"Medium",M647=3,"High",M647=4,"Very High")</f>
        <v>Medium</v>
      </c>
      <c r="O647" t="s">
        <v>36</v>
      </c>
      <c r="P647" s="2">
        <v>48</v>
      </c>
      <c r="Q647">
        <v>2</v>
      </c>
      <c r="R647" t="str" cm="1">
        <f t="array" ref="R647">_xlfn.IFS(Q647=1,"Low",Q647=2,"Medium",Q647=3,"High",Q647=4,"Very High")</f>
        <v>Medium</v>
      </c>
      <c r="S647">
        <v>1</v>
      </c>
      <c r="T647" t="str" cm="1">
        <f t="array" ref="T647">_xlfn.IFS(S647=1,"Entry Level",S647=2,"Junior",S647=3,"Mid-Level",S647=4,"Senior",S647=5,"Executive")</f>
        <v>Entry Level</v>
      </c>
      <c r="U647" t="s">
        <v>53</v>
      </c>
      <c r="V647">
        <v>3</v>
      </c>
      <c r="W647" t="str" cm="1">
        <f t="array" ref="W647">_xlfn.IFS(V647=1,"Low",V647=2,"Medium",V647=3,"High",V647=4,"Very High")</f>
        <v>High</v>
      </c>
      <c r="X647" t="s">
        <v>48</v>
      </c>
      <c r="Y647" s="2">
        <v>2800</v>
      </c>
      <c r="Z647" s="2">
        <v>23522</v>
      </c>
      <c r="AA647">
        <v>6</v>
      </c>
      <c r="AB647" t="s">
        <v>32</v>
      </c>
      <c r="AC647">
        <v>19</v>
      </c>
      <c r="AD647">
        <v>3</v>
      </c>
      <c r="AE647" t="str" cm="1">
        <f t="array" ref="AE647">_xlfn.IFS(AD647=1,"Low",AD647=2,"Good",AD647=3,"Excellent",AD647=4,"Outstanding")</f>
        <v>Excellent</v>
      </c>
      <c r="AF647">
        <v>3</v>
      </c>
      <c r="AG647" t="str" cm="1">
        <f t="array" ref="AG647">_xlfn.IFS(AF647=1,"Low",AF647=2,"Medium",AF647=3,"High",AF647=4,"Very High")</f>
        <v>High</v>
      </c>
      <c r="AH647">
        <v>3</v>
      </c>
      <c r="AI647">
        <v>5</v>
      </c>
      <c r="AJ647">
        <v>3</v>
      </c>
      <c r="AK647">
        <v>3</v>
      </c>
      <c r="AL647" t="str" cm="1">
        <f t="array" ref="AL647">_xlfn.IFS(AK647=1,"Low",AK647=2,"Medium",AK647=3,"High",AK647=4,"Very High")</f>
        <v>High</v>
      </c>
      <c r="AM647">
        <v>3</v>
      </c>
      <c r="AN647">
        <v>2</v>
      </c>
      <c r="AO647">
        <v>0</v>
      </c>
      <c r="AP647">
        <v>2</v>
      </c>
    </row>
    <row r="648" spans="1:42">
      <c r="A648">
        <v>53</v>
      </c>
      <c r="B648" t="str" cm="1">
        <f t="array" ref="B648">_xlfn.IFS(A648&lt;=25,"18-25",A648&lt;=35,"26-35",A648&lt;=45,"36-45",A648&lt;=55,"46-55",A648&gt;55,"56+")</f>
        <v>46-55</v>
      </c>
      <c r="C648" t="s">
        <v>39</v>
      </c>
      <c r="D648" t="s">
        <v>33</v>
      </c>
      <c r="E648" s="2">
        <v>868</v>
      </c>
      <c r="F648" t="s">
        <v>34</v>
      </c>
      <c r="G648">
        <v>8</v>
      </c>
      <c r="H648" t="str">
        <f t="shared" si="10"/>
        <v>1-10 km</v>
      </c>
      <c r="I648">
        <v>3</v>
      </c>
      <c r="J648" t="str" cm="1">
        <f t="array" ref="J648">_xlfn.IFS(I648=1,"Below College",I648=2,"College",I648=3,"Bachelor",I648=4,"Master",I648=5,"Doctor")</f>
        <v>Bachelor</v>
      </c>
      <c r="K648" t="s">
        <v>55</v>
      </c>
      <c r="L648">
        <v>897</v>
      </c>
      <c r="M648">
        <v>1</v>
      </c>
      <c r="N648" t="str" cm="1">
        <f t="array" ref="N648">_xlfn.IFS(M648=1,"Low",M648=2,"Medium",M648=3,"High",M648=4,"Very High")</f>
        <v>Low</v>
      </c>
      <c r="O648" t="s">
        <v>42</v>
      </c>
      <c r="P648" s="2">
        <v>73</v>
      </c>
      <c r="Q648">
        <v>3</v>
      </c>
      <c r="R648" t="str" cm="1">
        <f t="array" ref="R648">_xlfn.IFS(Q648=1,"Low",Q648=2,"Medium",Q648=3,"High",Q648=4,"Very High")</f>
        <v>High</v>
      </c>
      <c r="S648">
        <v>4</v>
      </c>
      <c r="T648" t="str" cm="1">
        <f t="array" ref="T648">_xlfn.IFS(S648=1,"Entry Level",S648=2,"Junior",S648=3,"Mid-Level",S648=4,"Senior",S648=5,"Executive")</f>
        <v>Senior</v>
      </c>
      <c r="U648" t="s">
        <v>37</v>
      </c>
      <c r="V648">
        <v>4</v>
      </c>
      <c r="W648" t="str" cm="1">
        <f t="array" ref="W648">_xlfn.IFS(V648=1,"Low",V648=2,"Medium",V648=3,"High",V648=4,"Very High")</f>
        <v>Very High</v>
      </c>
      <c r="X648" t="s">
        <v>44</v>
      </c>
      <c r="Y648" s="2">
        <v>11836</v>
      </c>
      <c r="Z648" s="2">
        <v>22789</v>
      </c>
      <c r="AA648">
        <v>5</v>
      </c>
      <c r="AB648" t="s">
        <v>39</v>
      </c>
      <c r="AC648">
        <v>14</v>
      </c>
      <c r="AD648">
        <v>3</v>
      </c>
      <c r="AE648" t="str" cm="1">
        <f t="array" ref="AE648">_xlfn.IFS(AD648=1,"Low",AD648=2,"Good",AD648=3,"Excellent",AD648=4,"Outstanding")</f>
        <v>Excellent</v>
      </c>
      <c r="AF648">
        <v>3</v>
      </c>
      <c r="AG648" t="str" cm="1">
        <f t="array" ref="AG648">_xlfn.IFS(AF648=1,"Low",AF648=2,"Medium",AF648=3,"High",AF648=4,"Very High")</f>
        <v>High</v>
      </c>
      <c r="AH648">
        <v>1</v>
      </c>
      <c r="AI648">
        <v>28</v>
      </c>
      <c r="AJ648">
        <v>3</v>
      </c>
      <c r="AK648">
        <v>3</v>
      </c>
      <c r="AL648" t="str" cm="1">
        <f t="array" ref="AL648">_xlfn.IFS(AK648=1,"Low",AK648=2,"Medium",AK648=3,"High",AK648=4,"Very High")</f>
        <v>High</v>
      </c>
      <c r="AM648">
        <v>2</v>
      </c>
      <c r="AN648">
        <v>0</v>
      </c>
      <c r="AO648">
        <v>2</v>
      </c>
      <c r="AP648">
        <v>2</v>
      </c>
    </row>
    <row r="649" spans="1:42">
      <c r="A649">
        <v>35</v>
      </c>
      <c r="B649" t="str" cm="1">
        <f t="array" ref="B649">_xlfn.IFS(A649&lt;=25,"18-25",A649&lt;=35,"26-35",A649&lt;=45,"36-45",A649&lt;=55,"46-55",A649&gt;55,"56+")</f>
        <v>26-35</v>
      </c>
      <c r="C649" t="s">
        <v>39</v>
      </c>
      <c r="D649" t="s">
        <v>33</v>
      </c>
      <c r="E649" s="2">
        <v>672</v>
      </c>
      <c r="F649" t="s">
        <v>41</v>
      </c>
      <c r="G649">
        <v>25</v>
      </c>
      <c r="H649" t="str">
        <f t="shared" si="10"/>
        <v>21-30 km</v>
      </c>
      <c r="I649">
        <v>3</v>
      </c>
      <c r="J649" t="str" cm="1">
        <f t="array" ref="J649">_xlfn.IFS(I649=1,"Below College",I649=2,"College",I649=3,"Bachelor",I649=4,"Master",I649=5,"Doctor")</f>
        <v>Bachelor</v>
      </c>
      <c r="K649" t="s">
        <v>56</v>
      </c>
      <c r="L649">
        <v>899</v>
      </c>
      <c r="M649">
        <v>4</v>
      </c>
      <c r="N649" t="str" cm="1">
        <f t="array" ref="N649">_xlfn.IFS(M649=1,"Low",M649=2,"Medium",M649=3,"High",M649=4,"Very High")</f>
        <v>Very High</v>
      </c>
      <c r="O649" t="s">
        <v>42</v>
      </c>
      <c r="P649" s="2">
        <v>78</v>
      </c>
      <c r="Q649">
        <v>2</v>
      </c>
      <c r="R649" t="str" cm="1">
        <f t="array" ref="R649">_xlfn.IFS(Q649=1,"Low",Q649=2,"Medium",Q649=3,"High",Q649=4,"Very High")</f>
        <v>Medium</v>
      </c>
      <c r="S649">
        <v>3</v>
      </c>
      <c r="T649" t="str" cm="1">
        <f t="array" ref="T649">_xlfn.IFS(S649=1,"Entry Level",S649=2,"Junior",S649=3,"Mid-Level",S649=4,"Senior",S649=5,"Executive")</f>
        <v>Mid-Level</v>
      </c>
      <c r="U649" t="s">
        <v>49</v>
      </c>
      <c r="V649">
        <v>2</v>
      </c>
      <c r="W649" t="str" cm="1">
        <f t="array" ref="W649">_xlfn.IFS(V649=1,"Low",V649=2,"Medium",V649=3,"High",V649=4,"Very High")</f>
        <v>Medium</v>
      </c>
      <c r="X649" t="s">
        <v>44</v>
      </c>
      <c r="Y649" s="2">
        <v>10903</v>
      </c>
      <c r="Z649" s="2">
        <v>9129</v>
      </c>
      <c r="AA649">
        <v>3</v>
      </c>
      <c r="AB649" t="s">
        <v>39</v>
      </c>
      <c r="AC649">
        <v>16</v>
      </c>
      <c r="AD649">
        <v>3</v>
      </c>
      <c r="AE649" t="str" cm="1">
        <f t="array" ref="AE649">_xlfn.IFS(AD649=1,"Low",AD649=2,"Good",AD649=3,"Excellent",AD649=4,"Outstanding")</f>
        <v>Excellent</v>
      </c>
      <c r="AF649">
        <v>1</v>
      </c>
      <c r="AG649" t="str" cm="1">
        <f t="array" ref="AG649">_xlfn.IFS(AF649=1,"Low",AF649=2,"Medium",AF649=3,"High",AF649=4,"Very High")</f>
        <v>Low</v>
      </c>
      <c r="AH649">
        <v>0</v>
      </c>
      <c r="AI649">
        <v>16</v>
      </c>
      <c r="AJ649">
        <v>2</v>
      </c>
      <c r="AK649">
        <v>3</v>
      </c>
      <c r="AL649" t="str" cm="1">
        <f t="array" ref="AL649">_xlfn.IFS(AK649=1,"Low",AK649=2,"Medium",AK649=3,"High",AK649=4,"Very High")</f>
        <v>High</v>
      </c>
      <c r="AM649">
        <v>13</v>
      </c>
      <c r="AN649">
        <v>10</v>
      </c>
      <c r="AO649">
        <v>4</v>
      </c>
      <c r="AP649">
        <v>8</v>
      </c>
    </row>
    <row r="650" spans="1:42">
      <c r="A650">
        <v>37</v>
      </c>
      <c r="B650" t="str" cm="1">
        <f t="array" ref="B650">_xlfn.IFS(A650&lt;=25,"18-25",A650&lt;=35,"26-35",A650&lt;=45,"36-45",A650&lt;=55,"46-55",A650&gt;55,"56+")</f>
        <v>36-45</v>
      </c>
      <c r="C650" t="s">
        <v>39</v>
      </c>
      <c r="D650" t="s">
        <v>40</v>
      </c>
      <c r="E650" s="2">
        <v>1231</v>
      </c>
      <c r="F650" t="s">
        <v>34</v>
      </c>
      <c r="G650">
        <v>21</v>
      </c>
      <c r="H650" t="str">
        <f t="shared" si="10"/>
        <v>21-30 km</v>
      </c>
      <c r="I650">
        <v>2</v>
      </c>
      <c r="J650" t="str" cm="1">
        <f t="array" ref="J650">_xlfn.IFS(I650=1,"Below College",I650=2,"College",I650=3,"Bachelor",I650=4,"Master",I650=5,"Doctor")</f>
        <v>College</v>
      </c>
      <c r="K650" t="s">
        <v>47</v>
      </c>
      <c r="L650">
        <v>900</v>
      </c>
      <c r="M650">
        <v>3</v>
      </c>
      <c r="N650" t="str" cm="1">
        <f t="array" ref="N650">_xlfn.IFS(M650=1,"Low",M650=2,"Medium",M650=3,"High",M650=4,"Very High")</f>
        <v>High</v>
      </c>
      <c r="O650" t="s">
        <v>36</v>
      </c>
      <c r="P650" s="2">
        <v>54</v>
      </c>
      <c r="Q650">
        <v>3</v>
      </c>
      <c r="R650" t="str" cm="1">
        <f t="array" ref="R650">_xlfn.IFS(Q650=1,"Low",Q650=2,"Medium",Q650=3,"High",Q650=4,"Very High")</f>
        <v>High</v>
      </c>
      <c r="S650">
        <v>1</v>
      </c>
      <c r="T650" t="str" cm="1">
        <f t="array" ref="T650">_xlfn.IFS(S650=1,"Entry Level",S650=2,"Junior",S650=3,"Mid-Level",S650=4,"Senior",S650=5,"Executive")</f>
        <v>Entry Level</v>
      </c>
      <c r="U650" t="s">
        <v>53</v>
      </c>
      <c r="V650">
        <v>4</v>
      </c>
      <c r="W650" t="str" cm="1">
        <f t="array" ref="W650">_xlfn.IFS(V650=1,"Low",V650=2,"Medium",V650=3,"High",V650=4,"Very High")</f>
        <v>Very High</v>
      </c>
      <c r="X650" t="s">
        <v>44</v>
      </c>
      <c r="Y650" s="2">
        <v>2973</v>
      </c>
      <c r="Z650" s="2">
        <v>21222</v>
      </c>
      <c r="AA650">
        <v>5</v>
      </c>
      <c r="AB650" t="s">
        <v>39</v>
      </c>
      <c r="AC650">
        <v>15</v>
      </c>
      <c r="AD650">
        <v>3</v>
      </c>
      <c r="AE650" t="str" cm="1">
        <f t="array" ref="AE650">_xlfn.IFS(AD650=1,"Low",AD650=2,"Good",AD650=3,"Excellent",AD650=4,"Outstanding")</f>
        <v>Excellent</v>
      </c>
      <c r="AF650">
        <v>2</v>
      </c>
      <c r="AG650" t="str" cm="1">
        <f t="array" ref="AG650">_xlfn.IFS(AF650=1,"Low",AF650=2,"Medium",AF650=3,"High",AF650=4,"Very High")</f>
        <v>Medium</v>
      </c>
      <c r="AH650">
        <v>1</v>
      </c>
      <c r="AI650">
        <v>10</v>
      </c>
      <c r="AJ650">
        <v>3</v>
      </c>
      <c r="AK650">
        <v>3</v>
      </c>
      <c r="AL650" t="str" cm="1">
        <f t="array" ref="AL650">_xlfn.IFS(AK650=1,"Low",AK650=2,"Medium",AK650=3,"High",AK650=4,"Very High")</f>
        <v>High</v>
      </c>
      <c r="AM650">
        <v>5</v>
      </c>
      <c r="AN650">
        <v>4</v>
      </c>
      <c r="AO650">
        <v>0</v>
      </c>
      <c r="AP650">
        <v>0</v>
      </c>
    </row>
    <row r="651" spans="1:42">
      <c r="A651">
        <v>53</v>
      </c>
      <c r="B651" t="str" cm="1">
        <f t="array" ref="B651">_xlfn.IFS(A651&lt;=25,"18-25",A651&lt;=35,"26-35",A651&lt;=45,"36-45",A651&lt;=55,"46-55",A651&gt;55,"56+")</f>
        <v>46-55</v>
      </c>
      <c r="C651" t="s">
        <v>39</v>
      </c>
      <c r="D651" t="s">
        <v>33</v>
      </c>
      <c r="E651" s="2">
        <v>102</v>
      </c>
      <c r="F651" t="s">
        <v>41</v>
      </c>
      <c r="G651">
        <v>23</v>
      </c>
      <c r="H651" t="str">
        <f t="shared" si="10"/>
        <v>21-30 km</v>
      </c>
      <c r="I651">
        <v>4</v>
      </c>
      <c r="J651" t="str" cm="1">
        <f t="array" ref="J651">_xlfn.IFS(I651=1,"Below College",I651=2,"College",I651=3,"Bachelor",I651=4,"Master",I651=5,"Doctor")</f>
        <v>Master</v>
      </c>
      <c r="K651" t="s">
        <v>35</v>
      </c>
      <c r="L651">
        <v>901</v>
      </c>
      <c r="M651">
        <v>4</v>
      </c>
      <c r="N651" t="str" cm="1">
        <f t="array" ref="N651">_xlfn.IFS(M651=1,"Low",M651=2,"Medium",M651=3,"High",M651=4,"Very High")</f>
        <v>Very High</v>
      </c>
      <c r="O651" t="s">
        <v>36</v>
      </c>
      <c r="P651" s="2">
        <v>72</v>
      </c>
      <c r="Q651">
        <v>3</v>
      </c>
      <c r="R651" t="str" cm="1">
        <f t="array" ref="R651">_xlfn.IFS(Q651=1,"Low",Q651=2,"Medium",Q651=3,"High",Q651=4,"Very High")</f>
        <v>High</v>
      </c>
      <c r="S651">
        <v>4</v>
      </c>
      <c r="T651" t="str" cm="1">
        <f t="array" ref="T651">_xlfn.IFS(S651=1,"Entry Level",S651=2,"Junior",S651=3,"Mid-Level",S651=4,"Senior",S651=5,"Executive")</f>
        <v>Senior</v>
      </c>
      <c r="U651" t="s">
        <v>54</v>
      </c>
      <c r="V651">
        <v>4</v>
      </c>
      <c r="W651" t="str" cm="1">
        <f t="array" ref="W651">_xlfn.IFS(V651=1,"Low",V651=2,"Medium",V651=3,"High",V651=4,"Very High")</f>
        <v>Very High</v>
      </c>
      <c r="X651" t="s">
        <v>38</v>
      </c>
      <c r="Y651" s="2">
        <v>14275</v>
      </c>
      <c r="Z651" s="2">
        <v>20206</v>
      </c>
      <c r="AA651">
        <v>6</v>
      </c>
      <c r="AB651" t="s">
        <v>39</v>
      </c>
      <c r="AC651">
        <v>18</v>
      </c>
      <c r="AD651">
        <v>3</v>
      </c>
      <c r="AE651" t="str" cm="1">
        <f t="array" ref="AE651">_xlfn.IFS(AD651=1,"Low",AD651=2,"Good",AD651=3,"Excellent",AD651=4,"Outstanding")</f>
        <v>Excellent</v>
      </c>
      <c r="AF651">
        <v>3</v>
      </c>
      <c r="AG651" t="str" cm="1">
        <f t="array" ref="AG651">_xlfn.IFS(AF651=1,"Low",AF651=2,"Medium",AF651=3,"High",AF651=4,"Very High")</f>
        <v>High</v>
      </c>
      <c r="AH651">
        <v>0</v>
      </c>
      <c r="AI651">
        <v>33</v>
      </c>
      <c r="AJ651">
        <v>0</v>
      </c>
      <c r="AK651">
        <v>3</v>
      </c>
      <c r="AL651" t="str" cm="1">
        <f t="array" ref="AL651">_xlfn.IFS(AK651=1,"Low",AK651=2,"Medium",AK651=3,"High",AK651=4,"Very High")</f>
        <v>High</v>
      </c>
      <c r="AM651">
        <v>12</v>
      </c>
      <c r="AN651">
        <v>9</v>
      </c>
      <c r="AO651">
        <v>3</v>
      </c>
      <c r="AP651">
        <v>8</v>
      </c>
    </row>
    <row r="652" spans="1:42">
      <c r="A652">
        <v>43</v>
      </c>
      <c r="B652" t="str" cm="1">
        <f t="array" ref="B652">_xlfn.IFS(A652&lt;=25,"18-25",A652&lt;=35,"26-35",A652&lt;=45,"36-45",A652&lt;=55,"46-55",A652&gt;55,"56+")</f>
        <v>36-45</v>
      </c>
      <c r="C652" t="s">
        <v>39</v>
      </c>
      <c r="D652" t="s">
        <v>40</v>
      </c>
      <c r="E652" s="2">
        <v>422</v>
      </c>
      <c r="F652" t="s">
        <v>41</v>
      </c>
      <c r="G652">
        <v>1</v>
      </c>
      <c r="H652" t="str">
        <f t="shared" si="10"/>
        <v>1-10 km</v>
      </c>
      <c r="I652">
        <v>3</v>
      </c>
      <c r="J652" t="str" cm="1">
        <f t="array" ref="J652">_xlfn.IFS(I652=1,"Below College",I652=2,"College",I652=3,"Bachelor",I652=4,"Master",I652=5,"Doctor")</f>
        <v>Bachelor</v>
      </c>
      <c r="K652" t="s">
        <v>35</v>
      </c>
      <c r="L652">
        <v>902</v>
      </c>
      <c r="M652">
        <v>4</v>
      </c>
      <c r="N652" t="str" cm="1">
        <f t="array" ref="N652">_xlfn.IFS(M652=1,"Low",M652=2,"Medium",M652=3,"High",M652=4,"Very High")</f>
        <v>Very High</v>
      </c>
      <c r="O652" t="s">
        <v>36</v>
      </c>
      <c r="P652" s="2">
        <v>33</v>
      </c>
      <c r="Q652">
        <v>3</v>
      </c>
      <c r="R652" t="str" cm="1">
        <f t="array" ref="R652">_xlfn.IFS(Q652=1,"Low",Q652=2,"Medium",Q652=3,"High",Q652=4,"Very High")</f>
        <v>High</v>
      </c>
      <c r="S652">
        <v>2</v>
      </c>
      <c r="T652" t="str" cm="1">
        <f t="array" ref="T652">_xlfn.IFS(S652=1,"Entry Level",S652=2,"Junior",S652=3,"Mid-Level",S652=4,"Senior",S652=5,"Executive")</f>
        <v>Junior</v>
      </c>
      <c r="U652" t="s">
        <v>50</v>
      </c>
      <c r="V652">
        <v>4</v>
      </c>
      <c r="W652" t="str" cm="1">
        <f t="array" ref="W652">_xlfn.IFS(V652=1,"Low",V652=2,"Medium",V652=3,"High",V652=4,"Very High")</f>
        <v>Very High</v>
      </c>
      <c r="X652" t="s">
        <v>44</v>
      </c>
      <c r="Y652" s="2">
        <v>5562</v>
      </c>
      <c r="Z652" s="2">
        <v>21782</v>
      </c>
      <c r="AA652">
        <v>4</v>
      </c>
      <c r="AB652" t="s">
        <v>39</v>
      </c>
      <c r="AC652">
        <v>13</v>
      </c>
      <c r="AD652">
        <v>3</v>
      </c>
      <c r="AE652" t="str" cm="1">
        <f t="array" ref="AE652">_xlfn.IFS(AD652=1,"Low",AD652=2,"Good",AD652=3,"Excellent",AD652=4,"Outstanding")</f>
        <v>Excellent</v>
      </c>
      <c r="AF652">
        <v>2</v>
      </c>
      <c r="AG652" t="str" cm="1">
        <f t="array" ref="AG652">_xlfn.IFS(AF652=1,"Low",AF652=2,"Medium",AF652=3,"High",AF652=4,"Very High")</f>
        <v>Medium</v>
      </c>
      <c r="AH652">
        <v>1</v>
      </c>
      <c r="AI652">
        <v>12</v>
      </c>
      <c r="AJ652">
        <v>2</v>
      </c>
      <c r="AK652">
        <v>2</v>
      </c>
      <c r="AL652" t="str" cm="1">
        <f t="array" ref="AL652">_xlfn.IFS(AK652=1,"Low",AK652=2,"Medium",AK652=3,"High",AK652=4,"Very High")</f>
        <v>Medium</v>
      </c>
      <c r="AM652">
        <v>5</v>
      </c>
      <c r="AN652">
        <v>2</v>
      </c>
      <c r="AO652">
        <v>2</v>
      </c>
      <c r="AP652">
        <v>2</v>
      </c>
    </row>
    <row r="653" spans="1:42">
      <c r="A653">
        <v>47</v>
      </c>
      <c r="B653" t="str" cm="1">
        <f t="array" ref="B653">_xlfn.IFS(A653&lt;=25,"18-25",A653&lt;=35,"26-35",A653&lt;=45,"36-45",A653&lt;=55,"46-55",A653&gt;55,"56+")</f>
        <v>46-55</v>
      </c>
      <c r="C653" t="s">
        <v>39</v>
      </c>
      <c r="D653" t="s">
        <v>33</v>
      </c>
      <c r="E653" s="2">
        <v>249</v>
      </c>
      <c r="F653" t="s">
        <v>34</v>
      </c>
      <c r="G653">
        <v>2</v>
      </c>
      <c r="H653" t="str">
        <f t="shared" si="10"/>
        <v>1-10 km</v>
      </c>
      <c r="I653">
        <v>2</v>
      </c>
      <c r="J653" t="str" cm="1">
        <f t="array" ref="J653">_xlfn.IFS(I653=1,"Below College",I653=2,"College",I653=3,"Bachelor",I653=4,"Master",I653=5,"Doctor")</f>
        <v>College</v>
      </c>
      <c r="K653" t="s">
        <v>55</v>
      </c>
      <c r="L653">
        <v>903</v>
      </c>
      <c r="M653">
        <v>3</v>
      </c>
      <c r="N653" t="str" cm="1">
        <f t="array" ref="N653">_xlfn.IFS(M653=1,"Low",M653=2,"Medium",M653=3,"High",M653=4,"Very High")</f>
        <v>High</v>
      </c>
      <c r="O653" t="s">
        <v>36</v>
      </c>
      <c r="P653" s="2">
        <v>35</v>
      </c>
      <c r="Q653">
        <v>3</v>
      </c>
      <c r="R653" t="str" cm="1">
        <f t="array" ref="R653">_xlfn.IFS(Q653=1,"Low",Q653=2,"Medium",Q653=3,"High",Q653=4,"Very High")</f>
        <v>High</v>
      </c>
      <c r="S653">
        <v>2</v>
      </c>
      <c r="T653" t="str" cm="1">
        <f t="array" ref="T653">_xlfn.IFS(S653=1,"Entry Level",S653=2,"Junior",S653=3,"Mid-Level",S653=4,"Senior",S653=5,"Executive")</f>
        <v>Junior</v>
      </c>
      <c r="U653" t="s">
        <v>37</v>
      </c>
      <c r="V653">
        <v>4</v>
      </c>
      <c r="W653" t="str" cm="1">
        <f t="array" ref="W653">_xlfn.IFS(V653=1,"Low",V653=2,"Medium",V653=3,"High",V653=4,"Very High")</f>
        <v>Very High</v>
      </c>
      <c r="X653" t="s">
        <v>44</v>
      </c>
      <c r="Y653" s="2">
        <v>4537</v>
      </c>
      <c r="Z653" s="2">
        <v>17783</v>
      </c>
      <c r="AA653">
        <v>0</v>
      </c>
      <c r="AB653" t="s">
        <v>32</v>
      </c>
      <c r="AC653">
        <v>22</v>
      </c>
      <c r="AD653">
        <v>4</v>
      </c>
      <c r="AE653" t="str" cm="1">
        <f t="array" ref="AE653">_xlfn.IFS(AD653=1,"Low",AD653=2,"Good",AD653=3,"Excellent",AD653=4,"Outstanding")</f>
        <v>Outstanding</v>
      </c>
      <c r="AF653">
        <v>1</v>
      </c>
      <c r="AG653" t="str" cm="1">
        <f t="array" ref="AG653">_xlfn.IFS(AF653=1,"Low",AF653=2,"Medium",AF653=3,"High",AF653=4,"Very High")</f>
        <v>Low</v>
      </c>
      <c r="AH653">
        <v>1</v>
      </c>
      <c r="AI653">
        <v>8</v>
      </c>
      <c r="AJ653">
        <v>2</v>
      </c>
      <c r="AK653">
        <v>3</v>
      </c>
      <c r="AL653" t="str" cm="1">
        <f t="array" ref="AL653">_xlfn.IFS(AK653=1,"Low",AK653=2,"Medium",AK653=3,"High",AK653=4,"Very High")</f>
        <v>High</v>
      </c>
      <c r="AM653">
        <v>7</v>
      </c>
      <c r="AN653">
        <v>6</v>
      </c>
      <c r="AO653">
        <v>7</v>
      </c>
      <c r="AP653">
        <v>7</v>
      </c>
    </row>
    <row r="654" spans="1:42">
      <c r="A654">
        <v>37</v>
      </c>
      <c r="B654" t="str" cm="1">
        <f t="array" ref="B654">_xlfn.IFS(A654&lt;=25,"18-25",A654&lt;=35,"26-35",A654&lt;=45,"36-45",A654&lt;=55,"46-55",A654&gt;55,"56+")</f>
        <v>36-45</v>
      </c>
      <c r="C654" t="s">
        <v>39</v>
      </c>
      <c r="D654" t="s">
        <v>51</v>
      </c>
      <c r="E654" s="2">
        <v>1252</v>
      </c>
      <c r="F654" t="s">
        <v>34</v>
      </c>
      <c r="G654">
        <v>19</v>
      </c>
      <c r="H654" t="str">
        <f t="shared" si="10"/>
        <v>11-20 km</v>
      </c>
      <c r="I654">
        <v>2</v>
      </c>
      <c r="J654" t="str" cm="1">
        <f t="array" ref="J654">_xlfn.IFS(I654=1,"Below College",I654=2,"College",I654=3,"Bachelor",I654=4,"Master",I654=5,"Doctor")</f>
        <v>College</v>
      </c>
      <c r="K654" t="s">
        <v>47</v>
      </c>
      <c r="L654">
        <v>904</v>
      </c>
      <c r="M654">
        <v>1</v>
      </c>
      <c r="N654" t="str" cm="1">
        <f t="array" ref="N654">_xlfn.IFS(M654=1,"Low",M654=2,"Medium",M654=3,"High",M654=4,"Very High")</f>
        <v>Low</v>
      </c>
      <c r="O654" t="s">
        <v>42</v>
      </c>
      <c r="P654" s="2">
        <v>32</v>
      </c>
      <c r="Q654">
        <v>3</v>
      </c>
      <c r="R654" t="str" cm="1">
        <f t="array" ref="R654">_xlfn.IFS(Q654=1,"Low",Q654=2,"Medium",Q654=3,"High",Q654=4,"Very High")</f>
        <v>High</v>
      </c>
      <c r="S654">
        <v>3</v>
      </c>
      <c r="T654" t="str" cm="1">
        <f t="array" ref="T654">_xlfn.IFS(S654=1,"Entry Level",S654=2,"Junior",S654=3,"Mid-Level",S654=4,"Senior",S654=5,"Executive")</f>
        <v>Mid-Level</v>
      </c>
      <c r="U654" t="s">
        <v>37</v>
      </c>
      <c r="V654">
        <v>2</v>
      </c>
      <c r="W654" t="str" cm="1">
        <f t="array" ref="W654">_xlfn.IFS(V654=1,"Low",V654=2,"Medium",V654=3,"High",V654=4,"Very High")</f>
        <v>Medium</v>
      </c>
      <c r="X654" t="s">
        <v>38</v>
      </c>
      <c r="Y654" s="2">
        <v>7642</v>
      </c>
      <c r="Z654" s="2">
        <v>4814</v>
      </c>
      <c r="AA654">
        <v>1</v>
      </c>
      <c r="AB654" t="s">
        <v>32</v>
      </c>
      <c r="AC654">
        <v>13</v>
      </c>
      <c r="AD654">
        <v>3</v>
      </c>
      <c r="AE654" t="str" cm="1">
        <f t="array" ref="AE654">_xlfn.IFS(AD654=1,"Low",AD654=2,"Good",AD654=3,"Excellent",AD654=4,"Outstanding")</f>
        <v>Excellent</v>
      </c>
      <c r="AF654">
        <v>4</v>
      </c>
      <c r="AG654" t="str" cm="1">
        <f t="array" ref="AG654">_xlfn.IFS(AF654=1,"Low",AF654=2,"Medium",AF654=3,"High",AF654=4,"Very High")</f>
        <v>Very High</v>
      </c>
      <c r="AH654">
        <v>0</v>
      </c>
      <c r="AI654">
        <v>10</v>
      </c>
      <c r="AJ654">
        <v>2</v>
      </c>
      <c r="AK654">
        <v>3</v>
      </c>
      <c r="AL654" t="str" cm="1">
        <f t="array" ref="AL654">_xlfn.IFS(AK654=1,"Low",AK654=2,"Medium",AK654=3,"High",AK654=4,"Very High")</f>
        <v>High</v>
      </c>
      <c r="AM654">
        <v>10</v>
      </c>
      <c r="AN654">
        <v>0</v>
      </c>
      <c r="AO654">
        <v>0</v>
      </c>
      <c r="AP654">
        <v>9</v>
      </c>
    </row>
    <row r="655" spans="1:42">
      <c r="A655">
        <v>50</v>
      </c>
      <c r="B655" t="str" cm="1">
        <f t="array" ref="B655">_xlfn.IFS(A655&lt;=25,"18-25",A655&lt;=35,"26-35",A655&lt;=45,"36-45",A655&lt;=55,"46-55",A655&gt;55,"56+")</f>
        <v>46-55</v>
      </c>
      <c r="C655" t="s">
        <v>39</v>
      </c>
      <c r="D655" t="s">
        <v>51</v>
      </c>
      <c r="E655" s="2">
        <v>881</v>
      </c>
      <c r="F655" t="s">
        <v>41</v>
      </c>
      <c r="G655">
        <v>2</v>
      </c>
      <c r="H655" t="str">
        <f t="shared" si="10"/>
        <v>1-10 km</v>
      </c>
      <c r="I655">
        <v>4</v>
      </c>
      <c r="J655" t="str" cm="1">
        <f t="array" ref="J655">_xlfn.IFS(I655=1,"Below College",I655=2,"College",I655=3,"Bachelor",I655=4,"Master",I655=5,"Doctor")</f>
        <v>Master</v>
      </c>
      <c r="K655" t="s">
        <v>35</v>
      </c>
      <c r="L655">
        <v>905</v>
      </c>
      <c r="M655">
        <v>1</v>
      </c>
      <c r="N655" t="str" cm="1">
        <f t="array" ref="N655">_xlfn.IFS(M655=1,"Low",M655=2,"Medium",M655=3,"High",M655=4,"Very High")</f>
        <v>Low</v>
      </c>
      <c r="O655" t="s">
        <v>42</v>
      </c>
      <c r="P655" s="2">
        <v>98</v>
      </c>
      <c r="Q655">
        <v>3</v>
      </c>
      <c r="R655" t="str" cm="1">
        <f t="array" ref="R655">_xlfn.IFS(Q655=1,"Low",Q655=2,"Medium",Q655=3,"High",Q655=4,"Very High")</f>
        <v>High</v>
      </c>
      <c r="S655">
        <v>4</v>
      </c>
      <c r="T655" t="str" cm="1">
        <f t="array" ref="T655">_xlfn.IFS(S655=1,"Entry Level",S655=2,"Junior",S655=3,"Mid-Level",S655=4,"Senior",S655=5,"Executive")</f>
        <v>Senior</v>
      </c>
      <c r="U655" t="s">
        <v>52</v>
      </c>
      <c r="V655">
        <v>1</v>
      </c>
      <c r="W655" t="str" cm="1">
        <f t="array" ref="W655">_xlfn.IFS(V655=1,"Low",V655=2,"Medium",V655=3,"High",V655=4,"Very High")</f>
        <v>Low</v>
      </c>
      <c r="X655" t="s">
        <v>48</v>
      </c>
      <c r="Y655" s="2">
        <v>17924</v>
      </c>
      <c r="Z655" s="2">
        <v>4544</v>
      </c>
      <c r="AA655">
        <v>1</v>
      </c>
      <c r="AB655" t="s">
        <v>39</v>
      </c>
      <c r="AC655">
        <v>11</v>
      </c>
      <c r="AD655">
        <v>3</v>
      </c>
      <c r="AE655" t="str" cm="1">
        <f t="array" ref="AE655">_xlfn.IFS(AD655=1,"Low",AD655=2,"Good",AD655=3,"Excellent",AD655=4,"Outstanding")</f>
        <v>Excellent</v>
      </c>
      <c r="AF655">
        <v>4</v>
      </c>
      <c r="AG655" t="str" cm="1">
        <f t="array" ref="AG655">_xlfn.IFS(AF655=1,"Low",AF655=2,"Medium",AF655=3,"High",AF655=4,"Very High")</f>
        <v>Very High</v>
      </c>
      <c r="AH655">
        <v>1</v>
      </c>
      <c r="AI655">
        <v>31</v>
      </c>
      <c r="AJ655">
        <v>3</v>
      </c>
      <c r="AK655">
        <v>3</v>
      </c>
      <c r="AL655" t="str" cm="1">
        <f t="array" ref="AL655">_xlfn.IFS(AK655=1,"Low",AK655=2,"Medium",AK655=3,"High",AK655=4,"Very High")</f>
        <v>High</v>
      </c>
      <c r="AM655">
        <v>31</v>
      </c>
      <c r="AN655">
        <v>6</v>
      </c>
      <c r="AO655">
        <v>14</v>
      </c>
      <c r="AP655">
        <v>7</v>
      </c>
    </row>
    <row r="656" spans="1:42">
      <c r="A656">
        <v>39</v>
      </c>
      <c r="B656" t="str" cm="1">
        <f t="array" ref="B656">_xlfn.IFS(A656&lt;=25,"18-25",A656&lt;=35,"26-35",A656&lt;=45,"36-45",A656&lt;=55,"46-55",A656&gt;55,"56+")</f>
        <v>36-45</v>
      </c>
      <c r="C656" t="s">
        <v>39</v>
      </c>
      <c r="D656" t="s">
        <v>33</v>
      </c>
      <c r="E656" s="2">
        <v>1383</v>
      </c>
      <c r="F656" t="s">
        <v>57</v>
      </c>
      <c r="G656">
        <v>2</v>
      </c>
      <c r="H656" t="str">
        <f t="shared" si="10"/>
        <v>1-10 km</v>
      </c>
      <c r="I656">
        <v>3</v>
      </c>
      <c r="J656" t="str" cm="1">
        <f t="array" ref="J656">_xlfn.IFS(I656=1,"Below College",I656=2,"College",I656=3,"Bachelor",I656=4,"Master",I656=5,"Doctor")</f>
        <v>Bachelor</v>
      </c>
      <c r="K656" t="s">
        <v>35</v>
      </c>
      <c r="L656">
        <v>909</v>
      </c>
      <c r="M656">
        <v>4</v>
      </c>
      <c r="N656" t="str" cm="1">
        <f t="array" ref="N656">_xlfn.IFS(M656=1,"Low",M656=2,"Medium",M656=3,"High",M656=4,"Very High")</f>
        <v>Very High</v>
      </c>
      <c r="O656" t="s">
        <v>36</v>
      </c>
      <c r="P656" s="2">
        <v>42</v>
      </c>
      <c r="Q656">
        <v>2</v>
      </c>
      <c r="R656" t="str" cm="1">
        <f t="array" ref="R656">_xlfn.IFS(Q656=1,"Low",Q656=2,"Medium",Q656=3,"High",Q656=4,"Very High")</f>
        <v>Medium</v>
      </c>
      <c r="S656">
        <v>2</v>
      </c>
      <c r="T656" t="str" cm="1">
        <f t="array" ref="T656">_xlfn.IFS(S656=1,"Entry Level",S656=2,"Junior",S656=3,"Mid-Level",S656=4,"Senior",S656=5,"Executive")</f>
        <v>Junior</v>
      </c>
      <c r="U656" t="s">
        <v>57</v>
      </c>
      <c r="V656">
        <v>4</v>
      </c>
      <c r="W656" t="str" cm="1">
        <f t="array" ref="W656">_xlfn.IFS(V656=1,"Low",V656=2,"Medium",V656=3,"High",V656=4,"Very High")</f>
        <v>Very High</v>
      </c>
      <c r="X656" t="s">
        <v>44</v>
      </c>
      <c r="Y656" s="2">
        <v>5204</v>
      </c>
      <c r="Z656" s="2">
        <v>7790</v>
      </c>
      <c r="AA656">
        <v>8</v>
      </c>
      <c r="AB656" t="s">
        <v>39</v>
      </c>
      <c r="AC656">
        <v>11</v>
      </c>
      <c r="AD656">
        <v>3</v>
      </c>
      <c r="AE656" t="str" cm="1">
        <f t="array" ref="AE656">_xlfn.IFS(AD656=1,"Low",AD656=2,"Good",AD656=3,"Excellent",AD656=4,"Outstanding")</f>
        <v>Excellent</v>
      </c>
      <c r="AF656">
        <v>3</v>
      </c>
      <c r="AG656" t="str" cm="1">
        <f t="array" ref="AG656">_xlfn.IFS(AF656=1,"Low",AF656=2,"Medium",AF656=3,"High",AF656=4,"Very High")</f>
        <v>High</v>
      </c>
      <c r="AH656">
        <v>2</v>
      </c>
      <c r="AI656">
        <v>13</v>
      </c>
      <c r="AJ656">
        <v>2</v>
      </c>
      <c r="AK656">
        <v>3</v>
      </c>
      <c r="AL656" t="str" cm="1">
        <f t="array" ref="AL656">_xlfn.IFS(AK656=1,"Low",AK656=2,"Medium",AK656=3,"High",AK656=4,"Very High")</f>
        <v>High</v>
      </c>
      <c r="AM656">
        <v>5</v>
      </c>
      <c r="AN656">
        <v>4</v>
      </c>
      <c r="AO656">
        <v>0</v>
      </c>
      <c r="AP656">
        <v>4</v>
      </c>
    </row>
    <row r="657" spans="1:42">
      <c r="A657">
        <v>33</v>
      </c>
      <c r="B657" t="str" cm="1">
        <f t="array" ref="B657">_xlfn.IFS(A657&lt;=25,"18-25",A657&lt;=35,"26-35",A657&lt;=45,"36-45",A657&lt;=55,"46-55",A657&gt;55,"56+")</f>
        <v>26-35</v>
      </c>
      <c r="C657" t="s">
        <v>39</v>
      </c>
      <c r="D657" t="s">
        <v>33</v>
      </c>
      <c r="E657" s="2">
        <v>1075</v>
      </c>
      <c r="F657" t="s">
        <v>57</v>
      </c>
      <c r="G657">
        <v>3</v>
      </c>
      <c r="H657" t="str">
        <f t="shared" si="10"/>
        <v>1-10 km</v>
      </c>
      <c r="I657">
        <v>2</v>
      </c>
      <c r="J657" t="str" cm="1">
        <f t="array" ref="J657">_xlfn.IFS(I657=1,"Below College",I657=2,"College",I657=3,"Bachelor",I657=4,"Master",I657=5,"Doctor")</f>
        <v>College</v>
      </c>
      <c r="K657" t="s">
        <v>57</v>
      </c>
      <c r="L657">
        <v>910</v>
      </c>
      <c r="M657">
        <v>4</v>
      </c>
      <c r="N657" t="str" cm="1">
        <f t="array" ref="N657">_xlfn.IFS(M657=1,"Low",M657=2,"Medium",M657=3,"High",M657=4,"Very High")</f>
        <v>Very High</v>
      </c>
      <c r="O657" t="s">
        <v>42</v>
      </c>
      <c r="P657" s="2">
        <v>57</v>
      </c>
      <c r="Q657">
        <v>3</v>
      </c>
      <c r="R657" t="str" cm="1">
        <f t="array" ref="R657">_xlfn.IFS(Q657=1,"Low",Q657=2,"Medium",Q657=3,"High",Q657=4,"Very High")</f>
        <v>High</v>
      </c>
      <c r="S657">
        <v>1</v>
      </c>
      <c r="T657" t="str" cm="1">
        <f t="array" ref="T657">_xlfn.IFS(S657=1,"Entry Level",S657=2,"Junior",S657=3,"Mid-Level",S657=4,"Senior",S657=5,"Executive")</f>
        <v>Entry Level</v>
      </c>
      <c r="U657" t="s">
        <v>57</v>
      </c>
      <c r="V657">
        <v>2</v>
      </c>
      <c r="W657" t="str" cm="1">
        <f t="array" ref="W657">_xlfn.IFS(V657=1,"Low",V657=2,"Medium",V657=3,"High",V657=4,"Very High")</f>
        <v>Medium</v>
      </c>
      <c r="X657" t="s">
        <v>48</v>
      </c>
      <c r="Y657" s="2">
        <v>2277</v>
      </c>
      <c r="Z657" s="2">
        <v>22650</v>
      </c>
      <c r="AA657">
        <v>3</v>
      </c>
      <c r="AB657" t="s">
        <v>32</v>
      </c>
      <c r="AC657">
        <v>11</v>
      </c>
      <c r="AD657">
        <v>3</v>
      </c>
      <c r="AE657" t="str" cm="1">
        <f t="array" ref="AE657">_xlfn.IFS(AD657=1,"Low",AD657=2,"Good",AD657=3,"Excellent",AD657=4,"Outstanding")</f>
        <v>Excellent</v>
      </c>
      <c r="AF657">
        <v>3</v>
      </c>
      <c r="AG657" t="str" cm="1">
        <f t="array" ref="AG657">_xlfn.IFS(AF657=1,"Low",AF657=2,"Medium",AF657=3,"High",AF657=4,"Very High")</f>
        <v>High</v>
      </c>
      <c r="AH657">
        <v>1</v>
      </c>
      <c r="AI657">
        <v>7</v>
      </c>
      <c r="AJ657">
        <v>4</v>
      </c>
      <c r="AK657">
        <v>4</v>
      </c>
      <c r="AL657" t="str" cm="1">
        <f t="array" ref="AL657">_xlfn.IFS(AK657=1,"Low",AK657=2,"Medium",AK657=3,"High",AK657=4,"Very High")</f>
        <v>Very High</v>
      </c>
      <c r="AM657">
        <v>4</v>
      </c>
      <c r="AN657">
        <v>3</v>
      </c>
      <c r="AO657">
        <v>0</v>
      </c>
      <c r="AP657">
        <v>3</v>
      </c>
    </row>
    <row r="658" spans="1:42">
      <c r="A658">
        <v>32</v>
      </c>
      <c r="B658" t="str" cm="1">
        <f t="array" ref="B658">_xlfn.IFS(A658&lt;=25,"18-25",A658&lt;=35,"26-35",A658&lt;=45,"36-45",A658&lt;=55,"46-55",A658&gt;55,"56+")</f>
        <v>26-35</v>
      </c>
      <c r="C658" t="s">
        <v>32</v>
      </c>
      <c r="D658" t="s">
        <v>33</v>
      </c>
      <c r="E658" s="2">
        <v>374</v>
      </c>
      <c r="F658" t="s">
        <v>41</v>
      </c>
      <c r="G658">
        <v>25</v>
      </c>
      <c r="H658" t="str">
        <f t="shared" si="10"/>
        <v>21-30 km</v>
      </c>
      <c r="I658">
        <v>4</v>
      </c>
      <c r="J658" t="str" cm="1">
        <f t="array" ref="J658">_xlfn.IFS(I658=1,"Below College",I658=2,"College",I658=3,"Bachelor",I658=4,"Master",I658=5,"Doctor")</f>
        <v>Master</v>
      </c>
      <c r="K658" t="s">
        <v>35</v>
      </c>
      <c r="L658">
        <v>911</v>
      </c>
      <c r="M658">
        <v>1</v>
      </c>
      <c r="N658" t="str" cm="1">
        <f t="array" ref="N658">_xlfn.IFS(M658=1,"Low",M658=2,"Medium",M658=3,"High",M658=4,"Very High")</f>
        <v>Low</v>
      </c>
      <c r="O658" t="s">
        <v>42</v>
      </c>
      <c r="P658" s="2">
        <v>87</v>
      </c>
      <c r="Q658">
        <v>3</v>
      </c>
      <c r="R658" t="str" cm="1">
        <f t="array" ref="R658">_xlfn.IFS(Q658=1,"Low",Q658=2,"Medium",Q658=3,"High",Q658=4,"Very High")</f>
        <v>High</v>
      </c>
      <c r="S658">
        <v>1</v>
      </c>
      <c r="T658" t="str" cm="1">
        <f t="array" ref="T658">_xlfn.IFS(S658=1,"Entry Level",S658=2,"Junior",S658=3,"Mid-Level",S658=4,"Senior",S658=5,"Executive")</f>
        <v>Entry Level</v>
      </c>
      <c r="U658" t="s">
        <v>46</v>
      </c>
      <c r="V658">
        <v>4</v>
      </c>
      <c r="W658" t="str" cm="1">
        <f t="array" ref="W658">_xlfn.IFS(V658=1,"Low",V658=2,"Medium",V658=3,"High",V658=4,"Very High")</f>
        <v>Very High</v>
      </c>
      <c r="X658" t="s">
        <v>38</v>
      </c>
      <c r="Y658" s="2">
        <v>2795</v>
      </c>
      <c r="Z658" s="2">
        <v>18016</v>
      </c>
      <c r="AA658">
        <v>1</v>
      </c>
      <c r="AB658" t="s">
        <v>32</v>
      </c>
      <c r="AC658">
        <v>24</v>
      </c>
      <c r="AD658">
        <v>4</v>
      </c>
      <c r="AE658" t="str" cm="1">
        <f t="array" ref="AE658">_xlfn.IFS(AD658=1,"Low",AD658=2,"Good",AD658=3,"Excellent",AD658=4,"Outstanding")</f>
        <v>Outstanding</v>
      </c>
      <c r="AF658">
        <v>3</v>
      </c>
      <c r="AG658" t="str" cm="1">
        <f t="array" ref="AG658">_xlfn.IFS(AF658=1,"Low",AF658=2,"Medium",AF658=3,"High",AF658=4,"Very High")</f>
        <v>High</v>
      </c>
      <c r="AH658">
        <v>0</v>
      </c>
      <c r="AI658">
        <v>1</v>
      </c>
      <c r="AJ658">
        <v>2</v>
      </c>
      <c r="AK658">
        <v>1</v>
      </c>
      <c r="AL658" t="str" cm="1">
        <f t="array" ref="AL658">_xlfn.IFS(AK658=1,"Low",AK658=2,"Medium",AK658=3,"High",AK658=4,"Very High")</f>
        <v>Low</v>
      </c>
      <c r="AM658">
        <v>1</v>
      </c>
      <c r="AN658">
        <v>0</v>
      </c>
      <c r="AO658">
        <v>0</v>
      </c>
      <c r="AP658">
        <v>1</v>
      </c>
    </row>
    <row r="659" spans="1:42">
      <c r="A659">
        <v>29</v>
      </c>
      <c r="B659" t="str" cm="1">
        <f t="array" ref="B659">_xlfn.IFS(A659&lt;=25,"18-25",A659&lt;=35,"26-35",A659&lt;=45,"36-45",A659&lt;=55,"46-55",A659&gt;55,"56+")</f>
        <v>26-35</v>
      </c>
      <c r="C659" t="s">
        <v>39</v>
      </c>
      <c r="D659" t="s">
        <v>33</v>
      </c>
      <c r="E659" s="2">
        <v>1086</v>
      </c>
      <c r="F659" t="s">
        <v>41</v>
      </c>
      <c r="G659">
        <v>7</v>
      </c>
      <c r="H659" t="str">
        <f t="shared" si="10"/>
        <v>1-10 km</v>
      </c>
      <c r="I659">
        <v>1</v>
      </c>
      <c r="J659" t="str" cm="1">
        <f t="array" ref="J659">_xlfn.IFS(I659=1,"Below College",I659=2,"College",I659=3,"Bachelor",I659=4,"Master",I659=5,"Doctor")</f>
        <v>Below College</v>
      </c>
      <c r="K659" t="s">
        <v>47</v>
      </c>
      <c r="L659">
        <v>912</v>
      </c>
      <c r="M659">
        <v>1</v>
      </c>
      <c r="N659" t="str" cm="1">
        <f t="array" ref="N659">_xlfn.IFS(M659=1,"Low",M659=2,"Medium",M659=3,"High",M659=4,"Very High")</f>
        <v>Low</v>
      </c>
      <c r="O659" t="s">
        <v>36</v>
      </c>
      <c r="P659" s="2">
        <v>62</v>
      </c>
      <c r="Q659">
        <v>2</v>
      </c>
      <c r="R659" t="str" cm="1">
        <f t="array" ref="R659">_xlfn.IFS(Q659=1,"Low",Q659=2,"Medium",Q659=3,"High",Q659=4,"Very High")</f>
        <v>Medium</v>
      </c>
      <c r="S659">
        <v>1</v>
      </c>
      <c r="T659" t="str" cm="1">
        <f t="array" ref="T659">_xlfn.IFS(S659=1,"Entry Level",S659=2,"Junior",S659=3,"Mid-Level",S659=4,"Senior",S659=5,"Executive")</f>
        <v>Entry Level</v>
      </c>
      <c r="U659" t="s">
        <v>46</v>
      </c>
      <c r="V659">
        <v>4</v>
      </c>
      <c r="W659" t="str" cm="1">
        <f t="array" ref="W659">_xlfn.IFS(V659=1,"Low",V659=2,"Medium",V659=3,"High",V659=4,"Very High")</f>
        <v>Very High</v>
      </c>
      <c r="X659" t="s">
        <v>48</v>
      </c>
      <c r="Y659" s="2">
        <v>2532</v>
      </c>
      <c r="Z659" s="2">
        <v>6054</v>
      </c>
      <c r="AA659">
        <v>6</v>
      </c>
      <c r="AB659" t="s">
        <v>39</v>
      </c>
      <c r="AC659">
        <v>14</v>
      </c>
      <c r="AD659">
        <v>3</v>
      </c>
      <c r="AE659" t="str" cm="1">
        <f t="array" ref="AE659">_xlfn.IFS(AD659=1,"Low",AD659=2,"Good",AD659=3,"Excellent",AD659=4,"Outstanding")</f>
        <v>Excellent</v>
      </c>
      <c r="AF659">
        <v>3</v>
      </c>
      <c r="AG659" t="str" cm="1">
        <f t="array" ref="AG659">_xlfn.IFS(AF659=1,"Low",AF659=2,"Medium",AF659=3,"High",AF659=4,"Very High")</f>
        <v>High</v>
      </c>
      <c r="AH659">
        <v>3</v>
      </c>
      <c r="AI659">
        <v>8</v>
      </c>
      <c r="AJ659">
        <v>5</v>
      </c>
      <c r="AK659">
        <v>3</v>
      </c>
      <c r="AL659" t="str" cm="1">
        <f t="array" ref="AL659">_xlfn.IFS(AK659=1,"Low",AK659=2,"Medium",AK659=3,"High",AK659=4,"Very High")</f>
        <v>High</v>
      </c>
      <c r="AM659">
        <v>4</v>
      </c>
      <c r="AN659">
        <v>3</v>
      </c>
      <c r="AO659">
        <v>0</v>
      </c>
      <c r="AP659">
        <v>3</v>
      </c>
    </row>
    <row r="660" spans="1:42">
      <c r="A660">
        <v>44</v>
      </c>
      <c r="B660" t="str" cm="1">
        <f t="array" ref="B660">_xlfn.IFS(A660&lt;=25,"18-25",A660&lt;=35,"26-35",A660&lt;=45,"36-45",A660&lt;=55,"46-55",A660&gt;55,"56+")</f>
        <v>36-45</v>
      </c>
      <c r="C660" t="s">
        <v>39</v>
      </c>
      <c r="D660" t="s">
        <v>33</v>
      </c>
      <c r="E660" s="2">
        <v>661</v>
      </c>
      <c r="F660" t="s">
        <v>41</v>
      </c>
      <c r="G660">
        <v>9</v>
      </c>
      <c r="H660" t="str">
        <f t="shared" si="10"/>
        <v>1-10 km</v>
      </c>
      <c r="I660">
        <v>2</v>
      </c>
      <c r="J660" t="str" cm="1">
        <f t="array" ref="J660">_xlfn.IFS(I660=1,"Below College",I660=2,"College",I660=3,"Bachelor",I660=4,"Master",I660=5,"Doctor")</f>
        <v>College</v>
      </c>
      <c r="K660" t="s">
        <v>35</v>
      </c>
      <c r="L660">
        <v>913</v>
      </c>
      <c r="M660">
        <v>2</v>
      </c>
      <c r="N660" t="str" cm="1">
        <f t="array" ref="N660">_xlfn.IFS(M660=1,"Low",M660=2,"Medium",M660=3,"High",M660=4,"Very High")</f>
        <v>Medium</v>
      </c>
      <c r="O660" t="s">
        <v>42</v>
      </c>
      <c r="P660" s="2">
        <v>61</v>
      </c>
      <c r="Q660">
        <v>3</v>
      </c>
      <c r="R660" t="str" cm="1">
        <f t="array" ref="R660">_xlfn.IFS(Q660=1,"Low",Q660=2,"Medium",Q660=3,"High",Q660=4,"Very High")</f>
        <v>High</v>
      </c>
      <c r="S660">
        <v>1</v>
      </c>
      <c r="T660" t="str" cm="1">
        <f t="array" ref="T660">_xlfn.IFS(S660=1,"Entry Level",S660=2,"Junior",S660=3,"Mid-Level",S660=4,"Senior",S660=5,"Executive")</f>
        <v>Entry Level</v>
      </c>
      <c r="U660" t="s">
        <v>43</v>
      </c>
      <c r="V660">
        <v>1</v>
      </c>
      <c r="W660" t="str" cm="1">
        <f t="array" ref="W660">_xlfn.IFS(V660=1,"Low",V660=2,"Medium",V660=3,"High",V660=4,"Very High")</f>
        <v>Low</v>
      </c>
      <c r="X660" t="s">
        <v>44</v>
      </c>
      <c r="Y660" s="2">
        <v>2559</v>
      </c>
      <c r="Z660" s="2">
        <v>7508</v>
      </c>
      <c r="AA660">
        <v>1</v>
      </c>
      <c r="AB660" t="s">
        <v>32</v>
      </c>
      <c r="AC660">
        <v>13</v>
      </c>
      <c r="AD660">
        <v>3</v>
      </c>
      <c r="AE660" t="str" cm="1">
        <f t="array" ref="AE660">_xlfn.IFS(AD660=1,"Low",AD660=2,"Good",AD660=3,"Excellent",AD660=4,"Outstanding")</f>
        <v>Excellent</v>
      </c>
      <c r="AF660">
        <v>4</v>
      </c>
      <c r="AG660" t="str" cm="1">
        <f t="array" ref="AG660">_xlfn.IFS(AF660=1,"Low",AF660=2,"Medium",AF660=3,"High",AF660=4,"Very High")</f>
        <v>Very High</v>
      </c>
      <c r="AH660">
        <v>0</v>
      </c>
      <c r="AI660">
        <v>8</v>
      </c>
      <c r="AJ660">
        <v>0</v>
      </c>
      <c r="AK660">
        <v>3</v>
      </c>
      <c r="AL660" t="str" cm="1">
        <f t="array" ref="AL660">_xlfn.IFS(AK660=1,"Low",AK660=2,"Medium",AK660=3,"High",AK660=4,"Very High")</f>
        <v>High</v>
      </c>
      <c r="AM660">
        <v>8</v>
      </c>
      <c r="AN660">
        <v>7</v>
      </c>
      <c r="AO660">
        <v>7</v>
      </c>
      <c r="AP660">
        <v>1</v>
      </c>
    </row>
    <row r="661" spans="1:42">
      <c r="A661">
        <v>28</v>
      </c>
      <c r="B661" t="str" cm="1">
        <f t="array" ref="B661">_xlfn.IFS(A661&lt;=25,"18-25",A661&lt;=35,"26-35",A661&lt;=45,"36-45",A661&lt;=55,"46-55",A661&gt;55,"56+")</f>
        <v>26-35</v>
      </c>
      <c r="C661" t="s">
        <v>39</v>
      </c>
      <c r="D661" t="s">
        <v>33</v>
      </c>
      <c r="E661" s="2">
        <v>821</v>
      </c>
      <c r="F661" t="s">
        <v>34</v>
      </c>
      <c r="G661">
        <v>5</v>
      </c>
      <c r="H661" t="str">
        <f t="shared" si="10"/>
        <v>1-10 km</v>
      </c>
      <c r="I661">
        <v>4</v>
      </c>
      <c r="J661" t="str" cm="1">
        <f t="array" ref="J661">_xlfn.IFS(I661=1,"Below College",I661=2,"College",I661=3,"Bachelor",I661=4,"Master",I661=5,"Doctor")</f>
        <v>Master</v>
      </c>
      <c r="K661" t="s">
        <v>47</v>
      </c>
      <c r="L661">
        <v>916</v>
      </c>
      <c r="M661">
        <v>1</v>
      </c>
      <c r="N661" t="str" cm="1">
        <f t="array" ref="N661">_xlfn.IFS(M661=1,"Low",M661=2,"Medium",M661=3,"High",M661=4,"Very High")</f>
        <v>Low</v>
      </c>
      <c r="O661" t="s">
        <v>42</v>
      </c>
      <c r="P661" s="2">
        <v>98</v>
      </c>
      <c r="Q661">
        <v>3</v>
      </c>
      <c r="R661" t="str" cm="1">
        <f t="array" ref="R661">_xlfn.IFS(Q661=1,"Low",Q661=2,"Medium",Q661=3,"High",Q661=4,"Very High")</f>
        <v>High</v>
      </c>
      <c r="S661">
        <v>2</v>
      </c>
      <c r="T661" t="str" cm="1">
        <f t="array" ref="T661">_xlfn.IFS(S661=1,"Entry Level",S661=2,"Junior",S661=3,"Mid-Level",S661=4,"Senior",S661=5,"Executive")</f>
        <v>Junior</v>
      </c>
      <c r="U661" t="s">
        <v>37</v>
      </c>
      <c r="V661">
        <v>4</v>
      </c>
      <c r="W661" t="str" cm="1">
        <f t="array" ref="W661">_xlfn.IFS(V661=1,"Low",V661=2,"Medium",V661=3,"High",V661=4,"Very High")</f>
        <v>Very High</v>
      </c>
      <c r="X661" t="s">
        <v>38</v>
      </c>
      <c r="Y661" s="2">
        <v>4908</v>
      </c>
      <c r="Z661" s="2">
        <v>24252</v>
      </c>
      <c r="AA661">
        <v>1</v>
      </c>
      <c r="AB661" t="s">
        <v>39</v>
      </c>
      <c r="AC661">
        <v>14</v>
      </c>
      <c r="AD661">
        <v>3</v>
      </c>
      <c r="AE661" t="str" cm="1">
        <f t="array" ref="AE661">_xlfn.IFS(AD661=1,"Low",AD661=2,"Good",AD661=3,"Excellent",AD661=4,"Outstanding")</f>
        <v>Excellent</v>
      </c>
      <c r="AF661">
        <v>2</v>
      </c>
      <c r="AG661" t="str" cm="1">
        <f t="array" ref="AG661">_xlfn.IFS(AF661=1,"Low",AF661=2,"Medium",AF661=3,"High",AF661=4,"Very High")</f>
        <v>Medium</v>
      </c>
      <c r="AH661">
        <v>0</v>
      </c>
      <c r="AI661">
        <v>4</v>
      </c>
      <c r="AJ661">
        <v>3</v>
      </c>
      <c r="AK661">
        <v>3</v>
      </c>
      <c r="AL661" t="str" cm="1">
        <f t="array" ref="AL661">_xlfn.IFS(AK661=1,"Low",AK661=2,"Medium",AK661=3,"High",AK661=4,"Very High")</f>
        <v>High</v>
      </c>
      <c r="AM661">
        <v>4</v>
      </c>
      <c r="AN661">
        <v>2</v>
      </c>
      <c r="AO661">
        <v>0</v>
      </c>
      <c r="AP661">
        <v>2</v>
      </c>
    </row>
    <row r="662" spans="1:42">
      <c r="A662">
        <v>58</v>
      </c>
      <c r="B662" t="str" cm="1">
        <f t="array" ref="B662">_xlfn.IFS(A662&lt;=25,"18-25",A662&lt;=35,"26-35",A662&lt;=45,"36-45",A662&lt;=55,"46-55",A662&gt;55,"56+")</f>
        <v>56+</v>
      </c>
      <c r="C662" t="s">
        <v>32</v>
      </c>
      <c r="D662" t="s">
        <v>40</v>
      </c>
      <c r="E662" s="2">
        <v>781</v>
      </c>
      <c r="F662" t="s">
        <v>41</v>
      </c>
      <c r="G662">
        <v>2</v>
      </c>
      <c r="H662" t="str">
        <f t="shared" si="10"/>
        <v>1-10 km</v>
      </c>
      <c r="I662">
        <v>1</v>
      </c>
      <c r="J662" t="str" cm="1">
        <f t="array" ref="J662">_xlfn.IFS(I662=1,"Below College",I662=2,"College",I662=3,"Bachelor",I662=4,"Master",I662=5,"Doctor")</f>
        <v>Below College</v>
      </c>
      <c r="K662" t="s">
        <v>35</v>
      </c>
      <c r="L662">
        <v>918</v>
      </c>
      <c r="M662">
        <v>4</v>
      </c>
      <c r="N662" t="str" cm="1">
        <f t="array" ref="N662">_xlfn.IFS(M662=1,"Low",M662=2,"Medium",M662=3,"High",M662=4,"Very High")</f>
        <v>Very High</v>
      </c>
      <c r="O662" t="s">
        <v>42</v>
      </c>
      <c r="P662" s="2">
        <v>57</v>
      </c>
      <c r="Q662">
        <v>2</v>
      </c>
      <c r="R662" t="str" cm="1">
        <f t="array" ref="R662">_xlfn.IFS(Q662=1,"Low",Q662=2,"Medium",Q662=3,"High",Q662=4,"Very High")</f>
        <v>Medium</v>
      </c>
      <c r="S662">
        <v>1</v>
      </c>
      <c r="T662" t="str" cm="1">
        <f t="array" ref="T662">_xlfn.IFS(S662=1,"Entry Level",S662=2,"Junior",S662=3,"Mid-Level",S662=4,"Senior",S662=5,"Executive")</f>
        <v>Entry Level</v>
      </c>
      <c r="U662" t="s">
        <v>46</v>
      </c>
      <c r="V662">
        <v>4</v>
      </c>
      <c r="W662" t="str" cm="1">
        <f t="array" ref="W662">_xlfn.IFS(V662=1,"Low",V662=2,"Medium",V662=3,"High",V662=4,"Very High")</f>
        <v>Very High</v>
      </c>
      <c r="X662" t="s">
        <v>48</v>
      </c>
      <c r="Y662" s="2">
        <v>2380</v>
      </c>
      <c r="Z662" s="2">
        <v>13384</v>
      </c>
      <c r="AA662">
        <v>9</v>
      </c>
      <c r="AB662" t="s">
        <v>32</v>
      </c>
      <c r="AC662">
        <v>14</v>
      </c>
      <c r="AD662">
        <v>3</v>
      </c>
      <c r="AE662" t="str" cm="1">
        <f t="array" ref="AE662">_xlfn.IFS(AD662=1,"Low",AD662=2,"Good",AD662=3,"Excellent",AD662=4,"Outstanding")</f>
        <v>Excellent</v>
      </c>
      <c r="AF662">
        <v>4</v>
      </c>
      <c r="AG662" t="str" cm="1">
        <f t="array" ref="AG662">_xlfn.IFS(AF662=1,"Low",AF662=2,"Medium",AF662=3,"High",AF662=4,"Very High")</f>
        <v>Very High</v>
      </c>
      <c r="AH662">
        <v>1</v>
      </c>
      <c r="AI662">
        <v>3</v>
      </c>
      <c r="AJ662">
        <v>3</v>
      </c>
      <c r="AK662">
        <v>2</v>
      </c>
      <c r="AL662" t="str" cm="1">
        <f t="array" ref="AL662">_xlfn.IFS(AK662=1,"Low",AK662=2,"Medium",AK662=3,"High",AK662=4,"Very High")</f>
        <v>Medium</v>
      </c>
      <c r="AM662">
        <v>1</v>
      </c>
      <c r="AN662">
        <v>0</v>
      </c>
      <c r="AO662">
        <v>0</v>
      </c>
      <c r="AP662">
        <v>0</v>
      </c>
    </row>
    <row r="663" spans="1:42">
      <c r="A663">
        <v>43</v>
      </c>
      <c r="B663" t="str" cm="1">
        <f t="array" ref="B663">_xlfn.IFS(A663&lt;=25,"18-25",A663&lt;=35,"26-35",A663&lt;=45,"36-45",A663&lt;=55,"46-55",A663&gt;55,"56+")</f>
        <v>36-45</v>
      </c>
      <c r="C663" t="s">
        <v>39</v>
      </c>
      <c r="D663" t="s">
        <v>33</v>
      </c>
      <c r="E663" s="2">
        <v>177</v>
      </c>
      <c r="F663" t="s">
        <v>41</v>
      </c>
      <c r="G663">
        <v>8</v>
      </c>
      <c r="H663" t="str">
        <f t="shared" si="10"/>
        <v>1-10 km</v>
      </c>
      <c r="I663">
        <v>3</v>
      </c>
      <c r="J663" t="str" cm="1">
        <f t="array" ref="J663">_xlfn.IFS(I663=1,"Below College",I663=2,"College",I663=3,"Bachelor",I663=4,"Master",I663=5,"Doctor")</f>
        <v>Bachelor</v>
      </c>
      <c r="K663" t="s">
        <v>35</v>
      </c>
      <c r="L663">
        <v>920</v>
      </c>
      <c r="M663">
        <v>1</v>
      </c>
      <c r="N663" t="str" cm="1">
        <f t="array" ref="N663">_xlfn.IFS(M663=1,"Low",M663=2,"Medium",M663=3,"High",M663=4,"Very High")</f>
        <v>Low</v>
      </c>
      <c r="O663" t="s">
        <v>36</v>
      </c>
      <c r="P663" s="2">
        <v>55</v>
      </c>
      <c r="Q663">
        <v>3</v>
      </c>
      <c r="R663" t="str" cm="1">
        <f t="array" ref="R663">_xlfn.IFS(Q663=1,"Low",Q663=2,"Medium",Q663=3,"High",Q663=4,"Very High")</f>
        <v>High</v>
      </c>
      <c r="S663">
        <v>2</v>
      </c>
      <c r="T663" t="str" cm="1">
        <f t="array" ref="T663">_xlfn.IFS(S663=1,"Entry Level",S663=2,"Junior",S663=3,"Mid-Level",S663=4,"Senior",S663=5,"Executive")</f>
        <v>Junior</v>
      </c>
      <c r="U663" t="s">
        <v>49</v>
      </c>
      <c r="V663">
        <v>2</v>
      </c>
      <c r="W663" t="str" cm="1">
        <f t="array" ref="W663">_xlfn.IFS(V663=1,"Low",V663=2,"Medium",V663=3,"High",V663=4,"Very High")</f>
        <v>Medium</v>
      </c>
      <c r="X663" t="s">
        <v>48</v>
      </c>
      <c r="Y663" s="2">
        <v>4765</v>
      </c>
      <c r="Z663" s="2">
        <v>23814</v>
      </c>
      <c r="AA663">
        <v>4</v>
      </c>
      <c r="AB663" t="s">
        <v>39</v>
      </c>
      <c r="AC663">
        <v>21</v>
      </c>
      <c r="AD663">
        <v>4</v>
      </c>
      <c r="AE663" t="str" cm="1">
        <f t="array" ref="AE663">_xlfn.IFS(AD663=1,"Low",AD663=2,"Good",AD663=3,"Excellent",AD663=4,"Outstanding")</f>
        <v>Outstanding</v>
      </c>
      <c r="AF663">
        <v>3</v>
      </c>
      <c r="AG663" t="str" cm="1">
        <f t="array" ref="AG663">_xlfn.IFS(AF663=1,"Low",AF663=2,"Medium",AF663=3,"High",AF663=4,"Very High")</f>
        <v>High</v>
      </c>
      <c r="AH663">
        <v>1</v>
      </c>
      <c r="AI663">
        <v>4</v>
      </c>
      <c r="AJ663">
        <v>2</v>
      </c>
      <c r="AK663">
        <v>4</v>
      </c>
      <c r="AL663" t="str" cm="1">
        <f t="array" ref="AL663">_xlfn.IFS(AK663=1,"Low",AK663=2,"Medium",AK663=3,"High",AK663=4,"Very High")</f>
        <v>Very High</v>
      </c>
      <c r="AM663">
        <v>1</v>
      </c>
      <c r="AN663">
        <v>0</v>
      </c>
      <c r="AO663">
        <v>0</v>
      </c>
      <c r="AP663">
        <v>0</v>
      </c>
    </row>
    <row r="664" spans="1:42">
      <c r="A664">
        <v>20</v>
      </c>
      <c r="B664" t="str" cm="1">
        <f t="array" ref="B664">_xlfn.IFS(A664&lt;=25,"18-25",A664&lt;=35,"26-35",A664&lt;=45,"36-45",A664&lt;=55,"46-55",A664&gt;55,"56+")</f>
        <v>18-25</v>
      </c>
      <c r="C664" t="s">
        <v>32</v>
      </c>
      <c r="D664" t="s">
        <v>33</v>
      </c>
      <c r="E664" s="2">
        <v>500</v>
      </c>
      <c r="F664" t="s">
        <v>34</v>
      </c>
      <c r="G664">
        <v>2</v>
      </c>
      <c r="H664" t="str">
        <f t="shared" si="10"/>
        <v>1-10 km</v>
      </c>
      <c r="I664">
        <v>3</v>
      </c>
      <c r="J664" t="str" cm="1">
        <f t="array" ref="J664">_xlfn.IFS(I664=1,"Below College",I664=2,"College",I664=3,"Bachelor",I664=4,"Master",I664=5,"Doctor")</f>
        <v>Bachelor</v>
      </c>
      <c r="K664" t="s">
        <v>47</v>
      </c>
      <c r="L664">
        <v>922</v>
      </c>
      <c r="M664">
        <v>3</v>
      </c>
      <c r="N664" t="str" cm="1">
        <f t="array" ref="N664">_xlfn.IFS(M664=1,"Low",M664=2,"Medium",M664=3,"High",M664=4,"Very High")</f>
        <v>High</v>
      </c>
      <c r="O664" t="s">
        <v>36</v>
      </c>
      <c r="P664" s="2">
        <v>49</v>
      </c>
      <c r="Q664">
        <v>2</v>
      </c>
      <c r="R664" t="str" cm="1">
        <f t="array" ref="R664">_xlfn.IFS(Q664=1,"Low",Q664=2,"Medium",Q664=3,"High",Q664=4,"Very High")</f>
        <v>Medium</v>
      </c>
      <c r="S664">
        <v>1</v>
      </c>
      <c r="T664" t="str" cm="1">
        <f t="array" ref="T664">_xlfn.IFS(S664=1,"Entry Level",S664=2,"Junior",S664=3,"Mid-Level",S664=4,"Senior",S664=5,"Executive")</f>
        <v>Entry Level</v>
      </c>
      <c r="U664" t="s">
        <v>53</v>
      </c>
      <c r="V664">
        <v>3</v>
      </c>
      <c r="W664" t="str" cm="1">
        <f t="array" ref="W664">_xlfn.IFS(V664=1,"Low",V664=2,"Medium",V664=3,"High",V664=4,"Very High")</f>
        <v>High</v>
      </c>
      <c r="X664" t="s">
        <v>38</v>
      </c>
      <c r="Y664" s="2">
        <v>2044</v>
      </c>
      <c r="Z664" s="2">
        <v>22052</v>
      </c>
      <c r="AA664">
        <v>1</v>
      </c>
      <c r="AB664" t="s">
        <v>39</v>
      </c>
      <c r="AC664">
        <v>13</v>
      </c>
      <c r="AD664">
        <v>3</v>
      </c>
      <c r="AE664" t="str" cm="1">
        <f t="array" ref="AE664">_xlfn.IFS(AD664=1,"Low",AD664=2,"Good",AD664=3,"Excellent",AD664=4,"Outstanding")</f>
        <v>Excellent</v>
      </c>
      <c r="AF664">
        <v>4</v>
      </c>
      <c r="AG664" t="str" cm="1">
        <f t="array" ref="AG664">_xlfn.IFS(AF664=1,"Low",AF664=2,"Medium",AF664=3,"High",AF664=4,"Very High")</f>
        <v>Very High</v>
      </c>
      <c r="AH664">
        <v>0</v>
      </c>
      <c r="AI664">
        <v>2</v>
      </c>
      <c r="AJ664">
        <v>3</v>
      </c>
      <c r="AK664">
        <v>2</v>
      </c>
      <c r="AL664" t="str" cm="1">
        <f t="array" ref="AL664">_xlfn.IFS(AK664=1,"Low",AK664=2,"Medium",AK664=3,"High",AK664=4,"Very High")</f>
        <v>Medium</v>
      </c>
      <c r="AM664">
        <v>2</v>
      </c>
      <c r="AN664">
        <v>2</v>
      </c>
      <c r="AO664">
        <v>0</v>
      </c>
      <c r="AP664">
        <v>2</v>
      </c>
    </row>
    <row r="665" spans="1:42">
      <c r="A665">
        <v>21</v>
      </c>
      <c r="B665" t="str" cm="1">
        <f t="array" ref="B665">_xlfn.IFS(A665&lt;=25,"18-25",A665&lt;=35,"26-35",A665&lt;=45,"36-45",A665&lt;=55,"46-55",A665&gt;55,"56+")</f>
        <v>18-25</v>
      </c>
      <c r="C665" t="s">
        <v>32</v>
      </c>
      <c r="D665" t="s">
        <v>33</v>
      </c>
      <c r="E665" s="2">
        <v>1427</v>
      </c>
      <c r="F665" t="s">
        <v>41</v>
      </c>
      <c r="G665">
        <v>18</v>
      </c>
      <c r="H665" t="str">
        <f t="shared" si="10"/>
        <v>11-20 km</v>
      </c>
      <c r="I665">
        <v>1</v>
      </c>
      <c r="J665" t="str" cm="1">
        <f t="array" ref="J665">_xlfn.IFS(I665=1,"Below College",I665=2,"College",I665=3,"Bachelor",I665=4,"Master",I665=5,"Doctor")</f>
        <v>Below College</v>
      </c>
      <c r="K665" t="s">
        <v>45</v>
      </c>
      <c r="L665">
        <v>923</v>
      </c>
      <c r="M665">
        <v>4</v>
      </c>
      <c r="N665" t="str" cm="1">
        <f t="array" ref="N665">_xlfn.IFS(M665=1,"Low",M665=2,"Medium",M665=3,"High",M665=4,"Very High")</f>
        <v>Very High</v>
      </c>
      <c r="O665" t="s">
        <v>36</v>
      </c>
      <c r="P665" s="2">
        <v>65</v>
      </c>
      <c r="Q665">
        <v>3</v>
      </c>
      <c r="R665" t="str" cm="1">
        <f t="array" ref="R665">_xlfn.IFS(Q665=1,"Low",Q665=2,"Medium",Q665=3,"High",Q665=4,"Very High")</f>
        <v>High</v>
      </c>
      <c r="S665">
        <v>1</v>
      </c>
      <c r="T665" t="str" cm="1">
        <f t="array" ref="T665">_xlfn.IFS(S665=1,"Entry Level",S665=2,"Junior",S665=3,"Mid-Level",S665=4,"Senior",S665=5,"Executive")</f>
        <v>Entry Level</v>
      </c>
      <c r="U665" t="s">
        <v>43</v>
      </c>
      <c r="V665">
        <v>4</v>
      </c>
      <c r="W665" t="str" cm="1">
        <f t="array" ref="W665">_xlfn.IFS(V665=1,"Low",V665=2,"Medium",V665=3,"High",V665=4,"Very High")</f>
        <v>Very High</v>
      </c>
      <c r="X665" t="s">
        <v>38</v>
      </c>
      <c r="Y665" s="2">
        <v>2693</v>
      </c>
      <c r="Z665" s="2">
        <v>8870</v>
      </c>
      <c r="AA665">
        <v>1</v>
      </c>
      <c r="AB665" t="s">
        <v>39</v>
      </c>
      <c r="AC665">
        <v>19</v>
      </c>
      <c r="AD665">
        <v>3</v>
      </c>
      <c r="AE665" t="str" cm="1">
        <f t="array" ref="AE665">_xlfn.IFS(AD665=1,"Low",AD665=2,"Good",AD665=3,"Excellent",AD665=4,"Outstanding")</f>
        <v>Excellent</v>
      </c>
      <c r="AF665">
        <v>1</v>
      </c>
      <c r="AG665" t="str" cm="1">
        <f t="array" ref="AG665">_xlfn.IFS(AF665=1,"Low",AF665=2,"Medium",AF665=3,"High",AF665=4,"Very High")</f>
        <v>Low</v>
      </c>
      <c r="AH665">
        <v>0</v>
      </c>
      <c r="AI665">
        <v>1</v>
      </c>
      <c r="AJ665">
        <v>3</v>
      </c>
      <c r="AK665">
        <v>2</v>
      </c>
      <c r="AL665" t="str" cm="1">
        <f t="array" ref="AL665">_xlfn.IFS(AK665=1,"Low",AK665=2,"Medium",AK665=3,"High",AK665=4,"Very High")</f>
        <v>Medium</v>
      </c>
      <c r="AM665">
        <v>1</v>
      </c>
      <c r="AN665">
        <v>0</v>
      </c>
      <c r="AO665">
        <v>0</v>
      </c>
      <c r="AP665">
        <v>0</v>
      </c>
    </row>
    <row r="666" spans="1:42">
      <c r="A666">
        <v>36</v>
      </c>
      <c r="B666" t="str" cm="1">
        <f t="array" ref="B666">_xlfn.IFS(A666&lt;=25,"18-25",A666&lt;=35,"26-35",A666&lt;=45,"36-45",A666&lt;=55,"46-55",A666&gt;55,"56+")</f>
        <v>36-45</v>
      </c>
      <c r="C666" t="s">
        <v>39</v>
      </c>
      <c r="D666" t="s">
        <v>33</v>
      </c>
      <c r="E666" s="2">
        <v>1425</v>
      </c>
      <c r="F666" t="s">
        <v>41</v>
      </c>
      <c r="G666">
        <v>14</v>
      </c>
      <c r="H666" t="str">
        <f t="shared" si="10"/>
        <v>11-20 km</v>
      </c>
      <c r="I666">
        <v>1</v>
      </c>
      <c r="J666" t="str" cm="1">
        <f t="array" ref="J666">_xlfn.IFS(I666=1,"Below College",I666=2,"College",I666=3,"Bachelor",I666=4,"Master",I666=5,"Doctor")</f>
        <v>Below College</v>
      </c>
      <c r="K666" t="s">
        <v>35</v>
      </c>
      <c r="L666">
        <v>924</v>
      </c>
      <c r="M666">
        <v>3</v>
      </c>
      <c r="N666" t="str" cm="1">
        <f t="array" ref="N666">_xlfn.IFS(M666=1,"Low",M666=2,"Medium",M666=3,"High",M666=4,"Very High")</f>
        <v>High</v>
      </c>
      <c r="O666" t="s">
        <v>42</v>
      </c>
      <c r="P666" s="2">
        <v>68</v>
      </c>
      <c r="Q666">
        <v>3</v>
      </c>
      <c r="R666" t="str" cm="1">
        <f t="array" ref="R666">_xlfn.IFS(Q666=1,"Low",Q666=2,"Medium",Q666=3,"High",Q666=4,"Very High")</f>
        <v>High</v>
      </c>
      <c r="S666">
        <v>2</v>
      </c>
      <c r="T666" t="str" cm="1">
        <f t="array" ref="T666">_xlfn.IFS(S666=1,"Entry Level",S666=2,"Junior",S666=3,"Mid-Level",S666=4,"Senior",S666=5,"Executive")</f>
        <v>Junior</v>
      </c>
      <c r="U666" t="s">
        <v>50</v>
      </c>
      <c r="V666">
        <v>4</v>
      </c>
      <c r="W666" t="str" cm="1">
        <f t="array" ref="W666">_xlfn.IFS(V666=1,"Low",V666=2,"Medium",V666=3,"High",V666=4,"Very High")</f>
        <v>Very High</v>
      </c>
      <c r="X666" t="s">
        <v>44</v>
      </c>
      <c r="Y666" s="2">
        <v>6586</v>
      </c>
      <c r="Z666" s="2">
        <v>4821</v>
      </c>
      <c r="AA666">
        <v>0</v>
      </c>
      <c r="AB666" t="s">
        <v>32</v>
      </c>
      <c r="AC666">
        <v>17</v>
      </c>
      <c r="AD666">
        <v>3</v>
      </c>
      <c r="AE666" t="str" cm="1">
        <f t="array" ref="AE666">_xlfn.IFS(AD666=1,"Low",AD666=2,"Good",AD666=3,"Excellent",AD666=4,"Outstanding")</f>
        <v>Excellent</v>
      </c>
      <c r="AF666">
        <v>1</v>
      </c>
      <c r="AG666" t="str" cm="1">
        <f t="array" ref="AG666">_xlfn.IFS(AF666=1,"Low",AF666=2,"Medium",AF666=3,"High",AF666=4,"Very High")</f>
        <v>Low</v>
      </c>
      <c r="AH666">
        <v>1</v>
      </c>
      <c r="AI666">
        <v>17</v>
      </c>
      <c r="AJ666">
        <v>2</v>
      </c>
      <c r="AK666">
        <v>2</v>
      </c>
      <c r="AL666" t="str" cm="1">
        <f t="array" ref="AL666">_xlfn.IFS(AK666=1,"Low",AK666=2,"Medium",AK666=3,"High",AK666=4,"Very High")</f>
        <v>Medium</v>
      </c>
      <c r="AM666">
        <v>16</v>
      </c>
      <c r="AN666">
        <v>8</v>
      </c>
      <c r="AO666">
        <v>4</v>
      </c>
      <c r="AP666">
        <v>11</v>
      </c>
    </row>
    <row r="667" spans="1:42">
      <c r="A667">
        <v>47</v>
      </c>
      <c r="B667" t="str" cm="1">
        <f t="array" ref="B667">_xlfn.IFS(A667&lt;=25,"18-25",A667&lt;=35,"26-35",A667&lt;=45,"36-45",A667&lt;=55,"46-55",A667&gt;55,"56+")</f>
        <v>46-55</v>
      </c>
      <c r="C667" t="s">
        <v>39</v>
      </c>
      <c r="D667" t="s">
        <v>33</v>
      </c>
      <c r="E667" s="2">
        <v>1454</v>
      </c>
      <c r="F667" t="s">
        <v>34</v>
      </c>
      <c r="G667">
        <v>2</v>
      </c>
      <c r="H667" t="str">
        <f t="shared" si="10"/>
        <v>1-10 km</v>
      </c>
      <c r="I667">
        <v>4</v>
      </c>
      <c r="J667" t="str" cm="1">
        <f t="array" ref="J667">_xlfn.IFS(I667=1,"Below College",I667=2,"College",I667=3,"Bachelor",I667=4,"Master",I667=5,"Doctor")</f>
        <v>Master</v>
      </c>
      <c r="K667" t="s">
        <v>35</v>
      </c>
      <c r="L667">
        <v>925</v>
      </c>
      <c r="M667">
        <v>4</v>
      </c>
      <c r="N667" t="str" cm="1">
        <f t="array" ref="N667">_xlfn.IFS(M667=1,"Low",M667=2,"Medium",M667=3,"High",M667=4,"Very High")</f>
        <v>Very High</v>
      </c>
      <c r="O667" t="s">
        <v>36</v>
      </c>
      <c r="P667" s="2">
        <v>65</v>
      </c>
      <c r="Q667">
        <v>2</v>
      </c>
      <c r="R667" t="str" cm="1">
        <f t="array" ref="R667">_xlfn.IFS(Q667=1,"Low",Q667=2,"Medium",Q667=3,"High",Q667=4,"Very High")</f>
        <v>Medium</v>
      </c>
      <c r="S667">
        <v>1</v>
      </c>
      <c r="T667" t="str" cm="1">
        <f t="array" ref="T667">_xlfn.IFS(S667=1,"Entry Level",S667=2,"Junior",S667=3,"Mid-Level",S667=4,"Senior",S667=5,"Executive")</f>
        <v>Entry Level</v>
      </c>
      <c r="U667" t="s">
        <v>53</v>
      </c>
      <c r="V667">
        <v>4</v>
      </c>
      <c r="W667" t="str" cm="1">
        <f t="array" ref="W667">_xlfn.IFS(V667=1,"Low",V667=2,"Medium",V667=3,"High",V667=4,"Very High")</f>
        <v>Very High</v>
      </c>
      <c r="X667" t="s">
        <v>38</v>
      </c>
      <c r="Y667" s="2">
        <v>3294</v>
      </c>
      <c r="Z667" s="2">
        <v>13137</v>
      </c>
      <c r="AA667">
        <v>1</v>
      </c>
      <c r="AB667" t="s">
        <v>32</v>
      </c>
      <c r="AC667">
        <v>18</v>
      </c>
      <c r="AD667">
        <v>3</v>
      </c>
      <c r="AE667" t="str" cm="1">
        <f t="array" ref="AE667">_xlfn.IFS(AD667=1,"Low",AD667=2,"Good",AD667=3,"Excellent",AD667=4,"Outstanding")</f>
        <v>Excellent</v>
      </c>
      <c r="AF667">
        <v>1</v>
      </c>
      <c r="AG667" t="str" cm="1">
        <f t="array" ref="AG667">_xlfn.IFS(AF667=1,"Low",AF667=2,"Medium",AF667=3,"High",AF667=4,"Very High")</f>
        <v>Low</v>
      </c>
      <c r="AH667">
        <v>0</v>
      </c>
      <c r="AI667">
        <v>3</v>
      </c>
      <c r="AJ667">
        <v>3</v>
      </c>
      <c r="AK667">
        <v>2</v>
      </c>
      <c r="AL667" t="str" cm="1">
        <f t="array" ref="AL667">_xlfn.IFS(AK667=1,"Low",AK667=2,"Medium",AK667=3,"High",AK667=4,"Very High")</f>
        <v>Medium</v>
      </c>
      <c r="AM667">
        <v>3</v>
      </c>
      <c r="AN667">
        <v>2</v>
      </c>
      <c r="AO667">
        <v>1</v>
      </c>
      <c r="AP667">
        <v>2</v>
      </c>
    </row>
    <row r="668" spans="1:42">
      <c r="A668">
        <v>22</v>
      </c>
      <c r="B668" t="str" cm="1">
        <f t="array" ref="B668">_xlfn.IFS(A668&lt;=25,"18-25",A668&lt;=35,"26-35",A668&lt;=45,"36-45",A668&lt;=55,"46-55",A668&gt;55,"56+")</f>
        <v>18-25</v>
      </c>
      <c r="C668" t="s">
        <v>32</v>
      </c>
      <c r="D668" t="s">
        <v>33</v>
      </c>
      <c r="E668" s="2">
        <v>617</v>
      </c>
      <c r="F668" t="s">
        <v>41</v>
      </c>
      <c r="G668">
        <v>3</v>
      </c>
      <c r="H668" t="str">
        <f t="shared" si="10"/>
        <v>1-10 km</v>
      </c>
      <c r="I668">
        <v>1</v>
      </c>
      <c r="J668" t="str" cm="1">
        <f t="array" ref="J668">_xlfn.IFS(I668=1,"Below College",I668=2,"College",I668=3,"Bachelor",I668=4,"Master",I668=5,"Doctor")</f>
        <v>Below College</v>
      </c>
      <c r="K668" t="s">
        <v>35</v>
      </c>
      <c r="L668">
        <v>926</v>
      </c>
      <c r="M668">
        <v>2</v>
      </c>
      <c r="N668" t="str" cm="1">
        <f t="array" ref="N668">_xlfn.IFS(M668=1,"Low",M668=2,"Medium",M668=3,"High",M668=4,"Very High")</f>
        <v>Medium</v>
      </c>
      <c r="O668" t="s">
        <v>36</v>
      </c>
      <c r="P668" s="2">
        <v>34</v>
      </c>
      <c r="Q668">
        <v>3</v>
      </c>
      <c r="R668" t="str" cm="1">
        <f t="array" ref="R668">_xlfn.IFS(Q668=1,"Low",Q668=2,"Medium",Q668=3,"High",Q668=4,"Very High")</f>
        <v>High</v>
      </c>
      <c r="S668">
        <v>2</v>
      </c>
      <c r="T668" t="str" cm="1">
        <f t="array" ref="T668">_xlfn.IFS(S668=1,"Entry Level",S668=2,"Junior",S668=3,"Mid-Level",S668=4,"Senior",S668=5,"Executive")</f>
        <v>Junior</v>
      </c>
      <c r="U668" t="s">
        <v>49</v>
      </c>
      <c r="V668">
        <v>3</v>
      </c>
      <c r="W668" t="str" cm="1">
        <f t="array" ref="W668">_xlfn.IFS(V668=1,"Low",V668=2,"Medium",V668=3,"High",V668=4,"Very High")</f>
        <v>High</v>
      </c>
      <c r="X668" t="s">
        <v>44</v>
      </c>
      <c r="Y668" s="2">
        <v>4171</v>
      </c>
      <c r="Z668" s="2">
        <v>10022</v>
      </c>
      <c r="AA668">
        <v>0</v>
      </c>
      <c r="AB668" t="s">
        <v>32</v>
      </c>
      <c r="AC668">
        <v>19</v>
      </c>
      <c r="AD668">
        <v>3</v>
      </c>
      <c r="AE668" t="str" cm="1">
        <f t="array" ref="AE668">_xlfn.IFS(AD668=1,"Low",AD668=2,"Good",AD668=3,"Excellent",AD668=4,"Outstanding")</f>
        <v>Excellent</v>
      </c>
      <c r="AF668">
        <v>1</v>
      </c>
      <c r="AG668" t="str" cm="1">
        <f t="array" ref="AG668">_xlfn.IFS(AF668=1,"Low",AF668=2,"Medium",AF668=3,"High",AF668=4,"Very High")</f>
        <v>Low</v>
      </c>
      <c r="AH668">
        <v>1</v>
      </c>
      <c r="AI668">
        <v>4</v>
      </c>
      <c r="AJ668">
        <v>3</v>
      </c>
      <c r="AK668">
        <v>4</v>
      </c>
      <c r="AL668" t="str" cm="1">
        <f t="array" ref="AL668">_xlfn.IFS(AK668=1,"Low",AK668=2,"Medium",AK668=3,"High",AK668=4,"Very High")</f>
        <v>Very High</v>
      </c>
      <c r="AM668">
        <v>3</v>
      </c>
      <c r="AN668">
        <v>2</v>
      </c>
      <c r="AO668">
        <v>0</v>
      </c>
      <c r="AP668">
        <v>2</v>
      </c>
    </row>
    <row r="669" spans="1:42">
      <c r="A669">
        <v>41</v>
      </c>
      <c r="B669" t="str" cm="1">
        <f t="array" ref="B669">_xlfn.IFS(A669&lt;=25,"18-25",A669&lt;=35,"26-35",A669&lt;=45,"36-45",A669&lt;=55,"46-55",A669&gt;55,"56+")</f>
        <v>36-45</v>
      </c>
      <c r="C669" t="s">
        <v>32</v>
      </c>
      <c r="D669" t="s">
        <v>33</v>
      </c>
      <c r="E669" s="2">
        <v>1085</v>
      </c>
      <c r="F669" t="s">
        <v>41</v>
      </c>
      <c r="G669">
        <v>2</v>
      </c>
      <c r="H669" t="str">
        <f t="shared" si="10"/>
        <v>1-10 km</v>
      </c>
      <c r="I669">
        <v>4</v>
      </c>
      <c r="J669" t="str" cm="1">
        <f t="array" ref="J669">_xlfn.IFS(I669=1,"Below College",I669=2,"College",I669=3,"Bachelor",I669=4,"Master",I669=5,"Doctor")</f>
        <v>Master</v>
      </c>
      <c r="K669" t="s">
        <v>35</v>
      </c>
      <c r="L669">
        <v>927</v>
      </c>
      <c r="M669">
        <v>2</v>
      </c>
      <c r="N669" t="str" cm="1">
        <f t="array" ref="N669">_xlfn.IFS(M669=1,"Low",M669=2,"Medium",M669=3,"High",M669=4,"Very High")</f>
        <v>Medium</v>
      </c>
      <c r="O669" t="s">
        <v>36</v>
      </c>
      <c r="P669" s="2">
        <v>57</v>
      </c>
      <c r="Q669">
        <v>1</v>
      </c>
      <c r="R669" t="str" cm="1">
        <f t="array" ref="R669">_xlfn.IFS(Q669=1,"Low",Q669=2,"Medium",Q669=3,"High",Q669=4,"Very High")</f>
        <v>Low</v>
      </c>
      <c r="S669">
        <v>1</v>
      </c>
      <c r="T669" t="str" cm="1">
        <f t="array" ref="T669">_xlfn.IFS(S669=1,"Entry Level",S669=2,"Junior",S669=3,"Mid-Level",S669=4,"Senior",S669=5,"Executive")</f>
        <v>Entry Level</v>
      </c>
      <c r="U669" t="s">
        <v>46</v>
      </c>
      <c r="V669">
        <v>4</v>
      </c>
      <c r="W669" t="str" cm="1">
        <f t="array" ref="W669">_xlfn.IFS(V669=1,"Low",V669=2,"Medium",V669=3,"High",V669=4,"Very High")</f>
        <v>Very High</v>
      </c>
      <c r="X669" t="s">
        <v>48</v>
      </c>
      <c r="Y669" s="2">
        <v>2778</v>
      </c>
      <c r="Z669" s="2">
        <v>17725</v>
      </c>
      <c r="AA669">
        <v>4</v>
      </c>
      <c r="AB669" t="s">
        <v>32</v>
      </c>
      <c r="AC669">
        <v>13</v>
      </c>
      <c r="AD669">
        <v>3</v>
      </c>
      <c r="AE669" t="str" cm="1">
        <f t="array" ref="AE669">_xlfn.IFS(AD669=1,"Low",AD669=2,"Good",AD669=3,"Excellent",AD669=4,"Outstanding")</f>
        <v>Excellent</v>
      </c>
      <c r="AF669">
        <v>3</v>
      </c>
      <c r="AG669" t="str" cm="1">
        <f t="array" ref="AG669">_xlfn.IFS(AF669=1,"Low",AF669=2,"Medium",AF669=3,"High",AF669=4,"Very High")</f>
        <v>High</v>
      </c>
      <c r="AH669">
        <v>1</v>
      </c>
      <c r="AI669">
        <v>10</v>
      </c>
      <c r="AJ669">
        <v>1</v>
      </c>
      <c r="AK669">
        <v>2</v>
      </c>
      <c r="AL669" t="str" cm="1">
        <f t="array" ref="AL669">_xlfn.IFS(AK669=1,"Low",AK669=2,"Medium",AK669=3,"High",AK669=4,"Very High")</f>
        <v>Medium</v>
      </c>
      <c r="AM669">
        <v>7</v>
      </c>
      <c r="AN669">
        <v>7</v>
      </c>
      <c r="AO669">
        <v>1</v>
      </c>
      <c r="AP669">
        <v>0</v>
      </c>
    </row>
    <row r="670" spans="1:42">
      <c r="A670">
        <v>28</v>
      </c>
      <c r="B670" t="str" cm="1">
        <f t="array" ref="B670">_xlfn.IFS(A670&lt;=25,"18-25",A670&lt;=35,"26-35",A670&lt;=45,"36-45",A670&lt;=55,"46-55",A670&gt;55,"56+")</f>
        <v>26-35</v>
      </c>
      <c r="C670" t="s">
        <v>39</v>
      </c>
      <c r="D670" t="s">
        <v>33</v>
      </c>
      <c r="E670" s="2">
        <v>995</v>
      </c>
      <c r="F670" t="s">
        <v>41</v>
      </c>
      <c r="G670">
        <v>9</v>
      </c>
      <c r="H670" t="str">
        <f t="shared" si="10"/>
        <v>1-10 km</v>
      </c>
      <c r="I670">
        <v>3</v>
      </c>
      <c r="J670" t="str" cm="1">
        <f t="array" ref="J670">_xlfn.IFS(I670=1,"Below College",I670=2,"College",I670=3,"Bachelor",I670=4,"Master",I670=5,"Doctor")</f>
        <v>Bachelor</v>
      </c>
      <c r="K670" t="s">
        <v>47</v>
      </c>
      <c r="L670">
        <v>930</v>
      </c>
      <c r="M670">
        <v>3</v>
      </c>
      <c r="N670" t="str" cm="1">
        <f t="array" ref="N670">_xlfn.IFS(M670=1,"Low",M670=2,"Medium",M670=3,"High",M670=4,"Very High")</f>
        <v>High</v>
      </c>
      <c r="O670" t="s">
        <v>36</v>
      </c>
      <c r="P670" s="2">
        <v>77</v>
      </c>
      <c r="Q670">
        <v>3</v>
      </c>
      <c r="R670" t="str" cm="1">
        <f t="array" ref="R670">_xlfn.IFS(Q670=1,"Low",Q670=2,"Medium",Q670=3,"High",Q670=4,"Very High")</f>
        <v>High</v>
      </c>
      <c r="S670">
        <v>1</v>
      </c>
      <c r="T670" t="str" cm="1">
        <f t="array" ref="T670">_xlfn.IFS(S670=1,"Entry Level",S670=2,"Junior",S670=3,"Mid-Level",S670=4,"Senior",S670=5,"Executive")</f>
        <v>Entry Level</v>
      </c>
      <c r="U670" t="s">
        <v>43</v>
      </c>
      <c r="V670">
        <v>3</v>
      </c>
      <c r="W670" t="str" cm="1">
        <f t="array" ref="W670">_xlfn.IFS(V670=1,"Low",V670=2,"Medium",V670=3,"High",V670=4,"Very High")</f>
        <v>High</v>
      </c>
      <c r="X670" t="s">
        <v>48</v>
      </c>
      <c r="Y670" s="2">
        <v>2377</v>
      </c>
      <c r="Z670" s="2">
        <v>9834</v>
      </c>
      <c r="AA670">
        <v>5</v>
      </c>
      <c r="AB670" t="s">
        <v>39</v>
      </c>
      <c r="AC670">
        <v>18</v>
      </c>
      <c r="AD670">
        <v>3</v>
      </c>
      <c r="AE670" t="str" cm="1">
        <f t="array" ref="AE670">_xlfn.IFS(AD670=1,"Low",AD670=2,"Good",AD670=3,"Excellent",AD670=4,"Outstanding")</f>
        <v>Excellent</v>
      </c>
      <c r="AF670">
        <v>2</v>
      </c>
      <c r="AG670" t="str" cm="1">
        <f t="array" ref="AG670">_xlfn.IFS(AF670=1,"Low",AF670=2,"Medium",AF670=3,"High",AF670=4,"Very High")</f>
        <v>Medium</v>
      </c>
      <c r="AH670">
        <v>1</v>
      </c>
      <c r="AI670">
        <v>6</v>
      </c>
      <c r="AJ670">
        <v>2</v>
      </c>
      <c r="AK670">
        <v>3</v>
      </c>
      <c r="AL670" t="str" cm="1">
        <f t="array" ref="AL670">_xlfn.IFS(AK670=1,"Low",AK670=2,"Medium",AK670=3,"High",AK670=4,"Very High")</f>
        <v>High</v>
      </c>
      <c r="AM670">
        <v>2</v>
      </c>
      <c r="AN670">
        <v>2</v>
      </c>
      <c r="AO670">
        <v>2</v>
      </c>
      <c r="AP670">
        <v>2</v>
      </c>
    </row>
    <row r="671" spans="1:42">
      <c r="A671">
        <v>39</v>
      </c>
      <c r="B671" t="str" cm="1">
        <f t="array" ref="B671">_xlfn.IFS(A671&lt;=25,"18-25",A671&lt;=35,"26-35",A671&lt;=45,"36-45",A671&lt;=55,"46-55",A671&gt;55,"56+")</f>
        <v>36-45</v>
      </c>
      <c r="C671" t="s">
        <v>32</v>
      </c>
      <c r="D671" t="s">
        <v>33</v>
      </c>
      <c r="E671" s="2">
        <v>1122</v>
      </c>
      <c r="F671" t="s">
        <v>41</v>
      </c>
      <c r="G671">
        <v>6</v>
      </c>
      <c r="H671" t="str">
        <f t="shared" si="10"/>
        <v>1-10 km</v>
      </c>
      <c r="I671">
        <v>3</v>
      </c>
      <c r="J671" t="str" cm="1">
        <f t="array" ref="J671">_xlfn.IFS(I671=1,"Below College",I671=2,"College",I671=3,"Bachelor",I671=4,"Master",I671=5,"Doctor")</f>
        <v>Bachelor</v>
      </c>
      <c r="K671" t="s">
        <v>47</v>
      </c>
      <c r="L671">
        <v>932</v>
      </c>
      <c r="M671">
        <v>4</v>
      </c>
      <c r="N671" t="str" cm="1">
        <f t="array" ref="N671">_xlfn.IFS(M671=1,"Low",M671=2,"Medium",M671=3,"High",M671=4,"Very High")</f>
        <v>Very High</v>
      </c>
      <c r="O671" t="s">
        <v>42</v>
      </c>
      <c r="P671" s="2">
        <v>70</v>
      </c>
      <c r="Q671">
        <v>3</v>
      </c>
      <c r="R671" t="str" cm="1">
        <f t="array" ref="R671">_xlfn.IFS(Q671=1,"Low",Q671=2,"Medium",Q671=3,"High",Q671=4,"Very High")</f>
        <v>High</v>
      </c>
      <c r="S671">
        <v>1</v>
      </c>
      <c r="T671" t="str" cm="1">
        <f t="array" ref="T671">_xlfn.IFS(S671=1,"Entry Level",S671=2,"Junior",S671=3,"Mid-Level",S671=4,"Senior",S671=5,"Executive")</f>
        <v>Entry Level</v>
      </c>
      <c r="U671" t="s">
        <v>46</v>
      </c>
      <c r="V671">
        <v>1</v>
      </c>
      <c r="W671" t="str" cm="1">
        <f t="array" ref="W671">_xlfn.IFS(V671=1,"Low",V671=2,"Medium",V671=3,"High",V671=4,"Very High")</f>
        <v>Low</v>
      </c>
      <c r="X671" t="s">
        <v>44</v>
      </c>
      <c r="Y671" s="2">
        <v>2404</v>
      </c>
      <c r="Z671" s="2">
        <v>4303</v>
      </c>
      <c r="AA671">
        <v>7</v>
      </c>
      <c r="AB671" t="s">
        <v>32</v>
      </c>
      <c r="AC671">
        <v>21</v>
      </c>
      <c r="AD671">
        <v>4</v>
      </c>
      <c r="AE671" t="str" cm="1">
        <f t="array" ref="AE671">_xlfn.IFS(AD671=1,"Low",AD671=2,"Good",AD671=3,"Excellent",AD671=4,"Outstanding")</f>
        <v>Outstanding</v>
      </c>
      <c r="AF671">
        <v>4</v>
      </c>
      <c r="AG671" t="str" cm="1">
        <f t="array" ref="AG671">_xlfn.IFS(AF671=1,"Low",AF671=2,"Medium",AF671=3,"High",AF671=4,"Very High")</f>
        <v>Very High</v>
      </c>
      <c r="AH671">
        <v>0</v>
      </c>
      <c r="AI671">
        <v>8</v>
      </c>
      <c r="AJ671">
        <v>2</v>
      </c>
      <c r="AK671">
        <v>1</v>
      </c>
      <c r="AL671" t="str" cm="1">
        <f t="array" ref="AL671">_xlfn.IFS(AK671=1,"Low",AK671=2,"Medium",AK671=3,"High",AK671=4,"Very High")</f>
        <v>Low</v>
      </c>
      <c r="AM671">
        <v>2</v>
      </c>
      <c r="AN671">
        <v>2</v>
      </c>
      <c r="AO671">
        <v>2</v>
      </c>
      <c r="AP671">
        <v>2</v>
      </c>
    </row>
    <row r="672" spans="1:42">
      <c r="A672">
        <v>27</v>
      </c>
      <c r="B672" t="str" cm="1">
        <f t="array" ref="B672">_xlfn.IFS(A672&lt;=25,"18-25",A672&lt;=35,"26-35",A672&lt;=45,"36-45",A672&lt;=55,"46-55",A672&gt;55,"56+")</f>
        <v>26-35</v>
      </c>
      <c r="C672" t="s">
        <v>39</v>
      </c>
      <c r="D672" t="s">
        <v>33</v>
      </c>
      <c r="E672" s="2">
        <v>618</v>
      </c>
      <c r="F672" t="s">
        <v>41</v>
      </c>
      <c r="G672">
        <v>4</v>
      </c>
      <c r="H672" t="str">
        <f t="shared" si="10"/>
        <v>1-10 km</v>
      </c>
      <c r="I672">
        <v>3</v>
      </c>
      <c r="J672" t="str" cm="1">
        <f t="array" ref="J672">_xlfn.IFS(I672=1,"Below College",I672=2,"College",I672=3,"Bachelor",I672=4,"Master",I672=5,"Doctor")</f>
        <v>Bachelor</v>
      </c>
      <c r="K672" t="s">
        <v>35</v>
      </c>
      <c r="L672">
        <v>933</v>
      </c>
      <c r="M672">
        <v>2</v>
      </c>
      <c r="N672" t="str" cm="1">
        <f t="array" ref="N672">_xlfn.IFS(M672=1,"Low",M672=2,"Medium",M672=3,"High",M672=4,"Very High")</f>
        <v>Medium</v>
      </c>
      <c r="O672" t="s">
        <v>36</v>
      </c>
      <c r="P672" s="2">
        <v>76</v>
      </c>
      <c r="Q672">
        <v>3</v>
      </c>
      <c r="R672" t="str" cm="1">
        <f t="array" ref="R672">_xlfn.IFS(Q672=1,"Low",Q672=2,"Medium",Q672=3,"High",Q672=4,"Very High")</f>
        <v>High</v>
      </c>
      <c r="S672">
        <v>1</v>
      </c>
      <c r="T672" t="str" cm="1">
        <f t="array" ref="T672">_xlfn.IFS(S672=1,"Entry Level",S672=2,"Junior",S672=3,"Mid-Level",S672=4,"Senior",S672=5,"Executive")</f>
        <v>Entry Level</v>
      </c>
      <c r="U672" t="s">
        <v>43</v>
      </c>
      <c r="V672">
        <v>3</v>
      </c>
      <c r="W672" t="str" cm="1">
        <f t="array" ref="W672">_xlfn.IFS(V672=1,"Low",V672=2,"Medium",V672=3,"High",V672=4,"Very High")</f>
        <v>High</v>
      </c>
      <c r="X672" t="s">
        <v>38</v>
      </c>
      <c r="Y672" s="2">
        <v>2318</v>
      </c>
      <c r="Z672" s="2">
        <v>17808</v>
      </c>
      <c r="AA672">
        <v>1</v>
      </c>
      <c r="AB672" t="s">
        <v>39</v>
      </c>
      <c r="AC672">
        <v>19</v>
      </c>
      <c r="AD672">
        <v>3</v>
      </c>
      <c r="AE672" t="str" cm="1">
        <f t="array" ref="AE672">_xlfn.IFS(AD672=1,"Low",AD672=2,"Good",AD672=3,"Excellent",AD672=4,"Outstanding")</f>
        <v>Excellent</v>
      </c>
      <c r="AF672">
        <v>3</v>
      </c>
      <c r="AG672" t="str" cm="1">
        <f t="array" ref="AG672">_xlfn.IFS(AF672=1,"Low",AF672=2,"Medium",AF672=3,"High",AF672=4,"Very High")</f>
        <v>High</v>
      </c>
      <c r="AH672">
        <v>0</v>
      </c>
      <c r="AI672">
        <v>1</v>
      </c>
      <c r="AJ672">
        <v>2</v>
      </c>
      <c r="AK672">
        <v>3</v>
      </c>
      <c r="AL672" t="str" cm="1">
        <f t="array" ref="AL672">_xlfn.IFS(AK672=1,"Low",AK672=2,"Medium",AK672=3,"High",AK672=4,"Very High")</f>
        <v>High</v>
      </c>
      <c r="AM672">
        <v>1</v>
      </c>
      <c r="AN672">
        <v>1</v>
      </c>
      <c r="AO672">
        <v>0</v>
      </c>
      <c r="AP672">
        <v>0</v>
      </c>
    </row>
    <row r="673" spans="1:42">
      <c r="A673">
        <v>34</v>
      </c>
      <c r="B673" t="str" cm="1">
        <f t="array" ref="B673">_xlfn.IFS(A673&lt;=25,"18-25",A673&lt;=35,"26-35",A673&lt;=45,"36-45",A673&lt;=55,"46-55",A673&gt;55,"56+")</f>
        <v>26-35</v>
      </c>
      <c r="C673" t="s">
        <v>39</v>
      </c>
      <c r="D673" t="s">
        <v>33</v>
      </c>
      <c r="E673" s="2">
        <v>546</v>
      </c>
      <c r="F673" t="s">
        <v>41</v>
      </c>
      <c r="G673">
        <v>10</v>
      </c>
      <c r="H673" t="str">
        <f t="shared" si="10"/>
        <v>1-10 km</v>
      </c>
      <c r="I673">
        <v>3</v>
      </c>
      <c r="J673" t="str" cm="1">
        <f t="array" ref="J673">_xlfn.IFS(I673=1,"Below College",I673=2,"College",I673=3,"Bachelor",I673=4,"Master",I673=5,"Doctor")</f>
        <v>Bachelor</v>
      </c>
      <c r="K673" t="s">
        <v>35</v>
      </c>
      <c r="L673">
        <v>934</v>
      </c>
      <c r="M673">
        <v>2</v>
      </c>
      <c r="N673" t="str" cm="1">
        <f t="array" ref="N673">_xlfn.IFS(M673=1,"Low",M673=2,"Medium",M673=3,"High",M673=4,"Very High")</f>
        <v>Medium</v>
      </c>
      <c r="O673" t="s">
        <v>42</v>
      </c>
      <c r="P673" s="2">
        <v>83</v>
      </c>
      <c r="Q673">
        <v>3</v>
      </c>
      <c r="R673" t="str" cm="1">
        <f t="array" ref="R673">_xlfn.IFS(Q673=1,"Low",Q673=2,"Medium",Q673=3,"High",Q673=4,"Very High")</f>
        <v>High</v>
      </c>
      <c r="S673">
        <v>1</v>
      </c>
      <c r="T673" t="str" cm="1">
        <f t="array" ref="T673">_xlfn.IFS(S673=1,"Entry Level",S673=2,"Junior",S673=3,"Mid-Level",S673=4,"Senior",S673=5,"Executive")</f>
        <v>Entry Level</v>
      </c>
      <c r="U673" t="s">
        <v>46</v>
      </c>
      <c r="V673">
        <v>2</v>
      </c>
      <c r="W673" t="str" cm="1">
        <f t="array" ref="W673">_xlfn.IFS(V673=1,"Low",V673=2,"Medium",V673=3,"High",V673=4,"Very High")</f>
        <v>Medium</v>
      </c>
      <c r="X673" t="s">
        <v>48</v>
      </c>
      <c r="Y673" s="2">
        <v>2008</v>
      </c>
      <c r="Z673" s="2">
        <v>6896</v>
      </c>
      <c r="AA673">
        <v>1</v>
      </c>
      <c r="AB673" t="s">
        <v>39</v>
      </c>
      <c r="AC673">
        <v>14</v>
      </c>
      <c r="AD673">
        <v>3</v>
      </c>
      <c r="AE673" t="str" cm="1">
        <f t="array" ref="AE673">_xlfn.IFS(AD673=1,"Low",AD673=2,"Good",AD673=3,"Excellent",AD673=4,"Outstanding")</f>
        <v>Excellent</v>
      </c>
      <c r="AF673">
        <v>2</v>
      </c>
      <c r="AG673" t="str" cm="1">
        <f t="array" ref="AG673">_xlfn.IFS(AF673=1,"Low",AF673=2,"Medium",AF673=3,"High",AF673=4,"Very High")</f>
        <v>Medium</v>
      </c>
      <c r="AH673">
        <v>2</v>
      </c>
      <c r="AI673">
        <v>1</v>
      </c>
      <c r="AJ673">
        <v>3</v>
      </c>
      <c r="AK673">
        <v>3</v>
      </c>
      <c r="AL673" t="str" cm="1">
        <f t="array" ref="AL673">_xlfn.IFS(AK673=1,"Low",AK673=2,"Medium",AK673=3,"High",AK673=4,"Very High")</f>
        <v>High</v>
      </c>
      <c r="AM673">
        <v>1</v>
      </c>
      <c r="AN673">
        <v>0</v>
      </c>
      <c r="AO673">
        <v>1</v>
      </c>
      <c r="AP673">
        <v>0</v>
      </c>
    </row>
    <row r="674" spans="1:42">
      <c r="A674">
        <v>42</v>
      </c>
      <c r="B674" t="str" cm="1">
        <f t="array" ref="B674">_xlfn.IFS(A674&lt;=25,"18-25",A674&lt;=35,"26-35",A674&lt;=45,"36-45",A674&lt;=55,"46-55",A674&gt;55,"56+")</f>
        <v>36-45</v>
      </c>
      <c r="C674" t="s">
        <v>39</v>
      </c>
      <c r="D674" t="s">
        <v>33</v>
      </c>
      <c r="E674" s="2">
        <v>462</v>
      </c>
      <c r="F674" t="s">
        <v>34</v>
      </c>
      <c r="G674">
        <v>14</v>
      </c>
      <c r="H674" t="str">
        <f t="shared" si="10"/>
        <v>11-20 km</v>
      </c>
      <c r="I674">
        <v>2</v>
      </c>
      <c r="J674" t="str" cm="1">
        <f t="array" ref="J674">_xlfn.IFS(I674=1,"Below College",I674=2,"College",I674=3,"Bachelor",I674=4,"Master",I674=5,"Doctor")</f>
        <v>College</v>
      </c>
      <c r="K674" t="s">
        <v>47</v>
      </c>
      <c r="L674">
        <v>936</v>
      </c>
      <c r="M674">
        <v>3</v>
      </c>
      <c r="N674" t="str" cm="1">
        <f t="array" ref="N674">_xlfn.IFS(M674=1,"Low",M674=2,"Medium",M674=3,"High",M674=4,"Very High")</f>
        <v>High</v>
      </c>
      <c r="O674" t="s">
        <v>36</v>
      </c>
      <c r="P674" s="2">
        <v>68</v>
      </c>
      <c r="Q674">
        <v>2</v>
      </c>
      <c r="R674" t="str" cm="1">
        <f t="array" ref="R674">_xlfn.IFS(Q674=1,"Low",Q674=2,"Medium",Q674=3,"High",Q674=4,"Very High")</f>
        <v>Medium</v>
      </c>
      <c r="S674">
        <v>2</v>
      </c>
      <c r="T674" t="str" cm="1">
        <f t="array" ref="T674">_xlfn.IFS(S674=1,"Entry Level",S674=2,"Junior",S674=3,"Mid-Level",S674=4,"Senior",S674=5,"Executive")</f>
        <v>Junior</v>
      </c>
      <c r="U674" t="s">
        <v>37</v>
      </c>
      <c r="V674">
        <v>3</v>
      </c>
      <c r="W674" t="str" cm="1">
        <f t="array" ref="W674">_xlfn.IFS(V674=1,"Low",V674=2,"Medium",V674=3,"High",V674=4,"Very High")</f>
        <v>High</v>
      </c>
      <c r="X674" t="s">
        <v>38</v>
      </c>
      <c r="Y674" s="2">
        <v>6244</v>
      </c>
      <c r="Z674" s="2">
        <v>7824</v>
      </c>
      <c r="AA674">
        <v>7</v>
      </c>
      <c r="AB674" t="s">
        <v>39</v>
      </c>
      <c r="AC674">
        <v>17</v>
      </c>
      <c r="AD674">
        <v>3</v>
      </c>
      <c r="AE674" t="str" cm="1">
        <f t="array" ref="AE674">_xlfn.IFS(AD674=1,"Low",AD674=2,"Good",AD674=3,"Excellent",AD674=4,"Outstanding")</f>
        <v>Excellent</v>
      </c>
      <c r="AF674">
        <v>1</v>
      </c>
      <c r="AG674" t="str" cm="1">
        <f t="array" ref="AG674">_xlfn.IFS(AF674=1,"Low",AF674=2,"Medium",AF674=3,"High",AF674=4,"Very High")</f>
        <v>Low</v>
      </c>
      <c r="AH674">
        <v>0</v>
      </c>
      <c r="AI674">
        <v>10</v>
      </c>
      <c r="AJ674">
        <v>6</v>
      </c>
      <c r="AK674">
        <v>3</v>
      </c>
      <c r="AL674" t="str" cm="1">
        <f t="array" ref="AL674">_xlfn.IFS(AK674=1,"Low",AK674=2,"Medium",AK674=3,"High",AK674=4,"Very High")</f>
        <v>High</v>
      </c>
      <c r="AM674">
        <v>5</v>
      </c>
      <c r="AN674">
        <v>4</v>
      </c>
      <c r="AO674">
        <v>0</v>
      </c>
      <c r="AP674">
        <v>3</v>
      </c>
    </row>
    <row r="675" spans="1:42">
      <c r="A675">
        <v>33</v>
      </c>
      <c r="B675" t="str" cm="1">
        <f t="array" ref="B675">_xlfn.IFS(A675&lt;=25,"18-25",A675&lt;=35,"26-35",A675&lt;=45,"36-45",A675&lt;=55,"46-55",A675&gt;55,"56+")</f>
        <v>26-35</v>
      </c>
      <c r="C675" t="s">
        <v>39</v>
      </c>
      <c r="D675" t="s">
        <v>33</v>
      </c>
      <c r="E675" s="2">
        <v>1198</v>
      </c>
      <c r="F675" t="s">
        <v>41</v>
      </c>
      <c r="G675">
        <v>1</v>
      </c>
      <c r="H675" t="str">
        <f t="shared" si="10"/>
        <v>1-10 km</v>
      </c>
      <c r="I675">
        <v>4</v>
      </c>
      <c r="J675" t="str" cm="1">
        <f t="array" ref="J675">_xlfn.IFS(I675=1,"Below College",I675=2,"College",I675=3,"Bachelor",I675=4,"Master",I675=5,"Doctor")</f>
        <v>Master</v>
      </c>
      <c r="K675" t="s">
        <v>45</v>
      </c>
      <c r="L675">
        <v>939</v>
      </c>
      <c r="M675">
        <v>3</v>
      </c>
      <c r="N675" t="str" cm="1">
        <f t="array" ref="N675">_xlfn.IFS(M675=1,"Low",M675=2,"Medium",M675=3,"High",M675=4,"Very High")</f>
        <v>High</v>
      </c>
      <c r="O675" t="s">
        <v>42</v>
      </c>
      <c r="P675" s="2">
        <v>100</v>
      </c>
      <c r="Q675">
        <v>2</v>
      </c>
      <c r="R675" t="str" cm="1">
        <f t="array" ref="R675">_xlfn.IFS(Q675=1,"Low",Q675=2,"Medium",Q675=3,"High",Q675=4,"Very High")</f>
        <v>Medium</v>
      </c>
      <c r="S675">
        <v>1</v>
      </c>
      <c r="T675" t="str" cm="1">
        <f t="array" ref="T675">_xlfn.IFS(S675=1,"Entry Level",S675=2,"Junior",S675=3,"Mid-Level",S675=4,"Senior",S675=5,"Executive")</f>
        <v>Entry Level</v>
      </c>
      <c r="U675" t="s">
        <v>43</v>
      </c>
      <c r="V675">
        <v>1</v>
      </c>
      <c r="W675" t="str" cm="1">
        <f t="array" ref="W675">_xlfn.IFS(V675=1,"Low",V675=2,"Medium",V675=3,"High",V675=4,"Very High")</f>
        <v>Low</v>
      </c>
      <c r="X675" t="s">
        <v>38</v>
      </c>
      <c r="Y675" s="2">
        <v>2799</v>
      </c>
      <c r="Z675" s="2">
        <v>3339</v>
      </c>
      <c r="AA675">
        <v>3</v>
      </c>
      <c r="AB675" t="s">
        <v>32</v>
      </c>
      <c r="AC675">
        <v>11</v>
      </c>
      <c r="AD675">
        <v>3</v>
      </c>
      <c r="AE675" t="str" cm="1">
        <f t="array" ref="AE675">_xlfn.IFS(AD675=1,"Low",AD675=2,"Good",AD675=3,"Excellent",AD675=4,"Outstanding")</f>
        <v>Excellent</v>
      </c>
      <c r="AF675">
        <v>2</v>
      </c>
      <c r="AG675" t="str" cm="1">
        <f t="array" ref="AG675">_xlfn.IFS(AF675=1,"Low",AF675=2,"Medium",AF675=3,"High",AF675=4,"Very High")</f>
        <v>Medium</v>
      </c>
      <c r="AH675">
        <v>0</v>
      </c>
      <c r="AI675">
        <v>6</v>
      </c>
      <c r="AJ675">
        <v>1</v>
      </c>
      <c r="AK675">
        <v>3</v>
      </c>
      <c r="AL675" t="str" cm="1">
        <f t="array" ref="AL675">_xlfn.IFS(AK675=1,"Low",AK675=2,"Medium",AK675=3,"High",AK675=4,"Very High")</f>
        <v>High</v>
      </c>
      <c r="AM675">
        <v>3</v>
      </c>
      <c r="AN675">
        <v>2</v>
      </c>
      <c r="AO675">
        <v>0</v>
      </c>
      <c r="AP675">
        <v>2</v>
      </c>
    </row>
    <row r="676" spans="1:42">
      <c r="A676">
        <v>58</v>
      </c>
      <c r="B676" t="str" cm="1">
        <f t="array" ref="B676">_xlfn.IFS(A676&lt;=25,"18-25",A676&lt;=35,"26-35",A676&lt;=45,"36-45",A676&lt;=55,"46-55",A676&gt;55,"56+")</f>
        <v>56+</v>
      </c>
      <c r="C676" t="s">
        <v>39</v>
      </c>
      <c r="D676" t="s">
        <v>33</v>
      </c>
      <c r="E676" s="2">
        <v>1272</v>
      </c>
      <c r="F676" t="s">
        <v>41</v>
      </c>
      <c r="G676">
        <v>5</v>
      </c>
      <c r="H676" t="str">
        <f t="shared" si="10"/>
        <v>1-10 km</v>
      </c>
      <c r="I676">
        <v>3</v>
      </c>
      <c r="J676" t="str" cm="1">
        <f t="array" ref="J676">_xlfn.IFS(I676=1,"Below College",I676=2,"College",I676=3,"Bachelor",I676=4,"Master",I676=5,"Doctor")</f>
        <v>Bachelor</v>
      </c>
      <c r="K676" t="s">
        <v>56</v>
      </c>
      <c r="L676">
        <v>940</v>
      </c>
      <c r="M676">
        <v>3</v>
      </c>
      <c r="N676" t="str" cm="1">
        <f t="array" ref="N676">_xlfn.IFS(M676=1,"Low",M676=2,"Medium",M676=3,"High",M676=4,"Very High")</f>
        <v>High</v>
      </c>
      <c r="O676" t="s">
        <v>36</v>
      </c>
      <c r="P676" s="2">
        <v>37</v>
      </c>
      <c r="Q676">
        <v>2</v>
      </c>
      <c r="R676" t="str" cm="1">
        <f t="array" ref="R676">_xlfn.IFS(Q676=1,"Low",Q676=2,"Medium",Q676=3,"High",Q676=4,"Very High")</f>
        <v>Medium</v>
      </c>
      <c r="S676">
        <v>3</v>
      </c>
      <c r="T676" t="str" cm="1">
        <f t="array" ref="T676">_xlfn.IFS(S676=1,"Entry Level",S676=2,"Junior",S676=3,"Mid-Level",S676=4,"Senior",S676=5,"Executive")</f>
        <v>Mid-Level</v>
      </c>
      <c r="U676" t="s">
        <v>50</v>
      </c>
      <c r="V676">
        <v>2</v>
      </c>
      <c r="W676" t="str" cm="1">
        <f t="array" ref="W676">_xlfn.IFS(V676=1,"Low",V676=2,"Medium",V676=3,"High",V676=4,"Very High")</f>
        <v>Medium</v>
      </c>
      <c r="X676" t="s">
        <v>48</v>
      </c>
      <c r="Y676" s="2">
        <v>10552</v>
      </c>
      <c r="Z676" s="2">
        <v>9255</v>
      </c>
      <c r="AA676">
        <v>2</v>
      </c>
      <c r="AB676" t="s">
        <v>32</v>
      </c>
      <c r="AC676">
        <v>13</v>
      </c>
      <c r="AD676">
        <v>3</v>
      </c>
      <c r="AE676" t="str" cm="1">
        <f t="array" ref="AE676">_xlfn.IFS(AD676=1,"Low",AD676=2,"Good",AD676=3,"Excellent",AD676=4,"Outstanding")</f>
        <v>Excellent</v>
      </c>
      <c r="AF676">
        <v>4</v>
      </c>
      <c r="AG676" t="str" cm="1">
        <f t="array" ref="AG676">_xlfn.IFS(AF676=1,"Low",AF676=2,"Medium",AF676=3,"High",AF676=4,"Very High")</f>
        <v>Very High</v>
      </c>
      <c r="AH676">
        <v>1</v>
      </c>
      <c r="AI676">
        <v>24</v>
      </c>
      <c r="AJ676">
        <v>3</v>
      </c>
      <c r="AK676">
        <v>3</v>
      </c>
      <c r="AL676" t="str" cm="1">
        <f t="array" ref="AL676">_xlfn.IFS(AK676=1,"Low",AK676=2,"Medium",AK676=3,"High",AK676=4,"Very High")</f>
        <v>High</v>
      </c>
      <c r="AM676">
        <v>6</v>
      </c>
      <c r="AN676">
        <v>0</v>
      </c>
      <c r="AO676">
        <v>0</v>
      </c>
      <c r="AP676">
        <v>4</v>
      </c>
    </row>
    <row r="677" spans="1:42">
      <c r="A677">
        <v>31</v>
      </c>
      <c r="B677" t="str" cm="1">
        <f t="array" ref="B677">_xlfn.IFS(A677&lt;=25,"18-25",A677&lt;=35,"26-35",A677&lt;=45,"36-45",A677&lt;=55,"46-55",A677&gt;55,"56+")</f>
        <v>26-35</v>
      </c>
      <c r="C677" t="s">
        <v>39</v>
      </c>
      <c r="D677" t="s">
        <v>33</v>
      </c>
      <c r="E677" s="2">
        <v>154</v>
      </c>
      <c r="F677" t="s">
        <v>34</v>
      </c>
      <c r="G677">
        <v>7</v>
      </c>
      <c r="H677" t="str">
        <f t="shared" si="10"/>
        <v>1-10 km</v>
      </c>
      <c r="I677">
        <v>4</v>
      </c>
      <c r="J677" t="str" cm="1">
        <f t="array" ref="J677">_xlfn.IFS(I677=1,"Below College",I677=2,"College",I677=3,"Bachelor",I677=4,"Master",I677=5,"Doctor")</f>
        <v>Master</v>
      </c>
      <c r="K677" t="s">
        <v>35</v>
      </c>
      <c r="L677">
        <v>941</v>
      </c>
      <c r="M677">
        <v>2</v>
      </c>
      <c r="N677" t="str" cm="1">
        <f t="array" ref="N677">_xlfn.IFS(M677=1,"Low",M677=2,"Medium",M677=3,"High",M677=4,"Very High")</f>
        <v>Medium</v>
      </c>
      <c r="O677" t="s">
        <v>42</v>
      </c>
      <c r="P677" s="2">
        <v>41</v>
      </c>
      <c r="Q677">
        <v>2</v>
      </c>
      <c r="R677" t="str" cm="1">
        <f t="array" ref="R677">_xlfn.IFS(Q677=1,"Low",Q677=2,"Medium",Q677=3,"High",Q677=4,"Very High")</f>
        <v>Medium</v>
      </c>
      <c r="S677">
        <v>1</v>
      </c>
      <c r="T677" t="str" cm="1">
        <f t="array" ref="T677">_xlfn.IFS(S677=1,"Entry Level",S677=2,"Junior",S677=3,"Mid-Level",S677=4,"Senior",S677=5,"Executive")</f>
        <v>Entry Level</v>
      </c>
      <c r="U677" t="s">
        <v>53</v>
      </c>
      <c r="V677">
        <v>3</v>
      </c>
      <c r="W677" t="str" cm="1">
        <f t="array" ref="W677">_xlfn.IFS(V677=1,"Low",V677=2,"Medium",V677=3,"High",V677=4,"Very High")</f>
        <v>High</v>
      </c>
      <c r="X677" t="s">
        <v>44</v>
      </c>
      <c r="Y677" s="2">
        <v>2329</v>
      </c>
      <c r="Z677" s="2">
        <v>11737</v>
      </c>
      <c r="AA677">
        <v>3</v>
      </c>
      <c r="AB677" t="s">
        <v>39</v>
      </c>
      <c r="AC677">
        <v>15</v>
      </c>
      <c r="AD677">
        <v>3</v>
      </c>
      <c r="AE677" t="str" cm="1">
        <f t="array" ref="AE677">_xlfn.IFS(AD677=1,"Low",AD677=2,"Good",AD677=3,"Excellent",AD677=4,"Outstanding")</f>
        <v>Excellent</v>
      </c>
      <c r="AF677">
        <v>2</v>
      </c>
      <c r="AG677" t="str" cm="1">
        <f t="array" ref="AG677">_xlfn.IFS(AF677=1,"Low",AF677=2,"Medium",AF677=3,"High",AF677=4,"Very High")</f>
        <v>Medium</v>
      </c>
      <c r="AH677">
        <v>0</v>
      </c>
      <c r="AI677">
        <v>13</v>
      </c>
      <c r="AJ677">
        <v>2</v>
      </c>
      <c r="AK677">
        <v>4</v>
      </c>
      <c r="AL677" t="str" cm="1">
        <f t="array" ref="AL677">_xlfn.IFS(AK677=1,"Low",AK677=2,"Medium",AK677=3,"High",AK677=4,"Very High")</f>
        <v>Very High</v>
      </c>
      <c r="AM677">
        <v>7</v>
      </c>
      <c r="AN677">
        <v>7</v>
      </c>
      <c r="AO677">
        <v>5</v>
      </c>
      <c r="AP677">
        <v>2</v>
      </c>
    </row>
    <row r="678" spans="1:42">
      <c r="A678">
        <v>35</v>
      </c>
      <c r="B678" t="str" cm="1">
        <f t="array" ref="B678">_xlfn.IFS(A678&lt;=25,"18-25",A678&lt;=35,"26-35",A678&lt;=45,"36-45",A678&lt;=55,"46-55",A678&gt;55,"56+")</f>
        <v>26-35</v>
      </c>
      <c r="C678" t="s">
        <v>39</v>
      </c>
      <c r="D678" t="s">
        <v>33</v>
      </c>
      <c r="E678" s="2">
        <v>1137</v>
      </c>
      <c r="F678" t="s">
        <v>41</v>
      </c>
      <c r="G678">
        <v>21</v>
      </c>
      <c r="H678" t="str">
        <f t="shared" si="10"/>
        <v>21-30 km</v>
      </c>
      <c r="I678">
        <v>1</v>
      </c>
      <c r="J678" t="str" cm="1">
        <f t="array" ref="J678">_xlfn.IFS(I678=1,"Below College",I678=2,"College",I678=3,"Bachelor",I678=4,"Master",I678=5,"Doctor")</f>
        <v>Below College</v>
      </c>
      <c r="K678" t="s">
        <v>35</v>
      </c>
      <c r="L678">
        <v>942</v>
      </c>
      <c r="M678">
        <v>4</v>
      </c>
      <c r="N678" t="str" cm="1">
        <f t="array" ref="N678">_xlfn.IFS(M678=1,"Low",M678=2,"Medium",M678=3,"High",M678=4,"Very High")</f>
        <v>Very High</v>
      </c>
      <c r="O678" t="s">
        <v>36</v>
      </c>
      <c r="P678" s="2">
        <v>51</v>
      </c>
      <c r="Q678">
        <v>3</v>
      </c>
      <c r="R678" t="str" cm="1">
        <f t="array" ref="R678">_xlfn.IFS(Q678=1,"Low",Q678=2,"Medium",Q678=3,"High",Q678=4,"Very High")</f>
        <v>High</v>
      </c>
      <c r="S678">
        <v>2</v>
      </c>
      <c r="T678" t="str" cm="1">
        <f t="array" ref="T678">_xlfn.IFS(S678=1,"Entry Level",S678=2,"Junior",S678=3,"Mid-Level",S678=4,"Senior",S678=5,"Executive")</f>
        <v>Junior</v>
      </c>
      <c r="U678" t="s">
        <v>50</v>
      </c>
      <c r="V678">
        <v>4</v>
      </c>
      <c r="W678" t="str" cm="1">
        <f t="array" ref="W678">_xlfn.IFS(V678=1,"Low",V678=2,"Medium",V678=3,"High",V678=4,"Very High")</f>
        <v>Very High</v>
      </c>
      <c r="X678" t="s">
        <v>44</v>
      </c>
      <c r="Y678" s="2">
        <v>4014</v>
      </c>
      <c r="Z678" s="2">
        <v>19170</v>
      </c>
      <c r="AA678">
        <v>1</v>
      </c>
      <c r="AB678" t="s">
        <v>32</v>
      </c>
      <c r="AC678">
        <v>25</v>
      </c>
      <c r="AD678">
        <v>4</v>
      </c>
      <c r="AE678" t="str" cm="1">
        <f t="array" ref="AE678">_xlfn.IFS(AD678=1,"Low",AD678=2,"Good",AD678=3,"Excellent",AD678=4,"Outstanding")</f>
        <v>Outstanding</v>
      </c>
      <c r="AF678">
        <v>4</v>
      </c>
      <c r="AG678" t="str" cm="1">
        <f t="array" ref="AG678">_xlfn.IFS(AF678=1,"Low",AF678=2,"Medium",AF678=3,"High",AF678=4,"Very High")</f>
        <v>Very High</v>
      </c>
      <c r="AH678">
        <v>1</v>
      </c>
      <c r="AI678">
        <v>10</v>
      </c>
      <c r="AJ678">
        <v>2</v>
      </c>
      <c r="AK678">
        <v>1</v>
      </c>
      <c r="AL678" t="str" cm="1">
        <f t="array" ref="AL678">_xlfn.IFS(AK678=1,"Low",AK678=2,"Medium",AK678=3,"High",AK678=4,"Very High")</f>
        <v>Low</v>
      </c>
      <c r="AM678">
        <v>10</v>
      </c>
      <c r="AN678">
        <v>6</v>
      </c>
      <c r="AO678">
        <v>0</v>
      </c>
      <c r="AP678">
        <v>7</v>
      </c>
    </row>
    <row r="679" spans="1:42">
      <c r="A679">
        <v>49</v>
      </c>
      <c r="B679" t="str" cm="1">
        <f t="array" ref="B679">_xlfn.IFS(A679&lt;=25,"18-25",A679&lt;=35,"26-35",A679&lt;=45,"36-45",A679&lt;=55,"46-55",A679&gt;55,"56+")</f>
        <v>46-55</v>
      </c>
      <c r="C679" t="s">
        <v>39</v>
      </c>
      <c r="D679" t="s">
        <v>33</v>
      </c>
      <c r="E679" s="2">
        <v>527</v>
      </c>
      <c r="F679" t="s">
        <v>41</v>
      </c>
      <c r="G679">
        <v>8</v>
      </c>
      <c r="H679" t="str">
        <f t="shared" si="10"/>
        <v>1-10 km</v>
      </c>
      <c r="I679">
        <v>2</v>
      </c>
      <c r="J679" t="str" cm="1">
        <f t="array" ref="J679">_xlfn.IFS(I679=1,"Below College",I679=2,"College",I679=3,"Bachelor",I679=4,"Master",I679=5,"Doctor")</f>
        <v>College</v>
      </c>
      <c r="K679" t="s">
        <v>45</v>
      </c>
      <c r="L679">
        <v>944</v>
      </c>
      <c r="M679">
        <v>1</v>
      </c>
      <c r="N679" t="str" cm="1">
        <f t="array" ref="N679">_xlfn.IFS(M679=1,"Low",M679=2,"Medium",M679=3,"High",M679=4,"Very High")</f>
        <v>Low</v>
      </c>
      <c r="O679" t="s">
        <v>36</v>
      </c>
      <c r="P679" s="2">
        <v>51</v>
      </c>
      <c r="Q679">
        <v>3</v>
      </c>
      <c r="R679" t="str" cm="1">
        <f t="array" ref="R679">_xlfn.IFS(Q679=1,"Low",Q679=2,"Medium",Q679=3,"High",Q679=4,"Very High")</f>
        <v>High</v>
      </c>
      <c r="S679">
        <v>3</v>
      </c>
      <c r="T679" t="str" cm="1">
        <f t="array" ref="T679">_xlfn.IFS(S679=1,"Entry Level",S679=2,"Junior",S679=3,"Mid-Level",S679=4,"Senior",S679=5,"Executive")</f>
        <v>Mid-Level</v>
      </c>
      <c r="U679" t="s">
        <v>46</v>
      </c>
      <c r="V679">
        <v>2</v>
      </c>
      <c r="W679" t="str" cm="1">
        <f t="array" ref="W679">_xlfn.IFS(V679=1,"Low",V679=2,"Medium",V679=3,"High",V679=4,"Very High")</f>
        <v>Medium</v>
      </c>
      <c r="X679" t="s">
        <v>44</v>
      </c>
      <c r="Y679" s="2">
        <v>7403</v>
      </c>
      <c r="Z679" s="2">
        <v>22477</v>
      </c>
      <c r="AA679">
        <v>4</v>
      </c>
      <c r="AB679" t="s">
        <v>39</v>
      </c>
      <c r="AC679">
        <v>11</v>
      </c>
      <c r="AD679">
        <v>3</v>
      </c>
      <c r="AE679" t="str" cm="1">
        <f t="array" ref="AE679">_xlfn.IFS(AD679=1,"Low",AD679=2,"Good",AD679=3,"Excellent",AD679=4,"Outstanding")</f>
        <v>Excellent</v>
      </c>
      <c r="AF679">
        <v>3</v>
      </c>
      <c r="AG679" t="str" cm="1">
        <f t="array" ref="AG679">_xlfn.IFS(AF679=1,"Low",AF679=2,"Medium",AF679=3,"High",AF679=4,"Very High")</f>
        <v>High</v>
      </c>
      <c r="AH679">
        <v>1</v>
      </c>
      <c r="AI679">
        <v>29</v>
      </c>
      <c r="AJ679">
        <v>3</v>
      </c>
      <c r="AK679">
        <v>2</v>
      </c>
      <c r="AL679" t="str" cm="1">
        <f t="array" ref="AL679">_xlfn.IFS(AK679=1,"Low",AK679=2,"Medium",AK679=3,"High",AK679=4,"Very High")</f>
        <v>Medium</v>
      </c>
      <c r="AM679">
        <v>26</v>
      </c>
      <c r="AN679">
        <v>9</v>
      </c>
      <c r="AO679">
        <v>1</v>
      </c>
      <c r="AP679">
        <v>7</v>
      </c>
    </row>
    <row r="680" spans="1:42">
      <c r="A680">
        <v>48</v>
      </c>
      <c r="B680" t="str" cm="1">
        <f t="array" ref="B680">_xlfn.IFS(A680&lt;=25,"18-25",A680&lt;=35,"26-35",A680&lt;=45,"36-45",A680&lt;=55,"46-55",A680&gt;55,"56+")</f>
        <v>46-55</v>
      </c>
      <c r="C680" t="s">
        <v>39</v>
      </c>
      <c r="D680" t="s">
        <v>33</v>
      </c>
      <c r="E680" s="2">
        <v>1469</v>
      </c>
      <c r="F680" t="s">
        <v>41</v>
      </c>
      <c r="G680">
        <v>20</v>
      </c>
      <c r="H680" t="str">
        <f t="shared" si="10"/>
        <v>11-20 km</v>
      </c>
      <c r="I680">
        <v>4</v>
      </c>
      <c r="J680" t="str" cm="1">
        <f t="array" ref="J680">_xlfn.IFS(I680=1,"Below College",I680=2,"College",I680=3,"Bachelor",I680=4,"Master",I680=5,"Doctor")</f>
        <v>Master</v>
      </c>
      <c r="K680" t="s">
        <v>47</v>
      </c>
      <c r="L680">
        <v>945</v>
      </c>
      <c r="M680">
        <v>4</v>
      </c>
      <c r="N680" t="str" cm="1">
        <f t="array" ref="N680">_xlfn.IFS(M680=1,"Low",M680=2,"Medium",M680=3,"High",M680=4,"Very High")</f>
        <v>Very High</v>
      </c>
      <c r="O680" t="s">
        <v>42</v>
      </c>
      <c r="P680" s="2">
        <v>51</v>
      </c>
      <c r="Q680">
        <v>3</v>
      </c>
      <c r="R680" t="str" cm="1">
        <f t="array" ref="R680">_xlfn.IFS(Q680=1,"Low",Q680=2,"Medium",Q680=3,"High",Q680=4,"Very High")</f>
        <v>High</v>
      </c>
      <c r="S680">
        <v>1</v>
      </c>
      <c r="T680" t="str" cm="1">
        <f t="array" ref="T680">_xlfn.IFS(S680=1,"Entry Level",S680=2,"Junior",S680=3,"Mid-Level",S680=4,"Senior",S680=5,"Executive")</f>
        <v>Entry Level</v>
      </c>
      <c r="U680" t="s">
        <v>43</v>
      </c>
      <c r="V680">
        <v>3</v>
      </c>
      <c r="W680" t="str" cm="1">
        <f t="array" ref="W680">_xlfn.IFS(V680=1,"Low",V680=2,"Medium",V680=3,"High",V680=4,"Very High")</f>
        <v>High</v>
      </c>
      <c r="X680" t="s">
        <v>44</v>
      </c>
      <c r="Y680" s="2">
        <v>2259</v>
      </c>
      <c r="Z680" s="2">
        <v>5543</v>
      </c>
      <c r="AA680">
        <v>4</v>
      </c>
      <c r="AB680" t="s">
        <v>39</v>
      </c>
      <c r="AC680">
        <v>17</v>
      </c>
      <c r="AD680">
        <v>3</v>
      </c>
      <c r="AE680" t="str" cm="1">
        <f t="array" ref="AE680">_xlfn.IFS(AD680=1,"Low",AD680=2,"Good",AD680=3,"Excellent",AD680=4,"Outstanding")</f>
        <v>Excellent</v>
      </c>
      <c r="AF680">
        <v>1</v>
      </c>
      <c r="AG680" t="str" cm="1">
        <f t="array" ref="AG680">_xlfn.IFS(AF680=1,"Low",AF680=2,"Medium",AF680=3,"High",AF680=4,"Very High")</f>
        <v>Low</v>
      </c>
      <c r="AH680">
        <v>2</v>
      </c>
      <c r="AI680">
        <v>13</v>
      </c>
      <c r="AJ680">
        <v>2</v>
      </c>
      <c r="AK680">
        <v>2</v>
      </c>
      <c r="AL680" t="str" cm="1">
        <f t="array" ref="AL680">_xlfn.IFS(AK680=1,"Low",AK680=2,"Medium",AK680=3,"High",AK680=4,"Very High")</f>
        <v>Medium</v>
      </c>
      <c r="AM680">
        <v>0</v>
      </c>
      <c r="AN680">
        <v>0</v>
      </c>
      <c r="AO680">
        <v>0</v>
      </c>
      <c r="AP680">
        <v>0</v>
      </c>
    </row>
    <row r="681" spans="1:42">
      <c r="A681">
        <v>31</v>
      </c>
      <c r="B681" t="str" cm="1">
        <f t="array" ref="B681">_xlfn.IFS(A681&lt;=25,"18-25",A681&lt;=35,"26-35",A681&lt;=45,"36-45",A681&lt;=55,"46-55",A681&gt;55,"56+")</f>
        <v>26-35</v>
      </c>
      <c r="C681" t="s">
        <v>39</v>
      </c>
      <c r="D681" t="s">
        <v>51</v>
      </c>
      <c r="E681" s="2">
        <v>1188</v>
      </c>
      <c r="F681" t="s">
        <v>34</v>
      </c>
      <c r="G681">
        <v>20</v>
      </c>
      <c r="H681" t="str">
        <f t="shared" si="10"/>
        <v>11-20 km</v>
      </c>
      <c r="I681">
        <v>2</v>
      </c>
      <c r="J681" t="str" cm="1">
        <f t="array" ref="J681">_xlfn.IFS(I681=1,"Below College",I681=2,"College",I681=3,"Bachelor",I681=4,"Master",I681=5,"Doctor")</f>
        <v>College</v>
      </c>
      <c r="K681" t="s">
        <v>55</v>
      </c>
      <c r="L681">
        <v>947</v>
      </c>
      <c r="M681">
        <v>4</v>
      </c>
      <c r="N681" t="str" cm="1">
        <f t="array" ref="N681">_xlfn.IFS(M681=1,"Low",M681=2,"Medium",M681=3,"High",M681=4,"Very High")</f>
        <v>Very High</v>
      </c>
      <c r="O681" t="s">
        <v>36</v>
      </c>
      <c r="P681" s="2">
        <v>45</v>
      </c>
      <c r="Q681">
        <v>3</v>
      </c>
      <c r="R681" t="str" cm="1">
        <f t="array" ref="R681">_xlfn.IFS(Q681=1,"Low",Q681=2,"Medium",Q681=3,"High",Q681=4,"Very High")</f>
        <v>High</v>
      </c>
      <c r="S681">
        <v>2</v>
      </c>
      <c r="T681" t="str" cm="1">
        <f t="array" ref="T681">_xlfn.IFS(S681=1,"Entry Level",S681=2,"Junior",S681=3,"Mid-Level",S681=4,"Senior",S681=5,"Executive")</f>
        <v>Junior</v>
      </c>
      <c r="U681" t="s">
        <v>37</v>
      </c>
      <c r="V681">
        <v>3</v>
      </c>
      <c r="W681" t="str" cm="1">
        <f t="array" ref="W681">_xlfn.IFS(V681=1,"Low",V681=2,"Medium",V681=3,"High",V681=4,"Very High")</f>
        <v>High</v>
      </c>
      <c r="X681" t="s">
        <v>44</v>
      </c>
      <c r="Y681" s="2">
        <v>6932</v>
      </c>
      <c r="Z681" s="2">
        <v>24406</v>
      </c>
      <c r="AA681">
        <v>1</v>
      </c>
      <c r="AB681" t="s">
        <v>39</v>
      </c>
      <c r="AC681">
        <v>13</v>
      </c>
      <c r="AD681">
        <v>3</v>
      </c>
      <c r="AE681" t="str" cm="1">
        <f t="array" ref="AE681">_xlfn.IFS(AD681=1,"Low",AD681=2,"Good",AD681=3,"Excellent",AD681=4,"Outstanding")</f>
        <v>Excellent</v>
      </c>
      <c r="AF681">
        <v>4</v>
      </c>
      <c r="AG681" t="str" cm="1">
        <f t="array" ref="AG681">_xlfn.IFS(AF681=1,"Low",AF681=2,"Medium",AF681=3,"High",AF681=4,"Very High")</f>
        <v>Very High</v>
      </c>
      <c r="AH681">
        <v>1</v>
      </c>
      <c r="AI681">
        <v>9</v>
      </c>
      <c r="AJ681">
        <v>2</v>
      </c>
      <c r="AK681">
        <v>2</v>
      </c>
      <c r="AL681" t="str" cm="1">
        <f t="array" ref="AL681">_xlfn.IFS(AK681=1,"Low",AK681=2,"Medium",AK681=3,"High",AK681=4,"Very High")</f>
        <v>Medium</v>
      </c>
      <c r="AM681">
        <v>9</v>
      </c>
      <c r="AN681">
        <v>8</v>
      </c>
      <c r="AO681">
        <v>0</v>
      </c>
      <c r="AP681">
        <v>0</v>
      </c>
    </row>
    <row r="682" spans="1:42">
      <c r="A682">
        <v>36</v>
      </c>
      <c r="B682" t="str" cm="1">
        <f t="array" ref="B682">_xlfn.IFS(A682&lt;=25,"18-25",A682&lt;=35,"26-35",A682&lt;=45,"36-45",A682&lt;=55,"46-55",A682&gt;55,"56+")</f>
        <v>36-45</v>
      </c>
      <c r="C682" t="s">
        <v>39</v>
      </c>
      <c r="D682" t="s">
        <v>33</v>
      </c>
      <c r="E682" s="2">
        <v>188</v>
      </c>
      <c r="F682" t="s">
        <v>41</v>
      </c>
      <c r="G682">
        <v>7</v>
      </c>
      <c r="H682" t="str">
        <f t="shared" si="10"/>
        <v>1-10 km</v>
      </c>
      <c r="I682">
        <v>4</v>
      </c>
      <c r="J682" t="str" cm="1">
        <f t="array" ref="J682">_xlfn.IFS(I682=1,"Below College",I682=2,"College",I682=3,"Bachelor",I682=4,"Master",I682=5,"Doctor")</f>
        <v>Master</v>
      </c>
      <c r="K682" t="s">
        <v>45</v>
      </c>
      <c r="L682">
        <v>949</v>
      </c>
      <c r="M682">
        <v>2</v>
      </c>
      <c r="N682" t="str" cm="1">
        <f t="array" ref="N682">_xlfn.IFS(M682=1,"Low",M682=2,"Medium",M682=3,"High",M682=4,"Very High")</f>
        <v>Medium</v>
      </c>
      <c r="O682" t="s">
        <v>42</v>
      </c>
      <c r="P682" s="2">
        <v>65</v>
      </c>
      <c r="Q682">
        <v>3</v>
      </c>
      <c r="R682" t="str" cm="1">
        <f t="array" ref="R682">_xlfn.IFS(Q682=1,"Low",Q682=2,"Medium",Q682=3,"High",Q682=4,"Very High")</f>
        <v>High</v>
      </c>
      <c r="S682">
        <v>1</v>
      </c>
      <c r="T682" t="str" cm="1">
        <f t="array" ref="T682">_xlfn.IFS(S682=1,"Entry Level",S682=2,"Junior",S682=3,"Mid-Level",S682=4,"Senior",S682=5,"Executive")</f>
        <v>Entry Level</v>
      </c>
      <c r="U682" t="s">
        <v>43</v>
      </c>
      <c r="V682">
        <v>4</v>
      </c>
      <c r="W682" t="str" cm="1">
        <f t="array" ref="W682">_xlfn.IFS(V682=1,"Low",V682=2,"Medium",V682=3,"High",V682=4,"Very High")</f>
        <v>Very High</v>
      </c>
      <c r="X682" t="s">
        <v>38</v>
      </c>
      <c r="Y682" s="2">
        <v>4678</v>
      </c>
      <c r="Z682" s="2">
        <v>23293</v>
      </c>
      <c r="AA682">
        <v>2</v>
      </c>
      <c r="AB682" t="s">
        <v>39</v>
      </c>
      <c r="AC682">
        <v>18</v>
      </c>
      <c r="AD682">
        <v>3</v>
      </c>
      <c r="AE682" t="str" cm="1">
        <f t="array" ref="AE682">_xlfn.IFS(AD682=1,"Low",AD682=2,"Good",AD682=3,"Excellent",AD682=4,"Outstanding")</f>
        <v>Excellent</v>
      </c>
      <c r="AF682">
        <v>3</v>
      </c>
      <c r="AG682" t="str" cm="1">
        <f t="array" ref="AG682">_xlfn.IFS(AF682=1,"Low",AF682=2,"Medium",AF682=3,"High",AF682=4,"Very High")</f>
        <v>High</v>
      </c>
      <c r="AH682">
        <v>0</v>
      </c>
      <c r="AI682">
        <v>8</v>
      </c>
      <c r="AJ682">
        <v>6</v>
      </c>
      <c r="AK682">
        <v>3</v>
      </c>
      <c r="AL682" t="str" cm="1">
        <f t="array" ref="AL682">_xlfn.IFS(AK682=1,"Low",AK682=2,"Medium",AK682=3,"High",AK682=4,"Very High")</f>
        <v>High</v>
      </c>
      <c r="AM682">
        <v>6</v>
      </c>
      <c r="AN682">
        <v>2</v>
      </c>
      <c r="AO682">
        <v>0</v>
      </c>
      <c r="AP682">
        <v>1</v>
      </c>
    </row>
    <row r="683" spans="1:42">
      <c r="A683">
        <v>38</v>
      </c>
      <c r="B683" t="str" cm="1">
        <f t="array" ref="B683">_xlfn.IFS(A683&lt;=25,"18-25",A683&lt;=35,"26-35",A683&lt;=45,"36-45",A683&lt;=55,"46-55",A683&gt;55,"56+")</f>
        <v>36-45</v>
      </c>
      <c r="C683" t="s">
        <v>39</v>
      </c>
      <c r="D683" t="s">
        <v>33</v>
      </c>
      <c r="E683" s="2">
        <v>1333</v>
      </c>
      <c r="F683" t="s">
        <v>41</v>
      </c>
      <c r="G683">
        <v>1</v>
      </c>
      <c r="H683" t="str">
        <f t="shared" si="10"/>
        <v>1-10 km</v>
      </c>
      <c r="I683">
        <v>3</v>
      </c>
      <c r="J683" t="str" cm="1">
        <f t="array" ref="J683">_xlfn.IFS(I683=1,"Below College",I683=2,"College",I683=3,"Bachelor",I683=4,"Master",I683=5,"Doctor")</f>
        <v>Bachelor</v>
      </c>
      <c r="K683" t="s">
        <v>56</v>
      </c>
      <c r="L683">
        <v>950</v>
      </c>
      <c r="M683">
        <v>4</v>
      </c>
      <c r="N683" t="str" cm="1">
        <f t="array" ref="N683">_xlfn.IFS(M683=1,"Low",M683=2,"Medium",M683=3,"High",M683=4,"Very High")</f>
        <v>Very High</v>
      </c>
      <c r="O683" t="s">
        <v>36</v>
      </c>
      <c r="P683" s="2">
        <v>80</v>
      </c>
      <c r="Q683">
        <v>3</v>
      </c>
      <c r="R683" t="str" cm="1">
        <f t="array" ref="R683">_xlfn.IFS(Q683=1,"Low",Q683=2,"Medium",Q683=3,"High",Q683=4,"Very High")</f>
        <v>High</v>
      </c>
      <c r="S683">
        <v>3</v>
      </c>
      <c r="T683" t="str" cm="1">
        <f t="array" ref="T683">_xlfn.IFS(S683=1,"Entry Level",S683=2,"Junior",S683=3,"Mid-Level",S683=4,"Senior",S683=5,"Executive")</f>
        <v>Mid-Level</v>
      </c>
      <c r="U683" t="s">
        <v>54</v>
      </c>
      <c r="V683">
        <v>1</v>
      </c>
      <c r="W683" t="str" cm="1">
        <f t="array" ref="W683">_xlfn.IFS(V683=1,"Low",V683=2,"Medium",V683=3,"High",V683=4,"Very High")</f>
        <v>Low</v>
      </c>
      <c r="X683" t="s">
        <v>44</v>
      </c>
      <c r="Y683" s="2">
        <v>13582</v>
      </c>
      <c r="Z683" s="2">
        <v>16292</v>
      </c>
      <c r="AA683">
        <v>1</v>
      </c>
      <c r="AB683" t="s">
        <v>39</v>
      </c>
      <c r="AC683">
        <v>13</v>
      </c>
      <c r="AD683">
        <v>3</v>
      </c>
      <c r="AE683" t="str" cm="1">
        <f t="array" ref="AE683">_xlfn.IFS(AD683=1,"Low",AD683=2,"Good",AD683=3,"Excellent",AD683=4,"Outstanding")</f>
        <v>Excellent</v>
      </c>
      <c r="AF683">
        <v>2</v>
      </c>
      <c r="AG683" t="str" cm="1">
        <f t="array" ref="AG683">_xlfn.IFS(AF683=1,"Low",AF683=2,"Medium",AF683=3,"High",AF683=4,"Very High")</f>
        <v>Medium</v>
      </c>
      <c r="AH683">
        <v>1</v>
      </c>
      <c r="AI683">
        <v>15</v>
      </c>
      <c r="AJ683">
        <v>3</v>
      </c>
      <c r="AK683">
        <v>3</v>
      </c>
      <c r="AL683" t="str" cm="1">
        <f t="array" ref="AL683">_xlfn.IFS(AK683=1,"Low",AK683=2,"Medium",AK683=3,"High",AK683=4,"Very High")</f>
        <v>High</v>
      </c>
      <c r="AM683">
        <v>15</v>
      </c>
      <c r="AN683">
        <v>12</v>
      </c>
      <c r="AO683">
        <v>5</v>
      </c>
      <c r="AP683">
        <v>11</v>
      </c>
    </row>
    <row r="684" spans="1:42">
      <c r="A684">
        <v>32</v>
      </c>
      <c r="B684" t="str" cm="1">
        <f t="array" ref="B684">_xlfn.IFS(A684&lt;=25,"18-25",A684&lt;=35,"26-35",A684&lt;=45,"36-45",A684&lt;=55,"46-55",A684&gt;55,"56+")</f>
        <v>26-35</v>
      </c>
      <c r="C684" t="s">
        <v>39</v>
      </c>
      <c r="D684" t="s">
        <v>51</v>
      </c>
      <c r="E684" s="2">
        <v>1184</v>
      </c>
      <c r="F684" t="s">
        <v>41</v>
      </c>
      <c r="G684">
        <v>1</v>
      </c>
      <c r="H684" t="str">
        <f t="shared" si="10"/>
        <v>1-10 km</v>
      </c>
      <c r="I684">
        <v>3</v>
      </c>
      <c r="J684" t="str" cm="1">
        <f t="array" ref="J684">_xlfn.IFS(I684=1,"Below College",I684=2,"College",I684=3,"Bachelor",I684=4,"Master",I684=5,"Doctor")</f>
        <v>Bachelor</v>
      </c>
      <c r="K684" t="s">
        <v>35</v>
      </c>
      <c r="L684">
        <v>951</v>
      </c>
      <c r="M684">
        <v>3</v>
      </c>
      <c r="N684" t="str" cm="1">
        <f t="array" ref="N684">_xlfn.IFS(M684=1,"Low",M684=2,"Medium",M684=3,"High",M684=4,"Very High")</f>
        <v>High</v>
      </c>
      <c r="O684" t="s">
        <v>36</v>
      </c>
      <c r="P684" s="2">
        <v>70</v>
      </c>
      <c r="Q684">
        <v>2</v>
      </c>
      <c r="R684" t="str" cm="1">
        <f t="array" ref="R684">_xlfn.IFS(Q684=1,"Low",Q684=2,"Medium",Q684=3,"High",Q684=4,"Very High")</f>
        <v>Medium</v>
      </c>
      <c r="S684">
        <v>1</v>
      </c>
      <c r="T684" t="str" cm="1">
        <f t="array" ref="T684">_xlfn.IFS(S684=1,"Entry Level",S684=2,"Junior",S684=3,"Mid-Level",S684=4,"Senior",S684=5,"Executive")</f>
        <v>Entry Level</v>
      </c>
      <c r="U684" t="s">
        <v>46</v>
      </c>
      <c r="V684">
        <v>2</v>
      </c>
      <c r="W684" t="str" cm="1">
        <f t="array" ref="W684">_xlfn.IFS(V684=1,"Low",V684=2,"Medium",V684=3,"High",V684=4,"Very High")</f>
        <v>Medium</v>
      </c>
      <c r="X684" t="s">
        <v>44</v>
      </c>
      <c r="Y684" s="2">
        <v>2332</v>
      </c>
      <c r="Z684" s="2">
        <v>3974</v>
      </c>
      <c r="AA684">
        <v>6</v>
      </c>
      <c r="AB684" t="s">
        <v>39</v>
      </c>
      <c r="AC684">
        <v>20</v>
      </c>
      <c r="AD684">
        <v>4</v>
      </c>
      <c r="AE684" t="str" cm="1">
        <f t="array" ref="AE684">_xlfn.IFS(AD684=1,"Low",AD684=2,"Good",AD684=3,"Excellent",AD684=4,"Outstanding")</f>
        <v>Outstanding</v>
      </c>
      <c r="AF684">
        <v>3</v>
      </c>
      <c r="AG684" t="str" cm="1">
        <f t="array" ref="AG684">_xlfn.IFS(AF684=1,"Low",AF684=2,"Medium",AF684=3,"High",AF684=4,"Very High")</f>
        <v>High</v>
      </c>
      <c r="AH684">
        <v>0</v>
      </c>
      <c r="AI684">
        <v>5</v>
      </c>
      <c r="AJ684">
        <v>3</v>
      </c>
      <c r="AK684">
        <v>3</v>
      </c>
      <c r="AL684" t="str" cm="1">
        <f t="array" ref="AL684">_xlfn.IFS(AK684=1,"Low",AK684=2,"Medium",AK684=3,"High",AK684=4,"Very High")</f>
        <v>High</v>
      </c>
      <c r="AM684">
        <v>3</v>
      </c>
      <c r="AN684">
        <v>0</v>
      </c>
      <c r="AO684">
        <v>0</v>
      </c>
      <c r="AP684">
        <v>2</v>
      </c>
    </row>
    <row r="685" spans="1:42">
      <c r="A685">
        <v>25</v>
      </c>
      <c r="B685" t="str" cm="1">
        <f t="array" ref="B685">_xlfn.IFS(A685&lt;=25,"18-25",A685&lt;=35,"26-35",A685&lt;=45,"36-45",A685&lt;=55,"46-55",A685&gt;55,"56+")</f>
        <v>18-25</v>
      </c>
      <c r="C685" t="s">
        <v>32</v>
      </c>
      <c r="D685" t="s">
        <v>33</v>
      </c>
      <c r="E685" s="2">
        <v>867</v>
      </c>
      <c r="F685" t="s">
        <v>34</v>
      </c>
      <c r="G685">
        <v>19</v>
      </c>
      <c r="H685" t="str">
        <f t="shared" si="10"/>
        <v>11-20 km</v>
      </c>
      <c r="I685">
        <v>2</v>
      </c>
      <c r="J685" t="str" cm="1">
        <f t="array" ref="J685">_xlfn.IFS(I685=1,"Below College",I685=2,"College",I685=3,"Bachelor",I685=4,"Master",I685=5,"Doctor")</f>
        <v>College</v>
      </c>
      <c r="K685" t="s">
        <v>55</v>
      </c>
      <c r="L685">
        <v>952</v>
      </c>
      <c r="M685">
        <v>3</v>
      </c>
      <c r="N685" t="str" cm="1">
        <f t="array" ref="N685">_xlfn.IFS(M685=1,"Low",M685=2,"Medium",M685=3,"High",M685=4,"Very High")</f>
        <v>High</v>
      </c>
      <c r="O685" t="s">
        <v>42</v>
      </c>
      <c r="P685" s="2">
        <v>36</v>
      </c>
      <c r="Q685">
        <v>2</v>
      </c>
      <c r="R685" t="str" cm="1">
        <f t="array" ref="R685">_xlfn.IFS(Q685=1,"Low",Q685=2,"Medium",Q685=3,"High",Q685=4,"Very High")</f>
        <v>Medium</v>
      </c>
      <c r="S685">
        <v>1</v>
      </c>
      <c r="T685" t="str" cm="1">
        <f t="array" ref="T685">_xlfn.IFS(S685=1,"Entry Level",S685=2,"Junior",S685=3,"Mid-Level",S685=4,"Senior",S685=5,"Executive")</f>
        <v>Entry Level</v>
      </c>
      <c r="U685" t="s">
        <v>53</v>
      </c>
      <c r="V685">
        <v>2</v>
      </c>
      <c r="W685" t="str" cm="1">
        <f t="array" ref="W685">_xlfn.IFS(V685=1,"Low",V685=2,"Medium",V685=3,"High",V685=4,"Very High")</f>
        <v>Medium</v>
      </c>
      <c r="X685" t="s">
        <v>44</v>
      </c>
      <c r="Y685" s="2">
        <v>2413</v>
      </c>
      <c r="Z685" s="2">
        <v>18798</v>
      </c>
      <c r="AA685">
        <v>1</v>
      </c>
      <c r="AB685" t="s">
        <v>32</v>
      </c>
      <c r="AC685">
        <v>18</v>
      </c>
      <c r="AD685">
        <v>3</v>
      </c>
      <c r="AE685" t="str" cm="1">
        <f t="array" ref="AE685">_xlfn.IFS(AD685=1,"Low",AD685=2,"Good",AD685=3,"Excellent",AD685=4,"Outstanding")</f>
        <v>Excellent</v>
      </c>
      <c r="AF685">
        <v>3</v>
      </c>
      <c r="AG685" t="str" cm="1">
        <f t="array" ref="AG685">_xlfn.IFS(AF685=1,"Low",AF685=2,"Medium",AF685=3,"High",AF685=4,"Very High")</f>
        <v>High</v>
      </c>
      <c r="AH685">
        <v>3</v>
      </c>
      <c r="AI685">
        <v>1</v>
      </c>
      <c r="AJ685">
        <v>2</v>
      </c>
      <c r="AK685">
        <v>3</v>
      </c>
      <c r="AL685" t="str" cm="1">
        <f t="array" ref="AL685">_xlfn.IFS(AK685=1,"Low",AK685=2,"Medium",AK685=3,"High",AK685=4,"Very High")</f>
        <v>High</v>
      </c>
      <c r="AM685">
        <v>1</v>
      </c>
      <c r="AN685">
        <v>0</v>
      </c>
      <c r="AO685">
        <v>0</v>
      </c>
      <c r="AP685">
        <v>0</v>
      </c>
    </row>
    <row r="686" spans="1:42">
      <c r="A686">
        <v>40</v>
      </c>
      <c r="B686" t="str" cm="1">
        <f t="array" ref="B686">_xlfn.IFS(A686&lt;=25,"18-25",A686&lt;=35,"26-35",A686&lt;=45,"36-45",A686&lt;=55,"46-55",A686&gt;55,"56+")</f>
        <v>36-45</v>
      </c>
      <c r="C686" t="s">
        <v>39</v>
      </c>
      <c r="D686" t="s">
        <v>33</v>
      </c>
      <c r="E686" s="2">
        <v>658</v>
      </c>
      <c r="F686" t="s">
        <v>34</v>
      </c>
      <c r="G686">
        <v>10</v>
      </c>
      <c r="H686" t="str">
        <f t="shared" si="10"/>
        <v>1-10 km</v>
      </c>
      <c r="I686">
        <v>4</v>
      </c>
      <c r="J686" t="str" cm="1">
        <f t="array" ref="J686">_xlfn.IFS(I686=1,"Below College",I686=2,"College",I686=3,"Bachelor",I686=4,"Master",I686=5,"Doctor")</f>
        <v>Master</v>
      </c>
      <c r="K686" t="s">
        <v>55</v>
      </c>
      <c r="L686">
        <v>954</v>
      </c>
      <c r="M686">
        <v>1</v>
      </c>
      <c r="N686" t="str" cm="1">
        <f t="array" ref="N686">_xlfn.IFS(M686=1,"Low",M686=2,"Medium",M686=3,"High",M686=4,"Very High")</f>
        <v>Low</v>
      </c>
      <c r="O686" t="s">
        <v>42</v>
      </c>
      <c r="P686" s="2">
        <v>67</v>
      </c>
      <c r="Q686">
        <v>2</v>
      </c>
      <c r="R686" t="str" cm="1">
        <f t="array" ref="R686">_xlfn.IFS(Q686=1,"Low",Q686=2,"Medium",Q686=3,"High",Q686=4,"Very High")</f>
        <v>Medium</v>
      </c>
      <c r="S686">
        <v>3</v>
      </c>
      <c r="T686" t="str" cm="1">
        <f t="array" ref="T686">_xlfn.IFS(S686=1,"Entry Level",S686=2,"Junior",S686=3,"Mid-Level",S686=4,"Senior",S686=5,"Executive")</f>
        <v>Mid-Level</v>
      </c>
      <c r="U686" t="s">
        <v>37</v>
      </c>
      <c r="V686">
        <v>2</v>
      </c>
      <c r="W686" t="str" cm="1">
        <f t="array" ref="W686">_xlfn.IFS(V686=1,"Low",V686=2,"Medium",V686=3,"High",V686=4,"Very High")</f>
        <v>Medium</v>
      </c>
      <c r="X686" t="s">
        <v>48</v>
      </c>
      <c r="Y686" s="2">
        <v>9705</v>
      </c>
      <c r="Z686" s="2">
        <v>20652</v>
      </c>
      <c r="AA686">
        <v>2</v>
      </c>
      <c r="AB686" t="s">
        <v>39</v>
      </c>
      <c r="AC686">
        <v>12</v>
      </c>
      <c r="AD686">
        <v>3</v>
      </c>
      <c r="AE686" t="str" cm="1">
        <f t="array" ref="AE686">_xlfn.IFS(AD686=1,"Low",AD686=2,"Good",AD686=3,"Excellent",AD686=4,"Outstanding")</f>
        <v>Excellent</v>
      </c>
      <c r="AF686">
        <v>2</v>
      </c>
      <c r="AG686" t="str" cm="1">
        <f t="array" ref="AG686">_xlfn.IFS(AF686=1,"Low",AF686=2,"Medium",AF686=3,"High",AF686=4,"Very High")</f>
        <v>Medium</v>
      </c>
      <c r="AH686">
        <v>1</v>
      </c>
      <c r="AI686">
        <v>11</v>
      </c>
      <c r="AJ686">
        <v>2</v>
      </c>
      <c r="AK686">
        <v>2</v>
      </c>
      <c r="AL686" t="str" cm="1">
        <f t="array" ref="AL686">_xlfn.IFS(AK686=1,"Low",AK686=2,"Medium",AK686=3,"High",AK686=4,"Very High")</f>
        <v>Medium</v>
      </c>
      <c r="AM686">
        <v>1</v>
      </c>
      <c r="AN686">
        <v>0</v>
      </c>
      <c r="AO686">
        <v>0</v>
      </c>
      <c r="AP686">
        <v>0</v>
      </c>
    </row>
    <row r="687" spans="1:42">
      <c r="A687">
        <v>26</v>
      </c>
      <c r="B687" t="str" cm="1">
        <f t="array" ref="B687">_xlfn.IFS(A687&lt;=25,"18-25",A687&lt;=35,"26-35",A687&lt;=45,"36-45",A687&lt;=55,"46-55",A687&gt;55,"56+")</f>
        <v>26-35</v>
      </c>
      <c r="C687" t="s">
        <v>39</v>
      </c>
      <c r="D687" t="s">
        <v>40</v>
      </c>
      <c r="E687" s="2">
        <v>1283</v>
      </c>
      <c r="F687" t="s">
        <v>34</v>
      </c>
      <c r="G687">
        <v>1</v>
      </c>
      <c r="H687" t="str">
        <f t="shared" si="10"/>
        <v>1-10 km</v>
      </c>
      <c r="I687">
        <v>3</v>
      </c>
      <c r="J687" t="str" cm="1">
        <f t="array" ref="J687">_xlfn.IFS(I687=1,"Below College",I687=2,"College",I687=3,"Bachelor",I687=4,"Master",I687=5,"Doctor")</f>
        <v>Bachelor</v>
      </c>
      <c r="K687" t="s">
        <v>47</v>
      </c>
      <c r="L687">
        <v>956</v>
      </c>
      <c r="M687">
        <v>3</v>
      </c>
      <c r="N687" t="str" cm="1">
        <f t="array" ref="N687">_xlfn.IFS(M687=1,"Low",M687=2,"Medium",M687=3,"High",M687=4,"Very High")</f>
        <v>High</v>
      </c>
      <c r="O687" t="s">
        <v>42</v>
      </c>
      <c r="P687" s="2">
        <v>52</v>
      </c>
      <c r="Q687">
        <v>2</v>
      </c>
      <c r="R687" t="str" cm="1">
        <f t="array" ref="R687">_xlfn.IFS(Q687=1,"Low",Q687=2,"Medium",Q687=3,"High",Q687=4,"Very High")</f>
        <v>Medium</v>
      </c>
      <c r="S687">
        <v>2</v>
      </c>
      <c r="T687" t="str" cm="1">
        <f t="array" ref="T687">_xlfn.IFS(S687=1,"Entry Level",S687=2,"Junior",S687=3,"Mid-Level",S687=4,"Senior",S687=5,"Executive")</f>
        <v>Junior</v>
      </c>
      <c r="U687" t="s">
        <v>37</v>
      </c>
      <c r="V687">
        <v>1</v>
      </c>
      <c r="W687" t="str" cm="1">
        <f t="array" ref="W687">_xlfn.IFS(V687=1,"Low",V687=2,"Medium",V687=3,"High",V687=4,"Very High")</f>
        <v>Low</v>
      </c>
      <c r="X687" t="s">
        <v>38</v>
      </c>
      <c r="Y687" s="2">
        <v>4294</v>
      </c>
      <c r="Z687" s="2">
        <v>11148</v>
      </c>
      <c r="AA687">
        <v>1</v>
      </c>
      <c r="AB687" t="s">
        <v>39</v>
      </c>
      <c r="AC687">
        <v>12</v>
      </c>
      <c r="AD687">
        <v>3</v>
      </c>
      <c r="AE687" t="str" cm="1">
        <f t="array" ref="AE687">_xlfn.IFS(AD687=1,"Low",AD687=2,"Good",AD687=3,"Excellent",AD687=4,"Outstanding")</f>
        <v>Excellent</v>
      </c>
      <c r="AF687">
        <v>2</v>
      </c>
      <c r="AG687" t="str" cm="1">
        <f t="array" ref="AG687">_xlfn.IFS(AF687=1,"Low",AF687=2,"Medium",AF687=3,"High",AF687=4,"Very High")</f>
        <v>Medium</v>
      </c>
      <c r="AH687">
        <v>0</v>
      </c>
      <c r="AI687">
        <v>7</v>
      </c>
      <c r="AJ687">
        <v>2</v>
      </c>
      <c r="AK687">
        <v>3</v>
      </c>
      <c r="AL687" t="str" cm="1">
        <f t="array" ref="AL687">_xlfn.IFS(AK687=1,"Low",AK687=2,"Medium",AK687=3,"High",AK687=4,"Very High")</f>
        <v>High</v>
      </c>
      <c r="AM687">
        <v>7</v>
      </c>
      <c r="AN687">
        <v>7</v>
      </c>
      <c r="AO687">
        <v>0</v>
      </c>
      <c r="AP687">
        <v>7</v>
      </c>
    </row>
    <row r="688" spans="1:42">
      <c r="A688">
        <v>41</v>
      </c>
      <c r="B688" t="str" cm="1">
        <f t="array" ref="B688">_xlfn.IFS(A688&lt;=25,"18-25",A688&lt;=35,"26-35",A688&lt;=45,"36-45",A688&lt;=55,"46-55",A688&gt;55,"56+")</f>
        <v>36-45</v>
      </c>
      <c r="C688" t="s">
        <v>39</v>
      </c>
      <c r="D688" t="s">
        <v>33</v>
      </c>
      <c r="E688" s="2">
        <v>263</v>
      </c>
      <c r="F688" t="s">
        <v>41</v>
      </c>
      <c r="G688">
        <v>6</v>
      </c>
      <c r="H688" t="str">
        <f t="shared" si="10"/>
        <v>1-10 km</v>
      </c>
      <c r="I688">
        <v>3</v>
      </c>
      <c r="J688" t="str" cm="1">
        <f t="array" ref="J688">_xlfn.IFS(I688=1,"Below College",I688=2,"College",I688=3,"Bachelor",I688=4,"Master",I688=5,"Doctor")</f>
        <v>Bachelor</v>
      </c>
      <c r="K688" t="s">
        <v>47</v>
      </c>
      <c r="L688">
        <v>957</v>
      </c>
      <c r="M688">
        <v>4</v>
      </c>
      <c r="N688" t="str" cm="1">
        <f t="array" ref="N688">_xlfn.IFS(M688=1,"Low",M688=2,"Medium",M688=3,"High",M688=4,"Very High")</f>
        <v>Very High</v>
      </c>
      <c r="O688" t="s">
        <v>42</v>
      </c>
      <c r="P688" s="2">
        <v>59</v>
      </c>
      <c r="Q688">
        <v>3</v>
      </c>
      <c r="R688" t="str" cm="1">
        <f t="array" ref="R688">_xlfn.IFS(Q688=1,"Low",Q688=2,"Medium",Q688=3,"High",Q688=4,"Very High")</f>
        <v>High</v>
      </c>
      <c r="S688">
        <v>1</v>
      </c>
      <c r="T688" t="str" cm="1">
        <f t="array" ref="T688">_xlfn.IFS(S688=1,"Entry Level",S688=2,"Junior",S688=3,"Mid-Level",S688=4,"Senior",S688=5,"Executive")</f>
        <v>Entry Level</v>
      </c>
      <c r="U688" t="s">
        <v>46</v>
      </c>
      <c r="V688">
        <v>1</v>
      </c>
      <c r="W688" t="str" cm="1">
        <f t="array" ref="W688">_xlfn.IFS(V688=1,"Low",V688=2,"Medium",V688=3,"High",V688=4,"Very High")</f>
        <v>Low</v>
      </c>
      <c r="X688" t="s">
        <v>38</v>
      </c>
      <c r="Y688" s="2">
        <v>4721</v>
      </c>
      <c r="Z688" s="2">
        <v>3119</v>
      </c>
      <c r="AA688">
        <v>2</v>
      </c>
      <c r="AB688" t="s">
        <v>32</v>
      </c>
      <c r="AC688">
        <v>13</v>
      </c>
      <c r="AD688">
        <v>3</v>
      </c>
      <c r="AE688" t="str" cm="1">
        <f t="array" ref="AE688">_xlfn.IFS(AD688=1,"Low",AD688=2,"Good",AD688=3,"Excellent",AD688=4,"Outstanding")</f>
        <v>Excellent</v>
      </c>
      <c r="AF688">
        <v>3</v>
      </c>
      <c r="AG688" t="str" cm="1">
        <f t="array" ref="AG688">_xlfn.IFS(AF688=1,"Low",AF688=2,"Medium",AF688=3,"High",AF688=4,"Very High")</f>
        <v>High</v>
      </c>
      <c r="AH688">
        <v>0</v>
      </c>
      <c r="AI688">
        <v>20</v>
      </c>
      <c r="AJ688">
        <v>3</v>
      </c>
      <c r="AK688">
        <v>3</v>
      </c>
      <c r="AL688" t="str" cm="1">
        <f t="array" ref="AL688">_xlfn.IFS(AK688=1,"Low",AK688=2,"Medium",AK688=3,"High",AK688=4,"Very High")</f>
        <v>High</v>
      </c>
      <c r="AM688">
        <v>18</v>
      </c>
      <c r="AN688">
        <v>13</v>
      </c>
      <c r="AO688">
        <v>2</v>
      </c>
      <c r="AP688">
        <v>17</v>
      </c>
    </row>
    <row r="689" spans="1:42">
      <c r="A689">
        <v>36</v>
      </c>
      <c r="B689" t="str" cm="1">
        <f t="array" ref="B689">_xlfn.IFS(A689&lt;=25,"18-25",A689&lt;=35,"26-35",A689&lt;=45,"36-45",A689&lt;=55,"46-55",A689&gt;55,"56+")</f>
        <v>36-45</v>
      </c>
      <c r="C689" t="s">
        <v>39</v>
      </c>
      <c r="D689" t="s">
        <v>33</v>
      </c>
      <c r="E689" s="2">
        <v>938</v>
      </c>
      <c r="F689" t="s">
        <v>41</v>
      </c>
      <c r="G689">
        <v>2</v>
      </c>
      <c r="H689" t="str">
        <f t="shared" si="10"/>
        <v>1-10 km</v>
      </c>
      <c r="I689">
        <v>4</v>
      </c>
      <c r="J689" t="str" cm="1">
        <f t="array" ref="J689">_xlfn.IFS(I689=1,"Below College",I689=2,"College",I689=3,"Bachelor",I689=4,"Master",I689=5,"Doctor")</f>
        <v>Master</v>
      </c>
      <c r="K689" t="s">
        <v>47</v>
      </c>
      <c r="L689">
        <v>958</v>
      </c>
      <c r="M689">
        <v>3</v>
      </c>
      <c r="N689" t="str" cm="1">
        <f t="array" ref="N689">_xlfn.IFS(M689=1,"Low",M689=2,"Medium",M689=3,"High",M689=4,"Very High")</f>
        <v>High</v>
      </c>
      <c r="O689" t="s">
        <v>42</v>
      </c>
      <c r="P689" s="2">
        <v>79</v>
      </c>
      <c r="Q689">
        <v>3</v>
      </c>
      <c r="R689" t="str" cm="1">
        <f t="array" ref="R689">_xlfn.IFS(Q689=1,"Low",Q689=2,"Medium",Q689=3,"High",Q689=4,"Very High")</f>
        <v>High</v>
      </c>
      <c r="S689">
        <v>1</v>
      </c>
      <c r="T689" t="str" cm="1">
        <f t="array" ref="T689">_xlfn.IFS(S689=1,"Entry Level",S689=2,"Junior",S689=3,"Mid-Level",S689=4,"Senior",S689=5,"Executive")</f>
        <v>Entry Level</v>
      </c>
      <c r="U689" t="s">
        <v>46</v>
      </c>
      <c r="V689">
        <v>3</v>
      </c>
      <c r="W689" t="str" cm="1">
        <f t="array" ref="W689">_xlfn.IFS(V689=1,"Low",V689=2,"Medium",V689=3,"High",V689=4,"Very High")</f>
        <v>High</v>
      </c>
      <c r="X689" t="s">
        <v>38</v>
      </c>
      <c r="Y689" s="2">
        <v>2519</v>
      </c>
      <c r="Z689" s="2">
        <v>12287</v>
      </c>
      <c r="AA689">
        <v>4</v>
      </c>
      <c r="AB689" t="s">
        <v>39</v>
      </c>
      <c r="AC689">
        <v>21</v>
      </c>
      <c r="AD689">
        <v>4</v>
      </c>
      <c r="AE689" t="str" cm="1">
        <f t="array" ref="AE689">_xlfn.IFS(AD689=1,"Low",AD689=2,"Good",AD689=3,"Excellent",AD689=4,"Outstanding")</f>
        <v>Outstanding</v>
      </c>
      <c r="AF689">
        <v>3</v>
      </c>
      <c r="AG689" t="str" cm="1">
        <f t="array" ref="AG689">_xlfn.IFS(AF689=1,"Low",AF689=2,"Medium",AF689=3,"High",AF689=4,"Very High")</f>
        <v>High</v>
      </c>
      <c r="AH689">
        <v>0</v>
      </c>
      <c r="AI689">
        <v>16</v>
      </c>
      <c r="AJ689">
        <v>6</v>
      </c>
      <c r="AK689">
        <v>3</v>
      </c>
      <c r="AL689" t="str" cm="1">
        <f t="array" ref="AL689">_xlfn.IFS(AK689=1,"Low",AK689=2,"Medium",AK689=3,"High",AK689=4,"Very High")</f>
        <v>High</v>
      </c>
      <c r="AM689">
        <v>11</v>
      </c>
      <c r="AN689">
        <v>8</v>
      </c>
      <c r="AO689">
        <v>3</v>
      </c>
      <c r="AP689">
        <v>9</v>
      </c>
    </row>
    <row r="690" spans="1:42">
      <c r="A690">
        <v>19</v>
      </c>
      <c r="B690" t="str" cm="1">
        <f t="array" ref="B690">_xlfn.IFS(A690&lt;=25,"18-25",A690&lt;=35,"26-35",A690&lt;=45,"36-45",A690&lt;=55,"46-55",A690&gt;55,"56+")</f>
        <v>18-25</v>
      </c>
      <c r="C690" t="s">
        <v>32</v>
      </c>
      <c r="D690" t="s">
        <v>33</v>
      </c>
      <c r="E690" s="2">
        <v>419</v>
      </c>
      <c r="F690" t="s">
        <v>34</v>
      </c>
      <c r="G690">
        <v>21</v>
      </c>
      <c r="H690" t="str">
        <f t="shared" si="10"/>
        <v>21-30 km</v>
      </c>
      <c r="I690">
        <v>3</v>
      </c>
      <c r="J690" t="str" cm="1">
        <f t="array" ref="J690">_xlfn.IFS(I690=1,"Below College",I690=2,"College",I690=3,"Bachelor",I690=4,"Master",I690=5,"Doctor")</f>
        <v>Bachelor</v>
      </c>
      <c r="K690" t="s">
        <v>45</v>
      </c>
      <c r="L690">
        <v>959</v>
      </c>
      <c r="M690">
        <v>4</v>
      </c>
      <c r="N690" t="str" cm="1">
        <f t="array" ref="N690">_xlfn.IFS(M690=1,"Low",M690=2,"Medium",M690=3,"High",M690=4,"Very High")</f>
        <v>Very High</v>
      </c>
      <c r="O690" t="s">
        <v>42</v>
      </c>
      <c r="P690" s="2">
        <v>37</v>
      </c>
      <c r="Q690">
        <v>2</v>
      </c>
      <c r="R690" t="str" cm="1">
        <f t="array" ref="R690">_xlfn.IFS(Q690=1,"Low",Q690=2,"Medium",Q690=3,"High",Q690=4,"Very High")</f>
        <v>Medium</v>
      </c>
      <c r="S690">
        <v>1</v>
      </c>
      <c r="T690" t="str" cm="1">
        <f t="array" ref="T690">_xlfn.IFS(S690=1,"Entry Level",S690=2,"Junior",S690=3,"Mid-Level",S690=4,"Senior",S690=5,"Executive")</f>
        <v>Entry Level</v>
      </c>
      <c r="U690" t="s">
        <v>53</v>
      </c>
      <c r="V690">
        <v>2</v>
      </c>
      <c r="W690" t="str" cm="1">
        <f t="array" ref="W690">_xlfn.IFS(V690=1,"Low",V690=2,"Medium",V690=3,"High",V690=4,"Very High")</f>
        <v>Medium</v>
      </c>
      <c r="X690" t="s">
        <v>38</v>
      </c>
      <c r="Y690" s="2">
        <v>2121</v>
      </c>
      <c r="Z690" s="2">
        <v>9947</v>
      </c>
      <c r="AA690">
        <v>1</v>
      </c>
      <c r="AB690" t="s">
        <v>32</v>
      </c>
      <c r="AC690">
        <v>13</v>
      </c>
      <c r="AD690">
        <v>3</v>
      </c>
      <c r="AE690" t="str" cm="1">
        <f t="array" ref="AE690">_xlfn.IFS(AD690=1,"Low",AD690=2,"Good",AD690=3,"Excellent",AD690=4,"Outstanding")</f>
        <v>Excellent</v>
      </c>
      <c r="AF690">
        <v>2</v>
      </c>
      <c r="AG690" t="str" cm="1">
        <f t="array" ref="AG690">_xlfn.IFS(AF690=1,"Low",AF690=2,"Medium",AF690=3,"High",AF690=4,"Very High")</f>
        <v>Medium</v>
      </c>
      <c r="AH690">
        <v>0</v>
      </c>
      <c r="AI690">
        <v>1</v>
      </c>
      <c r="AJ690">
        <v>3</v>
      </c>
      <c r="AK690">
        <v>4</v>
      </c>
      <c r="AL690" t="str" cm="1">
        <f t="array" ref="AL690">_xlfn.IFS(AK690=1,"Low",AK690=2,"Medium",AK690=3,"High",AK690=4,"Very High")</f>
        <v>Very High</v>
      </c>
      <c r="AM690">
        <v>1</v>
      </c>
      <c r="AN690">
        <v>0</v>
      </c>
      <c r="AO690">
        <v>0</v>
      </c>
      <c r="AP690">
        <v>0</v>
      </c>
    </row>
    <row r="691" spans="1:42">
      <c r="A691">
        <v>20</v>
      </c>
      <c r="B691" t="str" cm="1">
        <f t="array" ref="B691">_xlfn.IFS(A691&lt;=25,"18-25",A691&lt;=35,"26-35",A691&lt;=45,"36-45",A691&lt;=55,"46-55",A691&gt;55,"56+")</f>
        <v>18-25</v>
      </c>
      <c r="C691" t="s">
        <v>32</v>
      </c>
      <c r="D691" t="s">
        <v>33</v>
      </c>
      <c r="E691" s="2">
        <v>129</v>
      </c>
      <c r="F691" t="s">
        <v>41</v>
      </c>
      <c r="G691">
        <v>4</v>
      </c>
      <c r="H691" t="str">
        <f t="shared" si="10"/>
        <v>1-10 km</v>
      </c>
      <c r="I691">
        <v>3</v>
      </c>
      <c r="J691" t="str" cm="1">
        <f t="array" ref="J691">_xlfn.IFS(I691=1,"Below College",I691=2,"College",I691=3,"Bachelor",I691=4,"Master",I691=5,"Doctor")</f>
        <v>Bachelor</v>
      </c>
      <c r="K691" t="s">
        <v>56</v>
      </c>
      <c r="L691">
        <v>960</v>
      </c>
      <c r="M691">
        <v>1</v>
      </c>
      <c r="N691" t="str" cm="1">
        <f t="array" ref="N691">_xlfn.IFS(M691=1,"Low",M691=2,"Medium",M691=3,"High",M691=4,"Very High")</f>
        <v>Low</v>
      </c>
      <c r="O691" t="s">
        <v>42</v>
      </c>
      <c r="P691" s="2">
        <v>84</v>
      </c>
      <c r="Q691">
        <v>3</v>
      </c>
      <c r="R691" t="str" cm="1">
        <f t="array" ref="R691">_xlfn.IFS(Q691=1,"Low",Q691=2,"Medium",Q691=3,"High",Q691=4,"Very High")</f>
        <v>High</v>
      </c>
      <c r="S691">
        <v>1</v>
      </c>
      <c r="T691" t="str" cm="1">
        <f t="array" ref="T691">_xlfn.IFS(S691=1,"Entry Level",S691=2,"Junior",S691=3,"Mid-Level",S691=4,"Senior",S691=5,"Executive")</f>
        <v>Entry Level</v>
      </c>
      <c r="U691" t="s">
        <v>46</v>
      </c>
      <c r="V691">
        <v>1</v>
      </c>
      <c r="W691" t="str" cm="1">
        <f t="array" ref="W691">_xlfn.IFS(V691=1,"Low",V691=2,"Medium",V691=3,"High",V691=4,"Very High")</f>
        <v>Low</v>
      </c>
      <c r="X691" t="s">
        <v>38</v>
      </c>
      <c r="Y691" s="2">
        <v>2973</v>
      </c>
      <c r="Z691" s="2">
        <v>13008</v>
      </c>
      <c r="AA691">
        <v>1</v>
      </c>
      <c r="AB691" t="s">
        <v>39</v>
      </c>
      <c r="AC691">
        <v>19</v>
      </c>
      <c r="AD691">
        <v>3</v>
      </c>
      <c r="AE691" t="str" cm="1">
        <f t="array" ref="AE691">_xlfn.IFS(AD691=1,"Low",AD691=2,"Good",AD691=3,"Excellent",AD691=4,"Outstanding")</f>
        <v>Excellent</v>
      </c>
      <c r="AF691">
        <v>2</v>
      </c>
      <c r="AG691" t="str" cm="1">
        <f t="array" ref="AG691">_xlfn.IFS(AF691=1,"Low",AF691=2,"Medium",AF691=3,"High",AF691=4,"Very High")</f>
        <v>Medium</v>
      </c>
      <c r="AH691">
        <v>0</v>
      </c>
      <c r="AI691">
        <v>1</v>
      </c>
      <c r="AJ691">
        <v>2</v>
      </c>
      <c r="AK691">
        <v>3</v>
      </c>
      <c r="AL691" t="str" cm="1">
        <f t="array" ref="AL691">_xlfn.IFS(AK691=1,"Low",AK691=2,"Medium",AK691=3,"High",AK691=4,"Very High")</f>
        <v>High</v>
      </c>
      <c r="AM691">
        <v>1</v>
      </c>
      <c r="AN691">
        <v>0</v>
      </c>
      <c r="AO691">
        <v>0</v>
      </c>
      <c r="AP691">
        <v>0</v>
      </c>
    </row>
    <row r="692" spans="1:42">
      <c r="A692">
        <v>31</v>
      </c>
      <c r="B692" t="str" cm="1">
        <f t="array" ref="B692">_xlfn.IFS(A692&lt;=25,"18-25",A692&lt;=35,"26-35",A692&lt;=45,"36-45",A692&lt;=55,"46-55",A692&gt;55,"56+")</f>
        <v>26-35</v>
      </c>
      <c r="C692" t="s">
        <v>39</v>
      </c>
      <c r="D692" t="s">
        <v>33</v>
      </c>
      <c r="E692" s="2">
        <v>616</v>
      </c>
      <c r="F692" t="s">
        <v>41</v>
      </c>
      <c r="G692">
        <v>12</v>
      </c>
      <c r="H692" t="str">
        <f t="shared" si="10"/>
        <v>11-20 km</v>
      </c>
      <c r="I692">
        <v>3</v>
      </c>
      <c r="J692" t="str" cm="1">
        <f t="array" ref="J692">_xlfn.IFS(I692=1,"Below College",I692=2,"College",I692=3,"Bachelor",I692=4,"Master",I692=5,"Doctor")</f>
        <v>Bachelor</v>
      </c>
      <c r="K692" t="s">
        <v>47</v>
      </c>
      <c r="L692">
        <v>961</v>
      </c>
      <c r="M692">
        <v>4</v>
      </c>
      <c r="N692" t="str" cm="1">
        <f t="array" ref="N692">_xlfn.IFS(M692=1,"Low",M692=2,"Medium",M692=3,"High",M692=4,"Very High")</f>
        <v>Very High</v>
      </c>
      <c r="O692" t="s">
        <v>36</v>
      </c>
      <c r="P692" s="2">
        <v>41</v>
      </c>
      <c r="Q692">
        <v>3</v>
      </c>
      <c r="R692" t="str" cm="1">
        <f t="array" ref="R692">_xlfn.IFS(Q692=1,"Low",Q692=2,"Medium",Q692=3,"High",Q692=4,"Very High")</f>
        <v>High</v>
      </c>
      <c r="S692">
        <v>2</v>
      </c>
      <c r="T692" t="str" cm="1">
        <f t="array" ref="T692">_xlfn.IFS(S692=1,"Entry Level",S692=2,"Junior",S692=3,"Mid-Level",S692=4,"Senior",S692=5,"Executive")</f>
        <v>Junior</v>
      </c>
      <c r="U692" t="s">
        <v>50</v>
      </c>
      <c r="V692">
        <v>4</v>
      </c>
      <c r="W692" t="str" cm="1">
        <f t="array" ref="W692">_xlfn.IFS(V692=1,"Low",V692=2,"Medium",V692=3,"High",V692=4,"Very High")</f>
        <v>Very High</v>
      </c>
      <c r="X692" t="s">
        <v>44</v>
      </c>
      <c r="Y692" s="2">
        <v>5855</v>
      </c>
      <c r="Z692" s="2">
        <v>17369</v>
      </c>
      <c r="AA692">
        <v>0</v>
      </c>
      <c r="AB692" t="s">
        <v>32</v>
      </c>
      <c r="AC692">
        <v>11</v>
      </c>
      <c r="AD692">
        <v>3</v>
      </c>
      <c r="AE692" t="str" cm="1">
        <f t="array" ref="AE692">_xlfn.IFS(AD692=1,"Low",AD692=2,"Good",AD692=3,"Excellent",AD692=4,"Outstanding")</f>
        <v>Excellent</v>
      </c>
      <c r="AF692">
        <v>3</v>
      </c>
      <c r="AG692" t="str" cm="1">
        <f t="array" ref="AG692">_xlfn.IFS(AF692=1,"Low",AF692=2,"Medium",AF692=3,"High",AF692=4,"Very High")</f>
        <v>High</v>
      </c>
      <c r="AH692">
        <v>2</v>
      </c>
      <c r="AI692">
        <v>10</v>
      </c>
      <c r="AJ692">
        <v>2</v>
      </c>
      <c r="AK692">
        <v>1</v>
      </c>
      <c r="AL692" t="str" cm="1">
        <f t="array" ref="AL692">_xlfn.IFS(AK692=1,"Low",AK692=2,"Medium",AK692=3,"High",AK692=4,"Very High")</f>
        <v>Low</v>
      </c>
      <c r="AM692">
        <v>9</v>
      </c>
      <c r="AN692">
        <v>7</v>
      </c>
      <c r="AO692">
        <v>8</v>
      </c>
      <c r="AP692">
        <v>5</v>
      </c>
    </row>
    <row r="693" spans="1:42">
      <c r="A693">
        <v>40</v>
      </c>
      <c r="B693" t="str" cm="1">
        <f t="array" ref="B693">_xlfn.IFS(A693&lt;=25,"18-25",A693&lt;=35,"26-35",A693&lt;=45,"36-45",A693&lt;=55,"46-55",A693&gt;55,"56+")</f>
        <v>36-45</v>
      </c>
      <c r="C693" t="s">
        <v>39</v>
      </c>
      <c r="D693" t="s">
        <v>40</v>
      </c>
      <c r="E693" s="2">
        <v>1469</v>
      </c>
      <c r="F693" t="s">
        <v>41</v>
      </c>
      <c r="G693">
        <v>9</v>
      </c>
      <c r="H693" t="str">
        <f t="shared" si="10"/>
        <v>1-10 km</v>
      </c>
      <c r="I693">
        <v>4</v>
      </c>
      <c r="J693" t="str" cm="1">
        <f t="array" ref="J693">_xlfn.IFS(I693=1,"Below College",I693=2,"College",I693=3,"Bachelor",I693=4,"Master",I693=5,"Doctor")</f>
        <v>Master</v>
      </c>
      <c r="K693" t="s">
        <v>47</v>
      </c>
      <c r="L693">
        <v>964</v>
      </c>
      <c r="M693">
        <v>4</v>
      </c>
      <c r="N693" t="str" cm="1">
        <f t="array" ref="N693">_xlfn.IFS(M693=1,"Low",M693=2,"Medium",M693=3,"High",M693=4,"Very High")</f>
        <v>Very High</v>
      </c>
      <c r="O693" t="s">
        <v>42</v>
      </c>
      <c r="P693" s="2">
        <v>35</v>
      </c>
      <c r="Q693">
        <v>3</v>
      </c>
      <c r="R693" t="str" cm="1">
        <f t="array" ref="R693">_xlfn.IFS(Q693=1,"Low",Q693=2,"Medium",Q693=3,"High",Q693=4,"Very High")</f>
        <v>High</v>
      </c>
      <c r="S693">
        <v>1</v>
      </c>
      <c r="T693" t="str" cm="1">
        <f t="array" ref="T693">_xlfn.IFS(S693=1,"Entry Level",S693=2,"Junior",S693=3,"Mid-Level",S693=4,"Senior",S693=5,"Executive")</f>
        <v>Entry Level</v>
      </c>
      <c r="U693" t="s">
        <v>43</v>
      </c>
      <c r="V693">
        <v>2</v>
      </c>
      <c r="W693" t="str" cm="1">
        <f t="array" ref="W693">_xlfn.IFS(V693=1,"Low",V693=2,"Medium",V693=3,"High",V693=4,"Very High")</f>
        <v>Medium</v>
      </c>
      <c r="X693" t="s">
        <v>48</v>
      </c>
      <c r="Y693" s="2">
        <v>3617</v>
      </c>
      <c r="Z693" s="2">
        <v>25063</v>
      </c>
      <c r="AA693">
        <v>8</v>
      </c>
      <c r="AB693" t="s">
        <v>32</v>
      </c>
      <c r="AC693">
        <v>14</v>
      </c>
      <c r="AD693">
        <v>3</v>
      </c>
      <c r="AE693" t="str" cm="1">
        <f t="array" ref="AE693">_xlfn.IFS(AD693=1,"Low",AD693=2,"Good",AD693=3,"Excellent",AD693=4,"Outstanding")</f>
        <v>Excellent</v>
      </c>
      <c r="AF693">
        <v>4</v>
      </c>
      <c r="AG693" t="str" cm="1">
        <f t="array" ref="AG693">_xlfn.IFS(AF693=1,"Low",AF693=2,"Medium",AF693=3,"High",AF693=4,"Very High")</f>
        <v>Very High</v>
      </c>
      <c r="AH693">
        <v>1</v>
      </c>
      <c r="AI693">
        <v>3</v>
      </c>
      <c r="AJ693">
        <v>2</v>
      </c>
      <c r="AK693">
        <v>3</v>
      </c>
      <c r="AL693" t="str" cm="1">
        <f t="array" ref="AL693">_xlfn.IFS(AK693=1,"Low",AK693=2,"Medium",AK693=3,"High",AK693=4,"Very High")</f>
        <v>High</v>
      </c>
      <c r="AM693">
        <v>1</v>
      </c>
      <c r="AN693">
        <v>1</v>
      </c>
      <c r="AO693">
        <v>0</v>
      </c>
      <c r="AP693">
        <v>0</v>
      </c>
    </row>
    <row r="694" spans="1:42">
      <c r="A694">
        <v>32</v>
      </c>
      <c r="B694" t="str" cm="1">
        <f t="array" ref="B694">_xlfn.IFS(A694&lt;=25,"18-25",A694&lt;=35,"26-35",A694&lt;=45,"36-45",A694&lt;=55,"46-55",A694&gt;55,"56+")</f>
        <v>26-35</v>
      </c>
      <c r="C694" t="s">
        <v>39</v>
      </c>
      <c r="D694" t="s">
        <v>33</v>
      </c>
      <c r="E694" s="2">
        <v>498</v>
      </c>
      <c r="F694" t="s">
        <v>41</v>
      </c>
      <c r="G694">
        <v>3</v>
      </c>
      <c r="H694" t="str">
        <f t="shared" si="10"/>
        <v>1-10 km</v>
      </c>
      <c r="I694">
        <v>4</v>
      </c>
      <c r="J694" t="str" cm="1">
        <f t="array" ref="J694">_xlfn.IFS(I694=1,"Below College",I694=2,"College",I694=3,"Bachelor",I694=4,"Master",I694=5,"Doctor")</f>
        <v>Master</v>
      </c>
      <c r="K694" t="s">
        <v>47</v>
      </c>
      <c r="L694">
        <v>966</v>
      </c>
      <c r="M694">
        <v>3</v>
      </c>
      <c r="N694" t="str" cm="1">
        <f t="array" ref="N694">_xlfn.IFS(M694=1,"Low",M694=2,"Medium",M694=3,"High",M694=4,"Very High")</f>
        <v>High</v>
      </c>
      <c r="O694" t="s">
        <v>36</v>
      </c>
      <c r="P694" s="2">
        <v>93</v>
      </c>
      <c r="Q694">
        <v>3</v>
      </c>
      <c r="R694" t="str" cm="1">
        <f t="array" ref="R694">_xlfn.IFS(Q694=1,"Low",Q694=2,"Medium",Q694=3,"High",Q694=4,"Very High")</f>
        <v>High</v>
      </c>
      <c r="S694">
        <v>2</v>
      </c>
      <c r="T694" t="str" cm="1">
        <f t="array" ref="T694">_xlfn.IFS(S694=1,"Entry Level",S694=2,"Junior",S694=3,"Mid-Level",S694=4,"Senior",S694=5,"Executive")</f>
        <v>Junior</v>
      </c>
      <c r="U694" t="s">
        <v>49</v>
      </c>
      <c r="V694">
        <v>1</v>
      </c>
      <c r="W694" t="str" cm="1">
        <f t="array" ref="W694">_xlfn.IFS(V694=1,"Low",V694=2,"Medium",V694=3,"High",V694=4,"Very High")</f>
        <v>Low</v>
      </c>
      <c r="X694" t="s">
        <v>44</v>
      </c>
      <c r="Y694" s="2">
        <v>6725</v>
      </c>
      <c r="Z694" s="2">
        <v>13554</v>
      </c>
      <c r="AA694">
        <v>1</v>
      </c>
      <c r="AB694" t="s">
        <v>39</v>
      </c>
      <c r="AC694">
        <v>12</v>
      </c>
      <c r="AD694">
        <v>3</v>
      </c>
      <c r="AE694" t="str" cm="1">
        <f t="array" ref="AE694">_xlfn.IFS(AD694=1,"Low",AD694=2,"Good",AD694=3,"Excellent",AD694=4,"Outstanding")</f>
        <v>Excellent</v>
      </c>
      <c r="AF694">
        <v>3</v>
      </c>
      <c r="AG694" t="str" cm="1">
        <f t="array" ref="AG694">_xlfn.IFS(AF694=1,"Low",AF694=2,"Medium",AF694=3,"High",AF694=4,"Very High")</f>
        <v>High</v>
      </c>
      <c r="AH694">
        <v>1</v>
      </c>
      <c r="AI694">
        <v>8</v>
      </c>
      <c r="AJ694">
        <v>2</v>
      </c>
      <c r="AK694">
        <v>4</v>
      </c>
      <c r="AL694" t="str" cm="1">
        <f t="array" ref="AL694">_xlfn.IFS(AK694=1,"Low",AK694=2,"Medium",AK694=3,"High",AK694=4,"Very High")</f>
        <v>Very High</v>
      </c>
      <c r="AM694">
        <v>8</v>
      </c>
      <c r="AN694">
        <v>7</v>
      </c>
      <c r="AO694">
        <v>6</v>
      </c>
      <c r="AP694">
        <v>3</v>
      </c>
    </row>
    <row r="695" spans="1:42">
      <c r="A695">
        <v>36</v>
      </c>
      <c r="B695" t="str" cm="1">
        <f t="array" ref="B695">_xlfn.IFS(A695&lt;=25,"18-25",A695&lt;=35,"26-35",A695&lt;=45,"36-45",A695&lt;=55,"46-55",A695&gt;55,"56+")</f>
        <v>36-45</v>
      </c>
      <c r="C695" t="s">
        <v>32</v>
      </c>
      <c r="D695" t="s">
        <v>33</v>
      </c>
      <c r="E695" s="2">
        <v>530</v>
      </c>
      <c r="F695" t="s">
        <v>34</v>
      </c>
      <c r="G695">
        <v>3</v>
      </c>
      <c r="H695" t="str">
        <f t="shared" si="10"/>
        <v>1-10 km</v>
      </c>
      <c r="I695">
        <v>1</v>
      </c>
      <c r="J695" t="str" cm="1">
        <f t="array" ref="J695">_xlfn.IFS(I695=1,"Below College",I695=2,"College",I695=3,"Bachelor",I695=4,"Master",I695=5,"Doctor")</f>
        <v>Below College</v>
      </c>
      <c r="K695" t="s">
        <v>35</v>
      </c>
      <c r="L695">
        <v>967</v>
      </c>
      <c r="M695">
        <v>3</v>
      </c>
      <c r="N695" t="str" cm="1">
        <f t="array" ref="N695">_xlfn.IFS(M695=1,"Low",M695=2,"Medium",M695=3,"High",M695=4,"Very High")</f>
        <v>High</v>
      </c>
      <c r="O695" t="s">
        <v>42</v>
      </c>
      <c r="P695" s="2">
        <v>51</v>
      </c>
      <c r="Q695">
        <v>2</v>
      </c>
      <c r="R695" t="str" cm="1">
        <f t="array" ref="R695">_xlfn.IFS(Q695=1,"Low",Q695=2,"Medium",Q695=3,"High",Q695=4,"Very High")</f>
        <v>Medium</v>
      </c>
      <c r="S695">
        <v>3</v>
      </c>
      <c r="T695" t="str" cm="1">
        <f t="array" ref="T695">_xlfn.IFS(S695=1,"Entry Level",S695=2,"Junior",S695=3,"Mid-Level",S695=4,"Senior",S695=5,"Executive")</f>
        <v>Mid-Level</v>
      </c>
      <c r="U695" t="s">
        <v>37</v>
      </c>
      <c r="V695">
        <v>4</v>
      </c>
      <c r="W695" t="str" cm="1">
        <f t="array" ref="W695">_xlfn.IFS(V695=1,"Low",V695=2,"Medium",V695=3,"High",V695=4,"Very High")</f>
        <v>Very High</v>
      </c>
      <c r="X695" t="s">
        <v>44</v>
      </c>
      <c r="Y695" s="2">
        <v>10325</v>
      </c>
      <c r="Z695" s="2">
        <v>5518</v>
      </c>
      <c r="AA695">
        <v>1</v>
      </c>
      <c r="AB695" t="s">
        <v>32</v>
      </c>
      <c r="AC695">
        <v>11</v>
      </c>
      <c r="AD695">
        <v>3</v>
      </c>
      <c r="AE695" t="str" cm="1">
        <f t="array" ref="AE695">_xlfn.IFS(AD695=1,"Low",AD695=2,"Good",AD695=3,"Excellent",AD695=4,"Outstanding")</f>
        <v>Excellent</v>
      </c>
      <c r="AF695">
        <v>1</v>
      </c>
      <c r="AG695" t="str" cm="1">
        <f t="array" ref="AG695">_xlfn.IFS(AF695=1,"Low",AF695=2,"Medium",AF695=3,"High",AF695=4,"Very High")</f>
        <v>Low</v>
      </c>
      <c r="AH695">
        <v>1</v>
      </c>
      <c r="AI695">
        <v>16</v>
      </c>
      <c r="AJ695">
        <v>6</v>
      </c>
      <c r="AK695">
        <v>3</v>
      </c>
      <c r="AL695" t="str" cm="1">
        <f t="array" ref="AL695">_xlfn.IFS(AK695=1,"Low",AK695=2,"Medium",AK695=3,"High",AK695=4,"Very High")</f>
        <v>High</v>
      </c>
      <c r="AM695">
        <v>16</v>
      </c>
      <c r="AN695">
        <v>7</v>
      </c>
      <c r="AO695">
        <v>3</v>
      </c>
      <c r="AP695">
        <v>7</v>
      </c>
    </row>
    <row r="696" spans="1:42">
      <c r="A696">
        <v>33</v>
      </c>
      <c r="B696" t="str" cm="1">
        <f t="array" ref="B696">_xlfn.IFS(A696&lt;=25,"18-25",A696&lt;=35,"26-35",A696&lt;=45,"36-45",A696&lt;=55,"46-55",A696&gt;55,"56+")</f>
        <v>26-35</v>
      </c>
      <c r="C696" t="s">
        <v>39</v>
      </c>
      <c r="D696" t="s">
        <v>33</v>
      </c>
      <c r="E696" s="2">
        <v>1069</v>
      </c>
      <c r="F696" t="s">
        <v>41</v>
      </c>
      <c r="G696">
        <v>1</v>
      </c>
      <c r="H696" t="str">
        <f t="shared" si="10"/>
        <v>1-10 km</v>
      </c>
      <c r="I696">
        <v>3</v>
      </c>
      <c r="J696" t="str" cm="1">
        <f t="array" ref="J696">_xlfn.IFS(I696=1,"Below College",I696=2,"College",I696=3,"Bachelor",I696=4,"Master",I696=5,"Doctor")</f>
        <v>Bachelor</v>
      </c>
      <c r="K696" t="s">
        <v>35</v>
      </c>
      <c r="L696">
        <v>969</v>
      </c>
      <c r="M696">
        <v>2</v>
      </c>
      <c r="N696" t="str" cm="1">
        <f t="array" ref="N696">_xlfn.IFS(M696=1,"Low",M696=2,"Medium",M696=3,"High",M696=4,"Very High")</f>
        <v>Medium</v>
      </c>
      <c r="O696" t="s">
        <v>36</v>
      </c>
      <c r="P696" s="2">
        <v>42</v>
      </c>
      <c r="Q696">
        <v>2</v>
      </c>
      <c r="R696" t="str" cm="1">
        <f t="array" ref="R696">_xlfn.IFS(Q696=1,"Low",Q696=2,"Medium",Q696=3,"High",Q696=4,"Very High")</f>
        <v>Medium</v>
      </c>
      <c r="S696">
        <v>2</v>
      </c>
      <c r="T696" t="str" cm="1">
        <f t="array" ref="T696">_xlfn.IFS(S696=1,"Entry Level",S696=2,"Junior",S696=3,"Mid-Level",S696=4,"Senior",S696=5,"Executive")</f>
        <v>Junior</v>
      </c>
      <c r="U696" t="s">
        <v>50</v>
      </c>
      <c r="V696">
        <v>4</v>
      </c>
      <c r="W696" t="str" cm="1">
        <f t="array" ref="W696">_xlfn.IFS(V696=1,"Low",V696=2,"Medium",V696=3,"High",V696=4,"Very High")</f>
        <v>Very High</v>
      </c>
      <c r="X696" t="s">
        <v>38</v>
      </c>
      <c r="Y696" s="2">
        <v>6949</v>
      </c>
      <c r="Z696" s="2">
        <v>12291</v>
      </c>
      <c r="AA696">
        <v>0</v>
      </c>
      <c r="AB696" t="s">
        <v>39</v>
      </c>
      <c r="AC696">
        <v>14</v>
      </c>
      <c r="AD696">
        <v>3</v>
      </c>
      <c r="AE696" t="str" cm="1">
        <f t="array" ref="AE696">_xlfn.IFS(AD696=1,"Low",AD696=2,"Good",AD696=3,"Excellent",AD696=4,"Outstanding")</f>
        <v>Excellent</v>
      </c>
      <c r="AF696">
        <v>1</v>
      </c>
      <c r="AG696" t="str" cm="1">
        <f t="array" ref="AG696">_xlfn.IFS(AF696=1,"Low",AF696=2,"Medium",AF696=3,"High",AF696=4,"Very High")</f>
        <v>Low</v>
      </c>
      <c r="AH696">
        <v>0</v>
      </c>
      <c r="AI696">
        <v>6</v>
      </c>
      <c r="AJ696">
        <v>3</v>
      </c>
      <c r="AK696">
        <v>3</v>
      </c>
      <c r="AL696" t="str" cm="1">
        <f t="array" ref="AL696">_xlfn.IFS(AK696=1,"Low",AK696=2,"Medium",AK696=3,"High",AK696=4,"Very High")</f>
        <v>High</v>
      </c>
      <c r="AM696">
        <v>5</v>
      </c>
      <c r="AN696">
        <v>0</v>
      </c>
      <c r="AO696">
        <v>1</v>
      </c>
      <c r="AP696">
        <v>4</v>
      </c>
    </row>
    <row r="697" spans="1:42">
      <c r="A697">
        <v>37</v>
      </c>
      <c r="B697" t="str" cm="1">
        <f t="array" ref="B697">_xlfn.IFS(A697&lt;=25,"18-25",A697&lt;=35,"26-35",A697&lt;=45,"36-45",A697&lt;=55,"46-55",A697&gt;55,"56+")</f>
        <v>36-45</v>
      </c>
      <c r="C697" t="s">
        <v>32</v>
      </c>
      <c r="D697" t="s">
        <v>33</v>
      </c>
      <c r="E697" s="2">
        <v>625</v>
      </c>
      <c r="F697" t="s">
        <v>34</v>
      </c>
      <c r="G697">
        <v>1</v>
      </c>
      <c r="H697" t="str">
        <f t="shared" si="10"/>
        <v>1-10 km</v>
      </c>
      <c r="I697">
        <v>4</v>
      </c>
      <c r="J697" t="str" cm="1">
        <f t="array" ref="J697">_xlfn.IFS(I697=1,"Below College",I697=2,"College",I697=3,"Bachelor",I697=4,"Master",I697=5,"Doctor")</f>
        <v>Master</v>
      </c>
      <c r="K697" t="s">
        <v>35</v>
      </c>
      <c r="L697">
        <v>970</v>
      </c>
      <c r="M697">
        <v>1</v>
      </c>
      <c r="N697" t="str" cm="1">
        <f t="array" ref="N697">_xlfn.IFS(M697=1,"Low",M697=2,"Medium",M697=3,"High",M697=4,"Very High")</f>
        <v>Low</v>
      </c>
      <c r="O697" t="s">
        <v>42</v>
      </c>
      <c r="P697" s="2">
        <v>46</v>
      </c>
      <c r="Q697">
        <v>2</v>
      </c>
      <c r="R697" t="str" cm="1">
        <f t="array" ref="R697">_xlfn.IFS(Q697=1,"Low",Q697=2,"Medium",Q697=3,"High",Q697=4,"Very High")</f>
        <v>Medium</v>
      </c>
      <c r="S697">
        <v>3</v>
      </c>
      <c r="T697" t="str" cm="1">
        <f t="array" ref="T697">_xlfn.IFS(S697=1,"Entry Level",S697=2,"Junior",S697=3,"Mid-Level",S697=4,"Senior",S697=5,"Executive")</f>
        <v>Mid-Level</v>
      </c>
      <c r="U697" t="s">
        <v>37</v>
      </c>
      <c r="V697">
        <v>3</v>
      </c>
      <c r="W697" t="str" cm="1">
        <f t="array" ref="W697">_xlfn.IFS(V697=1,"Low",V697=2,"Medium",V697=3,"High",V697=4,"Very High")</f>
        <v>High</v>
      </c>
      <c r="X697" t="s">
        <v>44</v>
      </c>
      <c r="Y697" s="2">
        <v>10609</v>
      </c>
      <c r="Z697" s="2">
        <v>14922</v>
      </c>
      <c r="AA697">
        <v>5</v>
      </c>
      <c r="AB697" t="s">
        <v>39</v>
      </c>
      <c r="AC697">
        <v>11</v>
      </c>
      <c r="AD697">
        <v>3</v>
      </c>
      <c r="AE697" t="str" cm="1">
        <f t="array" ref="AE697">_xlfn.IFS(AD697=1,"Low",AD697=2,"Good",AD697=3,"Excellent",AD697=4,"Outstanding")</f>
        <v>Excellent</v>
      </c>
      <c r="AF697">
        <v>3</v>
      </c>
      <c r="AG697" t="str" cm="1">
        <f t="array" ref="AG697">_xlfn.IFS(AF697=1,"Low",AF697=2,"Medium",AF697=3,"High",AF697=4,"Very High")</f>
        <v>High</v>
      </c>
      <c r="AH697">
        <v>0</v>
      </c>
      <c r="AI697">
        <v>17</v>
      </c>
      <c r="AJ697">
        <v>2</v>
      </c>
      <c r="AK697">
        <v>1</v>
      </c>
      <c r="AL697" t="str" cm="1">
        <f t="array" ref="AL697">_xlfn.IFS(AK697=1,"Low",AK697=2,"Medium",AK697=3,"High",AK697=4,"Very High")</f>
        <v>Low</v>
      </c>
      <c r="AM697">
        <v>14</v>
      </c>
      <c r="AN697">
        <v>1</v>
      </c>
      <c r="AO697">
        <v>11</v>
      </c>
      <c r="AP697">
        <v>7</v>
      </c>
    </row>
    <row r="698" spans="1:42">
      <c r="A698">
        <v>45</v>
      </c>
      <c r="B698" t="str" cm="1">
        <f t="array" ref="B698">_xlfn.IFS(A698&lt;=25,"18-25",A698&lt;=35,"26-35",A698&lt;=45,"36-45",A698&lt;=55,"46-55",A698&gt;55,"56+")</f>
        <v>36-45</v>
      </c>
      <c r="C698" t="s">
        <v>39</v>
      </c>
      <c r="D698" t="s">
        <v>51</v>
      </c>
      <c r="E698" s="2">
        <v>805</v>
      </c>
      <c r="F698" t="s">
        <v>41</v>
      </c>
      <c r="G698">
        <v>4</v>
      </c>
      <c r="H698" t="str">
        <f t="shared" si="10"/>
        <v>1-10 km</v>
      </c>
      <c r="I698">
        <v>2</v>
      </c>
      <c r="J698" t="str" cm="1">
        <f t="array" ref="J698">_xlfn.IFS(I698=1,"Below College",I698=2,"College",I698=3,"Bachelor",I698=4,"Master",I698=5,"Doctor")</f>
        <v>College</v>
      </c>
      <c r="K698" t="s">
        <v>35</v>
      </c>
      <c r="L698">
        <v>972</v>
      </c>
      <c r="M698">
        <v>3</v>
      </c>
      <c r="N698" t="str" cm="1">
        <f t="array" ref="N698">_xlfn.IFS(M698=1,"Low",M698=2,"Medium",M698=3,"High",M698=4,"Very High")</f>
        <v>High</v>
      </c>
      <c r="O698" t="s">
        <v>42</v>
      </c>
      <c r="P698" s="2">
        <v>57</v>
      </c>
      <c r="Q698">
        <v>3</v>
      </c>
      <c r="R698" t="str" cm="1">
        <f t="array" ref="R698">_xlfn.IFS(Q698=1,"Low",Q698=2,"Medium",Q698=3,"High",Q698=4,"Very High")</f>
        <v>High</v>
      </c>
      <c r="S698">
        <v>2</v>
      </c>
      <c r="T698" t="str" cm="1">
        <f t="array" ref="T698">_xlfn.IFS(S698=1,"Entry Level",S698=2,"Junior",S698=3,"Mid-Level",S698=4,"Senior",S698=5,"Executive")</f>
        <v>Junior</v>
      </c>
      <c r="U698" t="s">
        <v>46</v>
      </c>
      <c r="V698">
        <v>2</v>
      </c>
      <c r="W698" t="str" cm="1">
        <f t="array" ref="W698">_xlfn.IFS(V698=1,"Low",V698=2,"Medium",V698=3,"High",V698=4,"Very High")</f>
        <v>Medium</v>
      </c>
      <c r="X698" t="s">
        <v>44</v>
      </c>
      <c r="Y698" s="2">
        <v>4447</v>
      </c>
      <c r="Z698" s="2">
        <v>23163</v>
      </c>
      <c r="AA698">
        <v>1</v>
      </c>
      <c r="AB698" t="s">
        <v>39</v>
      </c>
      <c r="AC698">
        <v>12</v>
      </c>
      <c r="AD698">
        <v>3</v>
      </c>
      <c r="AE698" t="str" cm="1">
        <f t="array" ref="AE698">_xlfn.IFS(AD698=1,"Low",AD698=2,"Good",AD698=3,"Excellent",AD698=4,"Outstanding")</f>
        <v>Excellent</v>
      </c>
      <c r="AF698">
        <v>2</v>
      </c>
      <c r="AG698" t="str" cm="1">
        <f t="array" ref="AG698">_xlfn.IFS(AF698=1,"Low",AF698=2,"Medium",AF698=3,"High",AF698=4,"Very High")</f>
        <v>Medium</v>
      </c>
      <c r="AH698">
        <v>0</v>
      </c>
      <c r="AI698">
        <v>9</v>
      </c>
      <c r="AJ698">
        <v>5</v>
      </c>
      <c r="AK698">
        <v>2</v>
      </c>
      <c r="AL698" t="str" cm="1">
        <f t="array" ref="AL698">_xlfn.IFS(AK698=1,"Low",AK698=2,"Medium",AK698=3,"High",AK698=4,"Very High")</f>
        <v>Medium</v>
      </c>
      <c r="AM698">
        <v>9</v>
      </c>
      <c r="AN698">
        <v>7</v>
      </c>
      <c r="AO698">
        <v>0</v>
      </c>
      <c r="AP698">
        <v>8</v>
      </c>
    </row>
    <row r="699" spans="1:42">
      <c r="A699">
        <v>29</v>
      </c>
      <c r="B699" t="str" cm="1">
        <f t="array" ref="B699">_xlfn.IFS(A699&lt;=25,"18-25",A699&lt;=35,"26-35",A699&lt;=45,"36-45",A699&lt;=55,"46-55",A699&gt;55,"56+")</f>
        <v>26-35</v>
      </c>
      <c r="C699" t="s">
        <v>39</v>
      </c>
      <c r="D699" t="s">
        <v>40</v>
      </c>
      <c r="E699" s="2">
        <v>1404</v>
      </c>
      <c r="F699" t="s">
        <v>34</v>
      </c>
      <c r="G699">
        <v>20</v>
      </c>
      <c r="H699" t="str">
        <f t="shared" si="10"/>
        <v>11-20 km</v>
      </c>
      <c r="I699">
        <v>3</v>
      </c>
      <c r="J699" t="str" cm="1">
        <f t="array" ref="J699">_xlfn.IFS(I699=1,"Below College",I699=2,"College",I699=3,"Bachelor",I699=4,"Master",I699=5,"Doctor")</f>
        <v>Bachelor</v>
      </c>
      <c r="K699" t="s">
        <v>56</v>
      </c>
      <c r="L699">
        <v>974</v>
      </c>
      <c r="M699">
        <v>3</v>
      </c>
      <c r="N699" t="str" cm="1">
        <f t="array" ref="N699">_xlfn.IFS(M699=1,"Low",M699=2,"Medium",M699=3,"High",M699=4,"Very High")</f>
        <v>High</v>
      </c>
      <c r="O699" t="s">
        <v>36</v>
      </c>
      <c r="P699" s="2">
        <v>84</v>
      </c>
      <c r="Q699">
        <v>3</v>
      </c>
      <c r="R699" t="str" cm="1">
        <f t="array" ref="R699">_xlfn.IFS(Q699=1,"Low",Q699=2,"Medium",Q699=3,"High",Q699=4,"Very High")</f>
        <v>High</v>
      </c>
      <c r="S699">
        <v>1</v>
      </c>
      <c r="T699" t="str" cm="1">
        <f t="array" ref="T699">_xlfn.IFS(S699=1,"Entry Level",S699=2,"Junior",S699=3,"Mid-Level",S699=4,"Senior",S699=5,"Executive")</f>
        <v>Entry Level</v>
      </c>
      <c r="U699" t="s">
        <v>53</v>
      </c>
      <c r="V699">
        <v>4</v>
      </c>
      <c r="W699" t="str" cm="1">
        <f t="array" ref="W699">_xlfn.IFS(V699=1,"Low",V699=2,"Medium",V699=3,"High",V699=4,"Very High")</f>
        <v>Very High</v>
      </c>
      <c r="X699" t="s">
        <v>44</v>
      </c>
      <c r="Y699" s="2">
        <v>2157</v>
      </c>
      <c r="Z699" s="2">
        <v>18203</v>
      </c>
      <c r="AA699">
        <v>1</v>
      </c>
      <c r="AB699" t="s">
        <v>39</v>
      </c>
      <c r="AC699">
        <v>15</v>
      </c>
      <c r="AD699">
        <v>3</v>
      </c>
      <c r="AE699" t="str" cm="1">
        <f t="array" ref="AE699">_xlfn.IFS(AD699=1,"Low",AD699=2,"Good",AD699=3,"Excellent",AD699=4,"Outstanding")</f>
        <v>Excellent</v>
      </c>
      <c r="AF699">
        <v>2</v>
      </c>
      <c r="AG699" t="str" cm="1">
        <f t="array" ref="AG699">_xlfn.IFS(AF699=1,"Low",AF699=2,"Medium",AF699=3,"High",AF699=4,"Very High")</f>
        <v>Medium</v>
      </c>
      <c r="AH699">
        <v>1</v>
      </c>
      <c r="AI699">
        <v>3</v>
      </c>
      <c r="AJ699">
        <v>5</v>
      </c>
      <c r="AK699">
        <v>3</v>
      </c>
      <c r="AL699" t="str" cm="1">
        <f t="array" ref="AL699">_xlfn.IFS(AK699=1,"Low",AK699=2,"Medium",AK699=3,"High",AK699=4,"Very High")</f>
        <v>High</v>
      </c>
      <c r="AM699">
        <v>3</v>
      </c>
      <c r="AN699">
        <v>1</v>
      </c>
      <c r="AO699">
        <v>0</v>
      </c>
      <c r="AP699">
        <v>2</v>
      </c>
    </row>
    <row r="700" spans="1:42">
      <c r="A700">
        <v>35</v>
      </c>
      <c r="B700" t="str" cm="1">
        <f t="array" ref="B700">_xlfn.IFS(A700&lt;=25,"18-25",A700&lt;=35,"26-35",A700&lt;=45,"36-45",A700&lt;=55,"46-55",A700&gt;55,"56+")</f>
        <v>26-35</v>
      </c>
      <c r="C700" t="s">
        <v>39</v>
      </c>
      <c r="D700" t="s">
        <v>33</v>
      </c>
      <c r="E700" s="2">
        <v>1219</v>
      </c>
      <c r="F700" t="s">
        <v>34</v>
      </c>
      <c r="G700">
        <v>18</v>
      </c>
      <c r="H700" t="str">
        <f t="shared" si="10"/>
        <v>11-20 km</v>
      </c>
      <c r="I700">
        <v>3</v>
      </c>
      <c r="J700" t="str" cm="1">
        <f t="array" ref="J700">_xlfn.IFS(I700=1,"Below College",I700=2,"College",I700=3,"Bachelor",I700=4,"Master",I700=5,"Doctor")</f>
        <v>Bachelor</v>
      </c>
      <c r="K700" t="s">
        <v>47</v>
      </c>
      <c r="L700">
        <v>975</v>
      </c>
      <c r="M700">
        <v>3</v>
      </c>
      <c r="N700" t="str" cm="1">
        <f t="array" ref="N700">_xlfn.IFS(M700=1,"Low",M700=2,"Medium",M700=3,"High",M700=4,"Very High")</f>
        <v>High</v>
      </c>
      <c r="O700" t="s">
        <v>36</v>
      </c>
      <c r="P700" s="2">
        <v>86</v>
      </c>
      <c r="Q700">
        <v>3</v>
      </c>
      <c r="R700" t="str" cm="1">
        <f t="array" ref="R700">_xlfn.IFS(Q700=1,"Low",Q700=2,"Medium",Q700=3,"High",Q700=4,"Very High")</f>
        <v>High</v>
      </c>
      <c r="S700">
        <v>2</v>
      </c>
      <c r="T700" t="str" cm="1">
        <f t="array" ref="T700">_xlfn.IFS(S700=1,"Entry Level",S700=2,"Junior",S700=3,"Mid-Level",S700=4,"Senior",S700=5,"Executive")</f>
        <v>Junior</v>
      </c>
      <c r="U700" t="s">
        <v>37</v>
      </c>
      <c r="V700">
        <v>3</v>
      </c>
      <c r="W700" t="str" cm="1">
        <f t="array" ref="W700">_xlfn.IFS(V700=1,"Low",V700=2,"Medium",V700=3,"High",V700=4,"Very High")</f>
        <v>High</v>
      </c>
      <c r="X700" t="s">
        <v>44</v>
      </c>
      <c r="Y700" s="2">
        <v>4601</v>
      </c>
      <c r="Z700" s="2">
        <v>6179</v>
      </c>
      <c r="AA700">
        <v>1</v>
      </c>
      <c r="AB700" t="s">
        <v>39</v>
      </c>
      <c r="AC700">
        <v>16</v>
      </c>
      <c r="AD700">
        <v>3</v>
      </c>
      <c r="AE700" t="str" cm="1">
        <f t="array" ref="AE700">_xlfn.IFS(AD700=1,"Low",AD700=2,"Good",AD700=3,"Excellent",AD700=4,"Outstanding")</f>
        <v>Excellent</v>
      </c>
      <c r="AF700">
        <v>2</v>
      </c>
      <c r="AG700" t="str" cm="1">
        <f t="array" ref="AG700">_xlfn.IFS(AF700=1,"Low",AF700=2,"Medium",AF700=3,"High",AF700=4,"Very High")</f>
        <v>Medium</v>
      </c>
      <c r="AH700">
        <v>0</v>
      </c>
      <c r="AI700">
        <v>5</v>
      </c>
      <c r="AJ700">
        <v>3</v>
      </c>
      <c r="AK700">
        <v>3</v>
      </c>
      <c r="AL700" t="str" cm="1">
        <f t="array" ref="AL700">_xlfn.IFS(AK700=1,"Low",AK700=2,"Medium",AK700=3,"High",AK700=4,"Very High")</f>
        <v>High</v>
      </c>
      <c r="AM700">
        <v>5</v>
      </c>
      <c r="AN700">
        <v>2</v>
      </c>
      <c r="AO700">
        <v>1</v>
      </c>
      <c r="AP700">
        <v>0</v>
      </c>
    </row>
    <row r="701" spans="1:42">
      <c r="A701">
        <v>52</v>
      </c>
      <c r="B701" t="str" cm="1">
        <f t="array" ref="B701">_xlfn.IFS(A701&lt;=25,"18-25",A701&lt;=35,"26-35",A701&lt;=45,"36-45",A701&lt;=55,"46-55",A701&gt;55,"56+")</f>
        <v>46-55</v>
      </c>
      <c r="C701" t="s">
        <v>39</v>
      </c>
      <c r="D701" t="s">
        <v>33</v>
      </c>
      <c r="E701" s="2">
        <v>1053</v>
      </c>
      <c r="F701" t="s">
        <v>41</v>
      </c>
      <c r="G701">
        <v>1</v>
      </c>
      <c r="H701" t="str">
        <f t="shared" si="10"/>
        <v>1-10 km</v>
      </c>
      <c r="I701">
        <v>2</v>
      </c>
      <c r="J701" t="str" cm="1">
        <f t="array" ref="J701">_xlfn.IFS(I701=1,"Below College",I701=2,"College",I701=3,"Bachelor",I701=4,"Master",I701=5,"Doctor")</f>
        <v>College</v>
      </c>
      <c r="K701" t="s">
        <v>35</v>
      </c>
      <c r="L701">
        <v>976</v>
      </c>
      <c r="M701">
        <v>4</v>
      </c>
      <c r="N701" t="str" cm="1">
        <f t="array" ref="N701">_xlfn.IFS(M701=1,"Low",M701=2,"Medium",M701=3,"High",M701=4,"Very High")</f>
        <v>Very High</v>
      </c>
      <c r="O701" t="s">
        <v>42</v>
      </c>
      <c r="P701" s="2">
        <v>70</v>
      </c>
      <c r="Q701">
        <v>3</v>
      </c>
      <c r="R701" t="str" cm="1">
        <f t="array" ref="R701">_xlfn.IFS(Q701=1,"Low",Q701=2,"Medium",Q701=3,"High",Q701=4,"Very High")</f>
        <v>High</v>
      </c>
      <c r="S701">
        <v>4</v>
      </c>
      <c r="T701" t="str" cm="1">
        <f t="array" ref="T701">_xlfn.IFS(S701=1,"Entry Level",S701=2,"Junior",S701=3,"Mid-Level",S701=4,"Senior",S701=5,"Executive")</f>
        <v>Senior</v>
      </c>
      <c r="U701" t="s">
        <v>52</v>
      </c>
      <c r="V701">
        <v>4</v>
      </c>
      <c r="W701" t="str" cm="1">
        <f t="array" ref="W701">_xlfn.IFS(V701=1,"Low",V701=2,"Medium",V701=3,"High",V701=4,"Very High")</f>
        <v>Very High</v>
      </c>
      <c r="X701" t="s">
        <v>44</v>
      </c>
      <c r="Y701" s="2">
        <v>17099</v>
      </c>
      <c r="Z701" s="2">
        <v>13829</v>
      </c>
      <c r="AA701">
        <v>2</v>
      </c>
      <c r="AB701" t="s">
        <v>39</v>
      </c>
      <c r="AC701">
        <v>15</v>
      </c>
      <c r="AD701">
        <v>3</v>
      </c>
      <c r="AE701" t="str" cm="1">
        <f t="array" ref="AE701">_xlfn.IFS(AD701=1,"Low",AD701=2,"Good",AD701=3,"Excellent",AD701=4,"Outstanding")</f>
        <v>Excellent</v>
      </c>
      <c r="AF701">
        <v>2</v>
      </c>
      <c r="AG701" t="str" cm="1">
        <f t="array" ref="AG701">_xlfn.IFS(AF701=1,"Low",AF701=2,"Medium",AF701=3,"High",AF701=4,"Very High")</f>
        <v>Medium</v>
      </c>
      <c r="AH701">
        <v>1</v>
      </c>
      <c r="AI701">
        <v>26</v>
      </c>
      <c r="AJ701">
        <v>2</v>
      </c>
      <c r="AK701">
        <v>2</v>
      </c>
      <c r="AL701" t="str" cm="1">
        <f t="array" ref="AL701">_xlfn.IFS(AK701=1,"Low",AK701=2,"Medium",AK701=3,"High",AK701=4,"Very High")</f>
        <v>Medium</v>
      </c>
      <c r="AM701">
        <v>9</v>
      </c>
      <c r="AN701">
        <v>8</v>
      </c>
      <c r="AO701">
        <v>7</v>
      </c>
      <c r="AP701">
        <v>8</v>
      </c>
    </row>
    <row r="702" spans="1:42">
      <c r="A702">
        <v>58</v>
      </c>
      <c r="B702" t="str" cm="1">
        <f t="array" ref="B702">_xlfn.IFS(A702&lt;=25,"18-25",A702&lt;=35,"26-35",A702&lt;=45,"36-45",A702&lt;=55,"46-55",A702&gt;55,"56+")</f>
        <v>56+</v>
      </c>
      <c r="C702" t="s">
        <v>32</v>
      </c>
      <c r="D702" t="s">
        <v>33</v>
      </c>
      <c r="E702" s="2">
        <v>289</v>
      </c>
      <c r="F702" t="s">
        <v>41</v>
      </c>
      <c r="G702">
        <v>2</v>
      </c>
      <c r="H702" t="str">
        <f t="shared" si="10"/>
        <v>1-10 km</v>
      </c>
      <c r="I702">
        <v>3</v>
      </c>
      <c r="J702" t="str" cm="1">
        <f t="array" ref="J702">_xlfn.IFS(I702=1,"Below College",I702=2,"College",I702=3,"Bachelor",I702=4,"Master",I702=5,"Doctor")</f>
        <v>Bachelor</v>
      </c>
      <c r="K702" t="s">
        <v>56</v>
      </c>
      <c r="L702">
        <v>977</v>
      </c>
      <c r="M702">
        <v>4</v>
      </c>
      <c r="N702" t="str" cm="1">
        <f t="array" ref="N702">_xlfn.IFS(M702=1,"Low",M702=2,"Medium",M702=3,"High",M702=4,"Very High")</f>
        <v>Very High</v>
      </c>
      <c r="O702" t="s">
        <v>42</v>
      </c>
      <c r="P702" s="2">
        <v>51</v>
      </c>
      <c r="Q702">
        <v>3</v>
      </c>
      <c r="R702" t="str" cm="1">
        <f t="array" ref="R702">_xlfn.IFS(Q702=1,"Low",Q702=2,"Medium",Q702=3,"High",Q702=4,"Very High")</f>
        <v>High</v>
      </c>
      <c r="S702">
        <v>1</v>
      </c>
      <c r="T702" t="str" cm="1">
        <f t="array" ref="T702">_xlfn.IFS(S702=1,"Entry Level",S702=2,"Junior",S702=3,"Mid-Level",S702=4,"Senior",S702=5,"Executive")</f>
        <v>Entry Level</v>
      </c>
      <c r="U702" t="s">
        <v>43</v>
      </c>
      <c r="V702">
        <v>3</v>
      </c>
      <c r="W702" t="str" cm="1">
        <f t="array" ref="W702">_xlfn.IFS(V702=1,"Low",V702=2,"Medium",V702=3,"High",V702=4,"Very High")</f>
        <v>High</v>
      </c>
      <c r="X702" t="s">
        <v>38</v>
      </c>
      <c r="Y702" s="2">
        <v>2479</v>
      </c>
      <c r="Z702" s="2">
        <v>26227</v>
      </c>
      <c r="AA702">
        <v>4</v>
      </c>
      <c r="AB702" t="s">
        <v>39</v>
      </c>
      <c r="AC702">
        <v>24</v>
      </c>
      <c r="AD702">
        <v>4</v>
      </c>
      <c r="AE702" t="str" cm="1">
        <f t="array" ref="AE702">_xlfn.IFS(AD702=1,"Low",AD702=2,"Good",AD702=3,"Excellent",AD702=4,"Outstanding")</f>
        <v>Outstanding</v>
      </c>
      <c r="AF702">
        <v>1</v>
      </c>
      <c r="AG702" t="str" cm="1">
        <f t="array" ref="AG702">_xlfn.IFS(AF702=1,"Low",AF702=2,"Medium",AF702=3,"High",AF702=4,"Very High")</f>
        <v>Low</v>
      </c>
      <c r="AH702">
        <v>0</v>
      </c>
      <c r="AI702">
        <v>7</v>
      </c>
      <c r="AJ702">
        <v>4</v>
      </c>
      <c r="AK702">
        <v>3</v>
      </c>
      <c r="AL702" t="str" cm="1">
        <f t="array" ref="AL702">_xlfn.IFS(AK702=1,"Low",AK702=2,"Medium",AK702=3,"High",AK702=4,"Very High")</f>
        <v>High</v>
      </c>
      <c r="AM702">
        <v>1</v>
      </c>
      <c r="AN702">
        <v>0</v>
      </c>
      <c r="AO702">
        <v>0</v>
      </c>
      <c r="AP702">
        <v>0</v>
      </c>
    </row>
    <row r="703" spans="1:42">
      <c r="A703">
        <v>53</v>
      </c>
      <c r="B703" t="str" cm="1">
        <f t="array" ref="B703">_xlfn.IFS(A703&lt;=25,"18-25",A703&lt;=35,"26-35",A703&lt;=45,"36-45",A703&lt;=55,"46-55",A703&gt;55,"56+")</f>
        <v>46-55</v>
      </c>
      <c r="C703" t="s">
        <v>39</v>
      </c>
      <c r="D703" t="s">
        <v>33</v>
      </c>
      <c r="E703" s="2">
        <v>1376</v>
      </c>
      <c r="F703" t="s">
        <v>34</v>
      </c>
      <c r="G703">
        <v>2</v>
      </c>
      <c r="H703" t="str">
        <f t="shared" si="10"/>
        <v>1-10 km</v>
      </c>
      <c r="I703">
        <v>2</v>
      </c>
      <c r="J703" t="str" cm="1">
        <f t="array" ref="J703">_xlfn.IFS(I703=1,"Below College",I703=2,"College",I703=3,"Bachelor",I703=4,"Master",I703=5,"Doctor")</f>
        <v>College</v>
      </c>
      <c r="K703" t="s">
        <v>47</v>
      </c>
      <c r="L703">
        <v>981</v>
      </c>
      <c r="M703">
        <v>3</v>
      </c>
      <c r="N703" t="str" cm="1">
        <f t="array" ref="N703">_xlfn.IFS(M703=1,"Low",M703=2,"Medium",M703=3,"High",M703=4,"Very High")</f>
        <v>High</v>
      </c>
      <c r="O703" t="s">
        <v>42</v>
      </c>
      <c r="P703" s="2">
        <v>45</v>
      </c>
      <c r="Q703">
        <v>3</v>
      </c>
      <c r="R703" t="str" cm="1">
        <f t="array" ref="R703">_xlfn.IFS(Q703=1,"Low",Q703=2,"Medium",Q703=3,"High",Q703=4,"Very High")</f>
        <v>High</v>
      </c>
      <c r="S703">
        <v>4</v>
      </c>
      <c r="T703" t="str" cm="1">
        <f t="array" ref="T703">_xlfn.IFS(S703=1,"Entry Level",S703=2,"Junior",S703=3,"Mid-Level",S703=4,"Senior",S703=5,"Executive")</f>
        <v>Senior</v>
      </c>
      <c r="U703" t="s">
        <v>52</v>
      </c>
      <c r="V703">
        <v>3</v>
      </c>
      <c r="W703" t="str" cm="1">
        <f t="array" ref="W703">_xlfn.IFS(V703=1,"Low",V703=2,"Medium",V703=3,"High",V703=4,"Very High")</f>
        <v>High</v>
      </c>
      <c r="X703" t="s">
        <v>48</v>
      </c>
      <c r="Y703" s="2">
        <v>14852</v>
      </c>
      <c r="Z703" s="2">
        <v>13938</v>
      </c>
      <c r="AA703">
        <v>6</v>
      </c>
      <c r="AB703" t="s">
        <v>39</v>
      </c>
      <c r="AC703">
        <v>13</v>
      </c>
      <c r="AD703">
        <v>3</v>
      </c>
      <c r="AE703" t="str" cm="1">
        <f t="array" ref="AE703">_xlfn.IFS(AD703=1,"Low",AD703=2,"Good",AD703=3,"Excellent",AD703=4,"Outstanding")</f>
        <v>Excellent</v>
      </c>
      <c r="AF703">
        <v>3</v>
      </c>
      <c r="AG703" t="str" cm="1">
        <f t="array" ref="AG703">_xlfn.IFS(AF703=1,"Low",AF703=2,"Medium",AF703=3,"High",AF703=4,"Very High")</f>
        <v>High</v>
      </c>
      <c r="AH703">
        <v>1</v>
      </c>
      <c r="AI703">
        <v>22</v>
      </c>
      <c r="AJ703">
        <v>3</v>
      </c>
      <c r="AK703">
        <v>4</v>
      </c>
      <c r="AL703" t="str" cm="1">
        <f t="array" ref="AL703">_xlfn.IFS(AK703=1,"Low",AK703=2,"Medium",AK703=3,"High",AK703=4,"Very High")</f>
        <v>Very High</v>
      </c>
      <c r="AM703">
        <v>17</v>
      </c>
      <c r="AN703">
        <v>13</v>
      </c>
      <c r="AO703">
        <v>15</v>
      </c>
      <c r="AP703">
        <v>2</v>
      </c>
    </row>
    <row r="704" spans="1:42">
      <c r="A704">
        <v>30</v>
      </c>
      <c r="B704" t="str" cm="1">
        <f t="array" ref="B704">_xlfn.IFS(A704&lt;=25,"18-25",A704&lt;=35,"26-35",A704&lt;=45,"36-45",A704&lt;=55,"46-55",A704&gt;55,"56+")</f>
        <v>26-35</v>
      </c>
      <c r="C704" t="s">
        <v>39</v>
      </c>
      <c r="D704" t="s">
        <v>33</v>
      </c>
      <c r="E704" s="2">
        <v>231</v>
      </c>
      <c r="F704" t="s">
        <v>34</v>
      </c>
      <c r="G704">
        <v>8</v>
      </c>
      <c r="H704" t="str">
        <f t="shared" si="10"/>
        <v>1-10 km</v>
      </c>
      <c r="I704">
        <v>2</v>
      </c>
      <c r="J704" t="str" cm="1">
        <f t="array" ref="J704">_xlfn.IFS(I704=1,"Below College",I704=2,"College",I704=3,"Bachelor",I704=4,"Master",I704=5,"Doctor")</f>
        <v>College</v>
      </c>
      <c r="K704" t="s">
        <v>45</v>
      </c>
      <c r="L704">
        <v>982</v>
      </c>
      <c r="M704">
        <v>3</v>
      </c>
      <c r="N704" t="str" cm="1">
        <f t="array" ref="N704">_xlfn.IFS(M704=1,"Low",M704=2,"Medium",M704=3,"High",M704=4,"Very High")</f>
        <v>High</v>
      </c>
      <c r="O704" t="s">
        <v>42</v>
      </c>
      <c r="P704" s="2">
        <v>62</v>
      </c>
      <c r="Q704">
        <v>3</v>
      </c>
      <c r="R704" t="str" cm="1">
        <f t="array" ref="R704">_xlfn.IFS(Q704=1,"Low",Q704=2,"Medium",Q704=3,"High",Q704=4,"Very High")</f>
        <v>High</v>
      </c>
      <c r="S704">
        <v>3</v>
      </c>
      <c r="T704" t="str" cm="1">
        <f t="array" ref="T704">_xlfn.IFS(S704=1,"Entry Level",S704=2,"Junior",S704=3,"Mid-Level",S704=4,"Senior",S704=5,"Executive")</f>
        <v>Mid-Level</v>
      </c>
      <c r="U704" t="s">
        <v>37</v>
      </c>
      <c r="V704">
        <v>3</v>
      </c>
      <c r="W704" t="str" cm="1">
        <f t="array" ref="W704">_xlfn.IFS(V704=1,"Low",V704=2,"Medium",V704=3,"High",V704=4,"Very High")</f>
        <v>High</v>
      </c>
      <c r="X704" t="s">
        <v>48</v>
      </c>
      <c r="Y704" s="2">
        <v>7264</v>
      </c>
      <c r="Z704" s="2">
        <v>9977</v>
      </c>
      <c r="AA704">
        <v>5</v>
      </c>
      <c r="AB704" t="s">
        <v>39</v>
      </c>
      <c r="AC704">
        <v>11</v>
      </c>
      <c r="AD704">
        <v>3</v>
      </c>
      <c r="AE704" t="str" cm="1">
        <f t="array" ref="AE704">_xlfn.IFS(AD704=1,"Low",AD704=2,"Good",AD704=3,"Excellent",AD704=4,"Outstanding")</f>
        <v>Excellent</v>
      </c>
      <c r="AF704">
        <v>1</v>
      </c>
      <c r="AG704" t="str" cm="1">
        <f t="array" ref="AG704">_xlfn.IFS(AF704=1,"Low",AF704=2,"Medium",AF704=3,"High",AF704=4,"Very High")</f>
        <v>Low</v>
      </c>
      <c r="AH704">
        <v>1</v>
      </c>
      <c r="AI704">
        <v>10</v>
      </c>
      <c r="AJ704">
        <v>2</v>
      </c>
      <c r="AK704">
        <v>4</v>
      </c>
      <c r="AL704" t="str" cm="1">
        <f t="array" ref="AL704">_xlfn.IFS(AK704=1,"Low",AK704=2,"Medium",AK704=3,"High",AK704=4,"Very High")</f>
        <v>Very High</v>
      </c>
      <c r="AM704">
        <v>8</v>
      </c>
      <c r="AN704">
        <v>4</v>
      </c>
      <c r="AO704">
        <v>7</v>
      </c>
      <c r="AP704">
        <v>7</v>
      </c>
    </row>
    <row r="705" spans="1:42">
      <c r="A705">
        <v>38</v>
      </c>
      <c r="B705" t="str" cm="1">
        <f t="array" ref="B705">_xlfn.IFS(A705&lt;=25,"18-25",A705&lt;=35,"26-35",A705&lt;=45,"36-45",A705&lt;=55,"46-55",A705&gt;55,"56+")</f>
        <v>36-45</v>
      </c>
      <c r="C705" t="s">
        <v>39</v>
      </c>
      <c r="D705" t="s">
        <v>51</v>
      </c>
      <c r="E705" s="2">
        <v>152</v>
      </c>
      <c r="F705" t="s">
        <v>34</v>
      </c>
      <c r="G705">
        <v>10</v>
      </c>
      <c r="H705" t="str">
        <f t="shared" si="10"/>
        <v>1-10 km</v>
      </c>
      <c r="I705">
        <v>3</v>
      </c>
      <c r="J705" t="str" cm="1">
        <f t="array" ref="J705">_xlfn.IFS(I705=1,"Below College",I705=2,"College",I705=3,"Bachelor",I705=4,"Master",I705=5,"Doctor")</f>
        <v>Bachelor</v>
      </c>
      <c r="K705" t="s">
        <v>56</v>
      </c>
      <c r="L705">
        <v>983</v>
      </c>
      <c r="M705">
        <v>3</v>
      </c>
      <c r="N705" t="str" cm="1">
        <f t="array" ref="N705">_xlfn.IFS(M705=1,"Low",M705=2,"Medium",M705=3,"High",M705=4,"Very High")</f>
        <v>High</v>
      </c>
      <c r="O705" t="s">
        <v>36</v>
      </c>
      <c r="P705" s="2">
        <v>85</v>
      </c>
      <c r="Q705">
        <v>3</v>
      </c>
      <c r="R705" t="str" cm="1">
        <f t="array" ref="R705">_xlfn.IFS(Q705=1,"Low",Q705=2,"Medium",Q705=3,"High",Q705=4,"Very High")</f>
        <v>High</v>
      </c>
      <c r="S705">
        <v>2</v>
      </c>
      <c r="T705" t="str" cm="1">
        <f t="array" ref="T705">_xlfn.IFS(S705=1,"Entry Level",S705=2,"Junior",S705=3,"Mid-Level",S705=4,"Senior",S705=5,"Executive")</f>
        <v>Junior</v>
      </c>
      <c r="U705" t="s">
        <v>37</v>
      </c>
      <c r="V705">
        <v>4</v>
      </c>
      <c r="W705" t="str" cm="1">
        <f t="array" ref="W705">_xlfn.IFS(V705=1,"Low",V705=2,"Medium",V705=3,"High",V705=4,"Very High")</f>
        <v>Very High</v>
      </c>
      <c r="X705" t="s">
        <v>38</v>
      </c>
      <c r="Y705" s="2">
        <v>5666</v>
      </c>
      <c r="Z705" s="2">
        <v>19899</v>
      </c>
      <c r="AA705">
        <v>1</v>
      </c>
      <c r="AB705" t="s">
        <v>32</v>
      </c>
      <c r="AC705">
        <v>13</v>
      </c>
      <c r="AD705">
        <v>3</v>
      </c>
      <c r="AE705" t="str" cm="1">
        <f t="array" ref="AE705">_xlfn.IFS(AD705=1,"Low",AD705=2,"Good",AD705=3,"Excellent",AD705=4,"Outstanding")</f>
        <v>Excellent</v>
      </c>
      <c r="AF705">
        <v>2</v>
      </c>
      <c r="AG705" t="str" cm="1">
        <f t="array" ref="AG705">_xlfn.IFS(AF705=1,"Low",AF705=2,"Medium",AF705=3,"High",AF705=4,"Very High")</f>
        <v>Medium</v>
      </c>
      <c r="AH705">
        <v>0</v>
      </c>
      <c r="AI705">
        <v>6</v>
      </c>
      <c r="AJ705">
        <v>1</v>
      </c>
      <c r="AK705">
        <v>3</v>
      </c>
      <c r="AL705" t="str" cm="1">
        <f t="array" ref="AL705">_xlfn.IFS(AK705=1,"Low",AK705=2,"Medium",AK705=3,"High",AK705=4,"Very High")</f>
        <v>High</v>
      </c>
      <c r="AM705">
        <v>5</v>
      </c>
      <c r="AN705">
        <v>3</v>
      </c>
      <c r="AO705">
        <v>1</v>
      </c>
      <c r="AP705">
        <v>3</v>
      </c>
    </row>
    <row r="706" spans="1:42">
      <c r="A706">
        <v>35</v>
      </c>
      <c r="B706" t="str" cm="1">
        <f t="array" ref="B706">_xlfn.IFS(A706&lt;=25,"18-25",A706&lt;=35,"26-35",A706&lt;=45,"36-45",A706&lt;=55,"46-55",A706&gt;55,"56+")</f>
        <v>26-35</v>
      </c>
      <c r="C706" t="s">
        <v>39</v>
      </c>
      <c r="D706" t="s">
        <v>33</v>
      </c>
      <c r="E706" s="2">
        <v>882</v>
      </c>
      <c r="F706" t="s">
        <v>34</v>
      </c>
      <c r="G706">
        <v>3</v>
      </c>
      <c r="H706" t="str">
        <f t="shared" si="10"/>
        <v>1-10 km</v>
      </c>
      <c r="I706">
        <v>4</v>
      </c>
      <c r="J706" t="str" cm="1">
        <f t="array" ref="J706">_xlfn.IFS(I706=1,"Below College",I706=2,"College",I706=3,"Bachelor",I706=4,"Master",I706=5,"Doctor")</f>
        <v>Master</v>
      </c>
      <c r="K706" t="s">
        <v>35</v>
      </c>
      <c r="L706">
        <v>984</v>
      </c>
      <c r="M706">
        <v>4</v>
      </c>
      <c r="N706" t="str" cm="1">
        <f t="array" ref="N706">_xlfn.IFS(M706=1,"Low",M706=2,"Medium",M706=3,"High",M706=4,"Very High")</f>
        <v>Very High</v>
      </c>
      <c r="O706" t="s">
        <v>42</v>
      </c>
      <c r="P706" s="2">
        <v>92</v>
      </c>
      <c r="Q706">
        <v>3</v>
      </c>
      <c r="R706" t="str" cm="1">
        <f t="array" ref="R706">_xlfn.IFS(Q706=1,"Low",Q706=2,"Medium",Q706=3,"High",Q706=4,"Very High")</f>
        <v>High</v>
      </c>
      <c r="S706">
        <v>3</v>
      </c>
      <c r="T706" t="str" cm="1">
        <f t="array" ref="T706">_xlfn.IFS(S706=1,"Entry Level",S706=2,"Junior",S706=3,"Mid-Level",S706=4,"Senior",S706=5,"Executive")</f>
        <v>Mid-Level</v>
      </c>
      <c r="U706" t="s">
        <v>37</v>
      </c>
      <c r="V706">
        <v>4</v>
      </c>
      <c r="W706" t="str" cm="1">
        <f t="array" ref="W706">_xlfn.IFS(V706=1,"Low",V706=2,"Medium",V706=3,"High",V706=4,"Very High")</f>
        <v>Very High</v>
      </c>
      <c r="X706" t="s">
        <v>48</v>
      </c>
      <c r="Y706" s="2">
        <v>7823</v>
      </c>
      <c r="Z706" s="2">
        <v>6812</v>
      </c>
      <c r="AA706">
        <v>6</v>
      </c>
      <c r="AB706" t="s">
        <v>39</v>
      </c>
      <c r="AC706">
        <v>13</v>
      </c>
      <c r="AD706">
        <v>3</v>
      </c>
      <c r="AE706" t="str" cm="1">
        <f t="array" ref="AE706">_xlfn.IFS(AD706=1,"Low",AD706=2,"Good",AD706=3,"Excellent",AD706=4,"Outstanding")</f>
        <v>Excellent</v>
      </c>
      <c r="AF706">
        <v>2</v>
      </c>
      <c r="AG706" t="str" cm="1">
        <f t="array" ref="AG706">_xlfn.IFS(AF706=1,"Low",AF706=2,"Medium",AF706=3,"High",AF706=4,"Very High")</f>
        <v>Medium</v>
      </c>
      <c r="AH706">
        <v>1</v>
      </c>
      <c r="AI706">
        <v>12</v>
      </c>
      <c r="AJ706">
        <v>2</v>
      </c>
      <c r="AK706">
        <v>3</v>
      </c>
      <c r="AL706" t="str" cm="1">
        <f t="array" ref="AL706">_xlfn.IFS(AK706=1,"Low",AK706=2,"Medium",AK706=3,"High",AK706=4,"Very High")</f>
        <v>High</v>
      </c>
      <c r="AM706">
        <v>10</v>
      </c>
      <c r="AN706">
        <v>9</v>
      </c>
      <c r="AO706">
        <v>0</v>
      </c>
      <c r="AP706">
        <v>8</v>
      </c>
    </row>
    <row r="707" spans="1:42">
      <c r="A707">
        <v>39</v>
      </c>
      <c r="B707" t="str" cm="1">
        <f t="array" ref="B707">_xlfn.IFS(A707&lt;=25,"18-25",A707&lt;=35,"26-35",A707&lt;=45,"36-45",A707&lt;=55,"46-55",A707&gt;55,"56+")</f>
        <v>36-45</v>
      </c>
      <c r="C707" t="s">
        <v>39</v>
      </c>
      <c r="D707" t="s">
        <v>33</v>
      </c>
      <c r="E707" s="2">
        <v>903</v>
      </c>
      <c r="F707" t="s">
        <v>34</v>
      </c>
      <c r="G707">
        <v>2</v>
      </c>
      <c r="H707" t="str">
        <f t="shared" ref="H707:H770" si="11">IF(G707&lt;=10,"1-10 km",IF(G707&lt;=20,"11-20 km",IF(G707&lt;=30,"21-30 km","31+ km")))</f>
        <v>1-10 km</v>
      </c>
      <c r="I707">
        <v>5</v>
      </c>
      <c r="J707" t="str" cm="1">
        <f t="array" ref="J707">_xlfn.IFS(I707=1,"Below College",I707=2,"College",I707=3,"Bachelor",I707=4,"Master",I707=5,"Doctor")</f>
        <v>Doctor</v>
      </c>
      <c r="K707" t="s">
        <v>35</v>
      </c>
      <c r="L707">
        <v>985</v>
      </c>
      <c r="M707">
        <v>1</v>
      </c>
      <c r="N707" t="str" cm="1">
        <f t="array" ref="N707">_xlfn.IFS(M707=1,"Low",M707=2,"Medium",M707=3,"High",M707=4,"Very High")</f>
        <v>Low</v>
      </c>
      <c r="O707" t="s">
        <v>42</v>
      </c>
      <c r="P707" s="2">
        <v>41</v>
      </c>
      <c r="Q707">
        <v>4</v>
      </c>
      <c r="R707" t="str" cm="1">
        <f t="array" ref="R707">_xlfn.IFS(Q707=1,"Low",Q707=2,"Medium",Q707=3,"High",Q707=4,"Very High")</f>
        <v>Very High</v>
      </c>
      <c r="S707">
        <v>3</v>
      </c>
      <c r="T707" t="str" cm="1">
        <f t="array" ref="T707">_xlfn.IFS(S707=1,"Entry Level",S707=2,"Junior",S707=3,"Mid-Level",S707=4,"Senior",S707=5,"Executive")</f>
        <v>Mid-Level</v>
      </c>
      <c r="U707" t="s">
        <v>37</v>
      </c>
      <c r="V707">
        <v>3</v>
      </c>
      <c r="W707" t="str" cm="1">
        <f t="array" ref="W707">_xlfn.IFS(V707=1,"Low",V707=2,"Medium",V707=3,"High",V707=4,"Very High")</f>
        <v>High</v>
      </c>
      <c r="X707" t="s">
        <v>38</v>
      </c>
      <c r="Y707" s="2">
        <v>7880</v>
      </c>
      <c r="Z707" s="2">
        <v>2560</v>
      </c>
      <c r="AA707">
        <v>0</v>
      </c>
      <c r="AB707" t="s">
        <v>39</v>
      </c>
      <c r="AC707">
        <v>18</v>
      </c>
      <c r="AD707">
        <v>3</v>
      </c>
      <c r="AE707" t="str" cm="1">
        <f t="array" ref="AE707">_xlfn.IFS(AD707=1,"Low",AD707=2,"Good",AD707=3,"Excellent",AD707=4,"Outstanding")</f>
        <v>Excellent</v>
      </c>
      <c r="AF707">
        <v>4</v>
      </c>
      <c r="AG707" t="str" cm="1">
        <f t="array" ref="AG707">_xlfn.IFS(AF707=1,"Low",AF707=2,"Medium",AF707=3,"High",AF707=4,"Very High")</f>
        <v>Very High</v>
      </c>
      <c r="AH707">
        <v>0</v>
      </c>
      <c r="AI707">
        <v>9</v>
      </c>
      <c r="AJ707">
        <v>3</v>
      </c>
      <c r="AK707">
        <v>3</v>
      </c>
      <c r="AL707" t="str" cm="1">
        <f t="array" ref="AL707">_xlfn.IFS(AK707=1,"Low",AK707=2,"Medium",AK707=3,"High",AK707=4,"Very High")</f>
        <v>High</v>
      </c>
      <c r="AM707">
        <v>8</v>
      </c>
      <c r="AN707">
        <v>7</v>
      </c>
      <c r="AO707">
        <v>0</v>
      </c>
      <c r="AP707">
        <v>7</v>
      </c>
    </row>
    <row r="708" spans="1:42">
      <c r="A708">
        <v>40</v>
      </c>
      <c r="B708" t="str" cm="1">
        <f t="array" ref="B708">_xlfn.IFS(A708&lt;=25,"18-25",A708&lt;=35,"26-35",A708&lt;=45,"36-45",A708&lt;=55,"46-55",A708&gt;55,"56+")</f>
        <v>36-45</v>
      </c>
      <c r="C708" t="s">
        <v>32</v>
      </c>
      <c r="D708" t="s">
        <v>51</v>
      </c>
      <c r="E708" s="2">
        <v>1479</v>
      </c>
      <c r="F708" t="s">
        <v>34</v>
      </c>
      <c r="G708">
        <v>24</v>
      </c>
      <c r="H708" t="str">
        <f t="shared" si="11"/>
        <v>21-30 km</v>
      </c>
      <c r="I708">
        <v>3</v>
      </c>
      <c r="J708" t="str" cm="1">
        <f t="array" ref="J708">_xlfn.IFS(I708=1,"Below College",I708=2,"College",I708=3,"Bachelor",I708=4,"Master",I708=5,"Doctor")</f>
        <v>Bachelor</v>
      </c>
      <c r="K708" t="s">
        <v>35</v>
      </c>
      <c r="L708">
        <v>986</v>
      </c>
      <c r="M708">
        <v>2</v>
      </c>
      <c r="N708" t="str" cm="1">
        <f t="array" ref="N708">_xlfn.IFS(M708=1,"Low",M708=2,"Medium",M708=3,"High",M708=4,"Very High")</f>
        <v>Medium</v>
      </c>
      <c r="O708" t="s">
        <v>36</v>
      </c>
      <c r="P708" s="2">
        <v>100</v>
      </c>
      <c r="Q708">
        <v>4</v>
      </c>
      <c r="R708" t="str" cm="1">
        <f t="array" ref="R708">_xlfn.IFS(Q708=1,"Low",Q708=2,"Medium",Q708=3,"High",Q708=4,"Very High")</f>
        <v>Very High</v>
      </c>
      <c r="S708">
        <v>4</v>
      </c>
      <c r="T708" t="str" cm="1">
        <f t="array" ref="T708">_xlfn.IFS(S708=1,"Entry Level",S708=2,"Junior",S708=3,"Mid-Level",S708=4,"Senior",S708=5,"Executive")</f>
        <v>Senior</v>
      </c>
      <c r="U708" t="s">
        <v>37</v>
      </c>
      <c r="V708">
        <v>2</v>
      </c>
      <c r="W708" t="str" cm="1">
        <f t="array" ref="W708">_xlfn.IFS(V708=1,"Low",V708=2,"Medium",V708=3,"High",V708=4,"Very High")</f>
        <v>Medium</v>
      </c>
      <c r="X708" t="s">
        <v>38</v>
      </c>
      <c r="Y708" s="2">
        <v>13194</v>
      </c>
      <c r="Z708" s="2">
        <v>17071</v>
      </c>
      <c r="AA708">
        <v>4</v>
      </c>
      <c r="AB708" t="s">
        <v>32</v>
      </c>
      <c r="AC708">
        <v>16</v>
      </c>
      <c r="AD708">
        <v>3</v>
      </c>
      <c r="AE708" t="str" cm="1">
        <f t="array" ref="AE708">_xlfn.IFS(AD708=1,"Low",AD708=2,"Good",AD708=3,"Excellent",AD708=4,"Outstanding")</f>
        <v>Excellent</v>
      </c>
      <c r="AF708">
        <v>4</v>
      </c>
      <c r="AG708" t="str" cm="1">
        <f t="array" ref="AG708">_xlfn.IFS(AF708=1,"Low",AF708=2,"Medium",AF708=3,"High",AF708=4,"Very High")</f>
        <v>Very High</v>
      </c>
      <c r="AH708">
        <v>0</v>
      </c>
      <c r="AI708">
        <v>22</v>
      </c>
      <c r="AJ708">
        <v>2</v>
      </c>
      <c r="AK708">
        <v>2</v>
      </c>
      <c r="AL708" t="str" cm="1">
        <f t="array" ref="AL708">_xlfn.IFS(AK708=1,"Low",AK708=2,"Medium",AK708=3,"High",AK708=4,"Very High")</f>
        <v>Medium</v>
      </c>
      <c r="AM708">
        <v>1</v>
      </c>
      <c r="AN708">
        <v>0</v>
      </c>
      <c r="AO708">
        <v>0</v>
      </c>
      <c r="AP708">
        <v>0</v>
      </c>
    </row>
    <row r="709" spans="1:42">
      <c r="A709">
        <v>47</v>
      </c>
      <c r="B709" t="str" cm="1">
        <f t="array" ref="B709">_xlfn.IFS(A709&lt;=25,"18-25",A709&lt;=35,"26-35",A709&lt;=45,"36-45",A709&lt;=55,"46-55",A709&gt;55,"56+")</f>
        <v>46-55</v>
      </c>
      <c r="C709" t="s">
        <v>39</v>
      </c>
      <c r="D709" t="s">
        <v>40</v>
      </c>
      <c r="E709" s="2">
        <v>1379</v>
      </c>
      <c r="F709" t="s">
        <v>41</v>
      </c>
      <c r="G709">
        <v>16</v>
      </c>
      <c r="H709" t="str">
        <f t="shared" si="11"/>
        <v>11-20 km</v>
      </c>
      <c r="I709">
        <v>4</v>
      </c>
      <c r="J709" t="str" cm="1">
        <f t="array" ref="J709">_xlfn.IFS(I709=1,"Below College",I709=2,"College",I709=3,"Bachelor",I709=4,"Master",I709=5,"Doctor")</f>
        <v>Master</v>
      </c>
      <c r="K709" t="s">
        <v>47</v>
      </c>
      <c r="L709">
        <v>987</v>
      </c>
      <c r="M709">
        <v>3</v>
      </c>
      <c r="N709" t="str" cm="1">
        <f t="array" ref="N709">_xlfn.IFS(M709=1,"Low",M709=2,"Medium",M709=3,"High",M709=4,"Very High")</f>
        <v>High</v>
      </c>
      <c r="O709" t="s">
        <v>42</v>
      </c>
      <c r="P709" s="2">
        <v>64</v>
      </c>
      <c r="Q709">
        <v>4</v>
      </c>
      <c r="R709" t="str" cm="1">
        <f t="array" ref="R709">_xlfn.IFS(Q709=1,"Low",Q709=2,"Medium",Q709=3,"High",Q709=4,"Very High")</f>
        <v>Very High</v>
      </c>
      <c r="S709">
        <v>2</v>
      </c>
      <c r="T709" t="str" cm="1">
        <f t="array" ref="T709">_xlfn.IFS(S709=1,"Entry Level",S709=2,"Junior",S709=3,"Mid-Level",S709=4,"Senior",S709=5,"Executive")</f>
        <v>Junior</v>
      </c>
      <c r="U709" t="s">
        <v>49</v>
      </c>
      <c r="V709">
        <v>3</v>
      </c>
      <c r="W709" t="str" cm="1">
        <f t="array" ref="W709">_xlfn.IFS(V709=1,"Low",V709=2,"Medium",V709=3,"High",V709=4,"Very High")</f>
        <v>High</v>
      </c>
      <c r="X709" t="s">
        <v>48</v>
      </c>
      <c r="Y709" s="2">
        <v>5067</v>
      </c>
      <c r="Z709" s="2">
        <v>6759</v>
      </c>
      <c r="AA709">
        <v>1</v>
      </c>
      <c r="AB709" t="s">
        <v>32</v>
      </c>
      <c r="AC709">
        <v>19</v>
      </c>
      <c r="AD709">
        <v>3</v>
      </c>
      <c r="AE709" t="str" cm="1">
        <f t="array" ref="AE709">_xlfn.IFS(AD709=1,"Low",AD709=2,"Good",AD709=3,"Excellent",AD709=4,"Outstanding")</f>
        <v>Excellent</v>
      </c>
      <c r="AF709">
        <v>3</v>
      </c>
      <c r="AG709" t="str" cm="1">
        <f t="array" ref="AG709">_xlfn.IFS(AF709=1,"Low",AF709=2,"Medium",AF709=3,"High",AF709=4,"Very High")</f>
        <v>High</v>
      </c>
      <c r="AH709">
        <v>0</v>
      </c>
      <c r="AI709">
        <v>20</v>
      </c>
      <c r="AJ709">
        <v>3</v>
      </c>
      <c r="AK709">
        <v>4</v>
      </c>
      <c r="AL709" t="str" cm="1">
        <f t="array" ref="AL709">_xlfn.IFS(AK709=1,"Low",AK709=2,"Medium",AK709=3,"High",AK709=4,"Very High")</f>
        <v>Very High</v>
      </c>
      <c r="AM709">
        <v>19</v>
      </c>
      <c r="AN709">
        <v>10</v>
      </c>
      <c r="AO709">
        <v>2</v>
      </c>
      <c r="AP709">
        <v>7</v>
      </c>
    </row>
    <row r="710" spans="1:42">
      <c r="A710">
        <v>36</v>
      </c>
      <c r="B710" t="str" cm="1">
        <f t="array" ref="B710">_xlfn.IFS(A710&lt;=25,"18-25",A710&lt;=35,"26-35",A710&lt;=45,"36-45",A710&lt;=55,"46-55",A710&gt;55,"56+")</f>
        <v>36-45</v>
      </c>
      <c r="C710" t="s">
        <v>39</v>
      </c>
      <c r="D710" t="s">
        <v>51</v>
      </c>
      <c r="E710" s="2">
        <v>1229</v>
      </c>
      <c r="F710" t="s">
        <v>34</v>
      </c>
      <c r="G710">
        <v>8</v>
      </c>
      <c r="H710" t="str">
        <f t="shared" si="11"/>
        <v>1-10 km</v>
      </c>
      <c r="I710">
        <v>4</v>
      </c>
      <c r="J710" t="str" cm="1">
        <f t="array" ref="J710">_xlfn.IFS(I710=1,"Below College",I710=2,"College",I710=3,"Bachelor",I710=4,"Master",I710=5,"Doctor")</f>
        <v>Master</v>
      </c>
      <c r="K710" t="s">
        <v>56</v>
      </c>
      <c r="L710">
        <v>990</v>
      </c>
      <c r="M710">
        <v>1</v>
      </c>
      <c r="N710" t="str" cm="1">
        <f t="array" ref="N710">_xlfn.IFS(M710=1,"Low",M710=2,"Medium",M710=3,"High",M710=4,"Very High")</f>
        <v>Low</v>
      </c>
      <c r="O710" t="s">
        <v>42</v>
      </c>
      <c r="P710" s="2">
        <v>84</v>
      </c>
      <c r="Q710">
        <v>3</v>
      </c>
      <c r="R710" t="str" cm="1">
        <f t="array" ref="R710">_xlfn.IFS(Q710=1,"Low",Q710=2,"Medium",Q710=3,"High",Q710=4,"Very High")</f>
        <v>High</v>
      </c>
      <c r="S710">
        <v>2</v>
      </c>
      <c r="T710" t="str" cm="1">
        <f t="array" ref="T710">_xlfn.IFS(S710=1,"Entry Level",S710=2,"Junior",S710=3,"Mid-Level",S710=4,"Senior",S710=5,"Executive")</f>
        <v>Junior</v>
      </c>
      <c r="U710" t="s">
        <v>37</v>
      </c>
      <c r="V710">
        <v>4</v>
      </c>
      <c r="W710" t="str" cm="1">
        <f t="array" ref="W710">_xlfn.IFS(V710=1,"Low",V710=2,"Medium",V710=3,"High",V710=4,"Very High")</f>
        <v>Very High</v>
      </c>
      <c r="X710" t="s">
        <v>48</v>
      </c>
      <c r="Y710" s="2">
        <v>5079</v>
      </c>
      <c r="Z710" s="2">
        <v>25952</v>
      </c>
      <c r="AA710">
        <v>4</v>
      </c>
      <c r="AB710" t="s">
        <v>39</v>
      </c>
      <c r="AC710">
        <v>13</v>
      </c>
      <c r="AD710">
        <v>3</v>
      </c>
      <c r="AE710" t="str" cm="1">
        <f t="array" ref="AE710">_xlfn.IFS(AD710=1,"Low",AD710=2,"Good",AD710=3,"Excellent",AD710=4,"Outstanding")</f>
        <v>Excellent</v>
      </c>
      <c r="AF710">
        <v>4</v>
      </c>
      <c r="AG710" t="str" cm="1">
        <f t="array" ref="AG710">_xlfn.IFS(AF710=1,"Low",AF710=2,"Medium",AF710=3,"High",AF710=4,"Very High")</f>
        <v>Very High</v>
      </c>
      <c r="AH710">
        <v>2</v>
      </c>
      <c r="AI710">
        <v>12</v>
      </c>
      <c r="AJ710">
        <v>3</v>
      </c>
      <c r="AK710">
        <v>3</v>
      </c>
      <c r="AL710" t="str" cm="1">
        <f t="array" ref="AL710">_xlfn.IFS(AK710=1,"Low",AK710=2,"Medium",AK710=3,"High",AK710=4,"Very High")</f>
        <v>High</v>
      </c>
      <c r="AM710">
        <v>7</v>
      </c>
      <c r="AN710">
        <v>7</v>
      </c>
      <c r="AO710">
        <v>0</v>
      </c>
      <c r="AP710">
        <v>7</v>
      </c>
    </row>
    <row r="711" spans="1:42">
      <c r="A711">
        <v>31</v>
      </c>
      <c r="B711" t="str" cm="1">
        <f t="array" ref="B711">_xlfn.IFS(A711&lt;=25,"18-25",A711&lt;=35,"26-35",A711&lt;=45,"36-45",A711&lt;=55,"46-55",A711&gt;55,"56+")</f>
        <v>26-35</v>
      </c>
      <c r="C711" t="s">
        <v>32</v>
      </c>
      <c r="D711" t="s">
        <v>51</v>
      </c>
      <c r="E711" s="2">
        <v>335</v>
      </c>
      <c r="F711" t="s">
        <v>41</v>
      </c>
      <c r="G711">
        <v>9</v>
      </c>
      <c r="H711" t="str">
        <f t="shared" si="11"/>
        <v>1-10 km</v>
      </c>
      <c r="I711">
        <v>2</v>
      </c>
      <c r="J711" t="str" cm="1">
        <f t="array" ref="J711">_xlfn.IFS(I711=1,"Below College",I711=2,"College",I711=3,"Bachelor",I711=4,"Master",I711=5,"Doctor")</f>
        <v>College</v>
      </c>
      <c r="K711" t="s">
        <v>47</v>
      </c>
      <c r="L711">
        <v>991</v>
      </c>
      <c r="M711">
        <v>3</v>
      </c>
      <c r="N711" t="str" cm="1">
        <f t="array" ref="N711">_xlfn.IFS(M711=1,"Low",M711=2,"Medium",M711=3,"High",M711=4,"Very High")</f>
        <v>High</v>
      </c>
      <c r="O711" t="s">
        <v>42</v>
      </c>
      <c r="P711" s="2">
        <v>46</v>
      </c>
      <c r="Q711">
        <v>2</v>
      </c>
      <c r="R711" t="str" cm="1">
        <f t="array" ref="R711">_xlfn.IFS(Q711=1,"Low",Q711=2,"Medium",Q711=3,"High",Q711=4,"Very High")</f>
        <v>Medium</v>
      </c>
      <c r="S711">
        <v>1</v>
      </c>
      <c r="T711" t="str" cm="1">
        <f t="array" ref="T711">_xlfn.IFS(S711=1,"Entry Level",S711=2,"Junior",S711=3,"Mid-Level",S711=4,"Senior",S711=5,"Executive")</f>
        <v>Entry Level</v>
      </c>
      <c r="U711" t="s">
        <v>43</v>
      </c>
      <c r="V711">
        <v>1</v>
      </c>
      <c r="W711" t="str" cm="1">
        <f t="array" ref="W711">_xlfn.IFS(V711=1,"Low",V711=2,"Medium",V711=3,"High",V711=4,"Very High")</f>
        <v>Low</v>
      </c>
      <c r="X711" t="s">
        <v>38</v>
      </c>
      <c r="Y711" s="2">
        <v>2321</v>
      </c>
      <c r="Z711" s="2">
        <v>10322</v>
      </c>
      <c r="AA711">
        <v>0</v>
      </c>
      <c r="AB711" t="s">
        <v>32</v>
      </c>
      <c r="AC711">
        <v>22</v>
      </c>
      <c r="AD711">
        <v>4</v>
      </c>
      <c r="AE711" t="str" cm="1">
        <f t="array" ref="AE711">_xlfn.IFS(AD711=1,"Low",AD711=2,"Good",AD711=3,"Excellent",AD711=4,"Outstanding")</f>
        <v>Outstanding</v>
      </c>
      <c r="AF711">
        <v>1</v>
      </c>
      <c r="AG711" t="str" cm="1">
        <f t="array" ref="AG711">_xlfn.IFS(AF711=1,"Low",AF711=2,"Medium",AF711=3,"High",AF711=4,"Very High")</f>
        <v>Low</v>
      </c>
      <c r="AH711">
        <v>0</v>
      </c>
      <c r="AI711">
        <v>4</v>
      </c>
      <c r="AJ711">
        <v>0</v>
      </c>
      <c r="AK711">
        <v>3</v>
      </c>
      <c r="AL711" t="str" cm="1">
        <f t="array" ref="AL711">_xlfn.IFS(AK711=1,"Low",AK711=2,"Medium",AK711=3,"High",AK711=4,"Very High")</f>
        <v>High</v>
      </c>
      <c r="AM711">
        <v>3</v>
      </c>
      <c r="AN711">
        <v>2</v>
      </c>
      <c r="AO711">
        <v>1</v>
      </c>
      <c r="AP711">
        <v>2</v>
      </c>
    </row>
    <row r="712" spans="1:42">
      <c r="A712">
        <v>33</v>
      </c>
      <c r="B712" t="str" cm="1">
        <f t="array" ref="B712">_xlfn.IFS(A712&lt;=25,"18-25",A712&lt;=35,"26-35",A712&lt;=45,"36-45",A712&lt;=55,"46-55",A712&gt;55,"56+")</f>
        <v>26-35</v>
      </c>
      <c r="C712" t="s">
        <v>39</v>
      </c>
      <c r="D712" t="s">
        <v>51</v>
      </c>
      <c r="E712" s="2">
        <v>722</v>
      </c>
      <c r="F712" t="s">
        <v>34</v>
      </c>
      <c r="G712">
        <v>17</v>
      </c>
      <c r="H712" t="str">
        <f t="shared" si="11"/>
        <v>11-20 km</v>
      </c>
      <c r="I712">
        <v>3</v>
      </c>
      <c r="J712" t="str" cm="1">
        <f t="array" ref="J712">_xlfn.IFS(I712=1,"Below College",I712=2,"College",I712=3,"Bachelor",I712=4,"Master",I712=5,"Doctor")</f>
        <v>Bachelor</v>
      </c>
      <c r="K712" t="s">
        <v>35</v>
      </c>
      <c r="L712">
        <v>992</v>
      </c>
      <c r="M712">
        <v>4</v>
      </c>
      <c r="N712" t="str" cm="1">
        <f t="array" ref="N712">_xlfn.IFS(M712=1,"Low",M712=2,"Medium",M712=3,"High",M712=4,"Very High")</f>
        <v>Very High</v>
      </c>
      <c r="O712" t="s">
        <v>42</v>
      </c>
      <c r="P712" s="2">
        <v>38</v>
      </c>
      <c r="Q712">
        <v>3</v>
      </c>
      <c r="R712" t="str" cm="1">
        <f t="array" ref="R712">_xlfn.IFS(Q712=1,"Low",Q712=2,"Medium",Q712=3,"High",Q712=4,"Very High")</f>
        <v>High</v>
      </c>
      <c r="S712">
        <v>4</v>
      </c>
      <c r="T712" t="str" cm="1">
        <f t="array" ref="T712">_xlfn.IFS(S712=1,"Entry Level",S712=2,"Junior",S712=3,"Mid-Level",S712=4,"Senior",S712=5,"Executive")</f>
        <v>Senior</v>
      </c>
      <c r="U712" t="s">
        <v>52</v>
      </c>
      <c r="V712">
        <v>3</v>
      </c>
      <c r="W712" t="str" cm="1">
        <f t="array" ref="W712">_xlfn.IFS(V712=1,"Low",V712=2,"Medium",V712=3,"High",V712=4,"Very High")</f>
        <v>High</v>
      </c>
      <c r="X712" t="s">
        <v>38</v>
      </c>
      <c r="Y712" s="2">
        <v>17444</v>
      </c>
      <c r="Z712" s="2">
        <v>20489</v>
      </c>
      <c r="AA712">
        <v>1</v>
      </c>
      <c r="AB712" t="s">
        <v>39</v>
      </c>
      <c r="AC712">
        <v>11</v>
      </c>
      <c r="AD712">
        <v>3</v>
      </c>
      <c r="AE712" t="str" cm="1">
        <f t="array" ref="AE712">_xlfn.IFS(AD712=1,"Low",AD712=2,"Good",AD712=3,"Excellent",AD712=4,"Outstanding")</f>
        <v>Excellent</v>
      </c>
      <c r="AF712">
        <v>4</v>
      </c>
      <c r="AG712" t="str" cm="1">
        <f t="array" ref="AG712">_xlfn.IFS(AF712=1,"Low",AF712=2,"Medium",AF712=3,"High",AF712=4,"Very High")</f>
        <v>Very High</v>
      </c>
      <c r="AH712">
        <v>0</v>
      </c>
      <c r="AI712">
        <v>10</v>
      </c>
      <c r="AJ712">
        <v>2</v>
      </c>
      <c r="AK712">
        <v>3</v>
      </c>
      <c r="AL712" t="str" cm="1">
        <f t="array" ref="AL712">_xlfn.IFS(AK712=1,"Low",AK712=2,"Medium",AK712=3,"High",AK712=4,"Very High")</f>
        <v>High</v>
      </c>
      <c r="AM712">
        <v>10</v>
      </c>
      <c r="AN712">
        <v>8</v>
      </c>
      <c r="AO712">
        <v>6</v>
      </c>
      <c r="AP712">
        <v>0</v>
      </c>
    </row>
    <row r="713" spans="1:42">
      <c r="A713">
        <v>29</v>
      </c>
      <c r="B713" t="str" cm="1">
        <f t="array" ref="B713">_xlfn.IFS(A713&lt;=25,"18-25",A713&lt;=35,"26-35",A713&lt;=45,"36-45",A713&lt;=55,"46-55",A713&gt;55,"56+")</f>
        <v>26-35</v>
      </c>
      <c r="C713" t="s">
        <v>32</v>
      </c>
      <c r="D713" t="s">
        <v>33</v>
      </c>
      <c r="E713" s="2">
        <v>906</v>
      </c>
      <c r="F713" t="s">
        <v>41</v>
      </c>
      <c r="G713">
        <v>10</v>
      </c>
      <c r="H713" t="str">
        <f t="shared" si="11"/>
        <v>1-10 km</v>
      </c>
      <c r="I713">
        <v>3</v>
      </c>
      <c r="J713" t="str" cm="1">
        <f t="array" ref="J713">_xlfn.IFS(I713=1,"Below College",I713=2,"College",I713=3,"Bachelor",I713=4,"Master",I713=5,"Doctor")</f>
        <v>Bachelor</v>
      </c>
      <c r="K713" t="s">
        <v>35</v>
      </c>
      <c r="L713">
        <v>994</v>
      </c>
      <c r="M713">
        <v>4</v>
      </c>
      <c r="N713" t="str" cm="1">
        <f t="array" ref="N713">_xlfn.IFS(M713=1,"Low",M713=2,"Medium",M713=3,"High",M713=4,"Very High")</f>
        <v>Very High</v>
      </c>
      <c r="O713" t="s">
        <v>36</v>
      </c>
      <c r="P713" s="2">
        <v>92</v>
      </c>
      <c r="Q713">
        <v>2</v>
      </c>
      <c r="R713" t="str" cm="1">
        <f t="array" ref="R713">_xlfn.IFS(Q713=1,"Low",Q713=2,"Medium",Q713=3,"High",Q713=4,"Very High")</f>
        <v>Medium</v>
      </c>
      <c r="S713">
        <v>1</v>
      </c>
      <c r="T713" t="str" cm="1">
        <f t="array" ref="T713">_xlfn.IFS(S713=1,"Entry Level",S713=2,"Junior",S713=3,"Mid-Level",S713=4,"Senior",S713=5,"Executive")</f>
        <v>Entry Level</v>
      </c>
      <c r="U713" t="s">
        <v>43</v>
      </c>
      <c r="V713">
        <v>1</v>
      </c>
      <c r="W713" t="str" cm="1">
        <f t="array" ref="W713">_xlfn.IFS(V713=1,"Low",V713=2,"Medium",V713=3,"High",V713=4,"Very High")</f>
        <v>Low</v>
      </c>
      <c r="X713" t="s">
        <v>38</v>
      </c>
      <c r="Y713" s="2">
        <v>2404</v>
      </c>
      <c r="Z713" s="2">
        <v>11479</v>
      </c>
      <c r="AA713">
        <v>6</v>
      </c>
      <c r="AB713" t="s">
        <v>32</v>
      </c>
      <c r="AC713">
        <v>20</v>
      </c>
      <c r="AD713">
        <v>4</v>
      </c>
      <c r="AE713" t="str" cm="1">
        <f t="array" ref="AE713">_xlfn.IFS(AD713=1,"Low",AD713=2,"Good",AD713=3,"Excellent",AD713=4,"Outstanding")</f>
        <v>Outstanding</v>
      </c>
      <c r="AF713">
        <v>3</v>
      </c>
      <c r="AG713" t="str" cm="1">
        <f t="array" ref="AG713">_xlfn.IFS(AF713=1,"Low",AF713=2,"Medium",AF713=3,"High",AF713=4,"Very High")</f>
        <v>High</v>
      </c>
      <c r="AH713">
        <v>0</v>
      </c>
      <c r="AI713">
        <v>3</v>
      </c>
      <c r="AJ713">
        <v>5</v>
      </c>
      <c r="AK713">
        <v>3</v>
      </c>
      <c r="AL713" t="str" cm="1">
        <f t="array" ref="AL713">_xlfn.IFS(AK713=1,"Low",AK713=2,"Medium",AK713=3,"High",AK713=4,"Very High")</f>
        <v>High</v>
      </c>
      <c r="AM713">
        <v>0</v>
      </c>
      <c r="AN713">
        <v>0</v>
      </c>
      <c r="AO713">
        <v>0</v>
      </c>
      <c r="AP713">
        <v>0</v>
      </c>
    </row>
    <row r="714" spans="1:42">
      <c r="A714">
        <v>33</v>
      </c>
      <c r="B714" t="str" cm="1">
        <f t="array" ref="B714">_xlfn.IFS(A714&lt;=25,"18-25",A714&lt;=35,"26-35",A714&lt;=45,"36-45",A714&lt;=55,"46-55",A714&gt;55,"56+")</f>
        <v>26-35</v>
      </c>
      <c r="C714" t="s">
        <v>39</v>
      </c>
      <c r="D714" t="s">
        <v>33</v>
      </c>
      <c r="E714" s="2">
        <v>461</v>
      </c>
      <c r="F714" t="s">
        <v>41</v>
      </c>
      <c r="G714">
        <v>13</v>
      </c>
      <c r="H714" t="str">
        <f t="shared" si="11"/>
        <v>11-20 km</v>
      </c>
      <c r="I714">
        <v>1</v>
      </c>
      <c r="J714" t="str" cm="1">
        <f t="array" ref="J714">_xlfn.IFS(I714=1,"Below College",I714=2,"College",I714=3,"Bachelor",I714=4,"Master",I714=5,"Doctor")</f>
        <v>Below College</v>
      </c>
      <c r="K714" t="s">
        <v>35</v>
      </c>
      <c r="L714">
        <v>995</v>
      </c>
      <c r="M714">
        <v>2</v>
      </c>
      <c r="N714" t="str" cm="1">
        <f t="array" ref="N714">_xlfn.IFS(M714=1,"Low",M714=2,"Medium",M714=3,"High",M714=4,"Very High")</f>
        <v>Medium</v>
      </c>
      <c r="O714" t="s">
        <v>36</v>
      </c>
      <c r="P714" s="2">
        <v>53</v>
      </c>
      <c r="Q714">
        <v>3</v>
      </c>
      <c r="R714" t="str" cm="1">
        <f t="array" ref="R714">_xlfn.IFS(Q714=1,"Low",Q714=2,"Medium",Q714=3,"High",Q714=4,"Very High")</f>
        <v>High</v>
      </c>
      <c r="S714">
        <v>1</v>
      </c>
      <c r="T714" t="str" cm="1">
        <f t="array" ref="T714">_xlfn.IFS(S714=1,"Entry Level",S714=2,"Junior",S714=3,"Mid-Level",S714=4,"Senior",S714=5,"Executive")</f>
        <v>Entry Level</v>
      </c>
      <c r="U714" t="s">
        <v>43</v>
      </c>
      <c r="V714">
        <v>4</v>
      </c>
      <c r="W714" t="str" cm="1">
        <f t="array" ref="W714">_xlfn.IFS(V714=1,"Low",V714=2,"Medium",V714=3,"High",V714=4,"Very High")</f>
        <v>Very High</v>
      </c>
      <c r="X714" t="s">
        <v>38</v>
      </c>
      <c r="Y714" s="2">
        <v>3452</v>
      </c>
      <c r="Z714" s="2">
        <v>17241</v>
      </c>
      <c r="AA714">
        <v>3</v>
      </c>
      <c r="AB714" t="s">
        <v>39</v>
      </c>
      <c r="AC714">
        <v>18</v>
      </c>
      <c r="AD714">
        <v>3</v>
      </c>
      <c r="AE714" t="str" cm="1">
        <f t="array" ref="AE714">_xlfn.IFS(AD714=1,"Low",AD714=2,"Good",AD714=3,"Excellent",AD714=4,"Outstanding")</f>
        <v>Excellent</v>
      </c>
      <c r="AF714">
        <v>1</v>
      </c>
      <c r="AG714" t="str" cm="1">
        <f t="array" ref="AG714">_xlfn.IFS(AF714=1,"Low",AF714=2,"Medium",AF714=3,"High",AF714=4,"Very High")</f>
        <v>Low</v>
      </c>
      <c r="AH714">
        <v>0</v>
      </c>
      <c r="AI714">
        <v>5</v>
      </c>
      <c r="AJ714">
        <v>4</v>
      </c>
      <c r="AK714">
        <v>3</v>
      </c>
      <c r="AL714" t="str" cm="1">
        <f t="array" ref="AL714">_xlfn.IFS(AK714=1,"Low",AK714=2,"Medium",AK714=3,"High",AK714=4,"Very High")</f>
        <v>High</v>
      </c>
      <c r="AM714">
        <v>3</v>
      </c>
      <c r="AN714">
        <v>2</v>
      </c>
      <c r="AO714">
        <v>0</v>
      </c>
      <c r="AP714">
        <v>2</v>
      </c>
    </row>
    <row r="715" spans="1:42">
      <c r="A715">
        <v>45</v>
      </c>
      <c r="B715" t="str" cm="1">
        <f t="array" ref="B715">_xlfn.IFS(A715&lt;=25,"18-25",A715&lt;=35,"26-35",A715&lt;=45,"36-45",A715&lt;=55,"46-55",A715&gt;55,"56+")</f>
        <v>36-45</v>
      </c>
      <c r="C715" t="s">
        <v>39</v>
      </c>
      <c r="D715" t="s">
        <v>33</v>
      </c>
      <c r="E715" s="2">
        <v>974</v>
      </c>
      <c r="F715" t="s">
        <v>41</v>
      </c>
      <c r="G715">
        <v>1</v>
      </c>
      <c r="H715" t="str">
        <f t="shared" si="11"/>
        <v>1-10 km</v>
      </c>
      <c r="I715">
        <v>4</v>
      </c>
      <c r="J715" t="str" cm="1">
        <f t="array" ref="J715">_xlfn.IFS(I715=1,"Below College",I715=2,"College",I715=3,"Bachelor",I715=4,"Master",I715=5,"Doctor")</f>
        <v>Master</v>
      </c>
      <c r="K715" t="s">
        <v>47</v>
      </c>
      <c r="L715">
        <v>996</v>
      </c>
      <c r="M715">
        <v>4</v>
      </c>
      <c r="N715" t="str" cm="1">
        <f t="array" ref="N715">_xlfn.IFS(M715=1,"Low",M715=2,"Medium",M715=3,"High",M715=4,"Very High")</f>
        <v>Very High</v>
      </c>
      <c r="O715" t="s">
        <v>36</v>
      </c>
      <c r="P715" s="2">
        <v>91</v>
      </c>
      <c r="Q715">
        <v>3</v>
      </c>
      <c r="R715" t="str" cm="1">
        <f t="array" ref="R715">_xlfn.IFS(Q715=1,"Low",Q715=2,"Medium",Q715=3,"High",Q715=4,"Very High")</f>
        <v>High</v>
      </c>
      <c r="S715">
        <v>1</v>
      </c>
      <c r="T715" t="str" cm="1">
        <f t="array" ref="T715">_xlfn.IFS(S715=1,"Entry Level",S715=2,"Junior",S715=3,"Mid-Level",S715=4,"Senior",S715=5,"Executive")</f>
        <v>Entry Level</v>
      </c>
      <c r="U715" t="s">
        <v>46</v>
      </c>
      <c r="V715">
        <v>4</v>
      </c>
      <c r="W715" t="str" cm="1">
        <f t="array" ref="W715">_xlfn.IFS(V715=1,"Low",V715=2,"Medium",V715=3,"High",V715=4,"Very High")</f>
        <v>Very High</v>
      </c>
      <c r="X715" t="s">
        <v>48</v>
      </c>
      <c r="Y715" s="2">
        <v>2270</v>
      </c>
      <c r="Z715" s="2">
        <v>11005</v>
      </c>
      <c r="AA715">
        <v>3</v>
      </c>
      <c r="AB715" t="s">
        <v>39</v>
      </c>
      <c r="AC715">
        <v>14</v>
      </c>
      <c r="AD715">
        <v>3</v>
      </c>
      <c r="AE715" t="str" cm="1">
        <f t="array" ref="AE715">_xlfn.IFS(AD715=1,"Low",AD715=2,"Good",AD715=3,"Excellent",AD715=4,"Outstanding")</f>
        <v>Excellent</v>
      </c>
      <c r="AF715">
        <v>4</v>
      </c>
      <c r="AG715" t="str" cm="1">
        <f t="array" ref="AG715">_xlfn.IFS(AF715=1,"Low",AF715=2,"Medium",AF715=3,"High",AF715=4,"Very High")</f>
        <v>Very High</v>
      </c>
      <c r="AH715">
        <v>2</v>
      </c>
      <c r="AI715">
        <v>8</v>
      </c>
      <c r="AJ715">
        <v>2</v>
      </c>
      <c r="AK715">
        <v>3</v>
      </c>
      <c r="AL715" t="str" cm="1">
        <f t="array" ref="AL715">_xlfn.IFS(AK715=1,"Low",AK715=2,"Medium",AK715=3,"High",AK715=4,"Very High")</f>
        <v>High</v>
      </c>
      <c r="AM715">
        <v>5</v>
      </c>
      <c r="AN715">
        <v>3</v>
      </c>
      <c r="AO715">
        <v>0</v>
      </c>
      <c r="AP715">
        <v>2</v>
      </c>
    </row>
    <row r="716" spans="1:42">
      <c r="A716">
        <v>50</v>
      </c>
      <c r="B716" t="str" cm="1">
        <f t="array" ref="B716">_xlfn.IFS(A716&lt;=25,"18-25",A716&lt;=35,"26-35",A716&lt;=45,"36-45",A716&lt;=55,"46-55",A716&gt;55,"56+")</f>
        <v>46-55</v>
      </c>
      <c r="C716" t="s">
        <v>39</v>
      </c>
      <c r="D716" t="s">
        <v>33</v>
      </c>
      <c r="E716" s="2">
        <v>1126</v>
      </c>
      <c r="F716" t="s">
        <v>41</v>
      </c>
      <c r="G716">
        <v>1</v>
      </c>
      <c r="H716" t="str">
        <f t="shared" si="11"/>
        <v>1-10 km</v>
      </c>
      <c r="I716">
        <v>2</v>
      </c>
      <c r="J716" t="str" cm="1">
        <f t="array" ref="J716">_xlfn.IFS(I716=1,"Below College",I716=2,"College",I716=3,"Bachelor",I716=4,"Master",I716=5,"Doctor")</f>
        <v>College</v>
      </c>
      <c r="K716" t="s">
        <v>47</v>
      </c>
      <c r="L716">
        <v>997</v>
      </c>
      <c r="M716">
        <v>4</v>
      </c>
      <c r="N716" t="str" cm="1">
        <f t="array" ref="N716">_xlfn.IFS(M716=1,"Low",M716=2,"Medium",M716=3,"High",M716=4,"Very High")</f>
        <v>Very High</v>
      </c>
      <c r="O716" t="s">
        <v>42</v>
      </c>
      <c r="P716" s="2">
        <v>66</v>
      </c>
      <c r="Q716">
        <v>3</v>
      </c>
      <c r="R716" t="str" cm="1">
        <f t="array" ref="R716">_xlfn.IFS(Q716=1,"Low",Q716=2,"Medium",Q716=3,"High",Q716=4,"Very High")</f>
        <v>High</v>
      </c>
      <c r="S716">
        <v>4</v>
      </c>
      <c r="T716" t="str" cm="1">
        <f t="array" ref="T716">_xlfn.IFS(S716=1,"Entry Level",S716=2,"Junior",S716=3,"Mid-Level",S716=4,"Senior",S716=5,"Executive")</f>
        <v>Senior</v>
      </c>
      <c r="U716" t="s">
        <v>54</v>
      </c>
      <c r="V716">
        <v>4</v>
      </c>
      <c r="W716" t="str" cm="1">
        <f t="array" ref="W716">_xlfn.IFS(V716=1,"Low",V716=2,"Medium",V716=3,"High",V716=4,"Very High")</f>
        <v>Very High</v>
      </c>
      <c r="X716" t="s">
        <v>48</v>
      </c>
      <c r="Y716" s="2">
        <v>17399</v>
      </c>
      <c r="Z716" s="2">
        <v>6615</v>
      </c>
      <c r="AA716">
        <v>9</v>
      </c>
      <c r="AB716" t="s">
        <v>39</v>
      </c>
      <c r="AC716">
        <v>22</v>
      </c>
      <c r="AD716">
        <v>4</v>
      </c>
      <c r="AE716" t="str" cm="1">
        <f t="array" ref="AE716">_xlfn.IFS(AD716=1,"Low",AD716=2,"Good",AD716=3,"Excellent",AD716=4,"Outstanding")</f>
        <v>Outstanding</v>
      </c>
      <c r="AF716">
        <v>3</v>
      </c>
      <c r="AG716" t="str" cm="1">
        <f t="array" ref="AG716">_xlfn.IFS(AF716=1,"Low",AF716=2,"Medium",AF716=3,"High",AF716=4,"Very High")</f>
        <v>High</v>
      </c>
      <c r="AH716">
        <v>1</v>
      </c>
      <c r="AI716">
        <v>32</v>
      </c>
      <c r="AJ716">
        <v>1</v>
      </c>
      <c r="AK716">
        <v>2</v>
      </c>
      <c r="AL716" t="str" cm="1">
        <f t="array" ref="AL716">_xlfn.IFS(AK716=1,"Low",AK716=2,"Medium",AK716=3,"High",AK716=4,"Very High")</f>
        <v>Medium</v>
      </c>
      <c r="AM716">
        <v>5</v>
      </c>
      <c r="AN716">
        <v>4</v>
      </c>
      <c r="AO716">
        <v>1</v>
      </c>
      <c r="AP716">
        <v>3</v>
      </c>
    </row>
    <row r="717" spans="1:42">
      <c r="A717">
        <v>33</v>
      </c>
      <c r="B717" t="str" cm="1">
        <f t="array" ref="B717">_xlfn.IFS(A717&lt;=25,"18-25",A717&lt;=35,"26-35",A717&lt;=45,"36-45",A717&lt;=55,"46-55",A717&gt;55,"56+")</f>
        <v>26-35</v>
      </c>
      <c r="C717" t="s">
        <v>39</v>
      </c>
      <c r="D717" t="s">
        <v>40</v>
      </c>
      <c r="E717" s="2">
        <v>827</v>
      </c>
      <c r="F717" t="s">
        <v>41</v>
      </c>
      <c r="G717">
        <v>1</v>
      </c>
      <c r="H717" t="str">
        <f t="shared" si="11"/>
        <v>1-10 km</v>
      </c>
      <c r="I717">
        <v>4</v>
      </c>
      <c r="J717" t="str" cm="1">
        <f t="array" ref="J717">_xlfn.IFS(I717=1,"Below College",I717=2,"College",I717=3,"Bachelor",I717=4,"Master",I717=5,"Doctor")</f>
        <v>Master</v>
      </c>
      <c r="K717" t="s">
        <v>45</v>
      </c>
      <c r="L717">
        <v>998</v>
      </c>
      <c r="M717">
        <v>3</v>
      </c>
      <c r="N717" t="str" cm="1">
        <f t="array" ref="N717">_xlfn.IFS(M717=1,"Low",M717=2,"Medium",M717=3,"High",M717=4,"Very High")</f>
        <v>High</v>
      </c>
      <c r="O717" t="s">
        <v>36</v>
      </c>
      <c r="P717" s="2">
        <v>84</v>
      </c>
      <c r="Q717">
        <v>4</v>
      </c>
      <c r="R717" t="str" cm="1">
        <f t="array" ref="R717">_xlfn.IFS(Q717=1,"Low",Q717=2,"Medium",Q717=3,"High",Q717=4,"Very High")</f>
        <v>Very High</v>
      </c>
      <c r="S717">
        <v>2</v>
      </c>
      <c r="T717" t="str" cm="1">
        <f t="array" ref="T717">_xlfn.IFS(S717=1,"Entry Level",S717=2,"Junior",S717=3,"Mid-Level",S717=4,"Senior",S717=5,"Executive")</f>
        <v>Junior</v>
      </c>
      <c r="U717" t="s">
        <v>50</v>
      </c>
      <c r="V717">
        <v>2</v>
      </c>
      <c r="W717" t="str" cm="1">
        <f t="array" ref="W717">_xlfn.IFS(V717=1,"Low",V717=2,"Medium",V717=3,"High",V717=4,"Very High")</f>
        <v>Medium</v>
      </c>
      <c r="X717" t="s">
        <v>44</v>
      </c>
      <c r="Y717" s="2">
        <v>5488</v>
      </c>
      <c r="Z717" s="2">
        <v>20161</v>
      </c>
      <c r="AA717">
        <v>1</v>
      </c>
      <c r="AB717" t="s">
        <v>32</v>
      </c>
      <c r="AC717">
        <v>13</v>
      </c>
      <c r="AD717">
        <v>3</v>
      </c>
      <c r="AE717" t="str" cm="1">
        <f t="array" ref="AE717">_xlfn.IFS(AD717=1,"Low",AD717=2,"Good",AD717=3,"Excellent",AD717=4,"Outstanding")</f>
        <v>Excellent</v>
      </c>
      <c r="AF717">
        <v>1</v>
      </c>
      <c r="AG717" t="str" cm="1">
        <f t="array" ref="AG717">_xlfn.IFS(AF717=1,"Low",AF717=2,"Medium",AF717=3,"High",AF717=4,"Very High")</f>
        <v>Low</v>
      </c>
      <c r="AH717">
        <v>1</v>
      </c>
      <c r="AI717">
        <v>6</v>
      </c>
      <c r="AJ717">
        <v>2</v>
      </c>
      <c r="AK717">
        <v>3</v>
      </c>
      <c r="AL717" t="str" cm="1">
        <f t="array" ref="AL717">_xlfn.IFS(AK717=1,"Low",AK717=2,"Medium",AK717=3,"High",AK717=4,"Very High")</f>
        <v>High</v>
      </c>
      <c r="AM717">
        <v>6</v>
      </c>
      <c r="AN717">
        <v>5</v>
      </c>
      <c r="AO717">
        <v>1</v>
      </c>
      <c r="AP717">
        <v>2</v>
      </c>
    </row>
    <row r="718" spans="1:42">
      <c r="A718">
        <v>41</v>
      </c>
      <c r="B718" t="str" cm="1">
        <f t="array" ref="B718">_xlfn.IFS(A718&lt;=25,"18-25",A718&lt;=35,"26-35",A718&lt;=45,"36-45",A718&lt;=55,"46-55",A718&gt;55,"56+")</f>
        <v>36-45</v>
      </c>
      <c r="C718" t="s">
        <v>39</v>
      </c>
      <c r="D718" t="s">
        <v>40</v>
      </c>
      <c r="E718" s="2">
        <v>840</v>
      </c>
      <c r="F718" t="s">
        <v>41</v>
      </c>
      <c r="G718">
        <v>9</v>
      </c>
      <c r="H718" t="str">
        <f t="shared" si="11"/>
        <v>1-10 km</v>
      </c>
      <c r="I718">
        <v>3</v>
      </c>
      <c r="J718" t="str" cm="1">
        <f t="array" ref="J718">_xlfn.IFS(I718=1,"Below College",I718=2,"College",I718=3,"Bachelor",I718=4,"Master",I718=5,"Doctor")</f>
        <v>Bachelor</v>
      </c>
      <c r="K718" t="s">
        <v>47</v>
      </c>
      <c r="L718">
        <v>999</v>
      </c>
      <c r="M718">
        <v>1</v>
      </c>
      <c r="N718" t="str" cm="1">
        <f t="array" ref="N718">_xlfn.IFS(M718=1,"Low",M718=2,"Medium",M718=3,"High",M718=4,"Very High")</f>
        <v>Low</v>
      </c>
      <c r="O718" t="s">
        <v>42</v>
      </c>
      <c r="P718" s="2">
        <v>64</v>
      </c>
      <c r="Q718">
        <v>3</v>
      </c>
      <c r="R718" t="str" cm="1">
        <f t="array" ref="R718">_xlfn.IFS(Q718=1,"Low",Q718=2,"Medium",Q718=3,"High",Q718=4,"Very High")</f>
        <v>High</v>
      </c>
      <c r="S718">
        <v>5</v>
      </c>
      <c r="T718" t="str" cm="1">
        <f t="array" ref="T718">_xlfn.IFS(S718=1,"Entry Level",S718=2,"Junior",S718=3,"Mid-Level",S718=4,"Senior",S718=5,"Executive")</f>
        <v>Executive</v>
      </c>
      <c r="U718" t="s">
        <v>54</v>
      </c>
      <c r="V718">
        <v>3</v>
      </c>
      <c r="W718" t="str" cm="1">
        <f t="array" ref="W718">_xlfn.IFS(V718=1,"Low",V718=2,"Medium",V718=3,"High",V718=4,"Very High")</f>
        <v>High</v>
      </c>
      <c r="X718" t="s">
        <v>48</v>
      </c>
      <c r="Y718" s="2">
        <v>19419</v>
      </c>
      <c r="Z718" s="2">
        <v>3735</v>
      </c>
      <c r="AA718">
        <v>2</v>
      </c>
      <c r="AB718" t="s">
        <v>39</v>
      </c>
      <c r="AC718">
        <v>17</v>
      </c>
      <c r="AD718">
        <v>3</v>
      </c>
      <c r="AE718" t="str" cm="1">
        <f t="array" ref="AE718">_xlfn.IFS(AD718=1,"Low",AD718=2,"Good",AD718=3,"Excellent",AD718=4,"Outstanding")</f>
        <v>Excellent</v>
      </c>
      <c r="AF718">
        <v>2</v>
      </c>
      <c r="AG718" t="str" cm="1">
        <f t="array" ref="AG718">_xlfn.IFS(AF718=1,"Low",AF718=2,"Medium",AF718=3,"High",AF718=4,"Very High")</f>
        <v>Medium</v>
      </c>
      <c r="AH718">
        <v>1</v>
      </c>
      <c r="AI718">
        <v>21</v>
      </c>
      <c r="AJ718">
        <v>2</v>
      </c>
      <c r="AK718">
        <v>4</v>
      </c>
      <c r="AL718" t="str" cm="1">
        <f t="array" ref="AL718">_xlfn.IFS(AK718=1,"Low",AK718=2,"Medium",AK718=3,"High",AK718=4,"Very High")</f>
        <v>Very High</v>
      </c>
      <c r="AM718">
        <v>18</v>
      </c>
      <c r="AN718">
        <v>16</v>
      </c>
      <c r="AO718">
        <v>0</v>
      </c>
      <c r="AP718">
        <v>11</v>
      </c>
    </row>
    <row r="719" spans="1:42">
      <c r="A719">
        <v>27</v>
      </c>
      <c r="B719" t="str" cm="1">
        <f t="array" ref="B719">_xlfn.IFS(A719&lt;=25,"18-25",A719&lt;=35,"26-35",A719&lt;=45,"36-45",A719&lt;=55,"46-55",A719&gt;55,"56+")</f>
        <v>26-35</v>
      </c>
      <c r="C719" t="s">
        <v>39</v>
      </c>
      <c r="D719" t="s">
        <v>33</v>
      </c>
      <c r="E719" s="2">
        <v>1134</v>
      </c>
      <c r="F719" t="s">
        <v>41</v>
      </c>
      <c r="G719">
        <v>16</v>
      </c>
      <c r="H719" t="str">
        <f t="shared" si="11"/>
        <v>11-20 km</v>
      </c>
      <c r="I719">
        <v>4</v>
      </c>
      <c r="J719" t="str" cm="1">
        <f t="array" ref="J719">_xlfn.IFS(I719=1,"Below College",I719=2,"College",I719=3,"Bachelor",I719=4,"Master",I719=5,"Doctor")</f>
        <v>Master</v>
      </c>
      <c r="K719" t="s">
        <v>56</v>
      </c>
      <c r="L719">
        <v>1001</v>
      </c>
      <c r="M719">
        <v>3</v>
      </c>
      <c r="N719" t="str" cm="1">
        <f t="array" ref="N719">_xlfn.IFS(M719=1,"Low",M719=2,"Medium",M719=3,"High",M719=4,"Very High")</f>
        <v>High</v>
      </c>
      <c r="O719" t="s">
        <v>36</v>
      </c>
      <c r="P719" s="2">
        <v>37</v>
      </c>
      <c r="Q719">
        <v>3</v>
      </c>
      <c r="R719" t="str" cm="1">
        <f t="array" ref="R719">_xlfn.IFS(Q719=1,"Low",Q719=2,"Medium",Q719=3,"High",Q719=4,"Very High")</f>
        <v>High</v>
      </c>
      <c r="S719">
        <v>1</v>
      </c>
      <c r="T719" t="str" cm="1">
        <f t="array" ref="T719">_xlfn.IFS(S719=1,"Entry Level",S719=2,"Junior",S719=3,"Mid-Level",S719=4,"Senior",S719=5,"Executive")</f>
        <v>Entry Level</v>
      </c>
      <c r="U719" t="s">
        <v>46</v>
      </c>
      <c r="V719">
        <v>2</v>
      </c>
      <c r="W719" t="str" cm="1">
        <f t="array" ref="W719">_xlfn.IFS(V719=1,"Low",V719=2,"Medium",V719=3,"High",V719=4,"Very High")</f>
        <v>Medium</v>
      </c>
      <c r="X719" t="s">
        <v>44</v>
      </c>
      <c r="Y719" s="2">
        <v>2811</v>
      </c>
      <c r="Z719" s="2">
        <v>12086</v>
      </c>
      <c r="AA719">
        <v>9</v>
      </c>
      <c r="AB719" t="s">
        <v>39</v>
      </c>
      <c r="AC719">
        <v>14</v>
      </c>
      <c r="AD719">
        <v>3</v>
      </c>
      <c r="AE719" t="str" cm="1">
        <f t="array" ref="AE719">_xlfn.IFS(AD719=1,"Low",AD719=2,"Good",AD719=3,"Excellent",AD719=4,"Outstanding")</f>
        <v>Excellent</v>
      </c>
      <c r="AF719">
        <v>2</v>
      </c>
      <c r="AG719" t="str" cm="1">
        <f t="array" ref="AG719">_xlfn.IFS(AF719=1,"Low",AF719=2,"Medium",AF719=3,"High",AF719=4,"Very High")</f>
        <v>Medium</v>
      </c>
      <c r="AH719">
        <v>1</v>
      </c>
      <c r="AI719">
        <v>4</v>
      </c>
      <c r="AJ719">
        <v>2</v>
      </c>
      <c r="AK719">
        <v>3</v>
      </c>
      <c r="AL719" t="str" cm="1">
        <f t="array" ref="AL719">_xlfn.IFS(AK719=1,"Low",AK719=2,"Medium",AK719=3,"High",AK719=4,"Very High")</f>
        <v>High</v>
      </c>
      <c r="AM719">
        <v>2</v>
      </c>
      <c r="AN719">
        <v>2</v>
      </c>
      <c r="AO719">
        <v>2</v>
      </c>
      <c r="AP719">
        <v>2</v>
      </c>
    </row>
    <row r="720" spans="1:42">
      <c r="A720">
        <v>45</v>
      </c>
      <c r="B720" t="str" cm="1">
        <f t="array" ref="B720">_xlfn.IFS(A720&lt;=25,"18-25",A720&lt;=35,"26-35",A720&lt;=45,"36-45",A720&lt;=55,"46-55",A720&gt;55,"56+")</f>
        <v>36-45</v>
      </c>
      <c r="C720" t="s">
        <v>39</v>
      </c>
      <c r="D720" t="s">
        <v>51</v>
      </c>
      <c r="E720" s="2">
        <v>248</v>
      </c>
      <c r="F720" t="s">
        <v>41</v>
      </c>
      <c r="G720">
        <v>23</v>
      </c>
      <c r="H720" t="str">
        <f t="shared" si="11"/>
        <v>21-30 km</v>
      </c>
      <c r="I720">
        <v>2</v>
      </c>
      <c r="J720" t="str" cm="1">
        <f t="array" ref="J720">_xlfn.IFS(I720=1,"Below College",I720=2,"College",I720=3,"Bachelor",I720=4,"Master",I720=5,"Doctor")</f>
        <v>College</v>
      </c>
      <c r="K720" t="s">
        <v>35</v>
      </c>
      <c r="L720">
        <v>1002</v>
      </c>
      <c r="M720">
        <v>4</v>
      </c>
      <c r="N720" t="str" cm="1">
        <f t="array" ref="N720">_xlfn.IFS(M720=1,"Low",M720=2,"Medium",M720=3,"High",M720=4,"Very High")</f>
        <v>Very High</v>
      </c>
      <c r="O720" t="s">
        <v>42</v>
      </c>
      <c r="P720" s="2">
        <v>42</v>
      </c>
      <c r="Q720">
        <v>3</v>
      </c>
      <c r="R720" t="str" cm="1">
        <f t="array" ref="R720">_xlfn.IFS(Q720=1,"Low",Q720=2,"Medium",Q720=3,"High",Q720=4,"Very High")</f>
        <v>High</v>
      </c>
      <c r="S720">
        <v>2</v>
      </c>
      <c r="T720" t="str" cm="1">
        <f t="array" ref="T720">_xlfn.IFS(S720=1,"Entry Level",S720=2,"Junior",S720=3,"Mid-Level",S720=4,"Senior",S720=5,"Executive")</f>
        <v>Junior</v>
      </c>
      <c r="U720" t="s">
        <v>46</v>
      </c>
      <c r="V720">
        <v>1</v>
      </c>
      <c r="W720" t="str" cm="1">
        <f t="array" ref="W720">_xlfn.IFS(V720=1,"Low",V720=2,"Medium",V720=3,"High",V720=4,"Very High")</f>
        <v>Low</v>
      </c>
      <c r="X720" t="s">
        <v>44</v>
      </c>
      <c r="Y720" s="2">
        <v>3633</v>
      </c>
      <c r="Z720" s="2">
        <v>14039</v>
      </c>
      <c r="AA720">
        <v>1</v>
      </c>
      <c r="AB720" t="s">
        <v>32</v>
      </c>
      <c r="AC720">
        <v>15</v>
      </c>
      <c r="AD720">
        <v>3</v>
      </c>
      <c r="AE720" t="str" cm="1">
        <f t="array" ref="AE720">_xlfn.IFS(AD720=1,"Low",AD720=2,"Good",AD720=3,"Excellent",AD720=4,"Outstanding")</f>
        <v>Excellent</v>
      </c>
      <c r="AF720">
        <v>3</v>
      </c>
      <c r="AG720" t="str" cm="1">
        <f t="array" ref="AG720">_xlfn.IFS(AF720=1,"Low",AF720=2,"Medium",AF720=3,"High",AF720=4,"Very High")</f>
        <v>High</v>
      </c>
      <c r="AH720">
        <v>1</v>
      </c>
      <c r="AI720">
        <v>9</v>
      </c>
      <c r="AJ720">
        <v>2</v>
      </c>
      <c r="AK720">
        <v>3</v>
      </c>
      <c r="AL720" t="str" cm="1">
        <f t="array" ref="AL720">_xlfn.IFS(AK720=1,"Low",AK720=2,"Medium",AK720=3,"High",AK720=4,"Very High")</f>
        <v>High</v>
      </c>
      <c r="AM720">
        <v>9</v>
      </c>
      <c r="AN720">
        <v>8</v>
      </c>
      <c r="AO720">
        <v>0</v>
      </c>
      <c r="AP720">
        <v>8</v>
      </c>
    </row>
    <row r="721" spans="1:42">
      <c r="A721">
        <v>47</v>
      </c>
      <c r="B721" t="str" cm="1">
        <f t="array" ref="B721">_xlfn.IFS(A721&lt;=25,"18-25",A721&lt;=35,"26-35",A721&lt;=45,"36-45",A721&lt;=55,"46-55",A721&gt;55,"56+")</f>
        <v>46-55</v>
      </c>
      <c r="C721" t="s">
        <v>39</v>
      </c>
      <c r="D721" t="s">
        <v>33</v>
      </c>
      <c r="E721" s="2">
        <v>955</v>
      </c>
      <c r="F721" t="s">
        <v>34</v>
      </c>
      <c r="G721">
        <v>4</v>
      </c>
      <c r="H721" t="str">
        <f t="shared" si="11"/>
        <v>1-10 km</v>
      </c>
      <c r="I721">
        <v>2</v>
      </c>
      <c r="J721" t="str" cm="1">
        <f t="array" ref="J721">_xlfn.IFS(I721=1,"Below College",I721=2,"College",I721=3,"Bachelor",I721=4,"Master",I721=5,"Doctor")</f>
        <v>College</v>
      </c>
      <c r="K721" t="s">
        <v>35</v>
      </c>
      <c r="L721">
        <v>1003</v>
      </c>
      <c r="M721">
        <v>4</v>
      </c>
      <c r="N721" t="str" cm="1">
        <f t="array" ref="N721">_xlfn.IFS(M721=1,"Low",M721=2,"Medium",M721=3,"High",M721=4,"Very High")</f>
        <v>Very High</v>
      </c>
      <c r="O721" t="s">
        <v>36</v>
      </c>
      <c r="P721" s="2">
        <v>83</v>
      </c>
      <c r="Q721">
        <v>3</v>
      </c>
      <c r="R721" t="str" cm="1">
        <f t="array" ref="R721">_xlfn.IFS(Q721=1,"Low",Q721=2,"Medium",Q721=3,"High",Q721=4,"Very High")</f>
        <v>High</v>
      </c>
      <c r="S721">
        <v>2</v>
      </c>
      <c r="T721" t="str" cm="1">
        <f t="array" ref="T721">_xlfn.IFS(S721=1,"Entry Level",S721=2,"Junior",S721=3,"Mid-Level",S721=4,"Senior",S721=5,"Executive")</f>
        <v>Junior</v>
      </c>
      <c r="U721" t="s">
        <v>37</v>
      </c>
      <c r="V721">
        <v>4</v>
      </c>
      <c r="W721" t="str" cm="1">
        <f t="array" ref="W721">_xlfn.IFS(V721=1,"Low",V721=2,"Medium",V721=3,"High",V721=4,"Very High")</f>
        <v>Very High</v>
      </c>
      <c r="X721" t="s">
        <v>38</v>
      </c>
      <c r="Y721" s="2">
        <v>4163</v>
      </c>
      <c r="Z721" s="2">
        <v>8571</v>
      </c>
      <c r="AA721">
        <v>1</v>
      </c>
      <c r="AB721" t="s">
        <v>32</v>
      </c>
      <c r="AC721">
        <v>17</v>
      </c>
      <c r="AD721">
        <v>3</v>
      </c>
      <c r="AE721" t="str" cm="1">
        <f t="array" ref="AE721">_xlfn.IFS(AD721=1,"Low",AD721=2,"Good",AD721=3,"Excellent",AD721=4,"Outstanding")</f>
        <v>Excellent</v>
      </c>
      <c r="AF721">
        <v>3</v>
      </c>
      <c r="AG721" t="str" cm="1">
        <f t="array" ref="AG721">_xlfn.IFS(AF721=1,"Low",AF721=2,"Medium",AF721=3,"High",AF721=4,"Very High")</f>
        <v>High</v>
      </c>
      <c r="AH721">
        <v>0</v>
      </c>
      <c r="AI721">
        <v>9</v>
      </c>
      <c r="AJ721">
        <v>0</v>
      </c>
      <c r="AK721">
        <v>3</v>
      </c>
      <c r="AL721" t="str" cm="1">
        <f t="array" ref="AL721">_xlfn.IFS(AK721=1,"Low",AK721=2,"Medium",AK721=3,"High",AK721=4,"Very High")</f>
        <v>High</v>
      </c>
      <c r="AM721">
        <v>9</v>
      </c>
      <c r="AN721">
        <v>0</v>
      </c>
      <c r="AO721">
        <v>0</v>
      </c>
      <c r="AP721">
        <v>7</v>
      </c>
    </row>
    <row r="722" spans="1:42">
      <c r="A722">
        <v>30</v>
      </c>
      <c r="B722" t="str" cm="1">
        <f t="array" ref="B722">_xlfn.IFS(A722&lt;=25,"18-25",A722&lt;=35,"26-35",A722&lt;=45,"36-45",A722&lt;=55,"46-55",A722&gt;55,"56+")</f>
        <v>26-35</v>
      </c>
      <c r="C722" t="s">
        <v>32</v>
      </c>
      <c r="D722" t="s">
        <v>33</v>
      </c>
      <c r="E722" s="2">
        <v>138</v>
      </c>
      <c r="F722" t="s">
        <v>41</v>
      </c>
      <c r="G722">
        <v>22</v>
      </c>
      <c r="H722" t="str">
        <f t="shared" si="11"/>
        <v>21-30 km</v>
      </c>
      <c r="I722">
        <v>3</v>
      </c>
      <c r="J722" t="str" cm="1">
        <f t="array" ref="J722">_xlfn.IFS(I722=1,"Below College",I722=2,"College",I722=3,"Bachelor",I722=4,"Master",I722=5,"Doctor")</f>
        <v>Bachelor</v>
      </c>
      <c r="K722" t="s">
        <v>35</v>
      </c>
      <c r="L722">
        <v>1004</v>
      </c>
      <c r="M722">
        <v>1</v>
      </c>
      <c r="N722" t="str" cm="1">
        <f t="array" ref="N722">_xlfn.IFS(M722=1,"Low",M722=2,"Medium",M722=3,"High",M722=4,"Very High")</f>
        <v>Low</v>
      </c>
      <c r="O722" t="s">
        <v>36</v>
      </c>
      <c r="P722" s="2">
        <v>48</v>
      </c>
      <c r="Q722">
        <v>3</v>
      </c>
      <c r="R722" t="str" cm="1">
        <f t="array" ref="R722">_xlfn.IFS(Q722=1,"Low",Q722=2,"Medium",Q722=3,"High",Q722=4,"Very High")</f>
        <v>High</v>
      </c>
      <c r="S722">
        <v>1</v>
      </c>
      <c r="T722" t="str" cm="1">
        <f t="array" ref="T722">_xlfn.IFS(S722=1,"Entry Level",S722=2,"Junior",S722=3,"Mid-Level",S722=4,"Senior",S722=5,"Executive")</f>
        <v>Entry Level</v>
      </c>
      <c r="U722" t="s">
        <v>43</v>
      </c>
      <c r="V722">
        <v>3</v>
      </c>
      <c r="W722" t="str" cm="1">
        <f t="array" ref="W722">_xlfn.IFS(V722=1,"Low",V722=2,"Medium",V722=3,"High",V722=4,"Very High")</f>
        <v>High</v>
      </c>
      <c r="X722" t="s">
        <v>44</v>
      </c>
      <c r="Y722" s="2">
        <v>2132</v>
      </c>
      <c r="Z722" s="2">
        <v>11539</v>
      </c>
      <c r="AA722">
        <v>4</v>
      </c>
      <c r="AB722" t="s">
        <v>32</v>
      </c>
      <c r="AC722">
        <v>11</v>
      </c>
      <c r="AD722">
        <v>3</v>
      </c>
      <c r="AE722" t="str" cm="1">
        <f t="array" ref="AE722">_xlfn.IFS(AD722=1,"Low",AD722=2,"Good",AD722=3,"Excellent",AD722=4,"Outstanding")</f>
        <v>Excellent</v>
      </c>
      <c r="AF722">
        <v>2</v>
      </c>
      <c r="AG722" t="str" cm="1">
        <f t="array" ref="AG722">_xlfn.IFS(AF722=1,"Low",AF722=2,"Medium",AF722=3,"High",AF722=4,"Very High")</f>
        <v>Medium</v>
      </c>
      <c r="AH722">
        <v>0</v>
      </c>
      <c r="AI722">
        <v>7</v>
      </c>
      <c r="AJ722">
        <v>2</v>
      </c>
      <c r="AK722">
        <v>3</v>
      </c>
      <c r="AL722" t="str" cm="1">
        <f t="array" ref="AL722">_xlfn.IFS(AK722=1,"Low",AK722=2,"Medium",AK722=3,"High",AK722=4,"Very High")</f>
        <v>High</v>
      </c>
      <c r="AM722">
        <v>5</v>
      </c>
      <c r="AN722">
        <v>2</v>
      </c>
      <c r="AO722">
        <v>0</v>
      </c>
      <c r="AP722">
        <v>1</v>
      </c>
    </row>
    <row r="723" spans="1:42">
      <c r="A723">
        <v>50</v>
      </c>
      <c r="B723" t="str" cm="1">
        <f t="array" ref="B723">_xlfn.IFS(A723&lt;=25,"18-25",A723&lt;=35,"26-35",A723&lt;=45,"36-45",A723&lt;=55,"46-55",A723&gt;55,"56+")</f>
        <v>46-55</v>
      </c>
      <c r="C723" t="s">
        <v>39</v>
      </c>
      <c r="D723" t="s">
        <v>33</v>
      </c>
      <c r="E723" s="2">
        <v>939</v>
      </c>
      <c r="F723" t="s">
        <v>41</v>
      </c>
      <c r="G723">
        <v>24</v>
      </c>
      <c r="H723" t="str">
        <f t="shared" si="11"/>
        <v>21-30 km</v>
      </c>
      <c r="I723">
        <v>3</v>
      </c>
      <c r="J723" t="str" cm="1">
        <f t="array" ref="J723">_xlfn.IFS(I723=1,"Below College",I723=2,"College",I723=3,"Bachelor",I723=4,"Master",I723=5,"Doctor")</f>
        <v>Bachelor</v>
      </c>
      <c r="K723" t="s">
        <v>35</v>
      </c>
      <c r="L723">
        <v>1005</v>
      </c>
      <c r="M723">
        <v>4</v>
      </c>
      <c r="N723" t="str" cm="1">
        <f t="array" ref="N723">_xlfn.IFS(M723=1,"Low",M723=2,"Medium",M723=3,"High",M723=4,"Very High")</f>
        <v>Very High</v>
      </c>
      <c r="O723" t="s">
        <v>42</v>
      </c>
      <c r="P723" s="2">
        <v>95</v>
      </c>
      <c r="Q723">
        <v>3</v>
      </c>
      <c r="R723" t="str" cm="1">
        <f t="array" ref="R723">_xlfn.IFS(Q723=1,"Low",Q723=2,"Medium",Q723=3,"High",Q723=4,"Very High")</f>
        <v>High</v>
      </c>
      <c r="S723">
        <v>4</v>
      </c>
      <c r="T723" t="str" cm="1">
        <f t="array" ref="T723">_xlfn.IFS(S723=1,"Entry Level",S723=2,"Junior",S723=3,"Mid-Level",S723=4,"Senior",S723=5,"Executive")</f>
        <v>Senior</v>
      </c>
      <c r="U723" t="s">
        <v>49</v>
      </c>
      <c r="V723">
        <v>3</v>
      </c>
      <c r="W723" t="str" cm="1">
        <f t="array" ref="W723">_xlfn.IFS(V723=1,"Low",V723=2,"Medium",V723=3,"High",V723=4,"Very High")</f>
        <v>High</v>
      </c>
      <c r="X723" t="s">
        <v>44</v>
      </c>
      <c r="Y723" s="2">
        <v>13973</v>
      </c>
      <c r="Z723" s="2">
        <v>4161</v>
      </c>
      <c r="AA723">
        <v>3</v>
      </c>
      <c r="AB723" t="s">
        <v>32</v>
      </c>
      <c r="AC723">
        <v>18</v>
      </c>
      <c r="AD723">
        <v>3</v>
      </c>
      <c r="AE723" t="str" cm="1">
        <f t="array" ref="AE723">_xlfn.IFS(AD723=1,"Low",AD723=2,"Good",AD723=3,"Excellent",AD723=4,"Outstanding")</f>
        <v>Excellent</v>
      </c>
      <c r="AF723">
        <v>4</v>
      </c>
      <c r="AG723" t="str" cm="1">
        <f t="array" ref="AG723">_xlfn.IFS(AF723=1,"Low",AF723=2,"Medium",AF723=3,"High",AF723=4,"Very High")</f>
        <v>Very High</v>
      </c>
      <c r="AH723">
        <v>1</v>
      </c>
      <c r="AI723">
        <v>22</v>
      </c>
      <c r="AJ723">
        <v>2</v>
      </c>
      <c r="AK723">
        <v>3</v>
      </c>
      <c r="AL723" t="str" cm="1">
        <f t="array" ref="AL723">_xlfn.IFS(AK723=1,"Low",AK723=2,"Medium",AK723=3,"High",AK723=4,"Very High")</f>
        <v>High</v>
      </c>
      <c r="AM723">
        <v>12</v>
      </c>
      <c r="AN723">
        <v>11</v>
      </c>
      <c r="AO723">
        <v>1</v>
      </c>
      <c r="AP723">
        <v>5</v>
      </c>
    </row>
    <row r="724" spans="1:42">
      <c r="A724">
        <v>38</v>
      </c>
      <c r="B724" t="str" cm="1">
        <f t="array" ref="B724">_xlfn.IFS(A724&lt;=25,"18-25",A724&lt;=35,"26-35",A724&lt;=45,"36-45",A724&lt;=55,"46-55",A724&gt;55,"56+")</f>
        <v>36-45</v>
      </c>
      <c r="C724" t="s">
        <v>39</v>
      </c>
      <c r="D724" t="s">
        <v>40</v>
      </c>
      <c r="E724" s="2">
        <v>1391</v>
      </c>
      <c r="F724" t="s">
        <v>41</v>
      </c>
      <c r="G724">
        <v>10</v>
      </c>
      <c r="H724" t="str">
        <f t="shared" si="11"/>
        <v>1-10 km</v>
      </c>
      <c r="I724">
        <v>1</v>
      </c>
      <c r="J724" t="str" cm="1">
        <f t="array" ref="J724">_xlfn.IFS(I724=1,"Below College",I724=2,"College",I724=3,"Bachelor",I724=4,"Master",I724=5,"Doctor")</f>
        <v>Below College</v>
      </c>
      <c r="K724" t="s">
        <v>47</v>
      </c>
      <c r="L724">
        <v>1006</v>
      </c>
      <c r="M724">
        <v>3</v>
      </c>
      <c r="N724" t="str" cm="1">
        <f t="array" ref="N724">_xlfn.IFS(M724=1,"Low",M724=2,"Medium",M724=3,"High",M724=4,"Very High")</f>
        <v>High</v>
      </c>
      <c r="O724" t="s">
        <v>42</v>
      </c>
      <c r="P724" s="2">
        <v>66</v>
      </c>
      <c r="Q724">
        <v>3</v>
      </c>
      <c r="R724" t="str" cm="1">
        <f t="array" ref="R724">_xlfn.IFS(Q724=1,"Low",Q724=2,"Medium",Q724=3,"High",Q724=4,"Very High")</f>
        <v>High</v>
      </c>
      <c r="S724">
        <v>1</v>
      </c>
      <c r="T724" t="str" cm="1">
        <f t="array" ref="T724">_xlfn.IFS(S724=1,"Entry Level",S724=2,"Junior",S724=3,"Mid-Level",S724=4,"Senior",S724=5,"Executive")</f>
        <v>Entry Level</v>
      </c>
      <c r="U724" t="s">
        <v>43</v>
      </c>
      <c r="V724">
        <v>3</v>
      </c>
      <c r="W724" t="str" cm="1">
        <f t="array" ref="W724">_xlfn.IFS(V724=1,"Low",V724=2,"Medium",V724=3,"High",V724=4,"Very High")</f>
        <v>High</v>
      </c>
      <c r="X724" t="s">
        <v>44</v>
      </c>
      <c r="Y724" s="2">
        <v>2684</v>
      </c>
      <c r="Z724" s="2">
        <v>12127</v>
      </c>
      <c r="AA724">
        <v>0</v>
      </c>
      <c r="AB724" t="s">
        <v>39</v>
      </c>
      <c r="AC724">
        <v>17</v>
      </c>
      <c r="AD724">
        <v>3</v>
      </c>
      <c r="AE724" t="str" cm="1">
        <f t="array" ref="AE724">_xlfn.IFS(AD724=1,"Low",AD724=2,"Good",AD724=3,"Excellent",AD724=4,"Outstanding")</f>
        <v>Excellent</v>
      </c>
      <c r="AF724">
        <v>2</v>
      </c>
      <c r="AG724" t="str" cm="1">
        <f t="array" ref="AG724">_xlfn.IFS(AF724=1,"Low",AF724=2,"Medium",AF724=3,"High",AF724=4,"Very High")</f>
        <v>Medium</v>
      </c>
      <c r="AH724">
        <v>1</v>
      </c>
      <c r="AI724">
        <v>3</v>
      </c>
      <c r="AJ724">
        <v>0</v>
      </c>
      <c r="AK724">
        <v>2</v>
      </c>
      <c r="AL724" t="str" cm="1">
        <f t="array" ref="AL724">_xlfn.IFS(AK724=1,"Low",AK724=2,"Medium",AK724=3,"High",AK724=4,"Very High")</f>
        <v>Medium</v>
      </c>
      <c r="AM724">
        <v>2</v>
      </c>
      <c r="AN724">
        <v>1</v>
      </c>
      <c r="AO724">
        <v>0</v>
      </c>
      <c r="AP724">
        <v>2</v>
      </c>
    </row>
    <row r="725" spans="1:42">
      <c r="A725">
        <v>46</v>
      </c>
      <c r="B725" t="str" cm="1">
        <f t="array" ref="B725">_xlfn.IFS(A725&lt;=25,"18-25",A725&lt;=35,"26-35",A725&lt;=45,"36-45",A725&lt;=55,"46-55",A725&gt;55,"56+")</f>
        <v>46-55</v>
      </c>
      <c r="C725" t="s">
        <v>39</v>
      </c>
      <c r="D725" t="s">
        <v>33</v>
      </c>
      <c r="E725" s="2">
        <v>566</v>
      </c>
      <c r="F725" t="s">
        <v>41</v>
      </c>
      <c r="G725">
        <v>7</v>
      </c>
      <c r="H725" t="str">
        <f t="shared" si="11"/>
        <v>1-10 km</v>
      </c>
      <c r="I725">
        <v>2</v>
      </c>
      <c r="J725" t="str" cm="1">
        <f t="array" ref="J725">_xlfn.IFS(I725=1,"Below College",I725=2,"College",I725=3,"Bachelor",I725=4,"Master",I725=5,"Doctor")</f>
        <v>College</v>
      </c>
      <c r="K725" t="s">
        <v>47</v>
      </c>
      <c r="L725">
        <v>1007</v>
      </c>
      <c r="M725">
        <v>4</v>
      </c>
      <c r="N725" t="str" cm="1">
        <f t="array" ref="N725">_xlfn.IFS(M725=1,"Low",M725=2,"Medium",M725=3,"High",M725=4,"Very High")</f>
        <v>Very High</v>
      </c>
      <c r="O725" t="s">
        <v>42</v>
      </c>
      <c r="P725" s="2">
        <v>75</v>
      </c>
      <c r="Q725">
        <v>3</v>
      </c>
      <c r="R725" t="str" cm="1">
        <f t="array" ref="R725">_xlfn.IFS(Q725=1,"Low",Q725=2,"Medium",Q725=3,"High",Q725=4,"Very High")</f>
        <v>High</v>
      </c>
      <c r="S725">
        <v>3</v>
      </c>
      <c r="T725" t="str" cm="1">
        <f t="array" ref="T725">_xlfn.IFS(S725=1,"Entry Level",S725=2,"Junior",S725=3,"Mid-Level",S725=4,"Senior",S725=5,"Executive")</f>
        <v>Mid-Level</v>
      </c>
      <c r="U725" t="s">
        <v>49</v>
      </c>
      <c r="V725">
        <v>3</v>
      </c>
      <c r="W725" t="str" cm="1">
        <f t="array" ref="W725">_xlfn.IFS(V725=1,"Low",V725=2,"Medium",V725=3,"High",V725=4,"Very High")</f>
        <v>High</v>
      </c>
      <c r="X725" t="s">
        <v>48</v>
      </c>
      <c r="Y725" s="2">
        <v>10845</v>
      </c>
      <c r="Z725" s="2">
        <v>24208</v>
      </c>
      <c r="AA725">
        <v>6</v>
      </c>
      <c r="AB725" t="s">
        <v>39</v>
      </c>
      <c r="AC725">
        <v>13</v>
      </c>
      <c r="AD725">
        <v>3</v>
      </c>
      <c r="AE725" t="str" cm="1">
        <f t="array" ref="AE725">_xlfn.IFS(AD725=1,"Low",AD725=2,"Good",AD725=3,"Excellent",AD725=4,"Outstanding")</f>
        <v>Excellent</v>
      </c>
      <c r="AF725">
        <v>2</v>
      </c>
      <c r="AG725" t="str" cm="1">
        <f t="array" ref="AG725">_xlfn.IFS(AF725=1,"Low",AF725=2,"Medium",AF725=3,"High",AF725=4,"Very High")</f>
        <v>Medium</v>
      </c>
      <c r="AH725">
        <v>1</v>
      </c>
      <c r="AI725">
        <v>13</v>
      </c>
      <c r="AJ725">
        <v>3</v>
      </c>
      <c r="AK725">
        <v>3</v>
      </c>
      <c r="AL725" t="str" cm="1">
        <f t="array" ref="AL725">_xlfn.IFS(AK725=1,"Low",AK725=2,"Medium",AK725=3,"High",AK725=4,"Very High")</f>
        <v>High</v>
      </c>
      <c r="AM725">
        <v>8</v>
      </c>
      <c r="AN725">
        <v>7</v>
      </c>
      <c r="AO725">
        <v>0</v>
      </c>
      <c r="AP725">
        <v>7</v>
      </c>
    </row>
    <row r="726" spans="1:42">
      <c r="A726">
        <v>24</v>
      </c>
      <c r="B726" t="str" cm="1">
        <f t="array" ref="B726">_xlfn.IFS(A726&lt;=25,"18-25",A726&lt;=35,"26-35",A726&lt;=45,"36-45",A726&lt;=55,"46-55",A726&gt;55,"56+")</f>
        <v>18-25</v>
      </c>
      <c r="C726" t="s">
        <v>39</v>
      </c>
      <c r="D726" t="s">
        <v>33</v>
      </c>
      <c r="E726" s="2">
        <v>1206</v>
      </c>
      <c r="F726" t="s">
        <v>41</v>
      </c>
      <c r="G726">
        <v>17</v>
      </c>
      <c r="H726" t="str">
        <f t="shared" si="11"/>
        <v>11-20 km</v>
      </c>
      <c r="I726">
        <v>1</v>
      </c>
      <c r="J726" t="str" cm="1">
        <f t="array" ref="J726">_xlfn.IFS(I726=1,"Below College",I726=2,"College",I726=3,"Bachelor",I726=4,"Master",I726=5,"Doctor")</f>
        <v>Below College</v>
      </c>
      <c r="K726" t="s">
        <v>47</v>
      </c>
      <c r="L726">
        <v>1009</v>
      </c>
      <c r="M726">
        <v>4</v>
      </c>
      <c r="N726" t="str" cm="1">
        <f t="array" ref="N726">_xlfn.IFS(M726=1,"Low",M726=2,"Medium",M726=3,"High",M726=4,"Very High")</f>
        <v>Very High</v>
      </c>
      <c r="O726" t="s">
        <v>36</v>
      </c>
      <c r="P726" s="2">
        <v>41</v>
      </c>
      <c r="Q726">
        <v>2</v>
      </c>
      <c r="R726" t="str" cm="1">
        <f t="array" ref="R726">_xlfn.IFS(Q726=1,"Low",Q726=2,"Medium",Q726=3,"High",Q726=4,"Very High")</f>
        <v>Medium</v>
      </c>
      <c r="S726">
        <v>2</v>
      </c>
      <c r="T726" t="str" cm="1">
        <f t="array" ref="T726">_xlfn.IFS(S726=1,"Entry Level",S726=2,"Junior",S726=3,"Mid-Level",S726=4,"Senior",S726=5,"Executive")</f>
        <v>Junior</v>
      </c>
      <c r="U726" t="s">
        <v>49</v>
      </c>
      <c r="V726">
        <v>3</v>
      </c>
      <c r="W726" t="str" cm="1">
        <f t="array" ref="W726">_xlfn.IFS(V726=1,"Low",V726=2,"Medium",V726=3,"High",V726=4,"Very High")</f>
        <v>High</v>
      </c>
      <c r="X726" t="s">
        <v>48</v>
      </c>
      <c r="Y726" s="2">
        <v>4377</v>
      </c>
      <c r="Z726" s="2">
        <v>24117</v>
      </c>
      <c r="AA726">
        <v>1</v>
      </c>
      <c r="AB726" t="s">
        <v>39</v>
      </c>
      <c r="AC726">
        <v>15</v>
      </c>
      <c r="AD726">
        <v>3</v>
      </c>
      <c r="AE726" t="str" cm="1">
        <f t="array" ref="AE726">_xlfn.IFS(AD726=1,"Low",AD726=2,"Good",AD726=3,"Excellent",AD726=4,"Outstanding")</f>
        <v>Excellent</v>
      </c>
      <c r="AF726">
        <v>2</v>
      </c>
      <c r="AG726" t="str" cm="1">
        <f t="array" ref="AG726">_xlfn.IFS(AF726=1,"Low",AF726=2,"Medium",AF726=3,"High",AF726=4,"Very High")</f>
        <v>Medium</v>
      </c>
      <c r="AH726">
        <v>2</v>
      </c>
      <c r="AI726">
        <v>5</v>
      </c>
      <c r="AJ726">
        <v>6</v>
      </c>
      <c r="AK726">
        <v>3</v>
      </c>
      <c r="AL726" t="str" cm="1">
        <f t="array" ref="AL726">_xlfn.IFS(AK726=1,"Low",AK726=2,"Medium",AK726=3,"High",AK726=4,"Very High")</f>
        <v>High</v>
      </c>
      <c r="AM726">
        <v>4</v>
      </c>
      <c r="AN726">
        <v>2</v>
      </c>
      <c r="AO726">
        <v>3</v>
      </c>
      <c r="AP726">
        <v>2</v>
      </c>
    </row>
    <row r="727" spans="1:42">
      <c r="A727">
        <v>35</v>
      </c>
      <c r="B727" t="str" cm="1">
        <f t="array" ref="B727">_xlfn.IFS(A727&lt;=25,"18-25",A727&lt;=35,"26-35",A727&lt;=45,"36-45",A727&lt;=55,"46-55",A727&gt;55,"56+")</f>
        <v>26-35</v>
      </c>
      <c r="C727" t="s">
        <v>32</v>
      </c>
      <c r="D727" t="s">
        <v>33</v>
      </c>
      <c r="E727" s="2">
        <v>622</v>
      </c>
      <c r="F727" t="s">
        <v>41</v>
      </c>
      <c r="G727">
        <v>14</v>
      </c>
      <c r="H727" t="str">
        <f t="shared" si="11"/>
        <v>11-20 km</v>
      </c>
      <c r="I727">
        <v>4</v>
      </c>
      <c r="J727" t="str" cm="1">
        <f t="array" ref="J727">_xlfn.IFS(I727=1,"Below College",I727=2,"College",I727=3,"Bachelor",I727=4,"Master",I727=5,"Doctor")</f>
        <v>Master</v>
      </c>
      <c r="K727" t="s">
        <v>45</v>
      </c>
      <c r="L727">
        <v>1010</v>
      </c>
      <c r="M727">
        <v>3</v>
      </c>
      <c r="N727" t="str" cm="1">
        <f t="array" ref="N727">_xlfn.IFS(M727=1,"Low",M727=2,"Medium",M727=3,"High",M727=4,"Very High")</f>
        <v>High</v>
      </c>
      <c r="O727" t="s">
        <v>42</v>
      </c>
      <c r="P727" s="2">
        <v>39</v>
      </c>
      <c r="Q727">
        <v>2</v>
      </c>
      <c r="R727" t="str" cm="1">
        <f t="array" ref="R727">_xlfn.IFS(Q727=1,"Low",Q727=2,"Medium",Q727=3,"High",Q727=4,"Very High")</f>
        <v>Medium</v>
      </c>
      <c r="S727">
        <v>1</v>
      </c>
      <c r="T727" t="str" cm="1">
        <f t="array" ref="T727">_xlfn.IFS(S727=1,"Entry Level",S727=2,"Junior",S727=3,"Mid-Level",S727=4,"Senior",S727=5,"Executive")</f>
        <v>Entry Level</v>
      </c>
      <c r="U727" t="s">
        <v>46</v>
      </c>
      <c r="V727">
        <v>2</v>
      </c>
      <c r="W727" t="str" cm="1">
        <f t="array" ref="W727">_xlfn.IFS(V727=1,"Low",V727=2,"Medium",V727=3,"High",V727=4,"Very High")</f>
        <v>Medium</v>
      </c>
      <c r="X727" t="s">
        <v>48</v>
      </c>
      <c r="Y727" s="2">
        <v>3743</v>
      </c>
      <c r="Z727" s="2">
        <v>10074</v>
      </c>
      <c r="AA727">
        <v>1</v>
      </c>
      <c r="AB727" t="s">
        <v>32</v>
      </c>
      <c r="AC727">
        <v>24</v>
      </c>
      <c r="AD727">
        <v>4</v>
      </c>
      <c r="AE727" t="str" cm="1">
        <f t="array" ref="AE727">_xlfn.IFS(AD727=1,"Low",AD727=2,"Good",AD727=3,"Excellent",AD727=4,"Outstanding")</f>
        <v>Outstanding</v>
      </c>
      <c r="AF727">
        <v>4</v>
      </c>
      <c r="AG727" t="str" cm="1">
        <f t="array" ref="AG727">_xlfn.IFS(AF727=1,"Low",AF727=2,"Medium",AF727=3,"High",AF727=4,"Very High")</f>
        <v>Very High</v>
      </c>
      <c r="AH727">
        <v>1</v>
      </c>
      <c r="AI727">
        <v>5</v>
      </c>
      <c r="AJ727">
        <v>2</v>
      </c>
      <c r="AK727">
        <v>1</v>
      </c>
      <c r="AL727" t="str" cm="1">
        <f t="array" ref="AL727">_xlfn.IFS(AK727=1,"Low",AK727=2,"Medium",AK727=3,"High",AK727=4,"Very High")</f>
        <v>Low</v>
      </c>
      <c r="AM727">
        <v>4</v>
      </c>
      <c r="AN727">
        <v>2</v>
      </c>
      <c r="AO727">
        <v>0</v>
      </c>
      <c r="AP727">
        <v>2</v>
      </c>
    </row>
    <row r="728" spans="1:42">
      <c r="A728">
        <v>31</v>
      </c>
      <c r="B728" t="str" cm="1">
        <f t="array" ref="B728">_xlfn.IFS(A728&lt;=25,"18-25",A728&lt;=35,"26-35",A728&lt;=45,"36-45",A728&lt;=55,"46-55",A728&gt;55,"56+")</f>
        <v>26-35</v>
      </c>
      <c r="C728" t="s">
        <v>39</v>
      </c>
      <c r="D728" t="s">
        <v>40</v>
      </c>
      <c r="E728" s="2">
        <v>853</v>
      </c>
      <c r="F728" t="s">
        <v>41</v>
      </c>
      <c r="G728">
        <v>1</v>
      </c>
      <c r="H728" t="str">
        <f t="shared" si="11"/>
        <v>1-10 km</v>
      </c>
      <c r="I728">
        <v>1</v>
      </c>
      <c r="J728" t="str" cm="1">
        <f t="array" ref="J728">_xlfn.IFS(I728=1,"Below College",I728=2,"College",I728=3,"Bachelor",I728=4,"Master",I728=5,"Doctor")</f>
        <v>Below College</v>
      </c>
      <c r="K728" t="s">
        <v>35</v>
      </c>
      <c r="L728">
        <v>1011</v>
      </c>
      <c r="M728">
        <v>3</v>
      </c>
      <c r="N728" t="str" cm="1">
        <f t="array" ref="N728">_xlfn.IFS(M728=1,"Low",M728=2,"Medium",M728=3,"High",M728=4,"Very High")</f>
        <v>High</v>
      </c>
      <c r="O728" t="s">
        <v>36</v>
      </c>
      <c r="P728" s="2">
        <v>96</v>
      </c>
      <c r="Q728">
        <v>3</v>
      </c>
      <c r="R728" t="str" cm="1">
        <f t="array" ref="R728">_xlfn.IFS(Q728=1,"Low",Q728=2,"Medium",Q728=3,"High",Q728=4,"Very High")</f>
        <v>High</v>
      </c>
      <c r="S728">
        <v>2</v>
      </c>
      <c r="T728" t="str" cm="1">
        <f t="array" ref="T728">_xlfn.IFS(S728=1,"Entry Level",S728=2,"Junior",S728=3,"Mid-Level",S728=4,"Senior",S728=5,"Executive")</f>
        <v>Junior</v>
      </c>
      <c r="U728" t="s">
        <v>49</v>
      </c>
      <c r="V728">
        <v>1</v>
      </c>
      <c r="W728" t="str" cm="1">
        <f t="array" ref="W728">_xlfn.IFS(V728=1,"Low",V728=2,"Medium",V728=3,"High",V728=4,"Very High")</f>
        <v>Low</v>
      </c>
      <c r="X728" t="s">
        <v>44</v>
      </c>
      <c r="Y728" s="2">
        <v>4148</v>
      </c>
      <c r="Z728" s="2">
        <v>11275</v>
      </c>
      <c r="AA728">
        <v>1</v>
      </c>
      <c r="AB728" t="s">
        <v>39</v>
      </c>
      <c r="AC728">
        <v>12</v>
      </c>
      <c r="AD728">
        <v>3</v>
      </c>
      <c r="AE728" t="str" cm="1">
        <f t="array" ref="AE728">_xlfn.IFS(AD728=1,"Low",AD728=2,"Good",AD728=3,"Excellent",AD728=4,"Outstanding")</f>
        <v>Excellent</v>
      </c>
      <c r="AF728">
        <v>3</v>
      </c>
      <c r="AG728" t="str" cm="1">
        <f t="array" ref="AG728">_xlfn.IFS(AF728=1,"Low",AF728=2,"Medium",AF728=3,"High",AF728=4,"Very High")</f>
        <v>High</v>
      </c>
      <c r="AH728">
        <v>1</v>
      </c>
      <c r="AI728">
        <v>4</v>
      </c>
      <c r="AJ728">
        <v>1</v>
      </c>
      <c r="AK728">
        <v>3</v>
      </c>
      <c r="AL728" t="str" cm="1">
        <f t="array" ref="AL728">_xlfn.IFS(AK728=1,"Low",AK728=2,"Medium",AK728=3,"High",AK728=4,"Very High")</f>
        <v>High</v>
      </c>
      <c r="AM728">
        <v>4</v>
      </c>
      <c r="AN728">
        <v>3</v>
      </c>
      <c r="AO728">
        <v>0</v>
      </c>
      <c r="AP728">
        <v>3</v>
      </c>
    </row>
    <row r="729" spans="1:42">
      <c r="A729">
        <v>18</v>
      </c>
      <c r="B729" t="str" cm="1">
        <f t="array" ref="B729">_xlfn.IFS(A729&lt;=25,"18-25",A729&lt;=35,"26-35",A729&lt;=45,"36-45",A729&lt;=55,"46-55",A729&gt;55,"56+")</f>
        <v>18-25</v>
      </c>
      <c r="C729" t="s">
        <v>39</v>
      </c>
      <c r="D729" t="s">
        <v>51</v>
      </c>
      <c r="E729" s="2">
        <v>287</v>
      </c>
      <c r="F729" t="s">
        <v>41</v>
      </c>
      <c r="G729">
        <v>5</v>
      </c>
      <c r="H729" t="str">
        <f t="shared" si="11"/>
        <v>1-10 km</v>
      </c>
      <c r="I729">
        <v>2</v>
      </c>
      <c r="J729" t="str" cm="1">
        <f t="array" ref="J729">_xlfn.IFS(I729=1,"Below College",I729=2,"College",I729=3,"Bachelor",I729=4,"Master",I729=5,"Doctor")</f>
        <v>College</v>
      </c>
      <c r="K729" t="s">
        <v>35</v>
      </c>
      <c r="L729">
        <v>1012</v>
      </c>
      <c r="M729">
        <v>2</v>
      </c>
      <c r="N729" t="str" cm="1">
        <f t="array" ref="N729">_xlfn.IFS(M729=1,"Low",M729=2,"Medium",M729=3,"High",M729=4,"Very High")</f>
        <v>Medium</v>
      </c>
      <c r="O729" t="s">
        <v>42</v>
      </c>
      <c r="P729" s="2">
        <v>73</v>
      </c>
      <c r="Q729">
        <v>3</v>
      </c>
      <c r="R729" t="str" cm="1">
        <f t="array" ref="R729">_xlfn.IFS(Q729=1,"Low",Q729=2,"Medium",Q729=3,"High",Q729=4,"Very High")</f>
        <v>High</v>
      </c>
      <c r="S729">
        <v>1</v>
      </c>
      <c r="T729" t="str" cm="1">
        <f t="array" ref="T729">_xlfn.IFS(S729=1,"Entry Level",S729=2,"Junior",S729=3,"Mid-Level",S729=4,"Senior",S729=5,"Executive")</f>
        <v>Entry Level</v>
      </c>
      <c r="U729" t="s">
        <v>43</v>
      </c>
      <c r="V729">
        <v>4</v>
      </c>
      <c r="W729" t="str" cm="1">
        <f t="array" ref="W729">_xlfn.IFS(V729=1,"Low",V729=2,"Medium",V729=3,"High",V729=4,"Very High")</f>
        <v>Very High</v>
      </c>
      <c r="X729" t="s">
        <v>38</v>
      </c>
      <c r="Y729" s="2">
        <v>1051</v>
      </c>
      <c r="Z729" s="2">
        <v>13493</v>
      </c>
      <c r="AA729">
        <v>1</v>
      </c>
      <c r="AB729" t="s">
        <v>39</v>
      </c>
      <c r="AC729">
        <v>15</v>
      </c>
      <c r="AD729">
        <v>3</v>
      </c>
      <c r="AE729" t="str" cm="1">
        <f t="array" ref="AE729">_xlfn.IFS(AD729=1,"Low",AD729=2,"Good",AD729=3,"Excellent",AD729=4,"Outstanding")</f>
        <v>Excellent</v>
      </c>
      <c r="AF729">
        <v>4</v>
      </c>
      <c r="AG729" t="str" cm="1">
        <f t="array" ref="AG729">_xlfn.IFS(AF729=1,"Low",AF729=2,"Medium",AF729=3,"High",AF729=4,"Very High")</f>
        <v>Very High</v>
      </c>
      <c r="AH729">
        <v>0</v>
      </c>
      <c r="AI729">
        <v>0</v>
      </c>
      <c r="AJ729">
        <v>2</v>
      </c>
      <c r="AK729">
        <v>3</v>
      </c>
      <c r="AL729" t="str" cm="1">
        <f t="array" ref="AL729">_xlfn.IFS(AK729=1,"Low",AK729=2,"Medium",AK729=3,"High",AK729=4,"Very High")</f>
        <v>High</v>
      </c>
      <c r="AM729">
        <v>0</v>
      </c>
      <c r="AN729">
        <v>0</v>
      </c>
      <c r="AO729">
        <v>0</v>
      </c>
      <c r="AP729">
        <v>0</v>
      </c>
    </row>
    <row r="730" spans="1:42">
      <c r="A730">
        <v>54</v>
      </c>
      <c r="B730" t="str" cm="1">
        <f t="array" ref="B730">_xlfn.IFS(A730&lt;=25,"18-25",A730&lt;=35,"26-35",A730&lt;=45,"36-45",A730&lt;=55,"46-55",A730&gt;55,"56+")</f>
        <v>46-55</v>
      </c>
      <c r="C730" t="s">
        <v>39</v>
      </c>
      <c r="D730" t="s">
        <v>33</v>
      </c>
      <c r="E730" s="2">
        <v>1441</v>
      </c>
      <c r="F730" t="s">
        <v>41</v>
      </c>
      <c r="G730">
        <v>17</v>
      </c>
      <c r="H730" t="str">
        <f t="shared" si="11"/>
        <v>11-20 km</v>
      </c>
      <c r="I730">
        <v>3</v>
      </c>
      <c r="J730" t="str" cm="1">
        <f t="array" ref="J730">_xlfn.IFS(I730=1,"Below College",I730=2,"College",I730=3,"Bachelor",I730=4,"Master",I730=5,"Doctor")</f>
        <v>Bachelor</v>
      </c>
      <c r="K730" t="s">
        <v>56</v>
      </c>
      <c r="L730">
        <v>1013</v>
      </c>
      <c r="M730">
        <v>3</v>
      </c>
      <c r="N730" t="str" cm="1">
        <f t="array" ref="N730">_xlfn.IFS(M730=1,"Low",M730=2,"Medium",M730=3,"High",M730=4,"Very High")</f>
        <v>High</v>
      </c>
      <c r="O730" t="s">
        <v>36</v>
      </c>
      <c r="P730" s="2">
        <v>56</v>
      </c>
      <c r="Q730">
        <v>3</v>
      </c>
      <c r="R730" t="str" cm="1">
        <f t="array" ref="R730">_xlfn.IFS(Q730=1,"Low",Q730=2,"Medium",Q730=3,"High",Q730=4,"Very High")</f>
        <v>High</v>
      </c>
      <c r="S730">
        <v>3</v>
      </c>
      <c r="T730" t="str" cm="1">
        <f t="array" ref="T730">_xlfn.IFS(S730=1,"Entry Level",S730=2,"Junior",S730=3,"Mid-Level",S730=4,"Senior",S730=5,"Executive")</f>
        <v>Mid-Level</v>
      </c>
      <c r="U730" t="s">
        <v>49</v>
      </c>
      <c r="V730">
        <v>3</v>
      </c>
      <c r="W730" t="str" cm="1">
        <f t="array" ref="W730">_xlfn.IFS(V730=1,"Low",V730=2,"Medium",V730=3,"High",V730=4,"Very High")</f>
        <v>High</v>
      </c>
      <c r="X730" t="s">
        <v>44</v>
      </c>
      <c r="Y730" s="2">
        <v>10739</v>
      </c>
      <c r="Z730" s="2">
        <v>13943</v>
      </c>
      <c r="AA730">
        <v>8</v>
      </c>
      <c r="AB730" t="s">
        <v>39</v>
      </c>
      <c r="AC730">
        <v>11</v>
      </c>
      <c r="AD730">
        <v>3</v>
      </c>
      <c r="AE730" t="str" cm="1">
        <f t="array" ref="AE730">_xlfn.IFS(AD730=1,"Low",AD730=2,"Good",AD730=3,"Excellent",AD730=4,"Outstanding")</f>
        <v>Excellent</v>
      </c>
      <c r="AF730">
        <v>3</v>
      </c>
      <c r="AG730" t="str" cm="1">
        <f t="array" ref="AG730">_xlfn.IFS(AF730=1,"Low",AF730=2,"Medium",AF730=3,"High",AF730=4,"Very High")</f>
        <v>High</v>
      </c>
      <c r="AH730">
        <v>1</v>
      </c>
      <c r="AI730">
        <v>22</v>
      </c>
      <c r="AJ730">
        <v>2</v>
      </c>
      <c r="AK730">
        <v>3</v>
      </c>
      <c r="AL730" t="str" cm="1">
        <f t="array" ref="AL730">_xlfn.IFS(AK730=1,"Low",AK730=2,"Medium",AK730=3,"High",AK730=4,"Very High")</f>
        <v>High</v>
      </c>
      <c r="AM730">
        <v>10</v>
      </c>
      <c r="AN730">
        <v>7</v>
      </c>
      <c r="AO730">
        <v>0</v>
      </c>
      <c r="AP730">
        <v>8</v>
      </c>
    </row>
    <row r="731" spans="1:42">
      <c r="A731">
        <v>35</v>
      </c>
      <c r="B731" t="str" cm="1">
        <f t="array" ref="B731">_xlfn.IFS(A731&lt;=25,"18-25",A731&lt;=35,"26-35",A731&lt;=45,"36-45",A731&lt;=55,"46-55",A731&gt;55,"56+")</f>
        <v>26-35</v>
      </c>
      <c r="C731" t="s">
        <v>39</v>
      </c>
      <c r="D731" t="s">
        <v>33</v>
      </c>
      <c r="E731" s="2">
        <v>583</v>
      </c>
      <c r="F731" t="s">
        <v>41</v>
      </c>
      <c r="G731">
        <v>25</v>
      </c>
      <c r="H731" t="str">
        <f t="shared" si="11"/>
        <v>21-30 km</v>
      </c>
      <c r="I731">
        <v>4</v>
      </c>
      <c r="J731" t="str" cm="1">
        <f t="array" ref="J731">_xlfn.IFS(I731=1,"Below College",I731=2,"College",I731=3,"Bachelor",I731=4,"Master",I731=5,"Doctor")</f>
        <v>Master</v>
      </c>
      <c r="K731" t="s">
        <v>47</v>
      </c>
      <c r="L731">
        <v>1014</v>
      </c>
      <c r="M731">
        <v>3</v>
      </c>
      <c r="N731" t="str" cm="1">
        <f t="array" ref="N731">_xlfn.IFS(M731=1,"Low",M731=2,"Medium",M731=3,"High",M731=4,"Very High")</f>
        <v>High</v>
      </c>
      <c r="O731" t="s">
        <v>36</v>
      </c>
      <c r="P731" s="2">
        <v>57</v>
      </c>
      <c r="Q731">
        <v>3</v>
      </c>
      <c r="R731" t="str" cm="1">
        <f t="array" ref="R731">_xlfn.IFS(Q731=1,"Low",Q731=2,"Medium",Q731=3,"High",Q731=4,"Very High")</f>
        <v>High</v>
      </c>
      <c r="S731">
        <v>3</v>
      </c>
      <c r="T731" t="str" cm="1">
        <f t="array" ref="T731">_xlfn.IFS(S731=1,"Entry Level",S731=2,"Junior",S731=3,"Mid-Level",S731=4,"Senior",S731=5,"Executive")</f>
        <v>Mid-Level</v>
      </c>
      <c r="U731" t="s">
        <v>50</v>
      </c>
      <c r="V731">
        <v>3</v>
      </c>
      <c r="W731" t="str" cm="1">
        <f t="array" ref="W731">_xlfn.IFS(V731=1,"Low",V731=2,"Medium",V731=3,"High",V731=4,"Very High")</f>
        <v>High</v>
      </c>
      <c r="X731" t="s">
        <v>48</v>
      </c>
      <c r="Y731" s="2">
        <v>10388</v>
      </c>
      <c r="Z731" s="2">
        <v>6975</v>
      </c>
      <c r="AA731">
        <v>1</v>
      </c>
      <c r="AB731" t="s">
        <v>32</v>
      </c>
      <c r="AC731">
        <v>11</v>
      </c>
      <c r="AD731">
        <v>3</v>
      </c>
      <c r="AE731" t="str" cm="1">
        <f t="array" ref="AE731">_xlfn.IFS(AD731=1,"Low",AD731=2,"Good",AD731=3,"Excellent",AD731=4,"Outstanding")</f>
        <v>Excellent</v>
      </c>
      <c r="AF731">
        <v>3</v>
      </c>
      <c r="AG731" t="str" cm="1">
        <f t="array" ref="AG731">_xlfn.IFS(AF731=1,"Low",AF731=2,"Medium",AF731=3,"High",AF731=4,"Very High")</f>
        <v>High</v>
      </c>
      <c r="AH731">
        <v>1</v>
      </c>
      <c r="AI731">
        <v>16</v>
      </c>
      <c r="AJ731">
        <v>3</v>
      </c>
      <c r="AK731">
        <v>2</v>
      </c>
      <c r="AL731" t="str" cm="1">
        <f t="array" ref="AL731">_xlfn.IFS(AK731=1,"Low",AK731=2,"Medium",AK731=3,"High",AK731=4,"Very High")</f>
        <v>Medium</v>
      </c>
      <c r="AM731">
        <v>16</v>
      </c>
      <c r="AN731">
        <v>10</v>
      </c>
      <c r="AO731">
        <v>10</v>
      </c>
      <c r="AP731">
        <v>1</v>
      </c>
    </row>
    <row r="732" spans="1:42">
      <c r="A732">
        <v>30</v>
      </c>
      <c r="B732" t="str" cm="1">
        <f t="array" ref="B732">_xlfn.IFS(A732&lt;=25,"18-25",A732&lt;=35,"26-35",A732&lt;=45,"36-45",A732&lt;=55,"46-55",A732&gt;55,"56+")</f>
        <v>26-35</v>
      </c>
      <c r="C732" t="s">
        <v>39</v>
      </c>
      <c r="D732" t="s">
        <v>33</v>
      </c>
      <c r="E732" s="2">
        <v>153</v>
      </c>
      <c r="F732" t="s">
        <v>41</v>
      </c>
      <c r="G732">
        <v>8</v>
      </c>
      <c r="H732" t="str">
        <f t="shared" si="11"/>
        <v>1-10 km</v>
      </c>
      <c r="I732">
        <v>2</v>
      </c>
      <c r="J732" t="str" cm="1">
        <f t="array" ref="J732">_xlfn.IFS(I732=1,"Below College",I732=2,"College",I732=3,"Bachelor",I732=4,"Master",I732=5,"Doctor")</f>
        <v>College</v>
      </c>
      <c r="K732" t="s">
        <v>35</v>
      </c>
      <c r="L732">
        <v>1015</v>
      </c>
      <c r="M732">
        <v>2</v>
      </c>
      <c r="N732" t="str" cm="1">
        <f t="array" ref="N732">_xlfn.IFS(M732=1,"Low",M732=2,"Medium",M732=3,"High",M732=4,"Very High")</f>
        <v>Medium</v>
      </c>
      <c r="O732" t="s">
        <v>36</v>
      </c>
      <c r="P732" s="2">
        <v>73</v>
      </c>
      <c r="Q732">
        <v>4</v>
      </c>
      <c r="R732" t="str" cm="1">
        <f t="array" ref="R732">_xlfn.IFS(Q732=1,"Low",Q732=2,"Medium",Q732=3,"High",Q732=4,"Very High")</f>
        <v>Very High</v>
      </c>
      <c r="S732">
        <v>3</v>
      </c>
      <c r="T732" t="str" cm="1">
        <f t="array" ref="T732">_xlfn.IFS(S732=1,"Entry Level",S732=2,"Junior",S732=3,"Mid-Level",S732=4,"Senior",S732=5,"Executive")</f>
        <v>Mid-Level</v>
      </c>
      <c r="U732" t="s">
        <v>54</v>
      </c>
      <c r="V732">
        <v>1</v>
      </c>
      <c r="W732" t="str" cm="1">
        <f t="array" ref="W732">_xlfn.IFS(V732=1,"Low",V732=2,"Medium",V732=3,"High",V732=4,"Very High")</f>
        <v>Low</v>
      </c>
      <c r="X732" t="s">
        <v>44</v>
      </c>
      <c r="Y732" s="2">
        <v>11416</v>
      </c>
      <c r="Z732" s="2">
        <v>17802</v>
      </c>
      <c r="AA732">
        <v>0</v>
      </c>
      <c r="AB732" t="s">
        <v>32</v>
      </c>
      <c r="AC732">
        <v>12</v>
      </c>
      <c r="AD732">
        <v>3</v>
      </c>
      <c r="AE732" t="str" cm="1">
        <f t="array" ref="AE732">_xlfn.IFS(AD732=1,"Low",AD732=2,"Good",AD732=3,"Excellent",AD732=4,"Outstanding")</f>
        <v>Excellent</v>
      </c>
      <c r="AF732">
        <v>3</v>
      </c>
      <c r="AG732" t="str" cm="1">
        <f t="array" ref="AG732">_xlfn.IFS(AF732=1,"Low",AF732=2,"Medium",AF732=3,"High",AF732=4,"Very High")</f>
        <v>High</v>
      </c>
      <c r="AH732">
        <v>3</v>
      </c>
      <c r="AI732">
        <v>9</v>
      </c>
      <c r="AJ732">
        <v>4</v>
      </c>
      <c r="AK732">
        <v>2</v>
      </c>
      <c r="AL732" t="str" cm="1">
        <f t="array" ref="AL732">_xlfn.IFS(AK732=1,"Low",AK732=2,"Medium",AK732=3,"High",AK732=4,"Very High")</f>
        <v>Medium</v>
      </c>
      <c r="AM732">
        <v>8</v>
      </c>
      <c r="AN732">
        <v>7</v>
      </c>
      <c r="AO732">
        <v>1</v>
      </c>
      <c r="AP732">
        <v>7</v>
      </c>
    </row>
    <row r="733" spans="1:42">
      <c r="A733">
        <v>20</v>
      </c>
      <c r="B733" t="str" cm="1">
        <f t="array" ref="B733">_xlfn.IFS(A733&lt;=25,"18-25",A733&lt;=35,"26-35",A733&lt;=45,"36-45",A733&lt;=55,"46-55",A733&gt;55,"56+")</f>
        <v>18-25</v>
      </c>
      <c r="C733" t="s">
        <v>32</v>
      </c>
      <c r="D733" t="s">
        <v>33</v>
      </c>
      <c r="E733" s="2">
        <v>1097</v>
      </c>
      <c r="F733" t="s">
        <v>41</v>
      </c>
      <c r="G733">
        <v>11</v>
      </c>
      <c r="H733" t="str">
        <f t="shared" si="11"/>
        <v>11-20 km</v>
      </c>
      <c r="I733">
        <v>3</v>
      </c>
      <c r="J733" t="str" cm="1">
        <f t="array" ref="J733">_xlfn.IFS(I733=1,"Below College",I733=2,"College",I733=3,"Bachelor",I733=4,"Master",I733=5,"Doctor")</f>
        <v>Bachelor</v>
      </c>
      <c r="K733" t="s">
        <v>47</v>
      </c>
      <c r="L733">
        <v>1016</v>
      </c>
      <c r="M733">
        <v>4</v>
      </c>
      <c r="N733" t="str" cm="1">
        <f t="array" ref="N733">_xlfn.IFS(M733=1,"Low",M733=2,"Medium",M733=3,"High",M733=4,"Very High")</f>
        <v>Very High</v>
      </c>
      <c r="O733" t="s">
        <v>36</v>
      </c>
      <c r="P733" s="2">
        <v>98</v>
      </c>
      <c r="Q733">
        <v>2</v>
      </c>
      <c r="R733" t="str" cm="1">
        <f t="array" ref="R733">_xlfn.IFS(Q733=1,"Low",Q733=2,"Medium",Q733=3,"High",Q733=4,"Very High")</f>
        <v>Medium</v>
      </c>
      <c r="S733">
        <v>1</v>
      </c>
      <c r="T733" t="str" cm="1">
        <f t="array" ref="T733">_xlfn.IFS(S733=1,"Entry Level",S733=2,"Junior",S733=3,"Mid-Level",S733=4,"Senior",S733=5,"Executive")</f>
        <v>Entry Level</v>
      </c>
      <c r="U733" t="s">
        <v>43</v>
      </c>
      <c r="V733">
        <v>1</v>
      </c>
      <c r="W733" t="str" cm="1">
        <f t="array" ref="W733">_xlfn.IFS(V733=1,"Low",V733=2,"Medium",V733=3,"High",V733=4,"Very High")</f>
        <v>Low</v>
      </c>
      <c r="X733" t="s">
        <v>38</v>
      </c>
      <c r="Y733" s="2">
        <v>2600</v>
      </c>
      <c r="Z733" s="2">
        <v>18275</v>
      </c>
      <c r="AA733">
        <v>1</v>
      </c>
      <c r="AB733" t="s">
        <v>32</v>
      </c>
      <c r="AC733">
        <v>15</v>
      </c>
      <c r="AD733">
        <v>3</v>
      </c>
      <c r="AE733" t="str" cm="1">
        <f t="array" ref="AE733">_xlfn.IFS(AD733=1,"Low",AD733=2,"Good",AD733=3,"Excellent",AD733=4,"Outstanding")</f>
        <v>Excellent</v>
      </c>
      <c r="AF733">
        <v>1</v>
      </c>
      <c r="AG733" t="str" cm="1">
        <f t="array" ref="AG733">_xlfn.IFS(AF733=1,"Low",AF733=2,"Medium",AF733=3,"High",AF733=4,"Very High")</f>
        <v>Low</v>
      </c>
      <c r="AH733">
        <v>0</v>
      </c>
      <c r="AI733">
        <v>1</v>
      </c>
      <c r="AJ733">
        <v>2</v>
      </c>
      <c r="AK733">
        <v>3</v>
      </c>
      <c r="AL733" t="str" cm="1">
        <f t="array" ref="AL733">_xlfn.IFS(AK733=1,"Low",AK733=2,"Medium",AK733=3,"High",AK733=4,"Very High")</f>
        <v>High</v>
      </c>
      <c r="AM733">
        <v>1</v>
      </c>
      <c r="AN733">
        <v>0</v>
      </c>
      <c r="AO733">
        <v>0</v>
      </c>
      <c r="AP733">
        <v>0</v>
      </c>
    </row>
    <row r="734" spans="1:42">
      <c r="A734">
        <v>30</v>
      </c>
      <c r="B734" t="str" cm="1">
        <f t="array" ref="B734">_xlfn.IFS(A734&lt;=25,"18-25",A734&lt;=35,"26-35",A734&lt;=45,"36-45",A734&lt;=55,"46-55",A734&gt;55,"56+")</f>
        <v>26-35</v>
      </c>
      <c r="C734" t="s">
        <v>32</v>
      </c>
      <c r="D734" t="s">
        <v>40</v>
      </c>
      <c r="E734" s="2">
        <v>109</v>
      </c>
      <c r="F734" t="s">
        <v>41</v>
      </c>
      <c r="G734">
        <v>5</v>
      </c>
      <c r="H734" t="str">
        <f t="shared" si="11"/>
        <v>1-10 km</v>
      </c>
      <c r="I734">
        <v>3</v>
      </c>
      <c r="J734" t="str" cm="1">
        <f t="array" ref="J734">_xlfn.IFS(I734=1,"Below College",I734=2,"College",I734=3,"Bachelor",I734=4,"Master",I734=5,"Doctor")</f>
        <v>Bachelor</v>
      </c>
      <c r="K734" t="s">
        <v>47</v>
      </c>
      <c r="L734">
        <v>1017</v>
      </c>
      <c r="M734">
        <v>2</v>
      </c>
      <c r="N734" t="str" cm="1">
        <f t="array" ref="N734">_xlfn.IFS(M734=1,"Low",M734=2,"Medium",M734=3,"High",M734=4,"Very High")</f>
        <v>Medium</v>
      </c>
      <c r="O734" t="s">
        <v>36</v>
      </c>
      <c r="P734" s="2">
        <v>60</v>
      </c>
      <c r="Q734">
        <v>3</v>
      </c>
      <c r="R734" t="str" cm="1">
        <f t="array" ref="R734">_xlfn.IFS(Q734=1,"Low",Q734=2,"Medium",Q734=3,"High",Q734=4,"Very High")</f>
        <v>High</v>
      </c>
      <c r="S734">
        <v>1</v>
      </c>
      <c r="T734" t="str" cm="1">
        <f t="array" ref="T734">_xlfn.IFS(S734=1,"Entry Level",S734=2,"Junior",S734=3,"Mid-Level",S734=4,"Senior",S734=5,"Executive")</f>
        <v>Entry Level</v>
      </c>
      <c r="U734" t="s">
        <v>46</v>
      </c>
      <c r="V734">
        <v>2</v>
      </c>
      <c r="W734" t="str" cm="1">
        <f t="array" ref="W734">_xlfn.IFS(V734=1,"Low",V734=2,"Medium",V734=3,"High",V734=4,"Very High")</f>
        <v>Medium</v>
      </c>
      <c r="X734" t="s">
        <v>38</v>
      </c>
      <c r="Y734" s="2">
        <v>2422</v>
      </c>
      <c r="Z734" s="2">
        <v>25725</v>
      </c>
      <c r="AA734">
        <v>0</v>
      </c>
      <c r="AB734" t="s">
        <v>39</v>
      </c>
      <c r="AC734">
        <v>17</v>
      </c>
      <c r="AD734">
        <v>3</v>
      </c>
      <c r="AE734" t="str" cm="1">
        <f t="array" ref="AE734">_xlfn.IFS(AD734=1,"Low",AD734=2,"Good",AD734=3,"Excellent",AD734=4,"Outstanding")</f>
        <v>Excellent</v>
      </c>
      <c r="AF734">
        <v>1</v>
      </c>
      <c r="AG734" t="str" cm="1">
        <f t="array" ref="AG734">_xlfn.IFS(AF734=1,"Low",AF734=2,"Medium",AF734=3,"High",AF734=4,"Very High")</f>
        <v>Low</v>
      </c>
      <c r="AH734">
        <v>0</v>
      </c>
      <c r="AI734">
        <v>4</v>
      </c>
      <c r="AJ734">
        <v>3</v>
      </c>
      <c r="AK734">
        <v>3</v>
      </c>
      <c r="AL734" t="str" cm="1">
        <f t="array" ref="AL734">_xlfn.IFS(AK734=1,"Low",AK734=2,"Medium",AK734=3,"High",AK734=4,"Very High")</f>
        <v>High</v>
      </c>
      <c r="AM734">
        <v>3</v>
      </c>
      <c r="AN734">
        <v>2</v>
      </c>
      <c r="AO734">
        <v>1</v>
      </c>
      <c r="AP734">
        <v>2</v>
      </c>
    </row>
    <row r="735" spans="1:42">
      <c r="A735">
        <v>26</v>
      </c>
      <c r="B735" t="str" cm="1">
        <f t="array" ref="B735">_xlfn.IFS(A735&lt;=25,"18-25",A735&lt;=35,"26-35",A735&lt;=45,"36-45",A735&lt;=55,"46-55",A735&gt;55,"56+")</f>
        <v>26-35</v>
      </c>
      <c r="C735" t="s">
        <v>39</v>
      </c>
      <c r="D735" t="s">
        <v>33</v>
      </c>
      <c r="E735" s="2">
        <v>1066</v>
      </c>
      <c r="F735" t="s">
        <v>41</v>
      </c>
      <c r="G735">
        <v>2</v>
      </c>
      <c r="H735" t="str">
        <f t="shared" si="11"/>
        <v>1-10 km</v>
      </c>
      <c r="I735">
        <v>2</v>
      </c>
      <c r="J735" t="str" cm="1">
        <f t="array" ref="J735">_xlfn.IFS(I735=1,"Below College",I735=2,"College",I735=3,"Bachelor",I735=4,"Master",I735=5,"Doctor")</f>
        <v>College</v>
      </c>
      <c r="K735" t="s">
        <v>47</v>
      </c>
      <c r="L735">
        <v>1018</v>
      </c>
      <c r="M735">
        <v>4</v>
      </c>
      <c r="N735" t="str" cm="1">
        <f t="array" ref="N735">_xlfn.IFS(M735=1,"Low",M735=2,"Medium",M735=3,"High",M735=4,"Very High")</f>
        <v>Very High</v>
      </c>
      <c r="O735" t="s">
        <v>42</v>
      </c>
      <c r="P735" s="2">
        <v>32</v>
      </c>
      <c r="Q735">
        <v>4</v>
      </c>
      <c r="R735" t="str" cm="1">
        <f t="array" ref="R735">_xlfn.IFS(Q735=1,"Low",Q735=2,"Medium",Q735=3,"High",Q735=4,"Very High")</f>
        <v>Very High</v>
      </c>
      <c r="S735">
        <v>2</v>
      </c>
      <c r="T735" t="str" cm="1">
        <f t="array" ref="T735">_xlfn.IFS(S735=1,"Entry Level",S735=2,"Junior",S735=3,"Mid-Level",S735=4,"Senior",S735=5,"Executive")</f>
        <v>Junior</v>
      </c>
      <c r="U735" t="s">
        <v>49</v>
      </c>
      <c r="V735">
        <v>4</v>
      </c>
      <c r="W735" t="str" cm="1">
        <f t="array" ref="W735">_xlfn.IFS(V735=1,"Low",V735=2,"Medium",V735=3,"High",V735=4,"Very High")</f>
        <v>Very High</v>
      </c>
      <c r="X735" t="s">
        <v>44</v>
      </c>
      <c r="Y735" s="2">
        <v>5472</v>
      </c>
      <c r="Z735" s="2">
        <v>3334</v>
      </c>
      <c r="AA735">
        <v>1</v>
      </c>
      <c r="AB735" t="s">
        <v>39</v>
      </c>
      <c r="AC735">
        <v>12</v>
      </c>
      <c r="AD735">
        <v>3</v>
      </c>
      <c r="AE735" t="str" cm="1">
        <f t="array" ref="AE735">_xlfn.IFS(AD735=1,"Low",AD735=2,"Good",AD735=3,"Excellent",AD735=4,"Outstanding")</f>
        <v>Excellent</v>
      </c>
      <c r="AF735">
        <v>2</v>
      </c>
      <c r="AG735" t="str" cm="1">
        <f t="array" ref="AG735">_xlfn.IFS(AF735=1,"Low",AF735=2,"Medium",AF735=3,"High",AF735=4,"Very High")</f>
        <v>Medium</v>
      </c>
      <c r="AH735">
        <v>0</v>
      </c>
      <c r="AI735">
        <v>8</v>
      </c>
      <c r="AJ735">
        <v>2</v>
      </c>
      <c r="AK735">
        <v>3</v>
      </c>
      <c r="AL735" t="str" cm="1">
        <f t="array" ref="AL735">_xlfn.IFS(AK735=1,"Low",AK735=2,"Medium",AK735=3,"High",AK735=4,"Very High")</f>
        <v>High</v>
      </c>
      <c r="AM735">
        <v>8</v>
      </c>
      <c r="AN735">
        <v>7</v>
      </c>
      <c r="AO735">
        <v>1</v>
      </c>
      <c r="AP735">
        <v>3</v>
      </c>
    </row>
    <row r="736" spans="1:42">
      <c r="A736">
        <v>22</v>
      </c>
      <c r="B736" t="str" cm="1">
        <f t="array" ref="B736">_xlfn.IFS(A736&lt;=25,"18-25",A736&lt;=35,"26-35",A736&lt;=45,"36-45",A736&lt;=55,"46-55",A736&gt;55,"56+")</f>
        <v>18-25</v>
      </c>
      <c r="C736" t="s">
        <v>39</v>
      </c>
      <c r="D736" t="s">
        <v>33</v>
      </c>
      <c r="E736" s="2">
        <v>217</v>
      </c>
      <c r="F736" t="s">
        <v>41</v>
      </c>
      <c r="G736">
        <v>8</v>
      </c>
      <c r="H736" t="str">
        <f t="shared" si="11"/>
        <v>1-10 km</v>
      </c>
      <c r="I736">
        <v>1</v>
      </c>
      <c r="J736" t="str" cm="1">
        <f t="array" ref="J736">_xlfn.IFS(I736=1,"Below College",I736=2,"College",I736=3,"Bachelor",I736=4,"Master",I736=5,"Doctor")</f>
        <v>Below College</v>
      </c>
      <c r="K736" t="s">
        <v>35</v>
      </c>
      <c r="L736">
        <v>1019</v>
      </c>
      <c r="M736">
        <v>2</v>
      </c>
      <c r="N736" t="str" cm="1">
        <f t="array" ref="N736">_xlfn.IFS(M736=1,"Low",M736=2,"Medium",M736=3,"High",M736=4,"Very High")</f>
        <v>Medium</v>
      </c>
      <c r="O736" t="s">
        <v>42</v>
      </c>
      <c r="P736" s="2">
        <v>94</v>
      </c>
      <c r="Q736">
        <v>1</v>
      </c>
      <c r="R736" t="str" cm="1">
        <f t="array" ref="R736">_xlfn.IFS(Q736=1,"Low",Q736=2,"Medium",Q736=3,"High",Q736=4,"Very High")</f>
        <v>Low</v>
      </c>
      <c r="S736">
        <v>1</v>
      </c>
      <c r="T736" t="str" cm="1">
        <f t="array" ref="T736">_xlfn.IFS(S736=1,"Entry Level",S736=2,"Junior",S736=3,"Mid-Level",S736=4,"Senior",S736=5,"Executive")</f>
        <v>Entry Level</v>
      </c>
      <c r="U736" t="s">
        <v>46</v>
      </c>
      <c r="V736">
        <v>1</v>
      </c>
      <c r="W736" t="str" cm="1">
        <f t="array" ref="W736">_xlfn.IFS(V736=1,"Low",V736=2,"Medium",V736=3,"High",V736=4,"Very High")</f>
        <v>Low</v>
      </c>
      <c r="X736" t="s">
        <v>44</v>
      </c>
      <c r="Y736" s="2">
        <v>2451</v>
      </c>
      <c r="Z736" s="2">
        <v>6881</v>
      </c>
      <c r="AA736">
        <v>1</v>
      </c>
      <c r="AB736" t="s">
        <v>39</v>
      </c>
      <c r="AC736">
        <v>15</v>
      </c>
      <c r="AD736">
        <v>3</v>
      </c>
      <c r="AE736" t="str" cm="1">
        <f t="array" ref="AE736">_xlfn.IFS(AD736=1,"Low",AD736=2,"Good",AD736=3,"Excellent",AD736=4,"Outstanding")</f>
        <v>Excellent</v>
      </c>
      <c r="AF736">
        <v>1</v>
      </c>
      <c r="AG736" t="str" cm="1">
        <f t="array" ref="AG736">_xlfn.IFS(AF736=1,"Low",AF736=2,"Medium",AF736=3,"High",AF736=4,"Very High")</f>
        <v>Low</v>
      </c>
      <c r="AH736">
        <v>1</v>
      </c>
      <c r="AI736">
        <v>4</v>
      </c>
      <c r="AJ736">
        <v>3</v>
      </c>
      <c r="AK736">
        <v>2</v>
      </c>
      <c r="AL736" t="str" cm="1">
        <f t="array" ref="AL736">_xlfn.IFS(AK736=1,"Low",AK736=2,"Medium",AK736=3,"High",AK736=4,"Very High")</f>
        <v>Medium</v>
      </c>
      <c r="AM736">
        <v>4</v>
      </c>
      <c r="AN736">
        <v>3</v>
      </c>
      <c r="AO736">
        <v>1</v>
      </c>
      <c r="AP736">
        <v>1</v>
      </c>
    </row>
    <row r="737" spans="1:42">
      <c r="A737">
        <v>48</v>
      </c>
      <c r="B737" t="str" cm="1">
        <f t="array" ref="B737">_xlfn.IFS(A737&lt;=25,"18-25",A737&lt;=35,"26-35",A737&lt;=45,"36-45",A737&lt;=55,"46-55",A737&gt;55,"56+")</f>
        <v>46-55</v>
      </c>
      <c r="C737" t="s">
        <v>39</v>
      </c>
      <c r="D737" t="s">
        <v>33</v>
      </c>
      <c r="E737" s="2">
        <v>277</v>
      </c>
      <c r="F737" t="s">
        <v>41</v>
      </c>
      <c r="G737">
        <v>6</v>
      </c>
      <c r="H737" t="str">
        <f t="shared" si="11"/>
        <v>1-10 km</v>
      </c>
      <c r="I737">
        <v>3</v>
      </c>
      <c r="J737" t="str" cm="1">
        <f t="array" ref="J737">_xlfn.IFS(I737=1,"Below College",I737=2,"College",I737=3,"Bachelor",I737=4,"Master",I737=5,"Doctor")</f>
        <v>Bachelor</v>
      </c>
      <c r="K737" t="s">
        <v>35</v>
      </c>
      <c r="L737">
        <v>1022</v>
      </c>
      <c r="M737">
        <v>1</v>
      </c>
      <c r="N737" t="str" cm="1">
        <f t="array" ref="N737">_xlfn.IFS(M737=1,"Low",M737=2,"Medium",M737=3,"High",M737=4,"Very High")</f>
        <v>Low</v>
      </c>
      <c r="O737" t="s">
        <v>42</v>
      </c>
      <c r="P737" s="2">
        <v>97</v>
      </c>
      <c r="Q737">
        <v>2</v>
      </c>
      <c r="R737" t="str" cm="1">
        <f t="array" ref="R737">_xlfn.IFS(Q737=1,"Low",Q737=2,"Medium",Q737=3,"High",Q737=4,"Very High")</f>
        <v>Medium</v>
      </c>
      <c r="S737">
        <v>2</v>
      </c>
      <c r="T737" t="str" cm="1">
        <f t="array" ref="T737">_xlfn.IFS(S737=1,"Entry Level",S737=2,"Junior",S737=3,"Mid-Level",S737=4,"Senior",S737=5,"Executive")</f>
        <v>Junior</v>
      </c>
      <c r="U737" t="s">
        <v>50</v>
      </c>
      <c r="V737">
        <v>3</v>
      </c>
      <c r="W737" t="str" cm="1">
        <f t="array" ref="W737">_xlfn.IFS(V737=1,"Low",V737=2,"Medium",V737=3,"High",V737=4,"Very High")</f>
        <v>High</v>
      </c>
      <c r="X737" t="s">
        <v>38</v>
      </c>
      <c r="Y737" s="2">
        <v>4240</v>
      </c>
      <c r="Z737" s="2">
        <v>13119</v>
      </c>
      <c r="AA737">
        <v>2</v>
      </c>
      <c r="AB737" t="s">
        <v>39</v>
      </c>
      <c r="AC737">
        <v>13</v>
      </c>
      <c r="AD737">
        <v>3</v>
      </c>
      <c r="AE737" t="str" cm="1">
        <f t="array" ref="AE737">_xlfn.IFS(AD737=1,"Low",AD737=2,"Good",AD737=3,"Excellent",AD737=4,"Outstanding")</f>
        <v>Excellent</v>
      </c>
      <c r="AF737">
        <v>4</v>
      </c>
      <c r="AG737" t="str" cm="1">
        <f t="array" ref="AG737">_xlfn.IFS(AF737=1,"Low",AF737=2,"Medium",AF737=3,"High",AF737=4,"Very High")</f>
        <v>Very High</v>
      </c>
      <c r="AH737">
        <v>0</v>
      </c>
      <c r="AI737">
        <v>19</v>
      </c>
      <c r="AJ737">
        <v>0</v>
      </c>
      <c r="AK737">
        <v>3</v>
      </c>
      <c r="AL737" t="str" cm="1">
        <f t="array" ref="AL737">_xlfn.IFS(AK737=1,"Low",AK737=2,"Medium",AK737=3,"High",AK737=4,"Very High")</f>
        <v>High</v>
      </c>
      <c r="AM737">
        <v>2</v>
      </c>
      <c r="AN737">
        <v>2</v>
      </c>
      <c r="AO737">
        <v>2</v>
      </c>
      <c r="AP737">
        <v>2</v>
      </c>
    </row>
    <row r="738" spans="1:42">
      <c r="A738">
        <v>48</v>
      </c>
      <c r="B738" t="str" cm="1">
        <f t="array" ref="B738">_xlfn.IFS(A738&lt;=25,"18-25",A738&lt;=35,"26-35",A738&lt;=45,"36-45",A738&lt;=55,"46-55",A738&gt;55,"56+")</f>
        <v>46-55</v>
      </c>
      <c r="C738" t="s">
        <v>39</v>
      </c>
      <c r="D738" t="s">
        <v>33</v>
      </c>
      <c r="E738" s="2">
        <v>1355</v>
      </c>
      <c r="F738" t="s">
        <v>41</v>
      </c>
      <c r="G738">
        <v>4</v>
      </c>
      <c r="H738" t="str">
        <f t="shared" si="11"/>
        <v>1-10 km</v>
      </c>
      <c r="I738">
        <v>4</v>
      </c>
      <c r="J738" t="str" cm="1">
        <f t="array" ref="J738">_xlfn.IFS(I738=1,"Below College",I738=2,"College",I738=3,"Bachelor",I738=4,"Master",I738=5,"Doctor")</f>
        <v>Master</v>
      </c>
      <c r="K738" t="s">
        <v>35</v>
      </c>
      <c r="L738">
        <v>1024</v>
      </c>
      <c r="M738">
        <v>3</v>
      </c>
      <c r="N738" t="str" cm="1">
        <f t="array" ref="N738">_xlfn.IFS(M738=1,"Low",M738=2,"Medium",M738=3,"High",M738=4,"Very High")</f>
        <v>High</v>
      </c>
      <c r="O738" t="s">
        <v>42</v>
      </c>
      <c r="P738" s="2">
        <v>78</v>
      </c>
      <c r="Q738">
        <v>2</v>
      </c>
      <c r="R738" t="str" cm="1">
        <f t="array" ref="R738">_xlfn.IFS(Q738=1,"Low",Q738=2,"Medium",Q738=3,"High",Q738=4,"Very High")</f>
        <v>Medium</v>
      </c>
      <c r="S738">
        <v>3</v>
      </c>
      <c r="T738" t="str" cm="1">
        <f t="array" ref="T738">_xlfn.IFS(S738=1,"Entry Level",S738=2,"Junior",S738=3,"Mid-Level",S738=4,"Senior",S738=5,"Executive")</f>
        <v>Mid-Level</v>
      </c>
      <c r="U738" t="s">
        <v>50</v>
      </c>
      <c r="V738">
        <v>3</v>
      </c>
      <c r="W738" t="str" cm="1">
        <f t="array" ref="W738">_xlfn.IFS(V738=1,"Low",V738=2,"Medium",V738=3,"High",V738=4,"Very High")</f>
        <v>High</v>
      </c>
      <c r="X738" t="s">
        <v>38</v>
      </c>
      <c r="Y738" s="2">
        <v>10999</v>
      </c>
      <c r="Z738" s="2">
        <v>22245</v>
      </c>
      <c r="AA738">
        <v>7</v>
      </c>
      <c r="AB738" t="s">
        <v>39</v>
      </c>
      <c r="AC738">
        <v>14</v>
      </c>
      <c r="AD738">
        <v>3</v>
      </c>
      <c r="AE738" t="str" cm="1">
        <f t="array" ref="AE738">_xlfn.IFS(AD738=1,"Low",AD738=2,"Good",AD738=3,"Excellent",AD738=4,"Outstanding")</f>
        <v>Excellent</v>
      </c>
      <c r="AF738">
        <v>2</v>
      </c>
      <c r="AG738" t="str" cm="1">
        <f t="array" ref="AG738">_xlfn.IFS(AF738=1,"Low",AF738=2,"Medium",AF738=3,"High",AF738=4,"Very High")</f>
        <v>Medium</v>
      </c>
      <c r="AH738">
        <v>0</v>
      </c>
      <c r="AI738">
        <v>27</v>
      </c>
      <c r="AJ738">
        <v>3</v>
      </c>
      <c r="AK738">
        <v>3</v>
      </c>
      <c r="AL738" t="str" cm="1">
        <f t="array" ref="AL738">_xlfn.IFS(AK738=1,"Low",AK738=2,"Medium",AK738=3,"High",AK738=4,"Very High")</f>
        <v>High</v>
      </c>
      <c r="AM738">
        <v>15</v>
      </c>
      <c r="AN738">
        <v>11</v>
      </c>
      <c r="AO738">
        <v>4</v>
      </c>
      <c r="AP738">
        <v>8</v>
      </c>
    </row>
    <row r="739" spans="1:42">
      <c r="A739">
        <v>41</v>
      </c>
      <c r="B739" t="str" cm="1">
        <f t="array" ref="B739">_xlfn.IFS(A739&lt;=25,"18-25",A739&lt;=35,"26-35",A739&lt;=45,"36-45",A739&lt;=55,"46-55",A739&gt;55,"56+")</f>
        <v>36-45</v>
      </c>
      <c r="C739" t="s">
        <v>39</v>
      </c>
      <c r="D739" t="s">
        <v>33</v>
      </c>
      <c r="E739" s="2">
        <v>549</v>
      </c>
      <c r="F739" t="s">
        <v>41</v>
      </c>
      <c r="G739">
        <v>7</v>
      </c>
      <c r="H739" t="str">
        <f t="shared" si="11"/>
        <v>1-10 km</v>
      </c>
      <c r="I739">
        <v>2</v>
      </c>
      <c r="J739" t="str" cm="1">
        <f t="array" ref="J739">_xlfn.IFS(I739=1,"Below College",I739=2,"College",I739=3,"Bachelor",I739=4,"Master",I739=5,"Doctor")</f>
        <v>College</v>
      </c>
      <c r="K739" t="s">
        <v>47</v>
      </c>
      <c r="L739">
        <v>1025</v>
      </c>
      <c r="M739">
        <v>4</v>
      </c>
      <c r="N739" t="str" cm="1">
        <f t="array" ref="N739">_xlfn.IFS(M739=1,"Low",M739=2,"Medium",M739=3,"High",M739=4,"Very High")</f>
        <v>Very High</v>
      </c>
      <c r="O739" t="s">
        <v>36</v>
      </c>
      <c r="P739" s="2">
        <v>42</v>
      </c>
      <c r="Q739">
        <v>3</v>
      </c>
      <c r="R739" t="str" cm="1">
        <f t="array" ref="R739">_xlfn.IFS(Q739=1,"Low",Q739=2,"Medium",Q739=3,"High",Q739=4,"Very High")</f>
        <v>High</v>
      </c>
      <c r="S739">
        <v>2</v>
      </c>
      <c r="T739" t="str" cm="1">
        <f t="array" ref="T739">_xlfn.IFS(S739=1,"Entry Level",S739=2,"Junior",S739=3,"Mid-Level",S739=4,"Senior",S739=5,"Executive")</f>
        <v>Junior</v>
      </c>
      <c r="U739" t="s">
        <v>49</v>
      </c>
      <c r="V739">
        <v>3</v>
      </c>
      <c r="W739" t="str" cm="1">
        <f t="array" ref="W739">_xlfn.IFS(V739=1,"Low",V739=2,"Medium",V739=3,"High",V739=4,"Very High")</f>
        <v>High</v>
      </c>
      <c r="X739" t="s">
        <v>38</v>
      </c>
      <c r="Y739" s="2">
        <v>5003</v>
      </c>
      <c r="Z739" s="2">
        <v>23371</v>
      </c>
      <c r="AA739">
        <v>6</v>
      </c>
      <c r="AB739" t="s">
        <v>39</v>
      </c>
      <c r="AC739">
        <v>14</v>
      </c>
      <c r="AD739">
        <v>3</v>
      </c>
      <c r="AE739" t="str" cm="1">
        <f t="array" ref="AE739">_xlfn.IFS(AD739=1,"Low",AD739=2,"Good",AD739=3,"Excellent",AD739=4,"Outstanding")</f>
        <v>Excellent</v>
      </c>
      <c r="AF739">
        <v>2</v>
      </c>
      <c r="AG739" t="str" cm="1">
        <f t="array" ref="AG739">_xlfn.IFS(AF739=1,"Low",AF739=2,"Medium",AF739=3,"High",AF739=4,"Very High")</f>
        <v>Medium</v>
      </c>
      <c r="AH739">
        <v>0</v>
      </c>
      <c r="AI739">
        <v>8</v>
      </c>
      <c r="AJ739">
        <v>6</v>
      </c>
      <c r="AK739">
        <v>3</v>
      </c>
      <c r="AL739" t="str" cm="1">
        <f t="array" ref="AL739">_xlfn.IFS(AK739=1,"Low",AK739=2,"Medium",AK739=3,"High",AK739=4,"Very High")</f>
        <v>High</v>
      </c>
      <c r="AM739">
        <v>2</v>
      </c>
      <c r="AN739">
        <v>2</v>
      </c>
      <c r="AO739">
        <v>2</v>
      </c>
      <c r="AP739">
        <v>1</v>
      </c>
    </row>
    <row r="740" spans="1:42">
      <c r="A740">
        <v>39</v>
      </c>
      <c r="B740" t="str" cm="1">
        <f t="array" ref="B740">_xlfn.IFS(A740&lt;=25,"18-25",A740&lt;=35,"26-35",A740&lt;=45,"36-45",A740&lt;=55,"46-55",A740&gt;55,"56+")</f>
        <v>36-45</v>
      </c>
      <c r="C740" t="s">
        <v>39</v>
      </c>
      <c r="D740" t="s">
        <v>33</v>
      </c>
      <c r="E740" s="2">
        <v>466</v>
      </c>
      <c r="F740" t="s">
        <v>41</v>
      </c>
      <c r="G740">
        <v>1</v>
      </c>
      <c r="H740" t="str">
        <f t="shared" si="11"/>
        <v>1-10 km</v>
      </c>
      <c r="I740">
        <v>1</v>
      </c>
      <c r="J740" t="str" cm="1">
        <f t="array" ref="J740">_xlfn.IFS(I740=1,"Below College",I740=2,"College",I740=3,"Bachelor",I740=4,"Master",I740=5,"Doctor")</f>
        <v>Below College</v>
      </c>
      <c r="K740" t="s">
        <v>35</v>
      </c>
      <c r="L740">
        <v>1026</v>
      </c>
      <c r="M740">
        <v>4</v>
      </c>
      <c r="N740" t="str" cm="1">
        <f t="array" ref="N740">_xlfn.IFS(M740=1,"Low",M740=2,"Medium",M740=3,"High",M740=4,"Very High")</f>
        <v>Very High</v>
      </c>
      <c r="O740" t="s">
        <v>36</v>
      </c>
      <c r="P740" s="2">
        <v>65</v>
      </c>
      <c r="Q740">
        <v>2</v>
      </c>
      <c r="R740" t="str" cm="1">
        <f t="array" ref="R740">_xlfn.IFS(Q740=1,"Low",Q740=2,"Medium",Q740=3,"High",Q740=4,"Very High")</f>
        <v>Medium</v>
      </c>
      <c r="S740">
        <v>4</v>
      </c>
      <c r="T740" t="str" cm="1">
        <f t="array" ref="T740">_xlfn.IFS(S740=1,"Entry Level",S740=2,"Junior",S740=3,"Mid-Level",S740=4,"Senior",S740=5,"Executive")</f>
        <v>Senior</v>
      </c>
      <c r="U740" t="s">
        <v>49</v>
      </c>
      <c r="V740">
        <v>4</v>
      </c>
      <c r="W740" t="str" cm="1">
        <f t="array" ref="W740">_xlfn.IFS(V740=1,"Low",V740=2,"Medium",V740=3,"High",V740=4,"Very High")</f>
        <v>Very High</v>
      </c>
      <c r="X740" t="s">
        <v>44</v>
      </c>
      <c r="Y740" s="2">
        <v>12742</v>
      </c>
      <c r="Z740" s="2">
        <v>7060</v>
      </c>
      <c r="AA740">
        <v>1</v>
      </c>
      <c r="AB740" t="s">
        <v>39</v>
      </c>
      <c r="AC740">
        <v>16</v>
      </c>
      <c r="AD740">
        <v>3</v>
      </c>
      <c r="AE740" t="str" cm="1">
        <f t="array" ref="AE740">_xlfn.IFS(AD740=1,"Low",AD740=2,"Good",AD740=3,"Excellent",AD740=4,"Outstanding")</f>
        <v>Excellent</v>
      </c>
      <c r="AF740">
        <v>3</v>
      </c>
      <c r="AG740" t="str" cm="1">
        <f t="array" ref="AG740">_xlfn.IFS(AF740=1,"Low",AF740=2,"Medium",AF740=3,"High",AF740=4,"Very High")</f>
        <v>High</v>
      </c>
      <c r="AH740">
        <v>1</v>
      </c>
      <c r="AI740">
        <v>21</v>
      </c>
      <c r="AJ740">
        <v>3</v>
      </c>
      <c r="AK740">
        <v>3</v>
      </c>
      <c r="AL740" t="str" cm="1">
        <f t="array" ref="AL740">_xlfn.IFS(AK740=1,"Low",AK740=2,"Medium",AK740=3,"High",AK740=4,"Very High")</f>
        <v>High</v>
      </c>
      <c r="AM740">
        <v>21</v>
      </c>
      <c r="AN740">
        <v>6</v>
      </c>
      <c r="AO740">
        <v>11</v>
      </c>
      <c r="AP740">
        <v>8</v>
      </c>
    </row>
    <row r="741" spans="1:42">
      <c r="A741">
        <v>27</v>
      </c>
      <c r="B741" t="str" cm="1">
        <f t="array" ref="B741">_xlfn.IFS(A741&lt;=25,"18-25",A741&lt;=35,"26-35",A741&lt;=45,"36-45",A741&lt;=55,"46-55",A741&gt;55,"56+")</f>
        <v>26-35</v>
      </c>
      <c r="C741" t="s">
        <v>39</v>
      </c>
      <c r="D741" t="s">
        <v>33</v>
      </c>
      <c r="E741" s="2">
        <v>1055</v>
      </c>
      <c r="F741" t="s">
        <v>41</v>
      </c>
      <c r="G741">
        <v>2</v>
      </c>
      <c r="H741" t="str">
        <f t="shared" si="11"/>
        <v>1-10 km</v>
      </c>
      <c r="I741">
        <v>4</v>
      </c>
      <c r="J741" t="str" cm="1">
        <f t="array" ref="J741">_xlfn.IFS(I741=1,"Below College",I741=2,"College",I741=3,"Bachelor",I741=4,"Master",I741=5,"Doctor")</f>
        <v>Master</v>
      </c>
      <c r="K741" t="s">
        <v>35</v>
      </c>
      <c r="L741">
        <v>1027</v>
      </c>
      <c r="M741">
        <v>1</v>
      </c>
      <c r="N741" t="str" cm="1">
        <f t="array" ref="N741">_xlfn.IFS(M741=1,"Low",M741=2,"Medium",M741=3,"High",M741=4,"Very High")</f>
        <v>Low</v>
      </c>
      <c r="O741" t="s">
        <v>36</v>
      </c>
      <c r="P741" s="2">
        <v>47</v>
      </c>
      <c r="Q741">
        <v>3</v>
      </c>
      <c r="R741" t="str" cm="1">
        <f t="array" ref="R741">_xlfn.IFS(Q741=1,"Low",Q741=2,"Medium",Q741=3,"High",Q741=4,"Very High")</f>
        <v>High</v>
      </c>
      <c r="S741">
        <v>2</v>
      </c>
      <c r="T741" t="str" cm="1">
        <f t="array" ref="T741">_xlfn.IFS(S741=1,"Entry Level",S741=2,"Junior",S741=3,"Mid-Level",S741=4,"Senior",S741=5,"Executive")</f>
        <v>Junior</v>
      </c>
      <c r="U741" t="s">
        <v>49</v>
      </c>
      <c r="V741">
        <v>4</v>
      </c>
      <c r="W741" t="str" cm="1">
        <f t="array" ref="W741">_xlfn.IFS(V741=1,"Low",V741=2,"Medium",V741=3,"High",V741=4,"Very High")</f>
        <v>Very High</v>
      </c>
      <c r="X741" t="s">
        <v>44</v>
      </c>
      <c r="Y741" s="2">
        <v>4227</v>
      </c>
      <c r="Z741" s="2">
        <v>4658</v>
      </c>
      <c r="AA741">
        <v>0</v>
      </c>
      <c r="AB741" t="s">
        <v>39</v>
      </c>
      <c r="AC741">
        <v>18</v>
      </c>
      <c r="AD741">
        <v>3</v>
      </c>
      <c r="AE741" t="str" cm="1">
        <f t="array" ref="AE741">_xlfn.IFS(AD741=1,"Low",AD741=2,"Good",AD741=3,"Excellent",AD741=4,"Outstanding")</f>
        <v>Excellent</v>
      </c>
      <c r="AF741">
        <v>2</v>
      </c>
      <c r="AG741" t="str" cm="1">
        <f t="array" ref="AG741">_xlfn.IFS(AF741=1,"Low",AF741=2,"Medium",AF741=3,"High",AF741=4,"Very High")</f>
        <v>Medium</v>
      </c>
      <c r="AH741">
        <v>1</v>
      </c>
      <c r="AI741">
        <v>4</v>
      </c>
      <c r="AJ741">
        <v>2</v>
      </c>
      <c r="AK741">
        <v>3</v>
      </c>
      <c r="AL741" t="str" cm="1">
        <f t="array" ref="AL741">_xlfn.IFS(AK741=1,"Low",AK741=2,"Medium",AK741=3,"High",AK741=4,"Very High")</f>
        <v>High</v>
      </c>
      <c r="AM741">
        <v>3</v>
      </c>
      <c r="AN741">
        <v>2</v>
      </c>
      <c r="AO741">
        <v>2</v>
      </c>
      <c r="AP741">
        <v>2</v>
      </c>
    </row>
    <row r="742" spans="1:42">
      <c r="A742">
        <v>35</v>
      </c>
      <c r="B742" t="str" cm="1">
        <f t="array" ref="B742">_xlfn.IFS(A742&lt;=25,"18-25",A742&lt;=35,"26-35",A742&lt;=45,"36-45",A742&lt;=55,"46-55",A742&gt;55,"56+")</f>
        <v>26-35</v>
      </c>
      <c r="C742" t="s">
        <v>39</v>
      </c>
      <c r="D742" t="s">
        <v>33</v>
      </c>
      <c r="E742" s="2">
        <v>802</v>
      </c>
      <c r="F742" t="s">
        <v>41</v>
      </c>
      <c r="G742">
        <v>10</v>
      </c>
      <c r="H742" t="str">
        <f t="shared" si="11"/>
        <v>1-10 km</v>
      </c>
      <c r="I742">
        <v>3</v>
      </c>
      <c r="J742" t="str" cm="1">
        <f t="array" ref="J742">_xlfn.IFS(I742=1,"Below College",I742=2,"College",I742=3,"Bachelor",I742=4,"Master",I742=5,"Doctor")</f>
        <v>Bachelor</v>
      </c>
      <c r="K742" t="s">
        <v>45</v>
      </c>
      <c r="L742">
        <v>1028</v>
      </c>
      <c r="M742">
        <v>2</v>
      </c>
      <c r="N742" t="str" cm="1">
        <f t="array" ref="N742">_xlfn.IFS(M742=1,"Low",M742=2,"Medium",M742=3,"High",M742=4,"Very High")</f>
        <v>Medium</v>
      </c>
      <c r="O742" t="s">
        <v>42</v>
      </c>
      <c r="P742" s="2">
        <v>45</v>
      </c>
      <c r="Q742">
        <v>3</v>
      </c>
      <c r="R742" t="str" cm="1">
        <f t="array" ref="R742">_xlfn.IFS(Q742=1,"Low",Q742=2,"Medium",Q742=3,"High",Q742=4,"Very High")</f>
        <v>High</v>
      </c>
      <c r="S742">
        <v>1</v>
      </c>
      <c r="T742" t="str" cm="1">
        <f t="array" ref="T742">_xlfn.IFS(S742=1,"Entry Level",S742=2,"Junior",S742=3,"Mid-Level",S742=4,"Senior",S742=5,"Executive")</f>
        <v>Entry Level</v>
      </c>
      <c r="U742" t="s">
        <v>46</v>
      </c>
      <c r="V742">
        <v>4</v>
      </c>
      <c r="W742" t="str" cm="1">
        <f t="array" ref="W742">_xlfn.IFS(V742=1,"Low",V742=2,"Medium",V742=3,"High",V742=4,"Very High")</f>
        <v>Very High</v>
      </c>
      <c r="X742" t="s">
        <v>48</v>
      </c>
      <c r="Y742" s="2">
        <v>3917</v>
      </c>
      <c r="Z742" s="2">
        <v>9541</v>
      </c>
      <c r="AA742">
        <v>1</v>
      </c>
      <c r="AB742" t="s">
        <v>39</v>
      </c>
      <c r="AC742">
        <v>20</v>
      </c>
      <c r="AD742">
        <v>4</v>
      </c>
      <c r="AE742" t="str" cm="1">
        <f t="array" ref="AE742">_xlfn.IFS(AD742=1,"Low",AD742=2,"Good",AD742=3,"Excellent",AD742=4,"Outstanding")</f>
        <v>Outstanding</v>
      </c>
      <c r="AF742">
        <v>1</v>
      </c>
      <c r="AG742" t="str" cm="1">
        <f t="array" ref="AG742">_xlfn.IFS(AF742=1,"Low",AF742=2,"Medium",AF742=3,"High",AF742=4,"Very High")</f>
        <v>Low</v>
      </c>
      <c r="AH742">
        <v>1</v>
      </c>
      <c r="AI742">
        <v>3</v>
      </c>
      <c r="AJ742">
        <v>4</v>
      </c>
      <c r="AK742">
        <v>2</v>
      </c>
      <c r="AL742" t="str" cm="1">
        <f t="array" ref="AL742">_xlfn.IFS(AK742=1,"Low",AK742=2,"Medium",AK742=3,"High",AK742=4,"Very High")</f>
        <v>Medium</v>
      </c>
      <c r="AM742">
        <v>3</v>
      </c>
      <c r="AN742">
        <v>2</v>
      </c>
      <c r="AO742">
        <v>1</v>
      </c>
      <c r="AP742">
        <v>2</v>
      </c>
    </row>
    <row r="743" spans="1:42">
      <c r="A743">
        <v>42</v>
      </c>
      <c r="B743" t="str" cm="1">
        <f t="array" ref="B743">_xlfn.IFS(A743&lt;=25,"18-25",A743&lt;=35,"26-35",A743&lt;=45,"36-45",A743&lt;=55,"46-55",A743&gt;55,"56+")</f>
        <v>36-45</v>
      </c>
      <c r="C743" t="s">
        <v>39</v>
      </c>
      <c r="D743" t="s">
        <v>33</v>
      </c>
      <c r="E743" s="2">
        <v>265</v>
      </c>
      <c r="F743" t="s">
        <v>34</v>
      </c>
      <c r="G743">
        <v>5</v>
      </c>
      <c r="H743" t="str">
        <f t="shared" si="11"/>
        <v>1-10 km</v>
      </c>
      <c r="I743">
        <v>2</v>
      </c>
      <c r="J743" t="str" cm="1">
        <f t="array" ref="J743">_xlfn.IFS(I743=1,"Below College",I743=2,"College",I743=3,"Bachelor",I743=4,"Master",I743=5,"Doctor")</f>
        <v>College</v>
      </c>
      <c r="K743" t="s">
        <v>55</v>
      </c>
      <c r="L743">
        <v>1029</v>
      </c>
      <c r="M743">
        <v>4</v>
      </c>
      <c r="N743" t="str" cm="1">
        <f t="array" ref="N743">_xlfn.IFS(M743=1,"Low",M743=2,"Medium",M743=3,"High",M743=4,"Very High")</f>
        <v>Very High</v>
      </c>
      <c r="O743" t="s">
        <v>42</v>
      </c>
      <c r="P743" s="2">
        <v>90</v>
      </c>
      <c r="Q743">
        <v>3</v>
      </c>
      <c r="R743" t="str" cm="1">
        <f t="array" ref="R743">_xlfn.IFS(Q743=1,"Low",Q743=2,"Medium",Q743=3,"High",Q743=4,"Very High")</f>
        <v>High</v>
      </c>
      <c r="S743">
        <v>5</v>
      </c>
      <c r="T743" t="str" cm="1">
        <f t="array" ref="T743">_xlfn.IFS(S743=1,"Entry Level",S743=2,"Junior",S743=3,"Mid-Level",S743=4,"Senior",S743=5,"Executive")</f>
        <v>Executive</v>
      </c>
      <c r="U743" t="s">
        <v>52</v>
      </c>
      <c r="V743">
        <v>3</v>
      </c>
      <c r="W743" t="str" cm="1">
        <f t="array" ref="W743">_xlfn.IFS(V743=1,"Low",V743=2,"Medium",V743=3,"High",V743=4,"Very High")</f>
        <v>High</v>
      </c>
      <c r="X743" t="s">
        <v>44</v>
      </c>
      <c r="Y743" s="2">
        <v>18303</v>
      </c>
      <c r="Z743" s="2">
        <v>7770</v>
      </c>
      <c r="AA743">
        <v>6</v>
      </c>
      <c r="AB743" t="s">
        <v>39</v>
      </c>
      <c r="AC743">
        <v>13</v>
      </c>
      <c r="AD743">
        <v>3</v>
      </c>
      <c r="AE743" t="str" cm="1">
        <f t="array" ref="AE743">_xlfn.IFS(AD743=1,"Low",AD743=2,"Good",AD743=3,"Excellent",AD743=4,"Outstanding")</f>
        <v>Excellent</v>
      </c>
      <c r="AF743">
        <v>2</v>
      </c>
      <c r="AG743" t="str" cm="1">
        <f t="array" ref="AG743">_xlfn.IFS(AF743=1,"Low",AF743=2,"Medium",AF743=3,"High",AF743=4,"Very High")</f>
        <v>Medium</v>
      </c>
      <c r="AH743">
        <v>0</v>
      </c>
      <c r="AI743">
        <v>21</v>
      </c>
      <c r="AJ743">
        <v>3</v>
      </c>
      <c r="AK743">
        <v>4</v>
      </c>
      <c r="AL743" t="str" cm="1">
        <f t="array" ref="AL743">_xlfn.IFS(AK743=1,"Low",AK743=2,"Medium",AK743=3,"High",AK743=4,"Very High")</f>
        <v>Very High</v>
      </c>
      <c r="AM743">
        <v>1</v>
      </c>
      <c r="AN743">
        <v>0</v>
      </c>
      <c r="AO743">
        <v>0</v>
      </c>
      <c r="AP743">
        <v>0</v>
      </c>
    </row>
    <row r="744" spans="1:42">
      <c r="A744">
        <v>50</v>
      </c>
      <c r="B744" t="str" cm="1">
        <f t="array" ref="B744">_xlfn.IFS(A744&lt;=25,"18-25",A744&lt;=35,"26-35",A744&lt;=45,"36-45",A744&lt;=55,"46-55",A744&gt;55,"56+")</f>
        <v>46-55</v>
      </c>
      <c r="C744" t="s">
        <v>39</v>
      </c>
      <c r="D744" t="s">
        <v>33</v>
      </c>
      <c r="E744" s="2">
        <v>804</v>
      </c>
      <c r="F744" t="s">
        <v>41</v>
      </c>
      <c r="G744">
        <v>9</v>
      </c>
      <c r="H744" t="str">
        <f t="shared" si="11"/>
        <v>1-10 km</v>
      </c>
      <c r="I744">
        <v>3</v>
      </c>
      <c r="J744" t="str" cm="1">
        <f t="array" ref="J744">_xlfn.IFS(I744=1,"Below College",I744=2,"College",I744=3,"Bachelor",I744=4,"Master",I744=5,"Doctor")</f>
        <v>Bachelor</v>
      </c>
      <c r="K744" t="s">
        <v>35</v>
      </c>
      <c r="L744">
        <v>1030</v>
      </c>
      <c r="M744">
        <v>1</v>
      </c>
      <c r="N744" t="str" cm="1">
        <f t="array" ref="N744">_xlfn.IFS(M744=1,"Low",M744=2,"Medium",M744=3,"High",M744=4,"Very High")</f>
        <v>Low</v>
      </c>
      <c r="O744" t="s">
        <v>42</v>
      </c>
      <c r="P744" s="2">
        <v>64</v>
      </c>
      <c r="Q744">
        <v>3</v>
      </c>
      <c r="R744" t="str" cm="1">
        <f t="array" ref="R744">_xlfn.IFS(Q744=1,"Low",Q744=2,"Medium",Q744=3,"High",Q744=4,"Very High")</f>
        <v>High</v>
      </c>
      <c r="S744">
        <v>1</v>
      </c>
      <c r="T744" t="str" cm="1">
        <f t="array" ref="T744">_xlfn.IFS(S744=1,"Entry Level",S744=2,"Junior",S744=3,"Mid-Level",S744=4,"Senior",S744=5,"Executive")</f>
        <v>Entry Level</v>
      </c>
      <c r="U744" t="s">
        <v>46</v>
      </c>
      <c r="V744">
        <v>4</v>
      </c>
      <c r="W744" t="str" cm="1">
        <f t="array" ref="W744">_xlfn.IFS(V744=1,"Low",V744=2,"Medium",V744=3,"High",V744=4,"Very High")</f>
        <v>Very High</v>
      </c>
      <c r="X744" t="s">
        <v>44</v>
      </c>
      <c r="Y744" s="2">
        <v>2380</v>
      </c>
      <c r="Z744" s="2">
        <v>20165</v>
      </c>
      <c r="AA744">
        <v>4</v>
      </c>
      <c r="AB744" t="s">
        <v>39</v>
      </c>
      <c r="AC744">
        <v>18</v>
      </c>
      <c r="AD744">
        <v>3</v>
      </c>
      <c r="AE744" t="str" cm="1">
        <f t="array" ref="AE744">_xlfn.IFS(AD744=1,"Low",AD744=2,"Good",AD744=3,"Excellent",AD744=4,"Outstanding")</f>
        <v>Excellent</v>
      </c>
      <c r="AF744">
        <v>2</v>
      </c>
      <c r="AG744" t="str" cm="1">
        <f t="array" ref="AG744">_xlfn.IFS(AF744=1,"Low",AF744=2,"Medium",AF744=3,"High",AF744=4,"Very High")</f>
        <v>Medium</v>
      </c>
      <c r="AH744">
        <v>0</v>
      </c>
      <c r="AI744">
        <v>8</v>
      </c>
      <c r="AJ744">
        <v>5</v>
      </c>
      <c r="AK744">
        <v>3</v>
      </c>
      <c r="AL744" t="str" cm="1">
        <f t="array" ref="AL744">_xlfn.IFS(AK744=1,"Low",AK744=2,"Medium",AK744=3,"High",AK744=4,"Very High")</f>
        <v>High</v>
      </c>
      <c r="AM744">
        <v>1</v>
      </c>
      <c r="AN744">
        <v>0</v>
      </c>
      <c r="AO744">
        <v>0</v>
      </c>
      <c r="AP744">
        <v>0</v>
      </c>
    </row>
    <row r="745" spans="1:42">
      <c r="A745">
        <v>59</v>
      </c>
      <c r="B745" t="str" cm="1">
        <f t="array" ref="B745">_xlfn.IFS(A745&lt;=25,"18-25",A745&lt;=35,"26-35",A745&lt;=45,"36-45",A745&lt;=55,"46-55",A745&gt;55,"56+")</f>
        <v>56+</v>
      </c>
      <c r="C745" t="s">
        <v>39</v>
      </c>
      <c r="D745" t="s">
        <v>33</v>
      </c>
      <c r="E745" s="2">
        <v>715</v>
      </c>
      <c r="F745" t="s">
        <v>41</v>
      </c>
      <c r="G745">
        <v>2</v>
      </c>
      <c r="H745" t="str">
        <f t="shared" si="11"/>
        <v>1-10 km</v>
      </c>
      <c r="I745">
        <v>3</v>
      </c>
      <c r="J745" t="str" cm="1">
        <f t="array" ref="J745">_xlfn.IFS(I745=1,"Below College",I745=2,"College",I745=3,"Bachelor",I745=4,"Master",I745=5,"Doctor")</f>
        <v>Bachelor</v>
      </c>
      <c r="K745" t="s">
        <v>35</v>
      </c>
      <c r="L745">
        <v>1032</v>
      </c>
      <c r="M745">
        <v>3</v>
      </c>
      <c r="N745" t="str" cm="1">
        <f t="array" ref="N745">_xlfn.IFS(M745=1,"Low",M745=2,"Medium",M745=3,"High",M745=4,"Very High")</f>
        <v>High</v>
      </c>
      <c r="O745" t="s">
        <v>36</v>
      </c>
      <c r="P745" s="2">
        <v>69</v>
      </c>
      <c r="Q745">
        <v>2</v>
      </c>
      <c r="R745" t="str" cm="1">
        <f t="array" ref="R745">_xlfn.IFS(Q745=1,"Low",Q745=2,"Medium",Q745=3,"High",Q745=4,"Very High")</f>
        <v>Medium</v>
      </c>
      <c r="S745">
        <v>4</v>
      </c>
      <c r="T745" t="str" cm="1">
        <f t="array" ref="T745">_xlfn.IFS(S745=1,"Entry Level",S745=2,"Junior",S745=3,"Mid-Level",S745=4,"Senior",S745=5,"Executive")</f>
        <v>Senior</v>
      </c>
      <c r="U745" t="s">
        <v>49</v>
      </c>
      <c r="V745">
        <v>4</v>
      </c>
      <c r="W745" t="str" cm="1">
        <f t="array" ref="W745">_xlfn.IFS(V745=1,"Low",V745=2,"Medium",V745=3,"High",V745=4,"Very High")</f>
        <v>Very High</v>
      </c>
      <c r="X745" t="s">
        <v>38</v>
      </c>
      <c r="Y745" s="2">
        <v>13726</v>
      </c>
      <c r="Z745" s="2">
        <v>21829</v>
      </c>
      <c r="AA745">
        <v>3</v>
      </c>
      <c r="AB745" t="s">
        <v>32</v>
      </c>
      <c r="AC745">
        <v>13</v>
      </c>
      <c r="AD745">
        <v>3</v>
      </c>
      <c r="AE745" t="str" cm="1">
        <f t="array" ref="AE745">_xlfn.IFS(AD745=1,"Low",AD745=2,"Good",AD745=3,"Excellent",AD745=4,"Outstanding")</f>
        <v>Excellent</v>
      </c>
      <c r="AF745">
        <v>1</v>
      </c>
      <c r="AG745" t="str" cm="1">
        <f t="array" ref="AG745">_xlfn.IFS(AF745=1,"Low",AF745=2,"Medium",AF745=3,"High",AF745=4,"Very High")</f>
        <v>Low</v>
      </c>
      <c r="AH745">
        <v>0</v>
      </c>
      <c r="AI745">
        <v>30</v>
      </c>
      <c r="AJ745">
        <v>4</v>
      </c>
      <c r="AK745">
        <v>3</v>
      </c>
      <c r="AL745" t="str" cm="1">
        <f t="array" ref="AL745">_xlfn.IFS(AK745=1,"Low",AK745=2,"Medium",AK745=3,"High",AK745=4,"Very High")</f>
        <v>High</v>
      </c>
      <c r="AM745">
        <v>5</v>
      </c>
      <c r="AN745">
        <v>3</v>
      </c>
      <c r="AO745">
        <v>4</v>
      </c>
      <c r="AP745">
        <v>3</v>
      </c>
    </row>
    <row r="746" spans="1:42">
      <c r="A746">
        <v>37</v>
      </c>
      <c r="B746" t="str" cm="1">
        <f t="array" ref="B746">_xlfn.IFS(A746&lt;=25,"18-25",A746&lt;=35,"26-35",A746&lt;=45,"36-45",A746&lt;=55,"46-55",A746&gt;55,"56+")</f>
        <v>36-45</v>
      </c>
      <c r="C746" t="s">
        <v>32</v>
      </c>
      <c r="D746" t="s">
        <v>33</v>
      </c>
      <c r="E746" s="2">
        <v>1141</v>
      </c>
      <c r="F746" t="s">
        <v>41</v>
      </c>
      <c r="G746">
        <v>11</v>
      </c>
      <c r="H746" t="str">
        <f t="shared" si="11"/>
        <v>11-20 km</v>
      </c>
      <c r="I746">
        <v>2</v>
      </c>
      <c r="J746" t="str" cm="1">
        <f t="array" ref="J746">_xlfn.IFS(I746=1,"Below College",I746=2,"College",I746=3,"Bachelor",I746=4,"Master",I746=5,"Doctor")</f>
        <v>College</v>
      </c>
      <c r="K746" t="s">
        <v>47</v>
      </c>
      <c r="L746">
        <v>1033</v>
      </c>
      <c r="M746">
        <v>1</v>
      </c>
      <c r="N746" t="str" cm="1">
        <f t="array" ref="N746">_xlfn.IFS(M746=1,"Low",M746=2,"Medium",M746=3,"High",M746=4,"Very High")</f>
        <v>Low</v>
      </c>
      <c r="O746" t="s">
        <v>36</v>
      </c>
      <c r="P746" s="2">
        <v>61</v>
      </c>
      <c r="Q746">
        <v>1</v>
      </c>
      <c r="R746" t="str" cm="1">
        <f t="array" ref="R746">_xlfn.IFS(Q746=1,"Low",Q746=2,"Medium",Q746=3,"High",Q746=4,"Very High")</f>
        <v>Low</v>
      </c>
      <c r="S746">
        <v>2</v>
      </c>
      <c r="T746" t="str" cm="1">
        <f t="array" ref="T746">_xlfn.IFS(S746=1,"Entry Level",S746=2,"Junior",S746=3,"Mid-Level",S746=4,"Senior",S746=5,"Executive")</f>
        <v>Junior</v>
      </c>
      <c r="U746" t="s">
        <v>50</v>
      </c>
      <c r="V746">
        <v>2</v>
      </c>
      <c r="W746" t="str" cm="1">
        <f t="array" ref="W746">_xlfn.IFS(V746=1,"Low",V746=2,"Medium",V746=3,"High",V746=4,"Very High")</f>
        <v>Medium</v>
      </c>
      <c r="X746" t="s">
        <v>44</v>
      </c>
      <c r="Y746" s="2">
        <v>4777</v>
      </c>
      <c r="Z746" s="2">
        <v>14382</v>
      </c>
      <c r="AA746">
        <v>5</v>
      </c>
      <c r="AB746" t="s">
        <v>39</v>
      </c>
      <c r="AC746">
        <v>15</v>
      </c>
      <c r="AD746">
        <v>3</v>
      </c>
      <c r="AE746" t="str" cm="1">
        <f t="array" ref="AE746">_xlfn.IFS(AD746=1,"Low",AD746=2,"Good",AD746=3,"Excellent",AD746=4,"Outstanding")</f>
        <v>Excellent</v>
      </c>
      <c r="AF746">
        <v>1</v>
      </c>
      <c r="AG746" t="str" cm="1">
        <f t="array" ref="AG746">_xlfn.IFS(AF746=1,"Low",AF746=2,"Medium",AF746=3,"High",AF746=4,"Very High")</f>
        <v>Low</v>
      </c>
      <c r="AH746">
        <v>0</v>
      </c>
      <c r="AI746">
        <v>15</v>
      </c>
      <c r="AJ746">
        <v>2</v>
      </c>
      <c r="AK746">
        <v>1</v>
      </c>
      <c r="AL746" t="str" cm="1">
        <f t="array" ref="AL746">_xlfn.IFS(AK746=1,"Low",AK746=2,"Medium",AK746=3,"High",AK746=4,"Very High")</f>
        <v>Low</v>
      </c>
      <c r="AM746">
        <v>1</v>
      </c>
      <c r="AN746">
        <v>0</v>
      </c>
      <c r="AO746">
        <v>0</v>
      </c>
      <c r="AP746">
        <v>0</v>
      </c>
    </row>
    <row r="747" spans="1:42">
      <c r="A747">
        <v>55</v>
      </c>
      <c r="B747" t="str" cm="1">
        <f t="array" ref="B747">_xlfn.IFS(A747&lt;=25,"18-25",A747&lt;=35,"26-35",A747&lt;=45,"36-45",A747&lt;=55,"46-55",A747&gt;55,"56+")</f>
        <v>46-55</v>
      </c>
      <c r="C747" t="s">
        <v>39</v>
      </c>
      <c r="D747" t="s">
        <v>40</v>
      </c>
      <c r="E747" s="2">
        <v>135</v>
      </c>
      <c r="F747" t="s">
        <v>41</v>
      </c>
      <c r="G747">
        <v>18</v>
      </c>
      <c r="H747" t="str">
        <f t="shared" si="11"/>
        <v>11-20 km</v>
      </c>
      <c r="I747">
        <v>4</v>
      </c>
      <c r="J747" t="str" cm="1">
        <f t="array" ref="J747">_xlfn.IFS(I747=1,"Below College",I747=2,"College",I747=3,"Bachelor",I747=4,"Master",I747=5,"Doctor")</f>
        <v>Master</v>
      </c>
      <c r="K747" t="s">
        <v>47</v>
      </c>
      <c r="L747">
        <v>1034</v>
      </c>
      <c r="M747">
        <v>3</v>
      </c>
      <c r="N747" t="str" cm="1">
        <f t="array" ref="N747">_xlfn.IFS(M747=1,"Low",M747=2,"Medium",M747=3,"High",M747=4,"Very High")</f>
        <v>High</v>
      </c>
      <c r="O747" t="s">
        <v>42</v>
      </c>
      <c r="P747" s="2">
        <v>62</v>
      </c>
      <c r="Q747">
        <v>3</v>
      </c>
      <c r="R747" t="str" cm="1">
        <f t="array" ref="R747">_xlfn.IFS(Q747=1,"Low",Q747=2,"Medium",Q747=3,"High",Q747=4,"Very High")</f>
        <v>High</v>
      </c>
      <c r="S747">
        <v>2</v>
      </c>
      <c r="T747" t="str" cm="1">
        <f t="array" ref="T747">_xlfn.IFS(S747=1,"Entry Level",S747=2,"Junior",S747=3,"Mid-Level",S747=4,"Senior",S747=5,"Executive")</f>
        <v>Junior</v>
      </c>
      <c r="U747" t="s">
        <v>50</v>
      </c>
      <c r="V747">
        <v>2</v>
      </c>
      <c r="W747" t="str" cm="1">
        <f t="array" ref="W747">_xlfn.IFS(V747=1,"Low",V747=2,"Medium",V747=3,"High",V747=4,"Very High")</f>
        <v>Medium</v>
      </c>
      <c r="X747" t="s">
        <v>44</v>
      </c>
      <c r="Y747" s="2">
        <v>6385</v>
      </c>
      <c r="Z747" s="2">
        <v>12992</v>
      </c>
      <c r="AA747">
        <v>3</v>
      </c>
      <c r="AB747" t="s">
        <v>32</v>
      </c>
      <c r="AC747">
        <v>14</v>
      </c>
      <c r="AD747">
        <v>3</v>
      </c>
      <c r="AE747" t="str" cm="1">
        <f t="array" ref="AE747">_xlfn.IFS(AD747=1,"Low",AD747=2,"Good",AD747=3,"Excellent",AD747=4,"Outstanding")</f>
        <v>Excellent</v>
      </c>
      <c r="AF747">
        <v>4</v>
      </c>
      <c r="AG747" t="str" cm="1">
        <f t="array" ref="AG747">_xlfn.IFS(AF747=1,"Low",AF747=2,"Medium",AF747=3,"High",AF747=4,"Very High")</f>
        <v>Very High</v>
      </c>
      <c r="AH747">
        <v>2</v>
      </c>
      <c r="AI747">
        <v>17</v>
      </c>
      <c r="AJ747">
        <v>3</v>
      </c>
      <c r="AK747">
        <v>3</v>
      </c>
      <c r="AL747" t="str" cm="1">
        <f t="array" ref="AL747">_xlfn.IFS(AK747=1,"Low",AK747=2,"Medium",AK747=3,"High",AK747=4,"Very High")</f>
        <v>High</v>
      </c>
      <c r="AM747">
        <v>8</v>
      </c>
      <c r="AN747">
        <v>7</v>
      </c>
      <c r="AO747">
        <v>6</v>
      </c>
      <c r="AP747">
        <v>7</v>
      </c>
    </row>
    <row r="748" spans="1:42">
      <c r="A748">
        <v>41</v>
      </c>
      <c r="B748" t="str" cm="1">
        <f t="array" ref="B748">_xlfn.IFS(A748&lt;=25,"18-25",A748&lt;=35,"26-35",A748&lt;=45,"36-45",A748&lt;=55,"46-55",A748&gt;55,"56+")</f>
        <v>36-45</v>
      </c>
      <c r="C748" t="s">
        <v>39</v>
      </c>
      <c r="D748" t="s">
        <v>51</v>
      </c>
      <c r="E748" s="2">
        <v>247</v>
      </c>
      <c r="F748" t="s">
        <v>41</v>
      </c>
      <c r="G748">
        <v>7</v>
      </c>
      <c r="H748" t="str">
        <f t="shared" si="11"/>
        <v>1-10 km</v>
      </c>
      <c r="I748">
        <v>1</v>
      </c>
      <c r="J748" t="str" cm="1">
        <f t="array" ref="J748">_xlfn.IFS(I748=1,"Below College",I748=2,"College",I748=3,"Bachelor",I748=4,"Master",I748=5,"Doctor")</f>
        <v>Below College</v>
      </c>
      <c r="K748" t="s">
        <v>35</v>
      </c>
      <c r="L748">
        <v>1035</v>
      </c>
      <c r="M748">
        <v>2</v>
      </c>
      <c r="N748" t="str" cm="1">
        <f t="array" ref="N748">_xlfn.IFS(M748=1,"Low",M748=2,"Medium",M748=3,"High",M748=4,"Very High")</f>
        <v>Medium</v>
      </c>
      <c r="O748" t="s">
        <v>36</v>
      </c>
      <c r="P748" s="2">
        <v>55</v>
      </c>
      <c r="Q748">
        <v>1</v>
      </c>
      <c r="R748" t="str" cm="1">
        <f t="array" ref="R748">_xlfn.IFS(Q748=1,"Low",Q748=2,"Medium",Q748=3,"High",Q748=4,"Very High")</f>
        <v>Low</v>
      </c>
      <c r="S748">
        <v>5</v>
      </c>
      <c r="T748" t="str" cm="1">
        <f t="array" ref="T748">_xlfn.IFS(S748=1,"Entry Level",S748=2,"Junior",S748=3,"Mid-Level",S748=4,"Senior",S748=5,"Executive")</f>
        <v>Executive</v>
      </c>
      <c r="U748" t="s">
        <v>54</v>
      </c>
      <c r="V748">
        <v>3</v>
      </c>
      <c r="W748" t="str" cm="1">
        <f t="array" ref="W748">_xlfn.IFS(V748=1,"Low",V748=2,"Medium",V748=3,"High",V748=4,"Very High")</f>
        <v>High</v>
      </c>
      <c r="X748" t="s">
        <v>48</v>
      </c>
      <c r="Y748" s="2">
        <v>19973</v>
      </c>
      <c r="Z748" s="2">
        <v>20284</v>
      </c>
      <c r="AA748">
        <v>1</v>
      </c>
      <c r="AB748" t="s">
        <v>39</v>
      </c>
      <c r="AC748">
        <v>22</v>
      </c>
      <c r="AD748">
        <v>4</v>
      </c>
      <c r="AE748" t="str" cm="1">
        <f t="array" ref="AE748">_xlfn.IFS(AD748=1,"Low",AD748=2,"Good",AD748=3,"Excellent",AD748=4,"Outstanding")</f>
        <v>Outstanding</v>
      </c>
      <c r="AF748">
        <v>2</v>
      </c>
      <c r="AG748" t="str" cm="1">
        <f t="array" ref="AG748">_xlfn.IFS(AF748=1,"Low",AF748=2,"Medium",AF748=3,"High",AF748=4,"Very High")</f>
        <v>Medium</v>
      </c>
      <c r="AH748">
        <v>2</v>
      </c>
      <c r="AI748">
        <v>21</v>
      </c>
      <c r="AJ748">
        <v>3</v>
      </c>
      <c r="AK748">
        <v>3</v>
      </c>
      <c r="AL748" t="str" cm="1">
        <f t="array" ref="AL748">_xlfn.IFS(AK748=1,"Low",AK748=2,"Medium",AK748=3,"High",AK748=4,"Very High")</f>
        <v>High</v>
      </c>
      <c r="AM748">
        <v>21</v>
      </c>
      <c r="AN748">
        <v>16</v>
      </c>
      <c r="AO748">
        <v>5</v>
      </c>
      <c r="AP748">
        <v>10</v>
      </c>
    </row>
    <row r="749" spans="1:42">
      <c r="A749">
        <v>38</v>
      </c>
      <c r="B749" t="str" cm="1">
        <f t="array" ref="B749">_xlfn.IFS(A749&lt;=25,"18-25",A749&lt;=35,"26-35",A749&lt;=45,"36-45",A749&lt;=55,"46-55",A749&gt;55,"56+")</f>
        <v>36-45</v>
      </c>
      <c r="C749" t="s">
        <v>39</v>
      </c>
      <c r="D749" t="s">
        <v>33</v>
      </c>
      <c r="E749" s="2">
        <v>1035</v>
      </c>
      <c r="F749" t="s">
        <v>34</v>
      </c>
      <c r="G749">
        <v>3</v>
      </c>
      <c r="H749" t="str">
        <f t="shared" si="11"/>
        <v>1-10 km</v>
      </c>
      <c r="I749">
        <v>4</v>
      </c>
      <c r="J749" t="str" cm="1">
        <f t="array" ref="J749">_xlfn.IFS(I749=1,"Below College",I749=2,"College",I749=3,"Bachelor",I749=4,"Master",I749=5,"Doctor")</f>
        <v>Master</v>
      </c>
      <c r="K749" t="s">
        <v>35</v>
      </c>
      <c r="L749">
        <v>1036</v>
      </c>
      <c r="M749">
        <v>2</v>
      </c>
      <c r="N749" t="str" cm="1">
        <f t="array" ref="N749">_xlfn.IFS(M749=1,"Low",M749=2,"Medium",M749=3,"High",M749=4,"Very High")</f>
        <v>Medium</v>
      </c>
      <c r="O749" t="s">
        <v>42</v>
      </c>
      <c r="P749" s="2">
        <v>42</v>
      </c>
      <c r="Q749">
        <v>3</v>
      </c>
      <c r="R749" t="str" cm="1">
        <f t="array" ref="R749">_xlfn.IFS(Q749=1,"Low",Q749=2,"Medium",Q749=3,"High",Q749=4,"Very High")</f>
        <v>High</v>
      </c>
      <c r="S749">
        <v>2</v>
      </c>
      <c r="T749" t="str" cm="1">
        <f t="array" ref="T749">_xlfn.IFS(S749=1,"Entry Level",S749=2,"Junior",S749=3,"Mid-Level",S749=4,"Senior",S749=5,"Executive")</f>
        <v>Junior</v>
      </c>
      <c r="U749" t="s">
        <v>37</v>
      </c>
      <c r="V749">
        <v>4</v>
      </c>
      <c r="W749" t="str" cm="1">
        <f t="array" ref="W749">_xlfn.IFS(V749=1,"Low",V749=2,"Medium",V749=3,"High",V749=4,"Very High")</f>
        <v>Very High</v>
      </c>
      <c r="X749" t="s">
        <v>38</v>
      </c>
      <c r="Y749" s="2">
        <v>6861</v>
      </c>
      <c r="Z749" s="2">
        <v>4981</v>
      </c>
      <c r="AA749">
        <v>8</v>
      </c>
      <c r="AB749" t="s">
        <v>32</v>
      </c>
      <c r="AC749">
        <v>12</v>
      </c>
      <c r="AD749">
        <v>3</v>
      </c>
      <c r="AE749" t="str" cm="1">
        <f t="array" ref="AE749">_xlfn.IFS(AD749=1,"Low",AD749=2,"Good",AD749=3,"Excellent",AD749=4,"Outstanding")</f>
        <v>Excellent</v>
      </c>
      <c r="AF749">
        <v>3</v>
      </c>
      <c r="AG749" t="str" cm="1">
        <f t="array" ref="AG749">_xlfn.IFS(AF749=1,"Low",AF749=2,"Medium",AF749=3,"High",AF749=4,"Very High")</f>
        <v>High</v>
      </c>
      <c r="AH749">
        <v>0</v>
      </c>
      <c r="AI749">
        <v>19</v>
      </c>
      <c r="AJ749">
        <v>1</v>
      </c>
      <c r="AK749">
        <v>3</v>
      </c>
      <c r="AL749" t="str" cm="1">
        <f t="array" ref="AL749">_xlfn.IFS(AK749=1,"Low",AK749=2,"Medium",AK749=3,"High",AK749=4,"Very High")</f>
        <v>High</v>
      </c>
      <c r="AM749">
        <v>1</v>
      </c>
      <c r="AN749">
        <v>0</v>
      </c>
      <c r="AO749">
        <v>0</v>
      </c>
      <c r="AP749">
        <v>0</v>
      </c>
    </row>
    <row r="750" spans="1:42">
      <c r="A750">
        <v>26</v>
      </c>
      <c r="B750" t="str" cm="1">
        <f t="array" ref="B750">_xlfn.IFS(A750&lt;=25,"18-25",A750&lt;=35,"26-35",A750&lt;=45,"36-45",A750&lt;=55,"46-55",A750&gt;55,"56+")</f>
        <v>26-35</v>
      </c>
      <c r="C750" t="s">
        <v>32</v>
      </c>
      <c r="D750" t="s">
        <v>51</v>
      </c>
      <c r="E750" s="2">
        <v>265</v>
      </c>
      <c r="F750" t="s">
        <v>34</v>
      </c>
      <c r="G750">
        <v>29</v>
      </c>
      <c r="H750" t="str">
        <f t="shared" si="11"/>
        <v>21-30 km</v>
      </c>
      <c r="I750">
        <v>2</v>
      </c>
      <c r="J750" t="str" cm="1">
        <f t="array" ref="J750">_xlfn.IFS(I750=1,"Below College",I750=2,"College",I750=3,"Bachelor",I750=4,"Master",I750=5,"Doctor")</f>
        <v>College</v>
      </c>
      <c r="K750" t="s">
        <v>47</v>
      </c>
      <c r="L750">
        <v>1037</v>
      </c>
      <c r="M750">
        <v>2</v>
      </c>
      <c r="N750" t="str" cm="1">
        <f t="array" ref="N750">_xlfn.IFS(M750=1,"Low",M750=2,"Medium",M750=3,"High",M750=4,"Very High")</f>
        <v>Medium</v>
      </c>
      <c r="O750" t="s">
        <v>42</v>
      </c>
      <c r="P750" s="2">
        <v>79</v>
      </c>
      <c r="Q750">
        <v>1</v>
      </c>
      <c r="R750" t="str" cm="1">
        <f t="array" ref="R750">_xlfn.IFS(Q750=1,"Low",Q750=2,"Medium",Q750=3,"High",Q750=4,"Very High")</f>
        <v>Low</v>
      </c>
      <c r="S750">
        <v>2</v>
      </c>
      <c r="T750" t="str" cm="1">
        <f t="array" ref="T750">_xlfn.IFS(S750=1,"Entry Level",S750=2,"Junior",S750=3,"Mid-Level",S750=4,"Senior",S750=5,"Executive")</f>
        <v>Junior</v>
      </c>
      <c r="U750" t="s">
        <v>37</v>
      </c>
      <c r="V750">
        <v>1</v>
      </c>
      <c r="W750" t="str" cm="1">
        <f t="array" ref="W750">_xlfn.IFS(V750=1,"Low",V750=2,"Medium",V750=3,"High",V750=4,"Very High")</f>
        <v>Low</v>
      </c>
      <c r="X750" t="s">
        <v>38</v>
      </c>
      <c r="Y750" s="2">
        <v>4969</v>
      </c>
      <c r="Z750" s="2">
        <v>21813</v>
      </c>
      <c r="AA750">
        <v>8</v>
      </c>
      <c r="AB750" t="s">
        <v>39</v>
      </c>
      <c r="AC750">
        <v>18</v>
      </c>
      <c r="AD750">
        <v>3</v>
      </c>
      <c r="AE750" t="str" cm="1">
        <f t="array" ref="AE750">_xlfn.IFS(AD750=1,"Low",AD750=2,"Good",AD750=3,"Excellent",AD750=4,"Outstanding")</f>
        <v>Excellent</v>
      </c>
      <c r="AF750">
        <v>4</v>
      </c>
      <c r="AG750" t="str" cm="1">
        <f t="array" ref="AG750">_xlfn.IFS(AF750=1,"Low",AF750=2,"Medium",AF750=3,"High",AF750=4,"Very High")</f>
        <v>Very High</v>
      </c>
      <c r="AH750">
        <v>0</v>
      </c>
      <c r="AI750">
        <v>7</v>
      </c>
      <c r="AJ750">
        <v>6</v>
      </c>
      <c r="AK750">
        <v>3</v>
      </c>
      <c r="AL750" t="str" cm="1">
        <f t="array" ref="AL750">_xlfn.IFS(AK750=1,"Low",AK750=2,"Medium",AK750=3,"High",AK750=4,"Very High")</f>
        <v>High</v>
      </c>
      <c r="AM750">
        <v>2</v>
      </c>
      <c r="AN750">
        <v>2</v>
      </c>
      <c r="AO750">
        <v>2</v>
      </c>
      <c r="AP750">
        <v>2</v>
      </c>
    </row>
    <row r="751" spans="1:42">
      <c r="A751">
        <v>52</v>
      </c>
      <c r="B751" t="str" cm="1">
        <f t="array" ref="B751">_xlfn.IFS(A751&lt;=25,"18-25",A751&lt;=35,"26-35",A751&lt;=45,"36-45",A751&lt;=55,"46-55",A751&gt;55,"56+")</f>
        <v>46-55</v>
      </c>
      <c r="C751" t="s">
        <v>32</v>
      </c>
      <c r="D751" t="s">
        <v>33</v>
      </c>
      <c r="E751" s="2">
        <v>266</v>
      </c>
      <c r="F751" t="s">
        <v>34</v>
      </c>
      <c r="G751">
        <v>2</v>
      </c>
      <c r="H751" t="str">
        <f t="shared" si="11"/>
        <v>1-10 km</v>
      </c>
      <c r="I751">
        <v>1</v>
      </c>
      <c r="J751" t="str" cm="1">
        <f t="array" ref="J751">_xlfn.IFS(I751=1,"Below College",I751=2,"College",I751=3,"Bachelor",I751=4,"Master",I751=5,"Doctor")</f>
        <v>Below College</v>
      </c>
      <c r="K751" t="s">
        <v>55</v>
      </c>
      <c r="L751">
        <v>1038</v>
      </c>
      <c r="M751">
        <v>1</v>
      </c>
      <c r="N751" t="str" cm="1">
        <f t="array" ref="N751">_xlfn.IFS(M751=1,"Low",M751=2,"Medium",M751=3,"High",M751=4,"Very High")</f>
        <v>Low</v>
      </c>
      <c r="O751" t="s">
        <v>36</v>
      </c>
      <c r="P751" s="2">
        <v>57</v>
      </c>
      <c r="Q751">
        <v>1</v>
      </c>
      <c r="R751" t="str" cm="1">
        <f t="array" ref="R751">_xlfn.IFS(Q751=1,"Low",Q751=2,"Medium",Q751=3,"High",Q751=4,"Very High")</f>
        <v>Low</v>
      </c>
      <c r="S751">
        <v>5</v>
      </c>
      <c r="T751" t="str" cm="1">
        <f t="array" ref="T751">_xlfn.IFS(S751=1,"Entry Level",S751=2,"Junior",S751=3,"Mid-Level",S751=4,"Senior",S751=5,"Executive")</f>
        <v>Executive</v>
      </c>
      <c r="U751" t="s">
        <v>52</v>
      </c>
      <c r="V751">
        <v>4</v>
      </c>
      <c r="W751" t="str" cm="1">
        <f t="array" ref="W751">_xlfn.IFS(V751=1,"Low",V751=2,"Medium",V751=3,"High",V751=4,"Very High")</f>
        <v>Very High</v>
      </c>
      <c r="X751" t="s">
        <v>44</v>
      </c>
      <c r="Y751" s="2">
        <v>19845</v>
      </c>
      <c r="Z751" s="2">
        <v>25846</v>
      </c>
      <c r="AA751">
        <v>1</v>
      </c>
      <c r="AB751" t="s">
        <v>39</v>
      </c>
      <c r="AC751">
        <v>15</v>
      </c>
      <c r="AD751">
        <v>3</v>
      </c>
      <c r="AE751" t="str" cm="1">
        <f t="array" ref="AE751">_xlfn.IFS(AD751=1,"Low",AD751=2,"Good",AD751=3,"Excellent",AD751=4,"Outstanding")</f>
        <v>Excellent</v>
      </c>
      <c r="AF751">
        <v>4</v>
      </c>
      <c r="AG751" t="str" cm="1">
        <f t="array" ref="AG751">_xlfn.IFS(AF751=1,"Low",AF751=2,"Medium",AF751=3,"High",AF751=4,"Very High")</f>
        <v>Very High</v>
      </c>
      <c r="AH751">
        <v>1</v>
      </c>
      <c r="AI751">
        <v>33</v>
      </c>
      <c r="AJ751">
        <v>3</v>
      </c>
      <c r="AK751">
        <v>3</v>
      </c>
      <c r="AL751" t="str" cm="1">
        <f t="array" ref="AL751">_xlfn.IFS(AK751=1,"Low",AK751=2,"Medium",AK751=3,"High",AK751=4,"Very High")</f>
        <v>High</v>
      </c>
      <c r="AM751">
        <v>32</v>
      </c>
      <c r="AN751">
        <v>14</v>
      </c>
      <c r="AO751">
        <v>6</v>
      </c>
      <c r="AP751">
        <v>9</v>
      </c>
    </row>
    <row r="752" spans="1:42">
      <c r="A752">
        <v>44</v>
      </c>
      <c r="B752" t="str" cm="1">
        <f t="array" ref="B752">_xlfn.IFS(A752&lt;=25,"18-25",A752&lt;=35,"26-35",A752&lt;=45,"36-45",A752&lt;=55,"46-55",A752&gt;55,"56+")</f>
        <v>36-45</v>
      </c>
      <c r="C752" t="s">
        <v>39</v>
      </c>
      <c r="D752" t="s">
        <v>33</v>
      </c>
      <c r="E752" s="2">
        <v>1448</v>
      </c>
      <c r="F752" t="s">
        <v>34</v>
      </c>
      <c r="G752">
        <v>28</v>
      </c>
      <c r="H752" t="str">
        <f t="shared" si="11"/>
        <v>21-30 km</v>
      </c>
      <c r="I752">
        <v>3</v>
      </c>
      <c r="J752" t="str" cm="1">
        <f t="array" ref="J752">_xlfn.IFS(I752=1,"Below College",I752=2,"College",I752=3,"Bachelor",I752=4,"Master",I752=5,"Doctor")</f>
        <v>Bachelor</v>
      </c>
      <c r="K752" t="s">
        <v>47</v>
      </c>
      <c r="L752">
        <v>1039</v>
      </c>
      <c r="M752">
        <v>4</v>
      </c>
      <c r="N752" t="str" cm="1">
        <f t="array" ref="N752">_xlfn.IFS(M752=1,"Low",M752=2,"Medium",M752=3,"High",M752=4,"Very High")</f>
        <v>Very High</v>
      </c>
      <c r="O752" t="s">
        <v>36</v>
      </c>
      <c r="P752" s="2">
        <v>53</v>
      </c>
      <c r="Q752">
        <v>4</v>
      </c>
      <c r="R752" t="str" cm="1">
        <f t="array" ref="R752">_xlfn.IFS(Q752=1,"Low",Q752=2,"Medium",Q752=3,"High",Q752=4,"Very High")</f>
        <v>Very High</v>
      </c>
      <c r="S752">
        <v>4</v>
      </c>
      <c r="T752" t="str" cm="1">
        <f t="array" ref="T752">_xlfn.IFS(S752=1,"Entry Level",S752=2,"Junior",S752=3,"Mid-Level",S752=4,"Senior",S752=5,"Executive")</f>
        <v>Senior</v>
      </c>
      <c r="U752" t="s">
        <v>37</v>
      </c>
      <c r="V752">
        <v>4</v>
      </c>
      <c r="W752" t="str" cm="1">
        <f t="array" ref="W752">_xlfn.IFS(V752=1,"Low",V752=2,"Medium",V752=3,"High",V752=4,"Very High")</f>
        <v>Very High</v>
      </c>
      <c r="X752" t="s">
        <v>44</v>
      </c>
      <c r="Y752" s="2">
        <v>13320</v>
      </c>
      <c r="Z752" s="2">
        <v>11737</v>
      </c>
      <c r="AA752">
        <v>3</v>
      </c>
      <c r="AB752" t="s">
        <v>32</v>
      </c>
      <c r="AC752">
        <v>18</v>
      </c>
      <c r="AD752">
        <v>3</v>
      </c>
      <c r="AE752" t="str" cm="1">
        <f t="array" ref="AE752">_xlfn.IFS(AD752=1,"Low",AD752=2,"Good",AD752=3,"Excellent",AD752=4,"Outstanding")</f>
        <v>Excellent</v>
      </c>
      <c r="AF752">
        <v>3</v>
      </c>
      <c r="AG752" t="str" cm="1">
        <f t="array" ref="AG752">_xlfn.IFS(AF752=1,"Low",AF752=2,"Medium",AF752=3,"High",AF752=4,"Very High")</f>
        <v>High</v>
      </c>
      <c r="AH752">
        <v>1</v>
      </c>
      <c r="AI752">
        <v>23</v>
      </c>
      <c r="AJ752">
        <v>2</v>
      </c>
      <c r="AK752">
        <v>3</v>
      </c>
      <c r="AL752" t="str" cm="1">
        <f t="array" ref="AL752">_xlfn.IFS(AK752=1,"Low",AK752=2,"Medium",AK752=3,"High",AK752=4,"Very High")</f>
        <v>High</v>
      </c>
      <c r="AM752">
        <v>12</v>
      </c>
      <c r="AN752">
        <v>11</v>
      </c>
      <c r="AO752">
        <v>11</v>
      </c>
      <c r="AP752">
        <v>11</v>
      </c>
    </row>
    <row r="753" spans="1:42">
      <c r="A753">
        <v>50</v>
      </c>
      <c r="B753" t="str" cm="1">
        <f t="array" ref="B753">_xlfn.IFS(A753&lt;=25,"18-25",A753&lt;=35,"26-35",A753&lt;=45,"36-45",A753&lt;=55,"46-55",A753&gt;55,"56+")</f>
        <v>46-55</v>
      </c>
      <c r="C753" t="s">
        <v>39</v>
      </c>
      <c r="D753" t="s">
        <v>51</v>
      </c>
      <c r="E753" s="2">
        <v>145</v>
      </c>
      <c r="F753" t="s">
        <v>34</v>
      </c>
      <c r="G753">
        <v>1</v>
      </c>
      <c r="H753" t="str">
        <f t="shared" si="11"/>
        <v>1-10 km</v>
      </c>
      <c r="I753">
        <v>3</v>
      </c>
      <c r="J753" t="str" cm="1">
        <f t="array" ref="J753">_xlfn.IFS(I753=1,"Below College",I753=2,"College",I753=3,"Bachelor",I753=4,"Master",I753=5,"Doctor")</f>
        <v>Bachelor</v>
      </c>
      <c r="K753" t="s">
        <v>35</v>
      </c>
      <c r="L753">
        <v>1040</v>
      </c>
      <c r="M753">
        <v>4</v>
      </c>
      <c r="N753" t="str" cm="1">
        <f t="array" ref="N753">_xlfn.IFS(M753=1,"Low",M753=2,"Medium",M753=3,"High",M753=4,"Very High")</f>
        <v>Very High</v>
      </c>
      <c r="O753" t="s">
        <v>36</v>
      </c>
      <c r="P753" s="2">
        <v>95</v>
      </c>
      <c r="Q753">
        <v>3</v>
      </c>
      <c r="R753" t="str" cm="1">
        <f t="array" ref="R753">_xlfn.IFS(Q753=1,"Low",Q753=2,"Medium",Q753=3,"High",Q753=4,"Very High")</f>
        <v>High</v>
      </c>
      <c r="S753">
        <v>2</v>
      </c>
      <c r="T753" t="str" cm="1">
        <f t="array" ref="T753">_xlfn.IFS(S753=1,"Entry Level",S753=2,"Junior",S753=3,"Mid-Level",S753=4,"Senior",S753=5,"Executive")</f>
        <v>Junior</v>
      </c>
      <c r="U753" t="s">
        <v>37</v>
      </c>
      <c r="V753">
        <v>3</v>
      </c>
      <c r="W753" t="str" cm="1">
        <f t="array" ref="W753">_xlfn.IFS(V753=1,"Low",V753=2,"Medium",V753=3,"High",V753=4,"Very High")</f>
        <v>High</v>
      </c>
      <c r="X753" t="s">
        <v>44</v>
      </c>
      <c r="Y753" s="2">
        <v>6347</v>
      </c>
      <c r="Z753" s="2">
        <v>24920</v>
      </c>
      <c r="AA753">
        <v>0</v>
      </c>
      <c r="AB753" t="s">
        <v>39</v>
      </c>
      <c r="AC753">
        <v>12</v>
      </c>
      <c r="AD753">
        <v>3</v>
      </c>
      <c r="AE753" t="str" cm="1">
        <f t="array" ref="AE753">_xlfn.IFS(AD753=1,"Low",AD753=2,"Good",AD753=3,"Excellent",AD753=4,"Outstanding")</f>
        <v>Excellent</v>
      </c>
      <c r="AF753">
        <v>1</v>
      </c>
      <c r="AG753" t="str" cm="1">
        <f t="array" ref="AG753">_xlfn.IFS(AF753=1,"Low",AF753=2,"Medium",AF753=3,"High",AF753=4,"Very High")</f>
        <v>Low</v>
      </c>
      <c r="AH753">
        <v>1</v>
      </c>
      <c r="AI753">
        <v>19</v>
      </c>
      <c r="AJ753">
        <v>3</v>
      </c>
      <c r="AK753">
        <v>3</v>
      </c>
      <c r="AL753" t="str" cm="1">
        <f t="array" ref="AL753">_xlfn.IFS(AK753=1,"Low",AK753=2,"Medium",AK753=3,"High",AK753=4,"Very High")</f>
        <v>High</v>
      </c>
      <c r="AM753">
        <v>18</v>
      </c>
      <c r="AN753">
        <v>7</v>
      </c>
      <c r="AO753">
        <v>0</v>
      </c>
      <c r="AP753">
        <v>13</v>
      </c>
    </row>
    <row r="754" spans="1:42">
      <c r="A754">
        <v>36</v>
      </c>
      <c r="B754" t="str" cm="1">
        <f t="array" ref="B754">_xlfn.IFS(A754&lt;=25,"18-25",A754&lt;=35,"26-35",A754&lt;=45,"36-45",A754&lt;=55,"46-55",A754&gt;55,"56+")</f>
        <v>36-45</v>
      </c>
      <c r="C754" t="s">
        <v>32</v>
      </c>
      <c r="D754" t="s">
        <v>33</v>
      </c>
      <c r="E754" s="2">
        <v>885</v>
      </c>
      <c r="F754" t="s">
        <v>41</v>
      </c>
      <c r="G754">
        <v>16</v>
      </c>
      <c r="H754" t="str">
        <f t="shared" si="11"/>
        <v>11-20 km</v>
      </c>
      <c r="I754">
        <v>4</v>
      </c>
      <c r="J754" t="str" cm="1">
        <f t="array" ref="J754">_xlfn.IFS(I754=1,"Below College",I754=2,"College",I754=3,"Bachelor",I754=4,"Master",I754=5,"Doctor")</f>
        <v>Master</v>
      </c>
      <c r="K754" t="s">
        <v>35</v>
      </c>
      <c r="L754">
        <v>1042</v>
      </c>
      <c r="M754">
        <v>3</v>
      </c>
      <c r="N754" t="str" cm="1">
        <f t="array" ref="N754">_xlfn.IFS(M754=1,"Low",M754=2,"Medium",M754=3,"High",M754=4,"Very High")</f>
        <v>High</v>
      </c>
      <c r="O754" t="s">
        <v>36</v>
      </c>
      <c r="P754" s="2">
        <v>43</v>
      </c>
      <c r="Q754">
        <v>4</v>
      </c>
      <c r="R754" t="str" cm="1">
        <f t="array" ref="R754">_xlfn.IFS(Q754=1,"Low",Q754=2,"Medium",Q754=3,"High",Q754=4,"Very High")</f>
        <v>Very High</v>
      </c>
      <c r="S754">
        <v>1</v>
      </c>
      <c r="T754" t="str" cm="1">
        <f t="array" ref="T754">_xlfn.IFS(S754=1,"Entry Level",S754=2,"Junior",S754=3,"Mid-Level",S754=4,"Senior",S754=5,"Executive")</f>
        <v>Entry Level</v>
      </c>
      <c r="U754" t="s">
        <v>46</v>
      </c>
      <c r="V754">
        <v>1</v>
      </c>
      <c r="W754" t="str" cm="1">
        <f t="array" ref="W754">_xlfn.IFS(V754=1,"Low",V754=2,"Medium",V754=3,"High",V754=4,"Very High")</f>
        <v>Low</v>
      </c>
      <c r="X754" t="s">
        <v>38</v>
      </c>
      <c r="Y754" s="2">
        <v>2743</v>
      </c>
      <c r="Z754" s="2">
        <v>8269</v>
      </c>
      <c r="AA754">
        <v>1</v>
      </c>
      <c r="AB754" t="s">
        <v>39</v>
      </c>
      <c r="AC754">
        <v>16</v>
      </c>
      <c r="AD754">
        <v>3</v>
      </c>
      <c r="AE754" t="str" cm="1">
        <f t="array" ref="AE754">_xlfn.IFS(AD754=1,"Low",AD754=2,"Good",AD754=3,"Excellent",AD754=4,"Outstanding")</f>
        <v>Excellent</v>
      </c>
      <c r="AF754">
        <v>3</v>
      </c>
      <c r="AG754" t="str" cm="1">
        <f t="array" ref="AG754">_xlfn.IFS(AF754=1,"Low",AF754=2,"Medium",AF754=3,"High",AF754=4,"Very High")</f>
        <v>High</v>
      </c>
      <c r="AH754">
        <v>0</v>
      </c>
      <c r="AI754">
        <v>18</v>
      </c>
      <c r="AJ754">
        <v>1</v>
      </c>
      <c r="AK754">
        <v>3</v>
      </c>
      <c r="AL754" t="str" cm="1">
        <f t="array" ref="AL754">_xlfn.IFS(AK754=1,"Low",AK754=2,"Medium",AK754=3,"High",AK754=4,"Very High")</f>
        <v>High</v>
      </c>
      <c r="AM754">
        <v>17</v>
      </c>
      <c r="AN754">
        <v>13</v>
      </c>
      <c r="AO754">
        <v>15</v>
      </c>
      <c r="AP754">
        <v>14</v>
      </c>
    </row>
    <row r="755" spans="1:42">
      <c r="A755">
        <v>39</v>
      </c>
      <c r="B755" t="str" cm="1">
        <f t="array" ref="B755">_xlfn.IFS(A755&lt;=25,"18-25",A755&lt;=35,"26-35",A755&lt;=45,"36-45",A755&lt;=55,"46-55",A755&gt;55,"56+")</f>
        <v>36-45</v>
      </c>
      <c r="C755" t="s">
        <v>39</v>
      </c>
      <c r="D755" t="s">
        <v>40</v>
      </c>
      <c r="E755" s="2">
        <v>945</v>
      </c>
      <c r="F755" t="s">
        <v>41</v>
      </c>
      <c r="G755">
        <v>22</v>
      </c>
      <c r="H755" t="str">
        <f t="shared" si="11"/>
        <v>21-30 km</v>
      </c>
      <c r="I755">
        <v>3</v>
      </c>
      <c r="J755" t="str" cm="1">
        <f t="array" ref="J755">_xlfn.IFS(I755=1,"Below College",I755=2,"College",I755=3,"Bachelor",I755=4,"Master",I755=5,"Doctor")</f>
        <v>Bachelor</v>
      </c>
      <c r="K755" t="s">
        <v>47</v>
      </c>
      <c r="L755">
        <v>1043</v>
      </c>
      <c r="M755">
        <v>4</v>
      </c>
      <c r="N755" t="str" cm="1">
        <f t="array" ref="N755">_xlfn.IFS(M755=1,"Low",M755=2,"Medium",M755=3,"High",M755=4,"Very High")</f>
        <v>Very High</v>
      </c>
      <c r="O755" t="s">
        <v>36</v>
      </c>
      <c r="P755" s="2">
        <v>82</v>
      </c>
      <c r="Q755">
        <v>3</v>
      </c>
      <c r="R755" t="str" cm="1">
        <f t="array" ref="R755">_xlfn.IFS(Q755=1,"Low",Q755=2,"Medium",Q755=3,"High",Q755=4,"Very High")</f>
        <v>High</v>
      </c>
      <c r="S755">
        <v>3</v>
      </c>
      <c r="T755" t="str" cm="1">
        <f t="array" ref="T755">_xlfn.IFS(S755=1,"Entry Level",S755=2,"Junior",S755=3,"Mid-Level",S755=4,"Senior",S755=5,"Executive")</f>
        <v>Mid-Level</v>
      </c>
      <c r="U755" t="s">
        <v>49</v>
      </c>
      <c r="V755">
        <v>1</v>
      </c>
      <c r="W755" t="str" cm="1">
        <f t="array" ref="W755">_xlfn.IFS(V755=1,"Low",V755=2,"Medium",V755=3,"High",V755=4,"Very High")</f>
        <v>Low</v>
      </c>
      <c r="X755" t="s">
        <v>38</v>
      </c>
      <c r="Y755" s="2">
        <v>10880</v>
      </c>
      <c r="Z755" s="2">
        <v>5083</v>
      </c>
      <c r="AA755">
        <v>1</v>
      </c>
      <c r="AB755" t="s">
        <v>32</v>
      </c>
      <c r="AC755">
        <v>13</v>
      </c>
      <c r="AD755">
        <v>3</v>
      </c>
      <c r="AE755" t="str" cm="1">
        <f t="array" ref="AE755">_xlfn.IFS(AD755=1,"Low",AD755=2,"Good",AD755=3,"Excellent",AD755=4,"Outstanding")</f>
        <v>Excellent</v>
      </c>
      <c r="AF755">
        <v>3</v>
      </c>
      <c r="AG755" t="str" cm="1">
        <f t="array" ref="AG755">_xlfn.IFS(AF755=1,"Low",AF755=2,"Medium",AF755=3,"High",AF755=4,"Very High")</f>
        <v>High</v>
      </c>
      <c r="AH755">
        <v>0</v>
      </c>
      <c r="AI755">
        <v>21</v>
      </c>
      <c r="AJ755">
        <v>2</v>
      </c>
      <c r="AK755">
        <v>3</v>
      </c>
      <c r="AL755" t="str" cm="1">
        <f t="array" ref="AL755">_xlfn.IFS(AK755=1,"Low",AK755=2,"Medium",AK755=3,"High",AK755=4,"Very High")</f>
        <v>High</v>
      </c>
      <c r="AM755">
        <v>21</v>
      </c>
      <c r="AN755">
        <v>6</v>
      </c>
      <c r="AO755">
        <v>2</v>
      </c>
      <c r="AP755">
        <v>8</v>
      </c>
    </row>
    <row r="756" spans="1:42">
      <c r="A756">
        <v>33</v>
      </c>
      <c r="B756" t="str" cm="1">
        <f t="array" ref="B756">_xlfn.IFS(A756&lt;=25,"18-25",A756&lt;=35,"26-35",A756&lt;=45,"36-45",A756&lt;=55,"46-55",A756&gt;55,"56+")</f>
        <v>26-35</v>
      </c>
      <c r="C756" t="s">
        <v>39</v>
      </c>
      <c r="D756" t="s">
        <v>51</v>
      </c>
      <c r="E756" s="2">
        <v>1038</v>
      </c>
      <c r="F756" t="s">
        <v>34</v>
      </c>
      <c r="G756">
        <v>8</v>
      </c>
      <c r="H756" t="str">
        <f t="shared" si="11"/>
        <v>1-10 km</v>
      </c>
      <c r="I756">
        <v>1</v>
      </c>
      <c r="J756" t="str" cm="1">
        <f t="array" ref="J756">_xlfn.IFS(I756=1,"Below College",I756=2,"College",I756=3,"Bachelor",I756=4,"Master",I756=5,"Doctor")</f>
        <v>Below College</v>
      </c>
      <c r="K756" t="s">
        <v>35</v>
      </c>
      <c r="L756">
        <v>1044</v>
      </c>
      <c r="M756">
        <v>2</v>
      </c>
      <c r="N756" t="str" cm="1">
        <f t="array" ref="N756">_xlfn.IFS(M756=1,"Low",M756=2,"Medium",M756=3,"High",M756=4,"Very High")</f>
        <v>Medium</v>
      </c>
      <c r="O756" t="s">
        <v>36</v>
      </c>
      <c r="P756" s="2">
        <v>88</v>
      </c>
      <c r="Q756">
        <v>2</v>
      </c>
      <c r="R756" t="str" cm="1">
        <f t="array" ref="R756">_xlfn.IFS(Q756=1,"Low",Q756=2,"Medium",Q756=3,"High",Q756=4,"Very High")</f>
        <v>Medium</v>
      </c>
      <c r="S756">
        <v>1</v>
      </c>
      <c r="T756" t="str" cm="1">
        <f t="array" ref="T756">_xlfn.IFS(S756=1,"Entry Level",S756=2,"Junior",S756=3,"Mid-Level",S756=4,"Senior",S756=5,"Executive")</f>
        <v>Entry Level</v>
      </c>
      <c r="U756" t="s">
        <v>53</v>
      </c>
      <c r="V756">
        <v>4</v>
      </c>
      <c r="W756" t="str" cm="1">
        <f t="array" ref="W756">_xlfn.IFS(V756=1,"Low",V756=2,"Medium",V756=3,"High",V756=4,"Very High")</f>
        <v>Very High</v>
      </c>
      <c r="X756" t="s">
        <v>38</v>
      </c>
      <c r="Y756" s="2">
        <v>2342</v>
      </c>
      <c r="Z756" s="2">
        <v>21437</v>
      </c>
      <c r="AA756">
        <v>0</v>
      </c>
      <c r="AB756" t="s">
        <v>39</v>
      </c>
      <c r="AC756">
        <v>19</v>
      </c>
      <c r="AD756">
        <v>3</v>
      </c>
      <c r="AE756" t="str" cm="1">
        <f t="array" ref="AE756">_xlfn.IFS(AD756=1,"Low",AD756=2,"Good",AD756=3,"Excellent",AD756=4,"Outstanding")</f>
        <v>Excellent</v>
      </c>
      <c r="AF756">
        <v>4</v>
      </c>
      <c r="AG756" t="str" cm="1">
        <f t="array" ref="AG756">_xlfn.IFS(AF756=1,"Low",AF756=2,"Medium",AF756=3,"High",AF756=4,"Very High")</f>
        <v>Very High</v>
      </c>
      <c r="AH756">
        <v>0</v>
      </c>
      <c r="AI756">
        <v>3</v>
      </c>
      <c r="AJ756">
        <v>2</v>
      </c>
      <c r="AK756">
        <v>2</v>
      </c>
      <c r="AL756" t="str" cm="1">
        <f t="array" ref="AL756">_xlfn.IFS(AK756=1,"Low",AK756=2,"Medium",AK756=3,"High",AK756=4,"Very High")</f>
        <v>Medium</v>
      </c>
      <c r="AM756">
        <v>2</v>
      </c>
      <c r="AN756">
        <v>2</v>
      </c>
      <c r="AO756">
        <v>2</v>
      </c>
      <c r="AP756">
        <v>2</v>
      </c>
    </row>
    <row r="757" spans="1:42">
      <c r="A757">
        <v>45</v>
      </c>
      <c r="B757" t="str" cm="1">
        <f t="array" ref="B757">_xlfn.IFS(A757&lt;=25,"18-25",A757&lt;=35,"26-35",A757&lt;=45,"36-45",A757&lt;=55,"46-55",A757&gt;55,"56+")</f>
        <v>36-45</v>
      </c>
      <c r="C757" t="s">
        <v>39</v>
      </c>
      <c r="D757" t="s">
        <v>33</v>
      </c>
      <c r="E757" s="2">
        <v>1234</v>
      </c>
      <c r="F757" t="s">
        <v>34</v>
      </c>
      <c r="G757">
        <v>11</v>
      </c>
      <c r="H757" t="str">
        <f t="shared" si="11"/>
        <v>11-20 km</v>
      </c>
      <c r="I757">
        <v>2</v>
      </c>
      <c r="J757" t="str" cm="1">
        <f t="array" ref="J757">_xlfn.IFS(I757=1,"Below College",I757=2,"College",I757=3,"Bachelor",I757=4,"Master",I757=5,"Doctor")</f>
        <v>College</v>
      </c>
      <c r="K757" t="s">
        <v>35</v>
      </c>
      <c r="L757">
        <v>1045</v>
      </c>
      <c r="M757">
        <v>4</v>
      </c>
      <c r="N757" t="str" cm="1">
        <f t="array" ref="N757">_xlfn.IFS(M757=1,"Low",M757=2,"Medium",M757=3,"High",M757=4,"Very High")</f>
        <v>Very High</v>
      </c>
      <c r="O757" t="s">
        <v>36</v>
      </c>
      <c r="P757" s="2">
        <v>90</v>
      </c>
      <c r="Q757">
        <v>3</v>
      </c>
      <c r="R757" t="str" cm="1">
        <f t="array" ref="R757">_xlfn.IFS(Q757=1,"Low",Q757=2,"Medium",Q757=3,"High",Q757=4,"Very High")</f>
        <v>High</v>
      </c>
      <c r="S757">
        <v>4</v>
      </c>
      <c r="T757" t="str" cm="1">
        <f t="array" ref="T757">_xlfn.IFS(S757=1,"Entry Level",S757=2,"Junior",S757=3,"Mid-Level",S757=4,"Senior",S757=5,"Executive")</f>
        <v>Senior</v>
      </c>
      <c r="U757" t="s">
        <v>52</v>
      </c>
      <c r="V757">
        <v>4</v>
      </c>
      <c r="W757" t="str" cm="1">
        <f t="array" ref="W757">_xlfn.IFS(V757=1,"Low",V757=2,"Medium",V757=3,"High",V757=4,"Very High")</f>
        <v>Very High</v>
      </c>
      <c r="X757" t="s">
        <v>44</v>
      </c>
      <c r="Y757" s="2">
        <v>17650</v>
      </c>
      <c r="Z757" s="2">
        <v>5404</v>
      </c>
      <c r="AA757">
        <v>3</v>
      </c>
      <c r="AB757" t="s">
        <v>39</v>
      </c>
      <c r="AC757">
        <v>13</v>
      </c>
      <c r="AD757">
        <v>3</v>
      </c>
      <c r="AE757" t="str" cm="1">
        <f t="array" ref="AE757">_xlfn.IFS(AD757=1,"Low",AD757=2,"Good",AD757=3,"Excellent",AD757=4,"Outstanding")</f>
        <v>Excellent</v>
      </c>
      <c r="AF757">
        <v>2</v>
      </c>
      <c r="AG757" t="str" cm="1">
        <f t="array" ref="AG757">_xlfn.IFS(AF757=1,"Low",AF757=2,"Medium",AF757=3,"High",AF757=4,"Very High")</f>
        <v>Medium</v>
      </c>
      <c r="AH757">
        <v>1</v>
      </c>
      <c r="AI757">
        <v>26</v>
      </c>
      <c r="AJ757">
        <v>4</v>
      </c>
      <c r="AK757">
        <v>4</v>
      </c>
      <c r="AL757" t="str" cm="1">
        <f t="array" ref="AL757">_xlfn.IFS(AK757=1,"Low",AK757=2,"Medium",AK757=3,"High",AK757=4,"Very High")</f>
        <v>Very High</v>
      </c>
      <c r="AM757">
        <v>9</v>
      </c>
      <c r="AN757">
        <v>3</v>
      </c>
      <c r="AO757">
        <v>1</v>
      </c>
      <c r="AP757">
        <v>1</v>
      </c>
    </row>
    <row r="758" spans="1:42">
      <c r="A758">
        <v>32</v>
      </c>
      <c r="B758" t="str" cm="1">
        <f t="array" ref="B758">_xlfn.IFS(A758&lt;=25,"18-25",A758&lt;=35,"26-35",A758&lt;=45,"36-45",A758&lt;=55,"46-55",A758&gt;55,"56+")</f>
        <v>26-35</v>
      </c>
      <c r="C758" t="s">
        <v>39</v>
      </c>
      <c r="D758" t="s">
        <v>51</v>
      </c>
      <c r="E758" s="2">
        <v>1109</v>
      </c>
      <c r="F758" t="s">
        <v>41</v>
      </c>
      <c r="G758">
        <v>29</v>
      </c>
      <c r="H758" t="str">
        <f t="shared" si="11"/>
        <v>21-30 km</v>
      </c>
      <c r="I758">
        <v>4</v>
      </c>
      <c r="J758" t="str" cm="1">
        <f t="array" ref="J758">_xlfn.IFS(I758=1,"Below College",I758=2,"College",I758=3,"Bachelor",I758=4,"Master",I758=5,"Doctor")</f>
        <v>Master</v>
      </c>
      <c r="K758" t="s">
        <v>47</v>
      </c>
      <c r="L758">
        <v>1046</v>
      </c>
      <c r="M758">
        <v>4</v>
      </c>
      <c r="N758" t="str" cm="1">
        <f t="array" ref="N758">_xlfn.IFS(M758=1,"Low",M758=2,"Medium",M758=3,"High",M758=4,"Very High")</f>
        <v>Very High</v>
      </c>
      <c r="O758" t="s">
        <v>36</v>
      </c>
      <c r="P758" s="2">
        <v>69</v>
      </c>
      <c r="Q758">
        <v>3</v>
      </c>
      <c r="R758" t="str" cm="1">
        <f t="array" ref="R758">_xlfn.IFS(Q758=1,"Low",Q758=2,"Medium",Q758=3,"High",Q758=4,"Very High")</f>
        <v>High</v>
      </c>
      <c r="S758">
        <v>1</v>
      </c>
      <c r="T758" t="str" cm="1">
        <f t="array" ref="T758">_xlfn.IFS(S758=1,"Entry Level",S758=2,"Junior",S758=3,"Mid-Level",S758=4,"Senior",S758=5,"Executive")</f>
        <v>Entry Level</v>
      </c>
      <c r="U758" t="s">
        <v>46</v>
      </c>
      <c r="V758">
        <v>3</v>
      </c>
      <c r="W758" t="str" cm="1">
        <f t="array" ref="W758">_xlfn.IFS(V758=1,"Low",V758=2,"Medium",V758=3,"High",V758=4,"Very High")</f>
        <v>High</v>
      </c>
      <c r="X758" t="s">
        <v>38</v>
      </c>
      <c r="Y758" s="2">
        <v>4025</v>
      </c>
      <c r="Z758" s="2">
        <v>11135</v>
      </c>
      <c r="AA758">
        <v>9</v>
      </c>
      <c r="AB758" t="s">
        <v>39</v>
      </c>
      <c r="AC758">
        <v>12</v>
      </c>
      <c r="AD758">
        <v>3</v>
      </c>
      <c r="AE758" t="str" cm="1">
        <f t="array" ref="AE758">_xlfn.IFS(AD758=1,"Low",AD758=2,"Good",AD758=3,"Excellent",AD758=4,"Outstanding")</f>
        <v>Excellent</v>
      </c>
      <c r="AF758">
        <v>2</v>
      </c>
      <c r="AG758" t="str" cm="1">
        <f t="array" ref="AG758">_xlfn.IFS(AF758=1,"Low",AF758=2,"Medium",AF758=3,"High",AF758=4,"Very High")</f>
        <v>Medium</v>
      </c>
      <c r="AH758">
        <v>0</v>
      </c>
      <c r="AI758">
        <v>10</v>
      </c>
      <c r="AJ758">
        <v>2</v>
      </c>
      <c r="AK758">
        <v>3</v>
      </c>
      <c r="AL758" t="str" cm="1">
        <f t="array" ref="AL758">_xlfn.IFS(AK758=1,"Low",AK758=2,"Medium",AK758=3,"High",AK758=4,"Very High")</f>
        <v>High</v>
      </c>
      <c r="AM758">
        <v>8</v>
      </c>
      <c r="AN758">
        <v>7</v>
      </c>
      <c r="AO758">
        <v>7</v>
      </c>
      <c r="AP758">
        <v>7</v>
      </c>
    </row>
    <row r="759" spans="1:42">
      <c r="A759">
        <v>34</v>
      </c>
      <c r="B759" t="str" cm="1">
        <f t="array" ref="B759">_xlfn.IFS(A759&lt;=25,"18-25",A759&lt;=35,"26-35",A759&lt;=45,"36-45",A759&lt;=55,"46-55",A759&gt;55,"56+")</f>
        <v>26-35</v>
      </c>
      <c r="C759" t="s">
        <v>39</v>
      </c>
      <c r="D759" t="s">
        <v>33</v>
      </c>
      <c r="E759" s="2">
        <v>216</v>
      </c>
      <c r="F759" t="s">
        <v>34</v>
      </c>
      <c r="G759">
        <v>1</v>
      </c>
      <c r="H759" t="str">
        <f t="shared" si="11"/>
        <v>1-10 km</v>
      </c>
      <c r="I759">
        <v>4</v>
      </c>
      <c r="J759" t="str" cm="1">
        <f t="array" ref="J759">_xlfn.IFS(I759=1,"Below College",I759=2,"College",I759=3,"Bachelor",I759=4,"Master",I759=5,"Doctor")</f>
        <v>Master</v>
      </c>
      <c r="K759" t="s">
        <v>55</v>
      </c>
      <c r="L759">
        <v>1047</v>
      </c>
      <c r="M759">
        <v>2</v>
      </c>
      <c r="N759" t="str" cm="1">
        <f t="array" ref="N759">_xlfn.IFS(M759=1,"Low",M759=2,"Medium",M759=3,"High",M759=4,"Very High")</f>
        <v>Medium</v>
      </c>
      <c r="O759" t="s">
        <v>42</v>
      </c>
      <c r="P759" s="2">
        <v>75</v>
      </c>
      <c r="Q759">
        <v>4</v>
      </c>
      <c r="R759" t="str" cm="1">
        <f t="array" ref="R759">_xlfn.IFS(Q759=1,"Low",Q759=2,"Medium",Q759=3,"High",Q759=4,"Very High")</f>
        <v>Very High</v>
      </c>
      <c r="S759">
        <v>2</v>
      </c>
      <c r="T759" t="str" cm="1">
        <f t="array" ref="T759">_xlfn.IFS(S759=1,"Entry Level",S759=2,"Junior",S759=3,"Mid-Level",S759=4,"Senior",S759=5,"Executive")</f>
        <v>Junior</v>
      </c>
      <c r="U759" t="s">
        <v>37</v>
      </c>
      <c r="V759">
        <v>4</v>
      </c>
      <c r="W759" t="str" cm="1">
        <f t="array" ref="W759">_xlfn.IFS(V759=1,"Low",V759=2,"Medium",V759=3,"High",V759=4,"Very High")</f>
        <v>Very High</v>
      </c>
      <c r="X759" t="s">
        <v>48</v>
      </c>
      <c r="Y759" s="2">
        <v>9725</v>
      </c>
      <c r="Z759" s="2">
        <v>12278</v>
      </c>
      <c r="AA759">
        <v>0</v>
      </c>
      <c r="AB759" t="s">
        <v>39</v>
      </c>
      <c r="AC759">
        <v>11</v>
      </c>
      <c r="AD759">
        <v>3</v>
      </c>
      <c r="AE759" t="str" cm="1">
        <f t="array" ref="AE759">_xlfn.IFS(AD759=1,"Low",AD759=2,"Good",AD759=3,"Excellent",AD759=4,"Outstanding")</f>
        <v>Excellent</v>
      </c>
      <c r="AF759">
        <v>4</v>
      </c>
      <c r="AG759" t="str" cm="1">
        <f t="array" ref="AG759">_xlfn.IFS(AF759=1,"Low",AF759=2,"Medium",AF759=3,"High",AF759=4,"Very High")</f>
        <v>Very High</v>
      </c>
      <c r="AH759">
        <v>1</v>
      </c>
      <c r="AI759">
        <v>16</v>
      </c>
      <c r="AJ759">
        <v>2</v>
      </c>
      <c r="AK759">
        <v>2</v>
      </c>
      <c r="AL759" t="str" cm="1">
        <f t="array" ref="AL759">_xlfn.IFS(AK759=1,"Low",AK759=2,"Medium",AK759=3,"High",AK759=4,"Very High")</f>
        <v>Medium</v>
      </c>
      <c r="AM759">
        <v>15</v>
      </c>
      <c r="AN759">
        <v>1</v>
      </c>
      <c r="AO759">
        <v>0</v>
      </c>
      <c r="AP759">
        <v>9</v>
      </c>
    </row>
    <row r="760" spans="1:42">
      <c r="A760">
        <v>59</v>
      </c>
      <c r="B760" t="str" cm="1">
        <f t="array" ref="B760">_xlfn.IFS(A760&lt;=25,"18-25",A760&lt;=35,"26-35",A760&lt;=45,"36-45",A760&lt;=55,"46-55",A760&gt;55,"56+")</f>
        <v>56+</v>
      </c>
      <c r="C760" t="s">
        <v>39</v>
      </c>
      <c r="D760" t="s">
        <v>33</v>
      </c>
      <c r="E760" s="2">
        <v>1089</v>
      </c>
      <c r="F760" t="s">
        <v>34</v>
      </c>
      <c r="G760">
        <v>1</v>
      </c>
      <c r="H760" t="str">
        <f t="shared" si="11"/>
        <v>1-10 km</v>
      </c>
      <c r="I760">
        <v>2</v>
      </c>
      <c r="J760" t="str" cm="1">
        <f t="array" ref="J760">_xlfn.IFS(I760=1,"Below College",I760=2,"College",I760=3,"Bachelor",I760=4,"Master",I760=5,"Doctor")</f>
        <v>College</v>
      </c>
      <c r="K760" t="s">
        <v>56</v>
      </c>
      <c r="L760">
        <v>1048</v>
      </c>
      <c r="M760">
        <v>2</v>
      </c>
      <c r="N760" t="str" cm="1">
        <f t="array" ref="N760">_xlfn.IFS(M760=1,"Low",M760=2,"Medium",M760=3,"High",M760=4,"Very High")</f>
        <v>Medium</v>
      </c>
      <c r="O760" t="s">
        <v>42</v>
      </c>
      <c r="P760" s="2">
        <v>66</v>
      </c>
      <c r="Q760">
        <v>3</v>
      </c>
      <c r="R760" t="str" cm="1">
        <f t="array" ref="R760">_xlfn.IFS(Q760=1,"Low",Q760=2,"Medium",Q760=3,"High",Q760=4,"Very High")</f>
        <v>High</v>
      </c>
      <c r="S760">
        <v>3</v>
      </c>
      <c r="T760" t="str" cm="1">
        <f t="array" ref="T760">_xlfn.IFS(S760=1,"Entry Level",S760=2,"Junior",S760=3,"Mid-Level",S760=4,"Senior",S760=5,"Executive")</f>
        <v>Mid-Level</v>
      </c>
      <c r="U760" t="s">
        <v>52</v>
      </c>
      <c r="V760">
        <v>4</v>
      </c>
      <c r="W760" t="str" cm="1">
        <f t="array" ref="W760">_xlfn.IFS(V760=1,"Low",V760=2,"Medium",V760=3,"High",V760=4,"Very High")</f>
        <v>Very High</v>
      </c>
      <c r="X760" t="s">
        <v>44</v>
      </c>
      <c r="Y760" s="2">
        <v>11904</v>
      </c>
      <c r="Z760" s="2">
        <v>11038</v>
      </c>
      <c r="AA760">
        <v>3</v>
      </c>
      <c r="AB760" t="s">
        <v>32</v>
      </c>
      <c r="AC760">
        <v>14</v>
      </c>
      <c r="AD760">
        <v>3</v>
      </c>
      <c r="AE760" t="str" cm="1">
        <f t="array" ref="AE760">_xlfn.IFS(AD760=1,"Low",AD760=2,"Good",AD760=3,"Excellent",AD760=4,"Outstanding")</f>
        <v>Excellent</v>
      </c>
      <c r="AF760">
        <v>3</v>
      </c>
      <c r="AG760" t="str" cm="1">
        <f t="array" ref="AG760">_xlfn.IFS(AF760=1,"Low",AF760=2,"Medium",AF760=3,"High",AF760=4,"Very High")</f>
        <v>High</v>
      </c>
      <c r="AH760">
        <v>1</v>
      </c>
      <c r="AI760">
        <v>14</v>
      </c>
      <c r="AJ760">
        <v>1</v>
      </c>
      <c r="AK760">
        <v>1</v>
      </c>
      <c r="AL760" t="str" cm="1">
        <f t="array" ref="AL760">_xlfn.IFS(AK760=1,"Low",AK760=2,"Medium",AK760=3,"High",AK760=4,"Very High")</f>
        <v>Low</v>
      </c>
      <c r="AM760">
        <v>6</v>
      </c>
      <c r="AN760">
        <v>4</v>
      </c>
      <c r="AO760">
        <v>0</v>
      </c>
      <c r="AP760">
        <v>4</v>
      </c>
    </row>
    <row r="761" spans="1:42">
      <c r="A761">
        <v>45</v>
      </c>
      <c r="B761" t="str" cm="1">
        <f t="array" ref="B761">_xlfn.IFS(A761&lt;=25,"18-25",A761&lt;=35,"26-35",A761&lt;=45,"36-45",A761&lt;=55,"46-55",A761&gt;55,"56+")</f>
        <v>36-45</v>
      </c>
      <c r="C761" t="s">
        <v>39</v>
      </c>
      <c r="D761" t="s">
        <v>33</v>
      </c>
      <c r="E761" s="2">
        <v>788</v>
      </c>
      <c r="F761" t="s">
        <v>57</v>
      </c>
      <c r="G761">
        <v>24</v>
      </c>
      <c r="H761" t="str">
        <f t="shared" si="11"/>
        <v>21-30 km</v>
      </c>
      <c r="I761">
        <v>4</v>
      </c>
      <c r="J761" t="str" cm="1">
        <f t="array" ref="J761">_xlfn.IFS(I761=1,"Below College",I761=2,"College",I761=3,"Bachelor",I761=4,"Master",I761=5,"Doctor")</f>
        <v>Master</v>
      </c>
      <c r="K761" t="s">
        <v>47</v>
      </c>
      <c r="L761">
        <v>1049</v>
      </c>
      <c r="M761">
        <v>2</v>
      </c>
      <c r="N761" t="str" cm="1">
        <f t="array" ref="N761">_xlfn.IFS(M761=1,"Low",M761=2,"Medium",M761=3,"High",M761=4,"Very High")</f>
        <v>Medium</v>
      </c>
      <c r="O761" t="s">
        <v>42</v>
      </c>
      <c r="P761" s="2">
        <v>36</v>
      </c>
      <c r="Q761">
        <v>3</v>
      </c>
      <c r="R761" t="str" cm="1">
        <f t="array" ref="R761">_xlfn.IFS(Q761=1,"Low",Q761=2,"Medium",Q761=3,"High",Q761=4,"Very High")</f>
        <v>High</v>
      </c>
      <c r="S761">
        <v>1</v>
      </c>
      <c r="T761" t="str" cm="1">
        <f t="array" ref="T761">_xlfn.IFS(S761=1,"Entry Level",S761=2,"Junior",S761=3,"Mid-Level",S761=4,"Senior",S761=5,"Executive")</f>
        <v>Entry Level</v>
      </c>
      <c r="U761" t="s">
        <v>57</v>
      </c>
      <c r="V761">
        <v>2</v>
      </c>
      <c r="W761" t="str" cm="1">
        <f t="array" ref="W761">_xlfn.IFS(V761=1,"Low",V761=2,"Medium",V761=3,"High",V761=4,"Very High")</f>
        <v>Medium</v>
      </c>
      <c r="X761" t="s">
        <v>38</v>
      </c>
      <c r="Y761" s="2">
        <v>2177</v>
      </c>
      <c r="Z761" s="2">
        <v>8318</v>
      </c>
      <c r="AA761">
        <v>1</v>
      </c>
      <c r="AB761" t="s">
        <v>39</v>
      </c>
      <c r="AC761">
        <v>16</v>
      </c>
      <c r="AD761">
        <v>3</v>
      </c>
      <c r="AE761" t="str" cm="1">
        <f t="array" ref="AE761">_xlfn.IFS(AD761=1,"Low",AD761=2,"Good",AD761=3,"Excellent",AD761=4,"Outstanding")</f>
        <v>Excellent</v>
      </c>
      <c r="AF761">
        <v>1</v>
      </c>
      <c r="AG761" t="str" cm="1">
        <f t="array" ref="AG761">_xlfn.IFS(AF761=1,"Low",AF761=2,"Medium",AF761=3,"High",AF761=4,"Very High")</f>
        <v>Low</v>
      </c>
      <c r="AH761">
        <v>0</v>
      </c>
      <c r="AI761">
        <v>6</v>
      </c>
      <c r="AJ761">
        <v>3</v>
      </c>
      <c r="AK761">
        <v>3</v>
      </c>
      <c r="AL761" t="str" cm="1">
        <f t="array" ref="AL761">_xlfn.IFS(AK761=1,"Low",AK761=2,"Medium",AK761=3,"High",AK761=4,"Very High")</f>
        <v>High</v>
      </c>
      <c r="AM761">
        <v>6</v>
      </c>
      <c r="AN761">
        <v>3</v>
      </c>
      <c r="AO761">
        <v>0</v>
      </c>
      <c r="AP761">
        <v>4</v>
      </c>
    </row>
    <row r="762" spans="1:42">
      <c r="A762">
        <v>53</v>
      </c>
      <c r="B762" t="str" cm="1">
        <f t="array" ref="B762">_xlfn.IFS(A762&lt;=25,"18-25",A762&lt;=35,"26-35",A762&lt;=45,"36-45",A762&lt;=55,"46-55",A762&gt;55,"56+")</f>
        <v>46-55</v>
      </c>
      <c r="C762" t="s">
        <v>39</v>
      </c>
      <c r="D762" t="s">
        <v>40</v>
      </c>
      <c r="E762" s="2">
        <v>124</v>
      </c>
      <c r="F762" t="s">
        <v>34</v>
      </c>
      <c r="G762">
        <v>2</v>
      </c>
      <c r="H762" t="str">
        <f t="shared" si="11"/>
        <v>1-10 km</v>
      </c>
      <c r="I762">
        <v>3</v>
      </c>
      <c r="J762" t="str" cm="1">
        <f t="array" ref="J762">_xlfn.IFS(I762=1,"Below College",I762=2,"College",I762=3,"Bachelor",I762=4,"Master",I762=5,"Doctor")</f>
        <v>Bachelor</v>
      </c>
      <c r="K762" t="s">
        <v>55</v>
      </c>
      <c r="L762">
        <v>1050</v>
      </c>
      <c r="M762">
        <v>3</v>
      </c>
      <c r="N762" t="str" cm="1">
        <f t="array" ref="N762">_xlfn.IFS(M762=1,"Low",M762=2,"Medium",M762=3,"High",M762=4,"Very High")</f>
        <v>High</v>
      </c>
      <c r="O762" t="s">
        <v>36</v>
      </c>
      <c r="P762" s="2">
        <v>38</v>
      </c>
      <c r="Q762">
        <v>2</v>
      </c>
      <c r="R762" t="str" cm="1">
        <f t="array" ref="R762">_xlfn.IFS(Q762=1,"Low",Q762=2,"Medium",Q762=3,"High",Q762=4,"Very High")</f>
        <v>Medium</v>
      </c>
      <c r="S762">
        <v>3</v>
      </c>
      <c r="T762" t="str" cm="1">
        <f t="array" ref="T762">_xlfn.IFS(S762=1,"Entry Level",S762=2,"Junior",S762=3,"Mid-Level",S762=4,"Senior",S762=5,"Executive")</f>
        <v>Mid-Level</v>
      </c>
      <c r="U762" t="s">
        <v>37</v>
      </c>
      <c r="V762">
        <v>2</v>
      </c>
      <c r="W762" t="str" cm="1">
        <f t="array" ref="W762">_xlfn.IFS(V762=1,"Low",V762=2,"Medium",V762=3,"High",V762=4,"Very High")</f>
        <v>Medium</v>
      </c>
      <c r="X762" t="s">
        <v>44</v>
      </c>
      <c r="Y762" s="2">
        <v>7525</v>
      </c>
      <c r="Z762" s="2">
        <v>23537</v>
      </c>
      <c r="AA762">
        <v>2</v>
      </c>
      <c r="AB762" t="s">
        <v>39</v>
      </c>
      <c r="AC762">
        <v>12</v>
      </c>
      <c r="AD762">
        <v>3</v>
      </c>
      <c r="AE762" t="str" cm="1">
        <f t="array" ref="AE762">_xlfn.IFS(AD762=1,"Low",AD762=2,"Good",AD762=3,"Excellent",AD762=4,"Outstanding")</f>
        <v>Excellent</v>
      </c>
      <c r="AF762">
        <v>1</v>
      </c>
      <c r="AG762" t="str" cm="1">
        <f t="array" ref="AG762">_xlfn.IFS(AF762=1,"Low",AF762=2,"Medium",AF762=3,"High",AF762=4,"Very High")</f>
        <v>Low</v>
      </c>
      <c r="AH762">
        <v>1</v>
      </c>
      <c r="AI762">
        <v>30</v>
      </c>
      <c r="AJ762">
        <v>2</v>
      </c>
      <c r="AK762">
        <v>3</v>
      </c>
      <c r="AL762" t="str" cm="1">
        <f t="array" ref="AL762">_xlfn.IFS(AK762=1,"Low",AK762=2,"Medium",AK762=3,"High",AK762=4,"Very High")</f>
        <v>High</v>
      </c>
      <c r="AM762">
        <v>15</v>
      </c>
      <c r="AN762">
        <v>7</v>
      </c>
      <c r="AO762">
        <v>6</v>
      </c>
      <c r="AP762">
        <v>12</v>
      </c>
    </row>
    <row r="763" spans="1:42">
      <c r="A763">
        <v>36</v>
      </c>
      <c r="B763" t="str" cm="1">
        <f t="array" ref="B763">_xlfn.IFS(A763&lt;=25,"18-25",A763&lt;=35,"26-35",A763&lt;=45,"36-45",A763&lt;=55,"46-55",A763&gt;55,"56+")</f>
        <v>36-45</v>
      </c>
      <c r="C763" t="s">
        <v>32</v>
      </c>
      <c r="D763" t="s">
        <v>33</v>
      </c>
      <c r="E763" s="2">
        <v>660</v>
      </c>
      <c r="F763" t="s">
        <v>41</v>
      </c>
      <c r="G763">
        <v>15</v>
      </c>
      <c r="H763" t="str">
        <f t="shared" si="11"/>
        <v>11-20 km</v>
      </c>
      <c r="I763">
        <v>3</v>
      </c>
      <c r="J763" t="str" cm="1">
        <f t="array" ref="J763">_xlfn.IFS(I763=1,"Below College",I763=2,"College",I763=3,"Bachelor",I763=4,"Master",I763=5,"Doctor")</f>
        <v>Bachelor</v>
      </c>
      <c r="K763" t="s">
        <v>45</v>
      </c>
      <c r="L763">
        <v>1052</v>
      </c>
      <c r="M763">
        <v>1</v>
      </c>
      <c r="N763" t="str" cm="1">
        <f t="array" ref="N763">_xlfn.IFS(M763=1,"Low",M763=2,"Medium",M763=3,"High",M763=4,"Very High")</f>
        <v>Low</v>
      </c>
      <c r="O763" t="s">
        <v>42</v>
      </c>
      <c r="P763" s="2">
        <v>81</v>
      </c>
      <c r="Q763">
        <v>3</v>
      </c>
      <c r="R763" t="str" cm="1">
        <f t="array" ref="R763">_xlfn.IFS(Q763=1,"Low",Q763=2,"Medium",Q763=3,"High",Q763=4,"Very High")</f>
        <v>High</v>
      </c>
      <c r="S763">
        <v>2</v>
      </c>
      <c r="T763" t="str" cm="1">
        <f t="array" ref="T763">_xlfn.IFS(S763=1,"Entry Level",S763=2,"Junior",S763=3,"Mid-Level",S763=4,"Senior",S763=5,"Executive")</f>
        <v>Junior</v>
      </c>
      <c r="U763" t="s">
        <v>46</v>
      </c>
      <c r="V763">
        <v>3</v>
      </c>
      <c r="W763" t="str" cm="1">
        <f t="array" ref="W763">_xlfn.IFS(V763=1,"Low",V763=2,"Medium",V763=3,"High",V763=4,"Very High")</f>
        <v>High</v>
      </c>
      <c r="X763" t="s">
        <v>48</v>
      </c>
      <c r="Y763" s="2">
        <v>4834</v>
      </c>
      <c r="Z763" s="2">
        <v>7858</v>
      </c>
      <c r="AA763">
        <v>7</v>
      </c>
      <c r="AB763" t="s">
        <v>39</v>
      </c>
      <c r="AC763">
        <v>14</v>
      </c>
      <c r="AD763">
        <v>3</v>
      </c>
      <c r="AE763" t="str" cm="1">
        <f t="array" ref="AE763">_xlfn.IFS(AD763=1,"Low",AD763=2,"Good",AD763=3,"Excellent",AD763=4,"Outstanding")</f>
        <v>Excellent</v>
      </c>
      <c r="AF763">
        <v>2</v>
      </c>
      <c r="AG763" t="str" cm="1">
        <f t="array" ref="AG763">_xlfn.IFS(AF763=1,"Low",AF763=2,"Medium",AF763=3,"High",AF763=4,"Very High")</f>
        <v>Medium</v>
      </c>
      <c r="AH763">
        <v>1</v>
      </c>
      <c r="AI763">
        <v>9</v>
      </c>
      <c r="AJ763">
        <v>3</v>
      </c>
      <c r="AK763">
        <v>2</v>
      </c>
      <c r="AL763" t="str" cm="1">
        <f t="array" ref="AL763">_xlfn.IFS(AK763=1,"Low",AK763=2,"Medium",AK763=3,"High",AK763=4,"Very High")</f>
        <v>Medium</v>
      </c>
      <c r="AM763">
        <v>1</v>
      </c>
      <c r="AN763">
        <v>0</v>
      </c>
      <c r="AO763">
        <v>0</v>
      </c>
      <c r="AP763">
        <v>0</v>
      </c>
    </row>
    <row r="764" spans="1:42">
      <c r="A764">
        <v>26</v>
      </c>
      <c r="B764" t="str" cm="1">
        <f t="array" ref="B764">_xlfn.IFS(A764&lt;=25,"18-25",A764&lt;=35,"26-35",A764&lt;=45,"36-45",A764&lt;=55,"46-55",A764&gt;55,"56+")</f>
        <v>26-35</v>
      </c>
      <c r="C764" t="s">
        <v>32</v>
      </c>
      <c r="D764" t="s">
        <v>40</v>
      </c>
      <c r="E764" s="2">
        <v>342</v>
      </c>
      <c r="F764" t="s">
        <v>41</v>
      </c>
      <c r="G764">
        <v>2</v>
      </c>
      <c r="H764" t="str">
        <f t="shared" si="11"/>
        <v>1-10 km</v>
      </c>
      <c r="I764">
        <v>3</v>
      </c>
      <c r="J764" t="str" cm="1">
        <f t="array" ref="J764">_xlfn.IFS(I764=1,"Below College",I764=2,"College",I764=3,"Bachelor",I764=4,"Master",I764=5,"Doctor")</f>
        <v>Bachelor</v>
      </c>
      <c r="K764" t="s">
        <v>35</v>
      </c>
      <c r="L764">
        <v>1053</v>
      </c>
      <c r="M764">
        <v>1</v>
      </c>
      <c r="N764" t="str" cm="1">
        <f t="array" ref="N764">_xlfn.IFS(M764=1,"Low",M764=2,"Medium",M764=3,"High",M764=4,"Very High")</f>
        <v>Low</v>
      </c>
      <c r="O764" t="s">
        <v>42</v>
      </c>
      <c r="P764" s="2">
        <v>57</v>
      </c>
      <c r="Q764">
        <v>3</v>
      </c>
      <c r="R764" t="str" cm="1">
        <f t="array" ref="R764">_xlfn.IFS(Q764=1,"Low",Q764=2,"Medium",Q764=3,"High",Q764=4,"Very High")</f>
        <v>High</v>
      </c>
      <c r="S764">
        <v>1</v>
      </c>
      <c r="T764" t="str" cm="1">
        <f t="array" ref="T764">_xlfn.IFS(S764=1,"Entry Level",S764=2,"Junior",S764=3,"Mid-Level",S764=4,"Senior",S764=5,"Executive")</f>
        <v>Entry Level</v>
      </c>
      <c r="U764" t="s">
        <v>43</v>
      </c>
      <c r="V764">
        <v>1</v>
      </c>
      <c r="W764" t="str" cm="1">
        <f t="array" ref="W764">_xlfn.IFS(V764=1,"Low",V764=2,"Medium",V764=3,"High",V764=4,"Very High")</f>
        <v>Low</v>
      </c>
      <c r="X764" t="s">
        <v>44</v>
      </c>
      <c r="Y764" s="2">
        <v>2042</v>
      </c>
      <c r="Z764" s="2">
        <v>15346</v>
      </c>
      <c r="AA764">
        <v>6</v>
      </c>
      <c r="AB764" t="s">
        <v>32</v>
      </c>
      <c r="AC764">
        <v>14</v>
      </c>
      <c r="AD764">
        <v>3</v>
      </c>
      <c r="AE764" t="str" cm="1">
        <f t="array" ref="AE764">_xlfn.IFS(AD764=1,"Low",AD764=2,"Good",AD764=3,"Excellent",AD764=4,"Outstanding")</f>
        <v>Excellent</v>
      </c>
      <c r="AF764">
        <v>2</v>
      </c>
      <c r="AG764" t="str" cm="1">
        <f t="array" ref="AG764">_xlfn.IFS(AF764=1,"Low",AF764=2,"Medium",AF764=3,"High",AF764=4,"Very High")</f>
        <v>Medium</v>
      </c>
      <c r="AH764">
        <v>1</v>
      </c>
      <c r="AI764">
        <v>6</v>
      </c>
      <c r="AJ764">
        <v>2</v>
      </c>
      <c r="AK764">
        <v>3</v>
      </c>
      <c r="AL764" t="str" cm="1">
        <f t="array" ref="AL764">_xlfn.IFS(AK764=1,"Low",AK764=2,"Medium",AK764=3,"High",AK764=4,"Very High")</f>
        <v>High</v>
      </c>
      <c r="AM764">
        <v>3</v>
      </c>
      <c r="AN764">
        <v>2</v>
      </c>
      <c r="AO764">
        <v>1</v>
      </c>
      <c r="AP764">
        <v>2</v>
      </c>
    </row>
    <row r="765" spans="1:42">
      <c r="A765">
        <v>34</v>
      </c>
      <c r="B765" t="str" cm="1">
        <f t="array" ref="B765">_xlfn.IFS(A765&lt;=25,"18-25",A765&lt;=35,"26-35",A765&lt;=45,"36-45",A765&lt;=55,"46-55",A765&gt;55,"56+")</f>
        <v>26-35</v>
      </c>
      <c r="C765" t="s">
        <v>39</v>
      </c>
      <c r="D765" t="s">
        <v>33</v>
      </c>
      <c r="E765" s="2">
        <v>1333</v>
      </c>
      <c r="F765" t="s">
        <v>34</v>
      </c>
      <c r="G765">
        <v>10</v>
      </c>
      <c r="H765" t="str">
        <f t="shared" si="11"/>
        <v>1-10 km</v>
      </c>
      <c r="I765">
        <v>4</v>
      </c>
      <c r="J765" t="str" cm="1">
        <f t="array" ref="J765">_xlfn.IFS(I765=1,"Below College",I765=2,"College",I765=3,"Bachelor",I765=4,"Master",I765=5,"Doctor")</f>
        <v>Master</v>
      </c>
      <c r="K765" t="s">
        <v>35</v>
      </c>
      <c r="L765">
        <v>1055</v>
      </c>
      <c r="M765">
        <v>3</v>
      </c>
      <c r="N765" t="str" cm="1">
        <f t="array" ref="N765">_xlfn.IFS(M765=1,"Low",M765=2,"Medium",M765=3,"High",M765=4,"Very High")</f>
        <v>High</v>
      </c>
      <c r="O765" t="s">
        <v>36</v>
      </c>
      <c r="P765" s="2">
        <v>87</v>
      </c>
      <c r="Q765">
        <v>3</v>
      </c>
      <c r="R765" t="str" cm="1">
        <f t="array" ref="R765">_xlfn.IFS(Q765=1,"Low",Q765=2,"Medium",Q765=3,"High",Q765=4,"Very High")</f>
        <v>High</v>
      </c>
      <c r="S765">
        <v>1</v>
      </c>
      <c r="T765" t="str" cm="1">
        <f t="array" ref="T765">_xlfn.IFS(S765=1,"Entry Level",S765=2,"Junior",S765=3,"Mid-Level",S765=4,"Senior",S765=5,"Executive")</f>
        <v>Entry Level</v>
      </c>
      <c r="U765" t="s">
        <v>53</v>
      </c>
      <c r="V765">
        <v>3</v>
      </c>
      <c r="W765" t="str" cm="1">
        <f t="array" ref="W765">_xlfn.IFS(V765=1,"Low",V765=2,"Medium",V765=3,"High",V765=4,"Very High")</f>
        <v>High</v>
      </c>
      <c r="X765" t="s">
        <v>44</v>
      </c>
      <c r="Y765" s="2">
        <v>2220</v>
      </c>
      <c r="Z765" s="2">
        <v>18410</v>
      </c>
      <c r="AA765">
        <v>1</v>
      </c>
      <c r="AB765" t="s">
        <v>32</v>
      </c>
      <c r="AC765">
        <v>19</v>
      </c>
      <c r="AD765">
        <v>3</v>
      </c>
      <c r="AE765" t="str" cm="1">
        <f t="array" ref="AE765">_xlfn.IFS(AD765=1,"Low",AD765=2,"Good",AD765=3,"Excellent",AD765=4,"Outstanding")</f>
        <v>Excellent</v>
      </c>
      <c r="AF765">
        <v>4</v>
      </c>
      <c r="AG765" t="str" cm="1">
        <f t="array" ref="AG765">_xlfn.IFS(AF765=1,"Low",AF765=2,"Medium",AF765=3,"High",AF765=4,"Very High")</f>
        <v>Very High</v>
      </c>
      <c r="AH765">
        <v>1</v>
      </c>
      <c r="AI765">
        <v>1</v>
      </c>
      <c r="AJ765">
        <v>2</v>
      </c>
      <c r="AK765">
        <v>3</v>
      </c>
      <c r="AL765" t="str" cm="1">
        <f t="array" ref="AL765">_xlfn.IFS(AK765=1,"Low",AK765=2,"Medium",AK765=3,"High",AK765=4,"Very High")</f>
        <v>High</v>
      </c>
      <c r="AM765">
        <v>1</v>
      </c>
      <c r="AN765">
        <v>1</v>
      </c>
      <c r="AO765">
        <v>0</v>
      </c>
      <c r="AP765">
        <v>0</v>
      </c>
    </row>
    <row r="766" spans="1:42">
      <c r="A766">
        <v>28</v>
      </c>
      <c r="B766" t="str" cm="1">
        <f t="array" ref="B766">_xlfn.IFS(A766&lt;=25,"18-25",A766&lt;=35,"26-35",A766&lt;=45,"36-45",A766&lt;=55,"46-55",A766&gt;55,"56+")</f>
        <v>26-35</v>
      </c>
      <c r="C766" t="s">
        <v>39</v>
      </c>
      <c r="D766" t="s">
        <v>33</v>
      </c>
      <c r="E766" s="2">
        <v>1144</v>
      </c>
      <c r="F766" t="s">
        <v>34</v>
      </c>
      <c r="G766">
        <v>10</v>
      </c>
      <c r="H766" t="str">
        <f t="shared" si="11"/>
        <v>1-10 km</v>
      </c>
      <c r="I766">
        <v>1</v>
      </c>
      <c r="J766" t="str" cm="1">
        <f t="array" ref="J766">_xlfn.IFS(I766=1,"Below College",I766=2,"College",I766=3,"Bachelor",I766=4,"Master",I766=5,"Doctor")</f>
        <v>Below College</v>
      </c>
      <c r="K766" t="s">
        <v>47</v>
      </c>
      <c r="L766">
        <v>1056</v>
      </c>
      <c r="M766">
        <v>4</v>
      </c>
      <c r="N766" t="str" cm="1">
        <f t="array" ref="N766">_xlfn.IFS(M766=1,"Low",M766=2,"Medium",M766=3,"High",M766=4,"Very High")</f>
        <v>Very High</v>
      </c>
      <c r="O766" t="s">
        <v>42</v>
      </c>
      <c r="P766" s="2">
        <v>74</v>
      </c>
      <c r="Q766">
        <v>3</v>
      </c>
      <c r="R766" t="str" cm="1">
        <f t="array" ref="R766">_xlfn.IFS(Q766=1,"Low",Q766=2,"Medium",Q766=3,"High",Q766=4,"Very High")</f>
        <v>High</v>
      </c>
      <c r="S766">
        <v>1</v>
      </c>
      <c r="T766" t="str" cm="1">
        <f t="array" ref="T766">_xlfn.IFS(S766=1,"Entry Level",S766=2,"Junior",S766=3,"Mid-Level",S766=4,"Senior",S766=5,"Executive")</f>
        <v>Entry Level</v>
      </c>
      <c r="U766" t="s">
        <v>53</v>
      </c>
      <c r="V766">
        <v>2</v>
      </c>
      <c r="W766" t="str" cm="1">
        <f t="array" ref="W766">_xlfn.IFS(V766=1,"Low",V766=2,"Medium",V766=3,"High",V766=4,"Very High")</f>
        <v>Medium</v>
      </c>
      <c r="X766" t="s">
        <v>44</v>
      </c>
      <c r="Y766" s="2">
        <v>1052</v>
      </c>
      <c r="Z766" s="2">
        <v>23384</v>
      </c>
      <c r="AA766">
        <v>1</v>
      </c>
      <c r="AB766" t="s">
        <v>39</v>
      </c>
      <c r="AC766">
        <v>22</v>
      </c>
      <c r="AD766">
        <v>4</v>
      </c>
      <c r="AE766" t="str" cm="1">
        <f t="array" ref="AE766">_xlfn.IFS(AD766=1,"Low",AD766=2,"Good",AD766=3,"Excellent",AD766=4,"Outstanding")</f>
        <v>Outstanding</v>
      </c>
      <c r="AF766">
        <v>2</v>
      </c>
      <c r="AG766" t="str" cm="1">
        <f t="array" ref="AG766">_xlfn.IFS(AF766=1,"Low",AF766=2,"Medium",AF766=3,"High",AF766=4,"Very High")</f>
        <v>Medium</v>
      </c>
      <c r="AH766">
        <v>0</v>
      </c>
      <c r="AI766">
        <v>1</v>
      </c>
      <c r="AJ766">
        <v>5</v>
      </c>
      <c r="AK766">
        <v>3</v>
      </c>
      <c r="AL766" t="str" cm="1">
        <f t="array" ref="AL766">_xlfn.IFS(AK766=1,"Low",AK766=2,"Medium",AK766=3,"High",AK766=4,"Very High")</f>
        <v>High</v>
      </c>
      <c r="AM766">
        <v>1</v>
      </c>
      <c r="AN766">
        <v>0</v>
      </c>
      <c r="AO766">
        <v>0</v>
      </c>
      <c r="AP766">
        <v>0</v>
      </c>
    </row>
    <row r="767" spans="1:42">
      <c r="A767">
        <v>38</v>
      </c>
      <c r="B767" t="str" cm="1">
        <f t="array" ref="B767">_xlfn.IFS(A767&lt;=25,"18-25",A767&lt;=35,"26-35",A767&lt;=45,"36-45",A767&lt;=55,"46-55",A767&gt;55,"56+")</f>
        <v>36-45</v>
      </c>
      <c r="C767" t="s">
        <v>39</v>
      </c>
      <c r="D767" t="s">
        <v>40</v>
      </c>
      <c r="E767" s="2">
        <v>1186</v>
      </c>
      <c r="F767" t="s">
        <v>41</v>
      </c>
      <c r="G767">
        <v>3</v>
      </c>
      <c r="H767" t="str">
        <f t="shared" si="11"/>
        <v>1-10 km</v>
      </c>
      <c r="I767">
        <v>4</v>
      </c>
      <c r="J767" t="str" cm="1">
        <f t="array" ref="J767">_xlfn.IFS(I767=1,"Below College",I767=2,"College",I767=3,"Bachelor",I767=4,"Master",I767=5,"Doctor")</f>
        <v>Master</v>
      </c>
      <c r="K767" t="s">
        <v>45</v>
      </c>
      <c r="L767">
        <v>1060</v>
      </c>
      <c r="M767">
        <v>3</v>
      </c>
      <c r="N767" t="str" cm="1">
        <f t="array" ref="N767">_xlfn.IFS(M767=1,"Low",M767=2,"Medium",M767=3,"High",M767=4,"Very High")</f>
        <v>High</v>
      </c>
      <c r="O767" t="s">
        <v>42</v>
      </c>
      <c r="P767" s="2">
        <v>44</v>
      </c>
      <c r="Q767">
        <v>3</v>
      </c>
      <c r="R767" t="str" cm="1">
        <f t="array" ref="R767">_xlfn.IFS(Q767=1,"Low",Q767=2,"Medium",Q767=3,"High",Q767=4,"Very High")</f>
        <v>High</v>
      </c>
      <c r="S767">
        <v>1</v>
      </c>
      <c r="T767" t="str" cm="1">
        <f t="array" ref="T767">_xlfn.IFS(S767=1,"Entry Level",S767=2,"Junior",S767=3,"Mid-Level",S767=4,"Senior",S767=5,"Executive")</f>
        <v>Entry Level</v>
      </c>
      <c r="U767" t="s">
        <v>43</v>
      </c>
      <c r="V767">
        <v>3</v>
      </c>
      <c r="W767" t="str" cm="1">
        <f t="array" ref="W767">_xlfn.IFS(V767=1,"Low",V767=2,"Medium",V767=3,"High",V767=4,"Very High")</f>
        <v>High</v>
      </c>
      <c r="X767" t="s">
        <v>44</v>
      </c>
      <c r="Y767" s="2">
        <v>2821</v>
      </c>
      <c r="Z767" s="2">
        <v>2997</v>
      </c>
      <c r="AA767">
        <v>3</v>
      </c>
      <c r="AB767" t="s">
        <v>39</v>
      </c>
      <c r="AC767">
        <v>16</v>
      </c>
      <c r="AD767">
        <v>3</v>
      </c>
      <c r="AE767" t="str" cm="1">
        <f t="array" ref="AE767">_xlfn.IFS(AD767=1,"Low",AD767=2,"Good",AD767=3,"Excellent",AD767=4,"Outstanding")</f>
        <v>Excellent</v>
      </c>
      <c r="AF767">
        <v>1</v>
      </c>
      <c r="AG767" t="str" cm="1">
        <f t="array" ref="AG767">_xlfn.IFS(AF767=1,"Low",AF767=2,"Medium",AF767=3,"High",AF767=4,"Very High")</f>
        <v>Low</v>
      </c>
      <c r="AH767">
        <v>1</v>
      </c>
      <c r="AI767">
        <v>8</v>
      </c>
      <c r="AJ767">
        <v>2</v>
      </c>
      <c r="AK767">
        <v>3</v>
      </c>
      <c r="AL767" t="str" cm="1">
        <f t="array" ref="AL767">_xlfn.IFS(AK767=1,"Low",AK767=2,"Medium",AK767=3,"High",AK767=4,"Very High")</f>
        <v>High</v>
      </c>
      <c r="AM767">
        <v>2</v>
      </c>
      <c r="AN767">
        <v>2</v>
      </c>
      <c r="AO767">
        <v>2</v>
      </c>
      <c r="AP767">
        <v>2</v>
      </c>
    </row>
    <row r="768" spans="1:42">
      <c r="A768">
        <v>50</v>
      </c>
      <c r="B768" t="str" cm="1">
        <f t="array" ref="B768">_xlfn.IFS(A768&lt;=25,"18-25",A768&lt;=35,"26-35",A768&lt;=45,"36-45",A768&lt;=55,"46-55",A768&gt;55,"56+")</f>
        <v>46-55</v>
      </c>
      <c r="C768" t="s">
        <v>39</v>
      </c>
      <c r="D768" t="s">
        <v>33</v>
      </c>
      <c r="E768" s="2">
        <v>1464</v>
      </c>
      <c r="F768" t="s">
        <v>41</v>
      </c>
      <c r="G768">
        <v>2</v>
      </c>
      <c r="H768" t="str">
        <f t="shared" si="11"/>
        <v>1-10 km</v>
      </c>
      <c r="I768">
        <v>4</v>
      </c>
      <c r="J768" t="str" cm="1">
        <f t="array" ref="J768">_xlfn.IFS(I768=1,"Below College",I768=2,"College",I768=3,"Bachelor",I768=4,"Master",I768=5,"Doctor")</f>
        <v>Master</v>
      </c>
      <c r="K768" t="s">
        <v>47</v>
      </c>
      <c r="L768">
        <v>1061</v>
      </c>
      <c r="M768">
        <v>2</v>
      </c>
      <c r="N768" t="str" cm="1">
        <f t="array" ref="N768">_xlfn.IFS(M768=1,"Low",M768=2,"Medium",M768=3,"High",M768=4,"Very High")</f>
        <v>Medium</v>
      </c>
      <c r="O768" t="s">
        <v>42</v>
      </c>
      <c r="P768" s="2">
        <v>62</v>
      </c>
      <c r="Q768">
        <v>3</v>
      </c>
      <c r="R768" t="str" cm="1">
        <f t="array" ref="R768">_xlfn.IFS(Q768=1,"Low",Q768=2,"Medium",Q768=3,"High",Q768=4,"Very High")</f>
        <v>High</v>
      </c>
      <c r="S768">
        <v>5</v>
      </c>
      <c r="T768" t="str" cm="1">
        <f t="array" ref="T768">_xlfn.IFS(S768=1,"Entry Level",S768=2,"Junior",S768=3,"Mid-Level",S768=4,"Senior",S768=5,"Executive")</f>
        <v>Executive</v>
      </c>
      <c r="U768" t="s">
        <v>54</v>
      </c>
      <c r="V768">
        <v>3</v>
      </c>
      <c r="W768" t="str" cm="1">
        <f t="array" ref="W768">_xlfn.IFS(V768=1,"Low",V768=2,"Medium",V768=3,"High",V768=4,"Very High")</f>
        <v>High</v>
      </c>
      <c r="X768" t="s">
        <v>44</v>
      </c>
      <c r="Y768" s="2">
        <v>19237</v>
      </c>
      <c r="Z768" s="2">
        <v>12853</v>
      </c>
      <c r="AA768">
        <v>2</v>
      </c>
      <c r="AB768" t="s">
        <v>32</v>
      </c>
      <c r="AC768">
        <v>11</v>
      </c>
      <c r="AD768">
        <v>3</v>
      </c>
      <c r="AE768" t="str" cm="1">
        <f t="array" ref="AE768">_xlfn.IFS(AD768=1,"Low",AD768=2,"Good",AD768=3,"Excellent",AD768=4,"Outstanding")</f>
        <v>Excellent</v>
      </c>
      <c r="AF768">
        <v>4</v>
      </c>
      <c r="AG768" t="str" cm="1">
        <f t="array" ref="AG768">_xlfn.IFS(AF768=1,"Low",AF768=2,"Medium",AF768=3,"High",AF768=4,"Very High")</f>
        <v>Very High</v>
      </c>
      <c r="AH768">
        <v>1</v>
      </c>
      <c r="AI768">
        <v>29</v>
      </c>
      <c r="AJ768">
        <v>2</v>
      </c>
      <c r="AK768">
        <v>2</v>
      </c>
      <c r="AL768" t="str" cm="1">
        <f t="array" ref="AL768">_xlfn.IFS(AK768=1,"Low",AK768=2,"Medium",AK768=3,"High",AK768=4,"Very High")</f>
        <v>Medium</v>
      </c>
      <c r="AM768">
        <v>8</v>
      </c>
      <c r="AN768">
        <v>1</v>
      </c>
      <c r="AO768">
        <v>7</v>
      </c>
      <c r="AP768">
        <v>7</v>
      </c>
    </row>
    <row r="769" spans="1:42">
      <c r="A769">
        <v>37</v>
      </c>
      <c r="B769" t="str" cm="1">
        <f t="array" ref="B769">_xlfn.IFS(A769&lt;=25,"18-25",A769&lt;=35,"26-35",A769&lt;=45,"36-45",A769&lt;=55,"46-55",A769&gt;55,"56+")</f>
        <v>36-45</v>
      </c>
      <c r="C769" t="s">
        <v>39</v>
      </c>
      <c r="D769" t="s">
        <v>33</v>
      </c>
      <c r="E769" s="2">
        <v>124</v>
      </c>
      <c r="F769" t="s">
        <v>41</v>
      </c>
      <c r="G769">
        <v>3</v>
      </c>
      <c r="H769" t="str">
        <f t="shared" si="11"/>
        <v>1-10 km</v>
      </c>
      <c r="I769">
        <v>3</v>
      </c>
      <c r="J769" t="str" cm="1">
        <f t="array" ref="J769">_xlfn.IFS(I769=1,"Below College",I769=2,"College",I769=3,"Bachelor",I769=4,"Master",I769=5,"Doctor")</f>
        <v>Bachelor</v>
      </c>
      <c r="K769" t="s">
        <v>45</v>
      </c>
      <c r="L769">
        <v>1062</v>
      </c>
      <c r="M769">
        <v>4</v>
      </c>
      <c r="N769" t="str" cm="1">
        <f t="array" ref="N769">_xlfn.IFS(M769=1,"Low",M769=2,"Medium",M769=3,"High",M769=4,"Very High")</f>
        <v>Very High</v>
      </c>
      <c r="O769" t="s">
        <v>36</v>
      </c>
      <c r="P769" s="2">
        <v>35</v>
      </c>
      <c r="Q769">
        <v>3</v>
      </c>
      <c r="R769" t="str" cm="1">
        <f t="array" ref="R769">_xlfn.IFS(Q769=1,"Low",Q769=2,"Medium",Q769=3,"High",Q769=4,"Very High")</f>
        <v>High</v>
      </c>
      <c r="S769">
        <v>2</v>
      </c>
      <c r="T769" t="str" cm="1">
        <f t="array" ref="T769">_xlfn.IFS(S769=1,"Entry Level",S769=2,"Junior",S769=3,"Mid-Level",S769=4,"Senior",S769=5,"Executive")</f>
        <v>Junior</v>
      </c>
      <c r="U769" t="s">
        <v>50</v>
      </c>
      <c r="V769">
        <v>2</v>
      </c>
      <c r="W769" t="str" cm="1">
        <f t="array" ref="W769">_xlfn.IFS(V769=1,"Low",V769=2,"Medium",V769=3,"High",V769=4,"Very High")</f>
        <v>Medium</v>
      </c>
      <c r="X769" t="s">
        <v>38</v>
      </c>
      <c r="Y769" s="2">
        <v>4107</v>
      </c>
      <c r="Z769" s="2">
        <v>13848</v>
      </c>
      <c r="AA769">
        <v>3</v>
      </c>
      <c r="AB769" t="s">
        <v>39</v>
      </c>
      <c r="AC769">
        <v>15</v>
      </c>
      <c r="AD769">
        <v>3</v>
      </c>
      <c r="AE769" t="str" cm="1">
        <f t="array" ref="AE769">_xlfn.IFS(AD769=1,"Low",AD769=2,"Good",AD769=3,"Excellent",AD769=4,"Outstanding")</f>
        <v>Excellent</v>
      </c>
      <c r="AF769">
        <v>1</v>
      </c>
      <c r="AG769" t="str" cm="1">
        <f t="array" ref="AG769">_xlfn.IFS(AF769=1,"Low",AF769=2,"Medium",AF769=3,"High",AF769=4,"Very High")</f>
        <v>Low</v>
      </c>
      <c r="AH769">
        <v>0</v>
      </c>
      <c r="AI769">
        <v>8</v>
      </c>
      <c r="AJ769">
        <v>3</v>
      </c>
      <c r="AK769">
        <v>2</v>
      </c>
      <c r="AL769" t="str" cm="1">
        <f t="array" ref="AL769">_xlfn.IFS(AK769=1,"Low",AK769=2,"Medium",AK769=3,"High",AK769=4,"Very High")</f>
        <v>Medium</v>
      </c>
      <c r="AM769">
        <v>4</v>
      </c>
      <c r="AN769">
        <v>3</v>
      </c>
      <c r="AO769">
        <v>0</v>
      </c>
      <c r="AP769">
        <v>1</v>
      </c>
    </row>
    <row r="770" spans="1:42">
      <c r="A770">
        <v>40</v>
      </c>
      <c r="B770" t="str" cm="1">
        <f t="array" ref="B770">_xlfn.IFS(A770&lt;=25,"18-25",A770&lt;=35,"26-35",A770&lt;=45,"36-45",A770&lt;=55,"46-55",A770&gt;55,"56+")</f>
        <v>36-45</v>
      </c>
      <c r="C770" t="s">
        <v>39</v>
      </c>
      <c r="D770" t="s">
        <v>33</v>
      </c>
      <c r="E770" s="2">
        <v>300</v>
      </c>
      <c r="F770" t="s">
        <v>34</v>
      </c>
      <c r="G770">
        <v>26</v>
      </c>
      <c r="H770" t="str">
        <f t="shared" si="11"/>
        <v>21-30 km</v>
      </c>
      <c r="I770">
        <v>3</v>
      </c>
      <c r="J770" t="str" cm="1">
        <f t="array" ref="J770">_xlfn.IFS(I770=1,"Below College",I770=2,"College",I770=3,"Bachelor",I770=4,"Master",I770=5,"Doctor")</f>
        <v>Bachelor</v>
      </c>
      <c r="K770" t="s">
        <v>55</v>
      </c>
      <c r="L770">
        <v>1066</v>
      </c>
      <c r="M770">
        <v>3</v>
      </c>
      <c r="N770" t="str" cm="1">
        <f t="array" ref="N770">_xlfn.IFS(M770=1,"Low",M770=2,"Medium",M770=3,"High",M770=4,"Very High")</f>
        <v>High</v>
      </c>
      <c r="O770" t="s">
        <v>42</v>
      </c>
      <c r="P770" s="2">
        <v>74</v>
      </c>
      <c r="Q770">
        <v>3</v>
      </c>
      <c r="R770" t="str" cm="1">
        <f t="array" ref="R770">_xlfn.IFS(Q770=1,"Low",Q770=2,"Medium",Q770=3,"High",Q770=4,"Very High")</f>
        <v>High</v>
      </c>
      <c r="S770">
        <v>2</v>
      </c>
      <c r="T770" t="str" cm="1">
        <f t="array" ref="T770">_xlfn.IFS(S770=1,"Entry Level",S770=2,"Junior",S770=3,"Mid-Level",S770=4,"Senior",S770=5,"Executive")</f>
        <v>Junior</v>
      </c>
      <c r="U770" t="s">
        <v>37</v>
      </c>
      <c r="V770">
        <v>1</v>
      </c>
      <c r="W770" t="str" cm="1">
        <f t="array" ref="W770">_xlfn.IFS(V770=1,"Low",V770=2,"Medium",V770=3,"High",V770=4,"Very High")</f>
        <v>Low</v>
      </c>
      <c r="X770" t="s">
        <v>44</v>
      </c>
      <c r="Y770" s="2">
        <v>8396</v>
      </c>
      <c r="Z770" s="2">
        <v>22217</v>
      </c>
      <c r="AA770">
        <v>1</v>
      </c>
      <c r="AB770" t="s">
        <v>39</v>
      </c>
      <c r="AC770">
        <v>14</v>
      </c>
      <c r="AD770">
        <v>3</v>
      </c>
      <c r="AE770" t="str" cm="1">
        <f t="array" ref="AE770">_xlfn.IFS(AD770=1,"Low",AD770=2,"Good",AD770=3,"Excellent",AD770=4,"Outstanding")</f>
        <v>Excellent</v>
      </c>
      <c r="AF770">
        <v>2</v>
      </c>
      <c r="AG770" t="str" cm="1">
        <f t="array" ref="AG770">_xlfn.IFS(AF770=1,"Low",AF770=2,"Medium",AF770=3,"High",AF770=4,"Very High")</f>
        <v>Medium</v>
      </c>
      <c r="AH770">
        <v>1</v>
      </c>
      <c r="AI770">
        <v>8</v>
      </c>
      <c r="AJ770">
        <v>3</v>
      </c>
      <c r="AK770">
        <v>2</v>
      </c>
      <c r="AL770" t="str" cm="1">
        <f t="array" ref="AL770">_xlfn.IFS(AK770=1,"Low",AK770=2,"Medium",AK770=3,"High",AK770=4,"Very High")</f>
        <v>Medium</v>
      </c>
      <c r="AM770">
        <v>7</v>
      </c>
      <c r="AN770">
        <v>7</v>
      </c>
      <c r="AO770">
        <v>7</v>
      </c>
      <c r="AP770">
        <v>5</v>
      </c>
    </row>
    <row r="771" spans="1:42">
      <c r="A771">
        <v>26</v>
      </c>
      <c r="B771" t="str" cm="1">
        <f t="array" ref="B771">_xlfn.IFS(A771&lt;=25,"18-25",A771&lt;=35,"26-35",A771&lt;=45,"36-45",A771&lt;=55,"46-55",A771&gt;55,"56+")</f>
        <v>26-35</v>
      </c>
      <c r="C771" t="s">
        <v>39</v>
      </c>
      <c r="D771" t="s">
        <v>40</v>
      </c>
      <c r="E771" s="2">
        <v>921</v>
      </c>
      <c r="F771" t="s">
        <v>41</v>
      </c>
      <c r="G771">
        <v>1</v>
      </c>
      <c r="H771" t="str">
        <f t="shared" ref="H771:H834" si="12">IF(G771&lt;=10,"1-10 km",IF(G771&lt;=20,"11-20 km",IF(G771&lt;=30,"21-30 km","31+ km")))</f>
        <v>1-10 km</v>
      </c>
      <c r="I771">
        <v>1</v>
      </c>
      <c r="J771" t="str" cm="1">
        <f t="array" ref="J771">_xlfn.IFS(I771=1,"Below College",I771=2,"College",I771=3,"Bachelor",I771=4,"Master",I771=5,"Doctor")</f>
        <v>Below College</v>
      </c>
      <c r="K771" t="s">
        <v>47</v>
      </c>
      <c r="L771">
        <v>1068</v>
      </c>
      <c r="M771">
        <v>1</v>
      </c>
      <c r="N771" t="str" cm="1">
        <f t="array" ref="N771">_xlfn.IFS(M771=1,"Low",M771=2,"Medium",M771=3,"High",M771=4,"Very High")</f>
        <v>Low</v>
      </c>
      <c r="O771" t="s">
        <v>36</v>
      </c>
      <c r="P771" s="2">
        <v>66</v>
      </c>
      <c r="Q771">
        <v>2</v>
      </c>
      <c r="R771" t="str" cm="1">
        <f t="array" ref="R771">_xlfn.IFS(Q771=1,"Low",Q771=2,"Medium",Q771=3,"High",Q771=4,"Very High")</f>
        <v>Medium</v>
      </c>
      <c r="S771">
        <v>1</v>
      </c>
      <c r="T771" t="str" cm="1">
        <f t="array" ref="T771">_xlfn.IFS(S771=1,"Entry Level",S771=2,"Junior",S771=3,"Mid-Level",S771=4,"Senior",S771=5,"Executive")</f>
        <v>Entry Level</v>
      </c>
      <c r="U771" t="s">
        <v>43</v>
      </c>
      <c r="V771">
        <v>3</v>
      </c>
      <c r="W771" t="str" cm="1">
        <f t="array" ref="W771">_xlfn.IFS(V771=1,"Low",V771=2,"Medium",V771=3,"High",V771=4,"Very High")</f>
        <v>High</v>
      </c>
      <c r="X771" t="s">
        <v>48</v>
      </c>
      <c r="Y771" s="2">
        <v>2007</v>
      </c>
      <c r="Z771" s="2">
        <v>25265</v>
      </c>
      <c r="AA771">
        <v>1</v>
      </c>
      <c r="AB771" t="s">
        <v>39</v>
      </c>
      <c r="AC771">
        <v>13</v>
      </c>
      <c r="AD771">
        <v>3</v>
      </c>
      <c r="AE771" t="str" cm="1">
        <f t="array" ref="AE771">_xlfn.IFS(AD771=1,"Low",AD771=2,"Good",AD771=3,"Excellent",AD771=4,"Outstanding")</f>
        <v>Excellent</v>
      </c>
      <c r="AF771">
        <v>3</v>
      </c>
      <c r="AG771" t="str" cm="1">
        <f t="array" ref="AG771">_xlfn.IFS(AF771=1,"Low",AF771=2,"Medium",AF771=3,"High",AF771=4,"Very High")</f>
        <v>High</v>
      </c>
      <c r="AH771">
        <v>2</v>
      </c>
      <c r="AI771">
        <v>5</v>
      </c>
      <c r="AJ771">
        <v>5</v>
      </c>
      <c r="AK771">
        <v>3</v>
      </c>
      <c r="AL771" t="str" cm="1">
        <f t="array" ref="AL771">_xlfn.IFS(AK771=1,"Low",AK771=2,"Medium",AK771=3,"High",AK771=4,"Very High")</f>
        <v>High</v>
      </c>
      <c r="AM771">
        <v>5</v>
      </c>
      <c r="AN771">
        <v>3</v>
      </c>
      <c r="AO771">
        <v>1</v>
      </c>
      <c r="AP771">
        <v>3</v>
      </c>
    </row>
    <row r="772" spans="1:42">
      <c r="A772">
        <v>46</v>
      </c>
      <c r="B772" t="str" cm="1">
        <f t="array" ref="B772">_xlfn.IFS(A772&lt;=25,"18-25",A772&lt;=35,"26-35",A772&lt;=45,"36-45",A772&lt;=55,"46-55",A772&gt;55,"56+")</f>
        <v>46-55</v>
      </c>
      <c r="C772" t="s">
        <v>39</v>
      </c>
      <c r="D772" t="s">
        <v>33</v>
      </c>
      <c r="E772" s="2">
        <v>430</v>
      </c>
      <c r="F772" t="s">
        <v>41</v>
      </c>
      <c r="G772">
        <v>1</v>
      </c>
      <c r="H772" t="str">
        <f t="shared" si="12"/>
        <v>1-10 km</v>
      </c>
      <c r="I772">
        <v>4</v>
      </c>
      <c r="J772" t="str" cm="1">
        <f t="array" ref="J772">_xlfn.IFS(I772=1,"Below College",I772=2,"College",I772=3,"Bachelor",I772=4,"Master",I772=5,"Doctor")</f>
        <v>Master</v>
      </c>
      <c r="K772" t="s">
        <v>47</v>
      </c>
      <c r="L772">
        <v>1069</v>
      </c>
      <c r="M772">
        <v>4</v>
      </c>
      <c r="N772" t="str" cm="1">
        <f t="array" ref="N772">_xlfn.IFS(M772=1,"Low",M772=2,"Medium",M772=3,"High",M772=4,"Very High")</f>
        <v>Very High</v>
      </c>
      <c r="O772" t="s">
        <v>42</v>
      </c>
      <c r="P772" s="2">
        <v>40</v>
      </c>
      <c r="Q772">
        <v>3</v>
      </c>
      <c r="R772" t="str" cm="1">
        <f t="array" ref="R772">_xlfn.IFS(Q772=1,"Low",Q772=2,"Medium",Q772=3,"High",Q772=4,"Very High")</f>
        <v>High</v>
      </c>
      <c r="S772">
        <v>5</v>
      </c>
      <c r="T772" t="str" cm="1">
        <f t="array" ref="T772">_xlfn.IFS(S772=1,"Entry Level",S772=2,"Junior",S772=3,"Mid-Level",S772=4,"Senior",S772=5,"Executive")</f>
        <v>Executive</v>
      </c>
      <c r="U772" t="s">
        <v>54</v>
      </c>
      <c r="V772">
        <v>4</v>
      </c>
      <c r="W772" t="str" cm="1">
        <f t="array" ref="W772">_xlfn.IFS(V772=1,"Low",V772=2,"Medium",V772=3,"High",V772=4,"Very High")</f>
        <v>Very High</v>
      </c>
      <c r="X772" t="s">
        <v>48</v>
      </c>
      <c r="Y772" s="2">
        <v>19627</v>
      </c>
      <c r="Z772" s="2">
        <v>21445</v>
      </c>
      <c r="AA772">
        <v>9</v>
      </c>
      <c r="AB772" t="s">
        <v>39</v>
      </c>
      <c r="AC772">
        <v>17</v>
      </c>
      <c r="AD772">
        <v>3</v>
      </c>
      <c r="AE772" t="str" cm="1">
        <f t="array" ref="AE772">_xlfn.IFS(AD772=1,"Low",AD772=2,"Good",AD772=3,"Excellent",AD772=4,"Outstanding")</f>
        <v>Excellent</v>
      </c>
      <c r="AF772">
        <v>4</v>
      </c>
      <c r="AG772" t="str" cm="1">
        <f t="array" ref="AG772">_xlfn.IFS(AF772=1,"Low",AF772=2,"Medium",AF772=3,"High",AF772=4,"Very High")</f>
        <v>Very High</v>
      </c>
      <c r="AH772">
        <v>2</v>
      </c>
      <c r="AI772">
        <v>23</v>
      </c>
      <c r="AJ772">
        <v>0</v>
      </c>
      <c r="AK772">
        <v>3</v>
      </c>
      <c r="AL772" t="str" cm="1">
        <f t="array" ref="AL772">_xlfn.IFS(AK772=1,"Low",AK772=2,"Medium",AK772=3,"High",AK772=4,"Very High")</f>
        <v>High</v>
      </c>
      <c r="AM772">
        <v>2</v>
      </c>
      <c r="AN772">
        <v>2</v>
      </c>
      <c r="AO772">
        <v>2</v>
      </c>
      <c r="AP772">
        <v>2</v>
      </c>
    </row>
    <row r="773" spans="1:42">
      <c r="A773">
        <v>54</v>
      </c>
      <c r="B773" t="str" cm="1">
        <f t="array" ref="B773">_xlfn.IFS(A773&lt;=25,"18-25",A773&lt;=35,"26-35",A773&lt;=45,"36-45",A773&lt;=55,"46-55",A773&gt;55,"56+")</f>
        <v>46-55</v>
      </c>
      <c r="C773" t="s">
        <v>39</v>
      </c>
      <c r="D773" t="s">
        <v>33</v>
      </c>
      <c r="E773" s="2">
        <v>1082</v>
      </c>
      <c r="F773" t="s">
        <v>34</v>
      </c>
      <c r="G773">
        <v>2</v>
      </c>
      <c r="H773" t="str">
        <f t="shared" si="12"/>
        <v>1-10 km</v>
      </c>
      <c r="I773">
        <v>4</v>
      </c>
      <c r="J773" t="str" cm="1">
        <f t="array" ref="J773">_xlfn.IFS(I773=1,"Below College",I773=2,"College",I773=3,"Bachelor",I773=4,"Master",I773=5,"Doctor")</f>
        <v>Master</v>
      </c>
      <c r="K773" t="s">
        <v>35</v>
      </c>
      <c r="L773">
        <v>1070</v>
      </c>
      <c r="M773">
        <v>3</v>
      </c>
      <c r="N773" t="str" cm="1">
        <f t="array" ref="N773">_xlfn.IFS(M773=1,"Low",M773=2,"Medium",M773=3,"High",M773=4,"Very High")</f>
        <v>High</v>
      </c>
      <c r="O773" t="s">
        <v>36</v>
      </c>
      <c r="P773" s="2">
        <v>41</v>
      </c>
      <c r="Q773">
        <v>2</v>
      </c>
      <c r="R773" t="str" cm="1">
        <f t="array" ref="R773">_xlfn.IFS(Q773=1,"Low",Q773=2,"Medium",Q773=3,"High",Q773=4,"Very High")</f>
        <v>Medium</v>
      </c>
      <c r="S773">
        <v>3</v>
      </c>
      <c r="T773" t="str" cm="1">
        <f t="array" ref="T773">_xlfn.IFS(S773=1,"Entry Level",S773=2,"Junior",S773=3,"Mid-Level",S773=4,"Senior",S773=5,"Executive")</f>
        <v>Mid-Level</v>
      </c>
      <c r="U773" t="s">
        <v>37</v>
      </c>
      <c r="V773">
        <v>3</v>
      </c>
      <c r="W773" t="str" cm="1">
        <f t="array" ref="W773">_xlfn.IFS(V773=1,"Low",V773=2,"Medium",V773=3,"High",V773=4,"Very High")</f>
        <v>High</v>
      </c>
      <c r="X773" t="s">
        <v>44</v>
      </c>
      <c r="Y773" s="2">
        <v>10686</v>
      </c>
      <c r="Z773" s="2">
        <v>8392</v>
      </c>
      <c r="AA773">
        <v>6</v>
      </c>
      <c r="AB773" t="s">
        <v>39</v>
      </c>
      <c r="AC773">
        <v>11</v>
      </c>
      <c r="AD773">
        <v>3</v>
      </c>
      <c r="AE773" t="str" cm="1">
        <f t="array" ref="AE773">_xlfn.IFS(AD773=1,"Low",AD773=2,"Good",AD773=3,"Excellent",AD773=4,"Outstanding")</f>
        <v>Excellent</v>
      </c>
      <c r="AF773">
        <v>2</v>
      </c>
      <c r="AG773" t="str" cm="1">
        <f t="array" ref="AG773">_xlfn.IFS(AF773=1,"Low",AF773=2,"Medium",AF773=3,"High",AF773=4,"Very High")</f>
        <v>Medium</v>
      </c>
      <c r="AH773">
        <v>1</v>
      </c>
      <c r="AI773">
        <v>13</v>
      </c>
      <c r="AJ773">
        <v>4</v>
      </c>
      <c r="AK773">
        <v>3</v>
      </c>
      <c r="AL773" t="str" cm="1">
        <f t="array" ref="AL773">_xlfn.IFS(AK773=1,"Low",AK773=2,"Medium",AK773=3,"High",AK773=4,"Very High")</f>
        <v>High</v>
      </c>
      <c r="AM773">
        <v>9</v>
      </c>
      <c r="AN773">
        <v>4</v>
      </c>
      <c r="AO773">
        <v>7</v>
      </c>
      <c r="AP773">
        <v>0</v>
      </c>
    </row>
    <row r="774" spans="1:42">
      <c r="A774">
        <v>56</v>
      </c>
      <c r="B774" t="str" cm="1">
        <f t="array" ref="B774">_xlfn.IFS(A774&lt;=25,"18-25",A774&lt;=35,"26-35",A774&lt;=45,"36-45",A774&lt;=55,"46-55",A774&gt;55,"56+")</f>
        <v>56+</v>
      </c>
      <c r="C774" t="s">
        <v>39</v>
      </c>
      <c r="D774" t="s">
        <v>40</v>
      </c>
      <c r="E774" s="2">
        <v>1240</v>
      </c>
      <c r="F774" t="s">
        <v>41</v>
      </c>
      <c r="G774">
        <v>9</v>
      </c>
      <c r="H774" t="str">
        <f t="shared" si="12"/>
        <v>1-10 km</v>
      </c>
      <c r="I774">
        <v>3</v>
      </c>
      <c r="J774" t="str" cm="1">
        <f t="array" ref="J774">_xlfn.IFS(I774=1,"Below College",I774=2,"College",I774=3,"Bachelor",I774=4,"Master",I774=5,"Doctor")</f>
        <v>Bachelor</v>
      </c>
      <c r="K774" t="s">
        <v>47</v>
      </c>
      <c r="L774">
        <v>1071</v>
      </c>
      <c r="M774">
        <v>1</v>
      </c>
      <c r="N774" t="str" cm="1">
        <f t="array" ref="N774">_xlfn.IFS(M774=1,"Low",M774=2,"Medium",M774=3,"High",M774=4,"Very High")</f>
        <v>Low</v>
      </c>
      <c r="O774" t="s">
        <v>36</v>
      </c>
      <c r="P774" s="2">
        <v>63</v>
      </c>
      <c r="Q774">
        <v>3</v>
      </c>
      <c r="R774" t="str" cm="1">
        <f t="array" ref="R774">_xlfn.IFS(Q774=1,"Low",Q774=2,"Medium",Q774=3,"High",Q774=4,"Very High")</f>
        <v>High</v>
      </c>
      <c r="S774">
        <v>1</v>
      </c>
      <c r="T774" t="str" cm="1">
        <f t="array" ref="T774">_xlfn.IFS(S774=1,"Entry Level",S774=2,"Junior",S774=3,"Mid-Level",S774=4,"Senior",S774=5,"Executive")</f>
        <v>Entry Level</v>
      </c>
      <c r="U774" t="s">
        <v>43</v>
      </c>
      <c r="V774">
        <v>3</v>
      </c>
      <c r="W774" t="str" cm="1">
        <f t="array" ref="W774">_xlfn.IFS(V774=1,"Low",V774=2,"Medium",V774=3,"High",V774=4,"Very High")</f>
        <v>High</v>
      </c>
      <c r="X774" t="s">
        <v>44</v>
      </c>
      <c r="Y774" s="2">
        <v>2942</v>
      </c>
      <c r="Z774" s="2">
        <v>12154</v>
      </c>
      <c r="AA774">
        <v>2</v>
      </c>
      <c r="AB774" t="s">
        <v>39</v>
      </c>
      <c r="AC774">
        <v>19</v>
      </c>
      <c r="AD774">
        <v>3</v>
      </c>
      <c r="AE774" t="str" cm="1">
        <f t="array" ref="AE774">_xlfn.IFS(AD774=1,"Low",AD774=2,"Good",AD774=3,"Excellent",AD774=4,"Outstanding")</f>
        <v>Excellent</v>
      </c>
      <c r="AF774">
        <v>2</v>
      </c>
      <c r="AG774" t="str" cm="1">
        <f t="array" ref="AG774">_xlfn.IFS(AF774=1,"Low",AF774=2,"Medium",AF774=3,"High",AF774=4,"Very High")</f>
        <v>Medium</v>
      </c>
      <c r="AH774">
        <v>1</v>
      </c>
      <c r="AI774">
        <v>18</v>
      </c>
      <c r="AJ774">
        <v>4</v>
      </c>
      <c r="AK774">
        <v>3</v>
      </c>
      <c r="AL774" t="str" cm="1">
        <f t="array" ref="AL774">_xlfn.IFS(AK774=1,"Low",AK774=2,"Medium",AK774=3,"High",AK774=4,"Very High")</f>
        <v>High</v>
      </c>
      <c r="AM774">
        <v>5</v>
      </c>
      <c r="AN774">
        <v>4</v>
      </c>
      <c r="AO774">
        <v>0</v>
      </c>
      <c r="AP774">
        <v>3</v>
      </c>
    </row>
    <row r="775" spans="1:42">
      <c r="A775">
        <v>36</v>
      </c>
      <c r="B775" t="str" cm="1">
        <f t="array" ref="B775">_xlfn.IFS(A775&lt;=25,"18-25",A775&lt;=35,"26-35",A775&lt;=45,"36-45",A775&lt;=55,"46-55",A775&gt;55,"56+")</f>
        <v>36-45</v>
      </c>
      <c r="C775" t="s">
        <v>39</v>
      </c>
      <c r="D775" t="s">
        <v>33</v>
      </c>
      <c r="E775" s="2">
        <v>796</v>
      </c>
      <c r="F775" t="s">
        <v>41</v>
      </c>
      <c r="G775">
        <v>12</v>
      </c>
      <c r="H775" t="str">
        <f t="shared" si="12"/>
        <v>11-20 km</v>
      </c>
      <c r="I775">
        <v>5</v>
      </c>
      <c r="J775" t="str" cm="1">
        <f t="array" ref="J775">_xlfn.IFS(I775=1,"Below College",I775=2,"College",I775=3,"Bachelor",I775=4,"Master",I775=5,"Doctor")</f>
        <v>Doctor</v>
      </c>
      <c r="K775" t="s">
        <v>47</v>
      </c>
      <c r="L775">
        <v>1073</v>
      </c>
      <c r="M775">
        <v>4</v>
      </c>
      <c r="N775" t="str" cm="1">
        <f t="array" ref="N775">_xlfn.IFS(M775=1,"Low",M775=2,"Medium",M775=3,"High",M775=4,"Very High")</f>
        <v>Very High</v>
      </c>
      <c r="O775" t="s">
        <v>36</v>
      </c>
      <c r="P775" s="2">
        <v>51</v>
      </c>
      <c r="Q775">
        <v>2</v>
      </c>
      <c r="R775" t="str" cm="1">
        <f t="array" ref="R775">_xlfn.IFS(Q775=1,"Low",Q775=2,"Medium",Q775=3,"High",Q775=4,"Very High")</f>
        <v>Medium</v>
      </c>
      <c r="S775">
        <v>3</v>
      </c>
      <c r="T775" t="str" cm="1">
        <f t="array" ref="T775">_xlfn.IFS(S775=1,"Entry Level",S775=2,"Junior",S775=3,"Mid-Level",S775=4,"Senior",S775=5,"Executive")</f>
        <v>Mid-Level</v>
      </c>
      <c r="U775" t="s">
        <v>49</v>
      </c>
      <c r="V775">
        <v>4</v>
      </c>
      <c r="W775" t="str" cm="1">
        <f t="array" ref="W775">_xlfn.IFS(V775=1,"Low",V775=2,"Medium",V775=3,"High",V775=4,"Very High")</f>
        <v>Very High</v>
      </c>
      <c r="X775" t="s">
        <v>38</v>
      </c>
      <c r="Y775" s="2">
        <v>8858</v>
      </c>
      <c r="Z775" s="2">
        <v>15669</v>
      </c>
      <c r="AA775">
        <v>0</v>
      </c>
      <c r="AB775" t="s">
        <v>39</v>
      </c>
      <c r="AC775">
        <v>11</v>
      </c>
      <c r="AD775">
        <v>3</v>
      </c>
      <c r="AE775" t="str" cm="1">
        <f t="array" ref="AE775">_xlfn.IFS(AD775=1,"Low",AD775=2,"Good",AD775=3,"Excellent",AD775=4,"Outstanding")</f>
        <v>Excellent</v>
      </c>
      <c r="AF775">
        <v>2</v>
      </c>
      <c r="AG775" t="str" cm="1">
        <f t="array" ref="AG775">_xlfn.IFS(AF775=1,"Low",AF775=2,"Medium",AF775=3,"High",AF775=4,"Very High")</f>
        <v>Medium</v>
      </c>
      <c r="AH775">
        <v>0</v>
      </c>
      <c r="AI775">
        <v>15</v>
      </c>
      <c r="AJ775">
        <v>2</v>
      </c>
      <c r="AK775">
        <v>2</v>
      </c>
      <c r="AL775" t="str" cm="1">
        <f t="array" ref="AL775">_xlfn.IFS(AK775=1,"Low",AK775=2,"Medium",AK775=3,"High",AK775=4,"Very High")</f>
        <v>Medium</v>
      </c>
      <c r="AM775">
        <v>14</v>
      </c>
      <c r="AN775">
        <v>8</v>
      </c>
      <c r="AO775">
        <v>7</v>
      </c>
      <c r="AP775">
        <v>8</v>
      </c>
    </row>
    <row r="776" spans="1:42">
      <c r="A776">
        <v>55</v>
      </c>
      <c r="B776" t="str" cm="1">
        <f t="array" ref="B776">_xlfn.IFS(A776&lt;=25,"18-25",A776&lt;=35,"26-35",A776&lt;=45,"36-45",A776&lt;=55,"46-55",A776&gt;55,"56+")</f>
        <v>46-55</v>
      </c>
      <c r="C776" t="s">
        <v>39</v>
      </c>
      <c r="D776" t="s">
        <v>51</v>
      </c>
      <c r="E776" s="2">
        <v>444</v>
      </c>
      <c r="F776" t="s">
        <v>41</v>
      </c>
      <c r="G776">
        <v>2</v>
      </c>
      <c r="H776" t="str">
        <f t="shared" si="12"/>
        <v>1-10 km</v>
      </c>
      <c r="I776">
        <v>1</v>
      </c>
      <c r="J776" t="str" cm="1">
        <f t="array" ref="J776">_xlfn.IFS(I776=1,"Below College",I776=2,"College",I776=3,"Bachelor",I776=4,"Master",I776=5,"Doctor")</f>
        <v>Below College</v>
      </c>
      <c r="K776" t="s">
        <v>47</v>
      </c>
      <c r="L776">
        <v>1074</v>
      </c>
      <c r="M776">
        <v>3</v>
      </c>
      <c r="N776" t="str" cm="1">
        <f t="array" ref="N776">_xlfn.IFS(M776=1,"Low",M776=2,"Medium",M776=3,"High",M776=4,"Very High")</f>
        <v>High</v>
      </c>
      <c r="O776" t="s">
        <v>42</v>
      </c>
      <c r="P776" s="2">
        <v>40</v>
      </c>
      <c r="Q776">
        <v>2</v>
      </c>
      <c r="R776" t="str" cm="1">
        <f t="array" ref="R776">_xlfn.IFS(Q776=1,"Low",Q776=2,"Medium",Q776=3,"High",Q776=4,"Very High")</f>
        <v>Medium</v>
      </c>
      <c r="S776">
        <v>4</v>
      </c>
      <c r="T776" t="str" cm="1">
        <f t="array" ref="T776">_xlfn.IFS(S776=1,"Entry Level",S776=2,"Junior",S776=3,"Mid-Level",S776=4,"Senior",S776=5,"Executive")</f>
        <v>Senior</v>
      </c>
      <c r="U776" t="s">
        <v>52</v>
      </c>
      <c r="V776">
        <v>1</v>
      </c>
      <c r="W776" t="str" cm="1">
        <f t="array" ref="W776">_xlfn.IFS(V776=1,"Low",V776=2,"Medium",V776=3,"High",V776=4,"Very High")</f>
        <v>Low</v>
      </c>
      <c r="X776" t="s">
        <v>38</v>
      </c>
      <c r="Y776" s="2">
        <v>16756</v>
      </c>
      <c r="Z776" s="2">
        <v>17323</v>
      </c>
      <c r="AA776">
        <v>7</v>
      </c>
      <c r="AB776" t="s">
        <v>39</v>
      </c>
      <c r="AC776">
        <v>15</v>
      </c>
      <c r="AD776">
        <v>3</v>
      </c>
      <c r="AE776" t="str" cm="1">
        <f t="array" ref="AE776">_xlfn.IFS(AD776=1,"Low",AD776=2,"Good",AD776=3,"Excellent",AD776=4,"Outstanding")</f>
        <v>Excellent</v>
      </c>
      <c r="AF776">
        <v>2</v>
      </c>
      <c r="AG776" t="str" cm="1">
        <f t="array" ref="AG776">_xlfn.IFS(AF776=1,"Low",AF776=2,"Medium",AF776=3,"High",AF776=4,"Very High")</f>
        <v>Medium</v>
      </c>
      <c r="AH776">
        <v>0</v>
      </c>
      <c r="AI776">
        <v>31</v>
      </c>
      <c r="AJ776">
        <v>3</v>
      </c>
      <c r="AK776">
        <v>4</v>
      </c>
      <c r="AL776" t="str" cm="1">
        <f t="array" ref="AL776">_xlfn.IFS(AK776=1,"Low",AK776=2,"Medium",AK776=3,"High",AK776=4,"Very High")</f>
        <v>Very High</v>
      </c>
      <c r="AM776">
        <v>9</v>
      </c>
      <c r="AN776">
        <v>7</v>
      </c>
      <c r="AO776">
        <v>6</v>
      </c>
      <c r="AP776">
        <v>2</v>
      </c>
    </row>
    <row r="777" spans="1:42">
      <c r="A777">
        <v>43</v>
      </c>
      <c r="B777" t="str" cm="1">
        <f t="array" ref="B777">_xlfn.IFS(A777&lt;=25,"18-25",A777&lt;=35,"26-35",A777&lt;=45,"36-45",A777&lt;=55,"46-55",A777&gt;55,"56+")</f>
        <v>36-45</v>
      </c>
      <c r="C777" t="s">
        <v>39</v>
      </c>
      <c r="D777" t="s">
        <v>33</v>
      </c>
      <c r="E777" s="2">
        <v>415</v>
      </c>
      <c r="F777" t="s">
        <v>34</v>
      </c>
      <c r="G777">
        <v>25</v>
      </c>
      <c r="H777" t="str">
        <f t="shared" si="12"/>
        <v>21-30 km</v>
      </c>
      <c r="I777">
        <v>3</v>
      </c>
      <c r="J777" t="str" cm="1">
        <f t="array" ref="J777">_xlfn.IFS(I777=1,"Below College",I777=2,"College",I777=3,"Bachelor",I777=4,"Master",I777=5,"Doctor")</f>
        <v>Bachelor</v>
      </c>
      <c r="K777" t="s">
        <v>47</v>
      </c>
      <c r="L777">
        <v>1076</v>
      </c>
      <c r="M777">
        <v>3</v>
      </c>
      <c r="N777" t="str" cm="1">
        <f t="array" ref="N777">_xlfn.IFS(M777=1,"Low",M777=2,"Medium",M777=3,"High",M777=4,"Very High")</f>
        <v>High</v>
      </c>
      <c r="O777" t="s">
        <v>42</v>
      </c>
      <c r="P777" s="2">
        <v>79</v>
      </c>
      <c r="Q777">
        <v>2</v>
      </c>
      <c r="R777" t="str" cm="1">
        <f t="array" ref="R777">_xlfn.IFS(Q777=1,"Low",Q777=2,"Medium",Q777=3,"High",Q777=4,"Very High")</f>
        <v>Medium</v>
      </c>
      <c r="S777">
        <v>3</v>
      </c>
      <c r="T777" t="str" cm="1">
        <f t="array" ref="T777">_xlfn.IFS(S777=1,"Entry Level",S777=2,"Junior",S777=3,"Mid-Level",S777=4,"Senior",S777=5,"Executive")</f>
        <v>Mid-Level</v>
      </c>
      <c r="U777" t="s">
        <v>37</v>
      </c>
      <c r="V777">
        <v>4</v>
      </c>
      <c r="W777" t="str" cm="1">
        <f t="array" ref="W777">_xlfn.IFS(V777=1,"Low",V777=2,"Medium",V777=3,"High",V777=4,"Very High")</f>
        <v>Very High</v>
      </c>
      <c r="X777" t="s">
        <v>48</v>
      </c>
      <c r="Y777" s="2">
        <v>10798</v>
      </c>
      <c r="Z777" s="2">
        <v>5268</v>
      </c>
      <c r="AA777">
        <v>5</v>
      </c>
      <c r="AB777" t="s">
        <v>39</v>
      </c>
      <c r="AC777">
        <v>13</v>
      </c>
      <c r="AD777">
        <v>3</v>
      </c>
      <c r="AE777" t="str" cm="1">
        <f t="array" ref="AE777">_xlfn.IFS(AD777=1,"Low",AD777=2,"Good",AD777=3,"Excellent",AD777=4,"Outstanding")</f>
        <v>Excellent</v>
      </c>
      <c r="AF777">
        <v>3</v>
      </c>
      <c r="AG777" t="str" cm="1">
        <f t="array" ref="AG777">_xlfn.IFS(AF777=1,"Low",AF777=2,"Medium",AF777=3,"High",AF777=4,"Very High")</f>
        <v>High</v>
      </c>
      <c r="AH777">
        <v>1</v>
      </c>
      <c r="AI777">
        <v>18</v>
      </c>
      <c r="AJ777">
        <v>5</v>
      </c>
      <c r="AK777">
        <v>3</v>
      </c>
      <c r="AL777" t="str" cm="1">
        <f t="array" ref="AL777">_xlfn.IFS(AK777=1,"Low",AK777=2,"Medium",AK777=3,"High",AK777=4,"Very High")</f>
        <v>High</v>
      </c>
      <c r="AM777">
        <v>1</v>
      </c>
      <c r="AN777">
        <v>0</v>
      </c>
      <c r="AO777">
        <v>0</v>
      </c>
      <c r="AP777">
        <v>0</v>
      </c>
    </row>
    <row r="778" spans="1:42">
      <c r="A778">
        <v>20</v>
      </c>
      <c r="B778" t="str" cm="1">
        <f t="array" ref="B778">_xlfn.IFS(A778&lt;=25,"18-25",A778&lt;=35,"26-35",A778&lt;=45,"36-45",A778&lt;=55,"46-55",A778&gt;55,"56+")</f>
        <v>18-25</v>
      </c>
      <c r="C778" t="s">
        <v>32</v>
      </c>
      <c r="D778" t="s">
        <v>40</v>
      </c>
      <c r="E778" s="2">
        <v>769</v>
      </c>
      <c r="F778" t="s">
        <v>34</v>
      </c>
      <c r="G778">
        <v>9</v>
      </c>
      <c r="H778" t="str">
        <f t="shared" si="12"/>
        <v>1-10 km</v>
      </c>
      <c r="I778">
        <v>3</v>
      </c>
      <c r="J778" t="str" cm="1">
        <f t="array" ref="J778">_xlfn.IFS(I778=1,"Below College",I778=2,"College",I778=3,"Bachelor",I778=4,"Master",I778=5,"Doctor")</f>
        <v>Bachelor</v>
      </c>
      <c r="K778" t="s">
        <v>55</v>
      </c>
      <c r="L778">
        <v>1077</v>
      </c>
      <c r="M778">
        <v>4</v>
      </c>
      <c r="N778" t="str" cm="1">
        <f t="array" ref="N778">_xlfn.IFS(M778=1,"Low",M778=2,"Medium",M778=3,"High",M778=4,"Very High")</f>
        <v>Very High</v>
      </c>
      <c r="O778" t="s">
        <v>36</v>
      </c>
      <c r="P778" s="2">
        <v>54</v>
      </c>
      <c r="Q778">
        <v>3</v>
      </c>
      <c r="R778" t="str" cm="1">
        <f t="array" ref="R778">_xlfn.IFS(Q778=1,"Low",Q778=2,"Medium",Q778=3,"High",Q778=4,"Very High")</f>
        <v>High</v>
      </c>
      <c r="S778">
        <v>1</v>
      </c>
      <c r="T778" t="str" cm="1">
        <f t="array" ref="T778">_xlfn.IFS(S778=1,"Entry Level",S778=2,"Junior",S778=3,"Mid-Level",S778=4,"Senior",S778=5,"Executive")</f>
        <v>Entry Level</v>
      </c>
      <c r="U778" t="s">
        <v>53</v>
      </c>
      <c r="V778">
        <v>4</v>
      </c>
      <c r="W778" t="str" cm="1">
        <f t="array" ref="W778">_xlfn.IFS(V778=1,"Low",V778=2,"Medium",V778=3,"High",V778=4,"Very High")</f>
        <v>Very High</v>
      </c>
      <c r="X778" t="s">
        <v>38</v>
      </c>
      <c r="Y778" s="2">
        <v>2323</v>
      </c>
      <c r="Z778" s="2">
        <v>17205</v>
      </c>
      <c r="AA778">
        <v>1</v>
      </c>
      <c r="AB778" t="s">
        <v>32</v>
      </c>
      <c r="AC778">
        <v>14</v>
      </c>
      <c r="AD778">
        <v>3</v>
      </c>
      <c r="AE778" t="str" cm="1">
        <f t="array" ref="AE778">_xlfn.IFS(AD778=1,"Low",AD778=2,"Good",AD778=3,"Excellent",AD778=4,"Outstanding")</f>
        <v>Excellent</v>
      </c>
      <c r="AF778">
        <v>2</v>
      </c>
      <c r="AG778" t="str" cm="1">
        <f t="array" ref="AG778">_xlfn.IFS(AF778=1,"Low",AF778=2,"Medium",AF778=3,"High",AF778=4,"Very High")</f>
        <v>Medium</v>
      </c>
      <c r="AH778">
        <v>0</v>
      </c>
      <c r="AI778">
        <v>2</v>
      </c>
      <c r="AJ778">
        <v>3</v>
      </c>
      <c r="AK778">
        <v>3</v>
      </c>
      <c r="AL778" t="str" cm="1">
        <f t="array" ref="AL778">_xlfn.IFS(AK778=1,"Low",AK778=2,"Medium",AK778=3,"High",AK778=4,"Very High")</f>
        <v>High</v>
      </c>
      <c r="AM778">
        <v>2</v>
      </c>
      <c r="AN778">
        <v>2</v>
      </c>
      <c r="AO778">
        <v>0</v>
      </c>
      <c r="AP778">
        <v>2</v>
      </c>
    </row>
    <row r="779" spans="1:42">
      <c r="A779">
        <v>21</v>
      </c>
      <c r="B779" t="str" cm="1">
        <f t="array" ref="B779">_xlfn.IFS(A779&lt;=25,"18-25",A779&lt;=35,"26-35",A779&lt;=45,"36-45",A779&lt;=55,"46-55",A779&gt;55,"56+")</f>
        <v>18-25</v>
      </c>
      <c r="C779" t="s">
        <v>32</v>
      </c>
      <c r="D779" t="s">
        <v>33</v>
      </c>
      <c r="E779" s="2">
        <v>1334</v>
      </c>
      <c r="F779" t="s">
        <v>41</v>
      </c>
      <c r="G779">
        <v>10</v>
      </c>
      <c r="H779" t="str">
        <f t="shared" si="12"/>
        <v>1-10 km</v>
      </c>
      <c r="I779">
        <v>3</v>
      </c>
      <c r="J779" t="str" cm="1">
        <f t="array" ref="J779">_xlfn.IFS(I779=1,"Below College",I779=2,"College",I779=3,"Bachelor",I779=4,"Master",I779=5,"Doctor")</f>
        <v>Bachelor</v>
      </c>
      <c r="K779" t="s">
        <v>35</v>
      </c>
      <c r="L779">
        <v>1079</v>
      </c>
      <c r="M779">
        <v>3</v>
      </c>
      <c r="N779" t="str" cm="1">
        <f t="array" ref="N779">_xlfn.IFS(M779=1,"Low",M779=2,"Medium",M779=3,"High",M779=4,"Very High")</f>
        <v>High</v>
      </c>
      <c r="O779" t="s">
        <v>36</v>
      </c>
      <c r="P779" s="2">
        <v>36</v>
      </c>
      <c r="Q779">
        <v>2</v>
      </c>
      <c r="R779" t="str" cm="1">
        <f t="array" ref="R779">_xlfn.IFS(Q779=1,"Low",Q779=2,"Medium",Q779=3,"High",Q779=4,"Very High")</f>
        <v>Medium</v>
      </c>
      <c r="S779">
        <v>1</v>
      </c>
      <c r="T779" t="str" cm="1">
        <f t="array" ref="T779">_xlfn.IFS(S779=1,"Entry Level",S779=2,"Junior",S779=3,"Mid-Level",S779=4,"Senior",S779=5,"Executive")</f>
        <v>Entry Level</v>
      </c>
      <c r="U779" t="s">
        <v>46</v>
      </c>
      <c r="V779">
        <v>1</v>
      </c>
      <c r="W779" t="str" cm="1">
        <f t="array" ref="W779">_xlfn.IFS(V779=1,"Low",V779=2,"Medium",V779=3,"High",V779=4,"Very High")</f>
        <v>Low</v>
      </c>
      <c r="X779" t="s">
        <v>38</v>
      </c>
      <c r="Y779" s="2">
        <v>1416</v>
      </c>
      <c r="Z779" s="2">
        <v>17258</v>
      </c>
      <c r="AA779">
        <v>1</v>
      </c>
      <c r="AB779" t="s">
        <v>39</v>
      </c>
      <c r="AC779">
        <v>13</v>
      </c>
      <c r="AD779">
        <v>3</v>
      </c>
      <c r="AE779" t="str" cm="1">
        <f t="array" ref="AE779">_xlfn.IFS(AD779=1,"Low",AD779=2,"Good",AD779=3,"Excellent",AD779=4,"Outstanding")</f>
        <v>Excellent</v>
      </c>
      <c r="AF779">
        <v>1</v>
      </c>
      <c r="AG779" t="str" cm="1">
        <f t="array" ref="AG779">_xlfn.IFS(AF779=1,"Low",AF779=2,"Medium",AF779=3,"High",AF779=4,"Very High")</f>
        <v>Low</v>
      </c>
      <c r="AH779">
        <v>0</v>
      </c>
      <c r="AI779">
        <v>1</v>
      </c>
      <c r="AJ779">
        <v>6</v>
      </c>
      <c r="AK779">
        <v>2</v>
      </c>
      <c r="AL779" t="str" cm="1">
        <f t="array" ref="AL779">_xlfn.IFS(AK779=1,"Low",AK779=2,"Medium",AK779=3,"High",AK779=4,"Very High")</f>
        <v>Medium</v>
      </c>
      <c r="AM779">
        <v>1</v>
      </c>
      <c r="AN779">
        <v>0</v>
      </c>
      <c r="AO779">
        <v>1</v>
      </c>
      <c r="AP779">
        <v>0</v>
      </c>
    </row>
    <row r="780" spans="1:42">
      <c r="A780">
        <v>46</v>
      </c>
      <c r="B780" t="str" cm="1">
        <f t="array" ref="B780">_xlfn.IFS(A780&lt;=25,"18-25",A780&lt;=35,"26-35",A780&lt;=45,"36-45",A780&lt;=55,"46-55",A780&gt;55,"56+")</f>
        <v>46-55</v>
      </c>
      <c r="C780" t="s">
        <v>39</v>
      </c>
      <c r="D780" t="s">
        <v>33</v>
      </c>
      <c r="E780" s="2">
        <v>1003</v>
      </c>
      <c r="F780" t="s">
        <v>41</v>
      </c>
      <c r="G780">
        <v>8</v>
      </c>
      <c r="H780" t="str">
        <f t="shared" si="12"/>
        <v>1-10 km</v>
      </c>
      <c r="I780">
        <v>4</v>
      </c>
      <c r="J780" t="str" cm="1">
        <f t="array" ref="J780">_xlfn.IFS(I780=1,"Below College",I780=2,"College",I780=3,"Bachelor",I780=4,"Master",I780=5,"Doctor")</f>
        <v>Master</v>
      </c>
      <c r="K780" t="s">
        <v>35</v>
      </c>
      <c r="L780">
        <v>1080</v>
      </c>
      <c r="M780">
        <v>4</v>
      </c>
      <c r="N780" t="str" cm="1">
        <f t="array" ref="N780">_xlfn.IFS(M780=1,"Low",M780=2,"Medium",M780=3,"High",M780=4,"Very High")</f>
        <v>Very High</v>
      </c>
      <c r="O780" t="s">
        <v>36</v>
      </c>
      <c r="P780" s="2">
        <v>74</v>
      </c>
      <c r="Q780">
        <v>2</v>
      </c>
      <c r="R780" t="str" cm="1">
        <f t="array" ref="R780">_xlfn.IFS(Q780=1,"Low",Q780=2,"Medium",Q780=3,"High",Q780=4,"Very High")</f>
        <v>Medium</v>
      </c>
      <c r="S780">
        <v>2</v>
      </c>
      <c r="T780" t="str" cm="1">
        <f t="array" ref="T780">_xlfn.IFS(S780=1,"Entry Level",S780=2,"Junior",S780=3,"Mid-Level",S780=4,"Senior",S780=5,"Executive")</f>
        <v>Junior</v>
      </c>
      <c r="U780" t="s">
        <v>43</v>
      </c>
      <c r="V780">
        <v>1</v>
      </c>
      <c r="W780" t="str" cm="1">
        <f t="array" ref="W780">_xlfn.IFS(V780=1,"Low",V780=2,"Medium",V780=3,"High",V780=4,"Very High")</f>
        <v>Low</v>
      </c>
      <c r="X780" t="s">
        <v>48</v>
      </c>
      <c r="Y780" s="2">
        <v>4615</v>
      </c>
      <c r="Z780" s="2">
        <v>21029</v>
      </c>
      <c r="AA780">
        <v>8</v>
      </c>
      <c r="AB780" t="s">
        <v>32</v>
      </c>
      <c r="AC780">
        <v>23</v>
      </c>
      <c r="AD780">
        <v>4</v>
      </c>
      <c r="AE780" t="str" cm="1">
        <f t="array" ref="AE780">_xlfn.IFS(AD780=1,"Low",AD780=2,"Good",AD780=3,"Excellent",AD780=4,"Outstanding")</f>
        <v>Outstanding</v>
      </c>
      <c r="AF780">
        <v>1</v>
      </c>
      <c r="AG780" t="str" cm="1">
        <f t="array" ref="AG780">_xlfn.IFS(AF780=1,"Low",AF780=2,"Medium",AF780=3,"High",AF780=4,"Very High")</f>
        <v>Low</v>
      </c>
      <c r="AH780">
        <v>3</v>
      </c>
      <c r="AI780">
        <v>19</v>
      </c>
      <c r="AJ780">
        <v>2</v>
      </c>
      <c r="AK780">
        <v>3</v>
      </c>
      <c r="AL780" t="str" cm="1">
        <f t="array" ref="AL780">_xlfn.IFS(AK780=1,"Low",AK780=2,"Medium",AK780=3,"High",AK780=4,"Very High")</f>
        <v>High</v>
      </c>
      <c r="AM780">
        <v>16</v>
      </c>
      <c r="AN780">
        <v>13</v>
      </c>
      <c r="AO780">
        <v>1</v>
      </c>
      <c r="AP780">
        <v>7</v>
      </c>
    </row>
    <row r="781" spans="1:42">
      <c r="A781">
        <v>51</v>
      </c>
      <c r="B781" t="str" cm="1">
        <f t="array" ref="B781">_xlfn.IFS(A781&lt;=25,"18-25",A781&lt;=35,"26-35",A781&lt;=45,"36-45",A781&lt;=55,"46-55",A781&gt;55,"56+")</f>
        <v>46-55</v>
      </c>
      <c r="C781" t="s">
        <v>32</v>
      </c>
      <c r="D781" t="s">
        <v>33</v>
      </c>
      <c r="E781" s="2">
        <v>1323</v>
      </c>
      <c r="F781" t="s">
        <v>41</v>
      </c>
      <c r="G781">
        <v>4</v>
      </c>
      <c r="H781" t="str">
        <f t="shared" si="12"/>
        <v>1-10 km</v>
      </c>
      <c r="I781">
        <v>4</v>
      </c>
      <c r="J781" t="str" cm="1">
        <f t="array" ref="J781">_xlfn.IFS(I781=1,"Below College",I781=2,"College",I781=3,"Bachelor",I781=4,"Master",I781=5,"Doctor")</f>
        <v>Master</v>
      </c>
      <c r="K781" t="s">
        <v>35</v>
      </c>
      <c r="L781">
        <v>1081</v>
      </c>
      <c r="M781">
        <v>1</v>
      </c>
      <c r="N781" t="str" cm="1">
        <f t="array" ref="N781">_xlfn.IFS(M781=1,"Low",M781=2,"Medium",M781=3,"High",M781=4,"Very High")</f>
        <v>Low</v>
      </c>
      <c r="O781" t="s">
        <v>42</v>
      </c>
      <c r="P781" s="2">
        <v>34</v>
      </c>
      <c r="Q781">
        <v>3</v>
      </c>
      <c r="R781" t="str" cm="1">
        <f t="array" ref="R781">_xlfn.IFS(Q781=1,"Low",Q781=2,"Medium",Q781=3,"High",Q781=4,"Very High")</f>
        <v>High</v>
      </c>
      <c r="S781">
        <v>1</v>
      </c>
      <c r="T781" t="str" cm="1">
        <f t="array" ref="T781">_xlfn.IFS(S781=1,"Entry Level",S781=2,"Junior",S781=3,"Mid-Level",S781=4,"Senior",S781=5,"Executive")</f>
        <v>Entry Level</v>
      </c>
      <c r="U781" t="s">
        <v>43</v>
      </c>
      <c r="V781">
        <v>3</v>
      </c>
      <c r="W781" t="str" cm="1">
        <f t="array" ref="W781">_xlfn.IFS(V781=1,"Low",V781=2,"Medium",V781=3,"High",V781=4,"Very High")</f>
        <v>High</v>
      </c>
      <c r="X781" t="s">
        <v>44</v>
      </c>
      <c r="Y781" s="2">
        <v>2461</v>
      </c>
      <c r="Z781" s="2">
        <v>10332</v>
      </c>
      <c r="AA781">
        <v>9</v>
      </c>
      <c r="AB781" t="s">
        <v>32</v>
      </c>
      <c r="AC781">
        <v>12</v>
      </c>
      <c r="AD781">
        <v>3</v>
      </c>
      <c r="AE781" t="str" cm="1">
        <f t="array" ref="AE781">_xlfn.IFS(AD781=1,"Low",AD781=2,"Good",AD781=3,"Excellent",AD781=4,"Outstanding")</f>
        <v>Excellent</v>
      </c>
      <c r="AF781">
        <v>3</v>
      </c>
      <c r="AG781" t="str" cm="1">
        <f t="array" ref="AG781">_xlfn.IFS(AF781=1,"Low",AF781=2,"Medium",AF781=3,"High",AF781=4,"Very High")</f>
        <v>High</v>
      </c>
      <c r="AH781">
        <v>3</v>
      </c>
      <c r="AI781">
        <v>18</v>
      </c>
      <c r="AJ781">
        <v>2</v>
      </c>
      <c r="AK781">
        <v>4</v>
      </c>
      <c r="AL781" t="str" cm="1">
        <f t="array" ref="AL781">_xlfn.IFS(AK781=1,"Low",AK781=2,"Medium",AK781=3,"High",AK781=4,"Very High")</f>
        <v>Very High</v>
      </c>
      <c r="AM781">
        <v>10</v>
      </c>
      <c r="AN781">
        <v>0</v>
      </c>
      <c r="AO781">
        <v>2</v>
      </c>
      <c r="AP781">
        <v>7</v>
      </c>
    </row>
    <row r="782" spans="1:42">
      <c r="A782">
        <v>28</v>
      </c>
      <c r="B782" t="str" cm="1">
        <f t="array" ref="B782">_xlfn.IFS(A782&lt;=25,"18-25",A782&lt;=35,"26-35",A782&lt;=45,"36-45",A782&lt;=55,"46-55",A782&gt;55,"56+")</f>
        <v>26-35</v>
      </c>
      <c r="C782" t="s">
        <v>32</v>
      </c>
      <c r="D782" t="s">
        <v>51</v>
      </c>
      <c r="E782" s="2">
        <v>1366</v>
      </c>
      <c r="F782" t="s">
        <v>41</v>
      </c>
      <c r="G782">
        <v>24</v>
      </c>
      <c r="H782" t="str">
        <f t="shared" si="12"/>
        <v>21-30 km</v>
      </c>
      <c r="I782">
        <v>2</v>
      </c>
      <c r="J782" t="str" cm="1">
        <f t="array" ref="J782">_xlfn.IFS(I782=1,"Below College",I782=2,"College",I782=3,"Bachelor",I782=4,"Master",I782=5,"Doctor")</f>
        <v>College</v>
      </c>
      <c r="K782" t="s">
        <v>56</v>
      </c>
      <c r="L782">
        <v>1082</v>
      </c>
      <c r="M782">
        <v>2</v>
      </c>
      <c r="N782" t="str" cm="1">
        <f t="array" ref="N782">_xlfn.IFS(M782=1,"Low",M782=2,"Medium",M782=3,"High",M782=4,"Very High")</f>
        <v>Medium</v>
      </c>
      <c r="O782" t="s">
        <v>42</v>
      </c>
      <c r="P782" s="2">
        <v>72</v>
      </c>
      <c r="Q782">
        <v>2</v>
      </c>
      <c r="R782" t="str" cm="1">
        <f t="array" ref="R782">_xlfn.IFS(Q782=1,"Low",Q782=2,"Medium",Q782=3,"High",Q782=4,"Very High")</f>
        <v>Medium</v>
      </c>
      <c r="S782">
        <v>3</v>
      </c>
      <c r="T782" t="str" cm="1">
        <f t="array" ref="T782">_xlfn.IFS(S782=1,"Entry Level",S782=2,"Junior",S782=3,"Mid-Level",S782=4,"Senior",S782=5,"Executive")</f>
        <v>Mid-Level</v>
      </c>
      <c r="U782" t="s">
        <v>50</v>
      </c>
      <c r="V782">
        <v>1</v>
      </c>
      <c r="W782" t="str" cm="1">
        <f t="array" ref="W782">_xlfn.IFS(V782=1,"Low",V782=2,"Medium",V782=3,"High",V782=4,"Very High")</f>
        <v>Low</v>
      </c>
      <c r="X782" t="s">
        <v>38</v>
      </c>
      <c r="Y782" s="2">
        <v>8722</v>
      </c>
      <c r="Z782" s="2">
        <v>12355</v>
      </c>
      <c r="AA782">
        <v>1</v>
      </c>
      <c r="AB782" t="s">
        <v>39</v>
      </c>
      <c r="AC782">
        <v>12</v>
      </c>
      <c r="AD782">
        <v>3</v>
      </c>
      <c r="AE782" t="str" cm="1">
        <f t="array" ref="AE782">_xlfn.IFS(AD782=1,"Low",AD782=2,"Good",AD782=3,"Excellent",AD782=4,"Outstanding")</f>
        <v>Excellent</v>
      </c>
      <c r="AF782">
        <v>1</v>
      </c>
      <c r="AG782" t="str" cm="1">
        <f t="array" ref="AG782">_xlfn.IFS(AF782=1,"Low",AF782=2,"Medium",AF782=3,"High",AF782=4,"Very High")</f>
        <v>Low</v>
      </c>
      <c r="AH782">
        <v>0</v>
      </c>
      <c r="AI782">
        <v>10</v>
      </c>
      <c r="AJ782">
        <v>2</v>
      </c>
      <c r="AK782">
        <v>2</v>
      </c>
      <c r="AL782" t="str" cm="1">
        <f t="array" ref="AL782">_xlfn.IFS(AK782=1,"Low",AK782=2,"Medium",AK782=3,"High",AK782=4,"Very High")</f>
        <v>Medium</v>
      </c>
      <c r="AM782">
        <v>10</v>
      </c>
      <c r="AN782">
        <v>7</v>
      </c>
      <c r="AO782">
        <v>1</v>
      </c>
      <c r="AP782">
        <v>9</v>
      </c>
    </row>
    <row r="783" spans="1:42">
      <c r="A783">
        <v>26</v>
      </c>
      <c r="B783" t="str" cm="1">
        <f t="array" ref="B783">_xlfn.IFS(A783&lt;=25,"18-25",A783&lt;=35,"26-35",A783&lt;=45,"36-45",A783&lt;=55,"46-55",A783&gt;55,"56+")</f>
        <v>26-35</v>
      </c>
      <c r="C783" t="s">
        <v>39</v>
      </c>
      <c r="D783" t="s">
        <v>33</v>
      </c>
      <c r="E783" s="2">
        <v>192</v>
      </c>
      <c r="F783" t="s">
        <v>41</v>
      </c>
      <c r="G783">
        <v>1</v>
      </c>
      <c r="H783" t="str">
        <f t="shared" si="12"/>
        <v>1-10 km</v>
      </c>
      <c r="I783">
        <v>2</v>
      </c>
      <c r="J783" t="str" cm="1">
        <f t="array" ref="J783">_xlfn.IFS(I783=1,"Below College",I783=2,"College",I783=3,"Bachelor",I783=4,"Master",I783=5,"Doctor")</f>
        <v>College</v>
      </c>
      <c r="K783" t="s">
        <v>47</v>
      </c>
      <c r="L783">
        <v>1083</v>
      </c>
      <c r="M783">
        <v>1</v>
      </c>
      <c r="N783" t="str" cm="1">
        <f t="array" ref="N783">_xlfn.IFS(M783=1,"Low",M783=2,"Medium",M783=3,"High",M783=4,"Very High")</f>
        <v>Low</v>
      </c>
      <c r="O783" t="s">
        <v>42</v>
      </c>
      <c r="P783" s="2">
        <v>59</v>
      </c>
      <c r="Q783">
        <v>2</v>
      </c>
      <c r="R783" t="str" cm="1">
        <f t="array" ref="R783">_xlfn.IFS(Q783=1,"Low",Q783=2,"Medium",Q783=3,"High",Q783=4,"Very High")</f>
        <v>Medium</v>
      </c>
      <c r="S783">
        <v>1</v>
      </c>
      <c r="T783" t="str" cm="1">
        <f t="array" ref="T783">_xlfn.IFS(S783=1,"Entry Level",S783=2,"Junior",S783=3,"Mid-Level",S783=4,"Senior",S783=5,"Executive")</f>
        <v>Entry Level</v>
      </c>
      <c r="U783" t="s">
        <v>46</v>
      </c>
      <c r="V783">
        <v>1</v>
      </c>
      <c r="W783" t="str" cm="1">
        <f t="array" ref="W783">_xlfn.IFS(V783=1,"Low",V783=2,"Medium",V783=3,"High",V783=4,"Very High")</f>
        <v>Low</v>
      </c>
      <c r="X783" t="s">
        <v>44</v>
      </c>
      <c r="Y783" s="2">
        <v>3955</v>
      </c>
      <c r="Z783" s="2">
        <v>11141</v>
      </c>
      <c r="AA783">
        <v>1</v>
      </c>
      <c r="AB783" t="s">
        <v>39</v>
      </c>
      <c r="AC783">
        <v>16</v>
      </c>
      <c r="AD783">
        <v>3</v>
      </c>
      <c r="AE783" t="str" cm="1">
        <f t="array" ref="AE783">_xlfn.IFS(AD783=1,"Low",AD783=2,"Good",AD783=3,"Excellent",AD783=4,"Outstanding")</f>
        <v>Excellent</v>
      </c>
      <c r="AF783">
        <v>1</v>
      </c>
      <c r="AG783" t="str" cm="1">
        <f t="array" ref="AG783">_xlfn.IFS(AF783=1,"Low",AF783=2,"Medium",AF783=3,"High",AF783=4,"Very High")</f>
        <v>Low</v>
      </c>
      <c r="AH783">
        <v>2</v>
      </c>
      <c r="AI783">
        <v>6</v>
      </c>
      <c r="AJ783">
        <v>2</v>
      </c>
      <c r="AK783">
        <v>3</v>
      </c>
      <c r="AL783" t="str" cm="1">
        <f t="array" ref="AL783">_xlfn.IFS(AK783=1,"Low",AK783=2,"Medium",AK783=3,"High",AK783=4,"Very High")</f>
        <v>High</v>
      </c>
      <c r="AM783">
        <v>5</v>
      </c>
      <c r="AN783">
        <v>3</v>
      </c>
      <c r="AO783">
        <v>1</v>
      </c>
      <c r="AP783">
        <v>3</v>
      </c>
    </row>
    <row r="784" spans="1:42">
      <c r="A784">
        <v>30</v>
      </c>
      <c r="B784" t="str" cm="1">
        <f t="array" ref="B784">_xlfn.IFS(A784&lt;=25,"18-25",A784&lt;=35,"26-35",A784&lt;=45,"36-45",A784&lt;=55,"46-55",A784&gt;55,"56+")</f>
        <v>26-35</v>
      </c>
      <c r="C784" t="s">
        <v>39</v>
      </c>
      <c r="D784" t="s">
        <v>33</v>
      </c>
      <c r="E784" s="2">
        <v>1176</v>
      </c>
      <c r="F784" t="s">
        <v>41</v>
      </c>
      <c r="G784">
        <v>20</v>
      </c>
      <c r="H784" t="str">
        <f t="shared" si="12"/>
        <v>11-20 km</v>
      </c>
      <c r="I784">
        <v>3</v>
      </c>
      <c r="J784" t="str" cm="1">
        <f t="array" ref="J784">_xlfn.IFS(I784=1,"Below College",I784=2,"College",I784=3,"Bachelor",I784=4,"Master",I784=5,"Doctor")</f>
        <v>Bachelor</v>
      </c>
      <c r="K784" t="s">
        <v>45</v>
      </c>
      <c r="L784">
        <v>1084</v>
      </c>
      <c r="M784">
        <v>3</v>
      </c>
      <c r="N784" t="str" cm="1">
        <f t="array" ref="N784">_xlfn.IFS(M784=1,"Low",M784=2,"Medium",M784=3,"High",M784=4,"Very High")</f>
        <v>High</v>
      </c>
      <c r="O784" t="s">
        <v>42</v>
      </c>
      <c r="P784" s="2">
        <v>85</v>
      </c>
      <c r="Q784">
        <v>3</v>
      </c>
      <c r="R784" t="str" cm="1">
        <f t="array" ref="R784">_xlfn.IFS(Q784=1,"Low",Q784=2,"Medium",Q784=3,"High",Q784=4,"Very High")</f>
        <v>High</v>
      </c>
      <c r="S784">
        <v>2</v>
      </c>
      <c r="T784" t="str" cm="1">
        <f t="array" ref="T784">_xlfn.IFS(S784=1,"Entry Level",S784=2,"Junior",S784=3,"Mid-Level",S784=4,"Senior",S784=5,"Executive")</f>
        <v>Junior</v>
      </c>
      <c r="U784" t="s">
        <v>49</v>
      </c>
      <c r="V784">
        <v>1</v>
      </c>
      <c r="W784" t="str" cm="1">
        <f t="array" ref="W784">_xlfn.IFS(V784=1,"Low",V784=2,"Medium",V784=3,"High",V784=4,"Very High")</f>
        <v>Low</v>
      </c>
      <c r="X784" t="s">
        <v>44</v>
      </c>
      <c r="Y784" s="2">
        <v>9957</v>
      </c>
      <c r="Z784" s="2">
        <v>9096</v>
      </c>
      <c r="AA784">
        <v>0</v>
      </c>
      <c r="AB784" t="s">
        <v>39</v>
      </c>
      <c r="AC784">
        <v>15</v>
      </c>
      <c r="AD784">
        <v>3</v>
      </c>
      <c r="AE784" t="str" cm="1">
        <f t="array" ref="AE784">_xlfn.IFS(AD784=1,"Low",AD784=2,"Good",AD784=3,"Excellent",AD784=4,"Outstanding")</f>
        <v>Excellent</v>
      </c>
      <c r="AF784">
        <v>3</v>
      </c>
      <c r="AG784" t="str" cm="1">
        <f t="array" ref="AG784">_xlfn.IFS(AF784=1,"Low",AF784=2,"Medium",AF784=3,"High",AF784=4,"Very High")</f>
        <v>High</v>
      </c>
      <c r="AH784">
        <v>1</v>
      </c>
      <c r="AI784">
        <v>7</v>
      </c>
      <c r="AJ784">
        <v>1</v>
      </c>
      <c r="AK784">
        <v>2</v>
      </c>
      <c r="AL784" t="str" cm="1">
        <f t="array" ref="AL784">_xlfn.IFS(AK784=1,"Low",AK784=2,"Medium",AK784=3,"High",AK784=4,"Very High")</f>
        <v>Medium</v>
      </c>
      <c r="AM784">
        <v>6</v>
      </c>
      <c r="AN784">
        <v>2</v>
      </c>
      <c r="AO784">
        <v>0</v>
      </c>
      <c r="AP784">
        <v>2</v>
      </c>
    </row>
    <row r="785" spans="1:42">
      <c r="A785">
        <v>41</v>
      </c>
      <c r="B785" t="str" cm="1">
        <f t="array" ref="B785">_xlfn.IFS(A785&lt;=25,"18-25",A785&lt;=35,"26-35",A785&lt;=45,"36-45",A785&lt;=55,"46-55",A785&gt;55,"56+")</f>
        <v>36-45</v>
      </c>
      <c r="C785" t="s">
        <v>39</v>
      </c>
      <c r="D785" t="s">
        <v>33</v>
      </c>
      <c r="E785" s="2">
        <v>509</v>
      </c>
      <c r="F785" t="s">
        <v>41</v>
      </c>
      <c r="G785">
        <v>7</v>
      </c>
      <c r="H785" t="str">
        <f t="shared" si="12"/>
        <v>1-10 km</v>
      </c>
      <c r="I785">
        <v>2</v>
      </c>
      <c r="J785" t="str" cm="1">
        <f t="array" ref="J785">_xlfn.IFS(I785=1,"Below College",I785=2,"College",I785=3,"Bachelor",I785=4,"Master",I785=5,"Doctor")</f>
        <v>College</v>
      </c>
      <c r="K785" t="s">
        <v>56</v>
      </c>
      <c r="L785">
        <v>1085</v>
      </c>
      <c r="M785">
        <v>2</v>
      </c>
      <c r="N785" t="str" cm="1">
        <f t="array" ref="N785">_xlfn.IFS(M785=1,"Low",M785=2,"Medium",M785=3,"High",M785=4,"Very High")</f>
        <v>Medium</v>
      </c>
      <c r="O785" t="s">
        <v>36</v>
      </c>
      <c r="P785" s="2">
        <v>43</v>
      </c>
      <c r="Q785">
        <v>4</v>
      </c>
      <c r="R785" t="str" cm="1">
        <f t="array" ref="R785">_xlfn.IFS(Q785=1,"Low",Q785=2,"Medium",Q785=3,"High",Q785=4,"Very High")</f>
        <v>Very High</v>
      </c>
      <c r="S785">
        <v>1</v>
      </c>
      <c r="T785" t="str" cm="1">
        <f t="array" ref="T785">_xlfn.IFS(S785=1,"Entry Level",S785=2,"Junior",S785=3,"Mid-Level",S785=4,"Senior",S785=5,"Executive")</f>
        <v>Entry Level</v>
      </c>
      <c r="U785" t="s">
        <v>43</v>
      </c>
      <c r="V785">
        <v>3</v>
      </c>
      <c r="W785" t="str" cm="1">
        <f t="array" ref="W785">_xlfn.IFS(V785=1,"Low",V785=2,"Medium",V785=3,"High",V785=4,"Very High")</f>
        <v>High</v>
      </c>
      <c r="X785" t="s">
        <v>44</v>
      </c>
      <c r="Y785" s="2">
        <v>3376</v>
      </c>
      <c r="Z785" s="2">
        <v>18863</v>
      </c>
      <c r="AA785">
        <v>1</v>
      </c>
      <c r="AB785" t="s">
        <v>39</v>
      </c>
      <c r="AC785">
        <v>13</v>
      </c>
      <c r="AD785">
        <v>3</v>
      </c>
      <c r="AE785" t="str" cm="1">
        <f t="array" ref="AE785">_xlfn.IFS(AD785=1,"Low",AD785=2,"Good",AD785=3,"Excellent",AD785=4,"Outstanding")</f>
        <v>Excellent</v>
      </c>
      <c r="AF785">
        <v>3</v>
      </c>
      <c r="AG785" t="str" cm="1">
        <f t="array" ref="AG785">_xlfn.IFS(AF785=1,"Low",AF785=2,"Medium",AF785=3,"High",AF785=4,"Very High")</f>
        <v>High</v>
      </c>
      <c r="AH785">
        <v>0</v>
      </c>
      <c r="AI785">
        <v>10</v>
      </c>
      <c r="AJ785">
        <v>3</v>
      </c>
      <c r="AK785">
        <v>3</v>
      </c>
      <c r="AL785" t="str" cm="1">
        <f t="array" ref="AL785">_xlfn.IFS(AK785=1,"Low",AK785=2,"Medium",AK785=3,"High",AK785=4,"Very High")</f>
        <v>High</v>
      </c>
      <c r="AM785">
        <v>10</v>
      </c>
      <c r="AN785">
        <v>6</v>
      </c>
      <c r="AO785">
        <v>0</v>
      </c>
      <c r="AP785">
        <v>8</v>
      </c>
    </row>
    <row r="786" spans="1:42">
      <c r="A786">
        <v>38</v>
      </c>
      <c r="B786" t="str" cm="1">
        <f t="array" ref="B786">_xlfn.IFS(A786&lt;=25,"18-25",A786&lt;=35,"26-35",A786&lt;=45,"36-45",A786&lt;=55,"46-55",A786&gt;55,"56+")</f>
        <v>36-45</v>
      </c>
      <c r="C786" t="s">
        <v>39</v>
      </c>
      <c r="D786" t="s">
        <v>33</v>
      </c>
      <c r="E786" s="2">
        <v>330</v>
      </c>
      <c r="F786" t="s">
        <v>41</v>
      </c>
      <c r="G786">
        <v>17</v>
      </c>
      <c r="H786" t="str">
        <f t="shared" si="12"/>
        <v>11-20 km</v>
      </c>
      <c r="I786">
        <v>1</v>
      </c>
      <c r="J786" t="str" cm="1">
        <f t="array" ref="J786">_xlfn.IFS(I786=1,"Below College",I786=2,"College",I786=3,"Bachelor",I786=4,"Master",I786=5,"Doctor")</f>
        <v>Below College</v>
      </c>
      <c r="K786" t="s">
        <v>35</v>
      </c>
      <c r="L786">
        <v>1088</v>
      </c>
      <c r="M786">
        <v>3</v>
      </c>
      <c r="N786" t="str" cm="1">
        <f t="array" ref="N786">_xlfn.IFS(M786=1,"Low",M786=2,"Medium",M786=3,"High",M786=4,"Very High")</f>
        <v>High</v>
      </c>
      <c r="O786" t="s">
        <v>36</v>
      </c>
      <c r="P786" s="2">
        <v>65</v>
      </c>
      <c r="Q786">
        <v>2</v>
      </c>
      <c r="R786" t="str" cm="1">
        <f t="array" ref="R786">_xlfn.IFS(Q786=1,"Low",Q786=2,"Medium",Q786=3,"High",Q786=4,"Very High")</f>
        <v>Medium</v>
      </c>
      <c r="S786">
        <v>3</v>
      </c>
      <c r="T786" t="str" cm="1">
        <f t="array" ref="T786">_xlfn.IFS(S786=1,"Entry Level",S786=2,"Junior",S786=3,"Mid-Level",S786=4,"Senior",S786=5,"Executive")</f>
        <v>Mid-Level</v>
      </c>
      <c r="U786" t="s">
        <v>50</v>
      </c>
      <c r="V786">
        <v>3</v>
      </c>
      <c r="W786" t="str" cm="1">
        <f t="array" ref="W786">_xlfn.IFS(V786=1,"Low",V786=2,"Medium",V786=3,"High",V786=4,"Very High")</f>
        <v>High</v>
      </c>
      <c r="X786" t="s">
        <v>44</v>
      </c>
      <c r="Y786" s="2">
        <v>8823</v>
      </c>
      <c r="Z786" s="2">
        <v>24608</v>
      </c>
      <c r="AA786">
        <v>0</v>
      </c>
      <c r="AB786" t="s">
        <v>39</v>
      </c>
      <c r="AC786">
        <v>18</v>
      </c>
      <c r="AD786">
        <v>3</v>
      </c>
      <c r="AE786" t="str" cm="1">
        <f t="array" ref="AE786">_xlfn.IFS(AD786=1,"Low",AD786=2,"Good",AD786=3,"Excellent",AD786=4,"Outstanding")</f>
        <v>Excellent</v>
      </c>
      <c r="AF786">
        <v>1</v>
      </c>
      <c r="AG786" t="str" cm="1">
        <f t="array" ref="AG786">_xlfn.IFS(AF786=1,"Low",AF786=2,"Medium",AF786=3,"High",AF786=4,"Very High")</f>
        <v>Low</v>
      </c>
      <c r="AH786">
        <v>1</v>
      </c>
      <c r="AI786">
        <v>20</v>
      </c>
      <c r="AJ786">
        <v>4</v>
      </c>
      <c r="AK786">
        <v>2</v>
      </c>
      <c r="AL786" t="str" cm="1">
        <f t="array" ref="AL786">_xlfn.IFS(AK786=1,"Low",AK786=2,"Medium",AK786=3,"High",AK786=4,"Very High")</f>
        <v>Medium</v>
      </c>
      <c r="AM786">
        <v>19</v>
      </c>
      <c r="AN786">
        <v>9</v>
      </c>
      <c r="AO786">
        <v>1</v>
      </c>
      <c r="AP786">
        <v>9</v>
      </c>
    </row>
    <row r="787" spans="1:42">
      <c r="A787">
        <v>40</v>
      </c>
      <c r="B787" t="str" cm="1">
        <f t="array" ref="B787">_xlfn.IFS(A787&lt;=25,"18-25",A787&lt;=35,"26-35",A787&lt;=45,"36-45",A787&lt;=55,"46-55",A787&gt;55,"56+")</f>
        <v>36-45</v>
      </c>
      <c r="C787" t="s">
        <v>39</v>
      </c>
      <c r="D787" t="s">
        <v>33</v>
      </c>
      <c r="E787" s="2">
        <v>1492</v>
      </c>
      <c r="F787" t="s">
        <v>41</v>
      </c>
      <c r="G787">
        <v>20</v>
      </c>
      <c r="H787" t="str">
        <f t="shared" si="12"/>
        <v>11-20 km</v>
      </c>
      <c r="I787">
        <v>4</v>
      </c>
      <c r="J787" t="str" cm="1">
        <f t="array" ref="J787">_xlfn.IFS(I787=1,"Below College",I787=2,"College",I787=3,"Bachelor",I787=4,"Master",I787=5,"Doctor")</f>
        <v>Master</v>
      </c>
      <c r="K787" t="s">
        <v>56</v>
      </c>
      <c r="L787">
        <v>1092</v>
      </c>
      <c r="M787">
        <v>1</v>
      </c>
      <c r="N787" t="str" cm="1">
        <f t="array" ref="N787">_xlfn.IFS(M787=1,"Low",M787=2,"Medium",M787=3,"High",M787=4,"Very High")</f>
        <v>Low</v>
      </c>
      <c r="O787" t="s">
        <v>42</v>
      </c>
      <c r="P787" s="2">
        <v>61</v>
      </c>
      <c r="Q787">
        <v>3</v>
      </c>
      <c r="R787" t="str" cm="1">
        <f t="array" ref="R787">_xlfn.IFS(Q787=1,"Low",Q787=2,"Medium",Q787=3,"High",Q787=4,"Very High")</f>
        <v>High</v>
      </c>
      <c r="S787">
        <v>3</v>
      </c>
      <c r="T787" t="str" cm="1">
        <f t="array" ref="T787">_xlfn.IFS(S787=1,"Entry Level",S787=2,"Junior",S787=3,"Mid-Level",S787=4,"Senior",S787=5,"Executive")</f>
        <v>Mid-Level</v>
      </c>
      <c r="U787" t="s">
        <v>50</v>
      </c>
      <c r="V787">
        <v>4</v>
      </c>
      <c r="W787" t="str" cm="1">
        <f t="array" ref="W787">_xlfn.IFS(V787=1,"Low",V787=2,"Medium",V787=3,"High",V787=4,"Very High")</f>
        <v>Very High</v>
      </c>
      <c r="X787" t="s">
        <v>44</v>
      </c>
      <c r="Y787" s="2">
        <v>10322</v>
      </c>
      <c r="Z787" s="2">
        <v>26542</v>
      </c>
      <c r="AA787">
        <v>4</v>
      </c>
      <c r="AB787" t="s">
        <v>39</v>
      </c>
      <c r="AC787">
        <v>20</v>
      </c>
      <c r="AD787">
        <v>4</v>
      </c>
      <c r="AE787" t="str" cm="1">
        <f t="array" ref="AE787">_xlfn.IFS(AD787=1,"Low",AD787=2,"Good",AD787=3,"Excellent",AD787=4,"Outstanding")</f>
        <v>Outstanding</v>
      </c>
      <c r="AF787">
        <v>4</v>
      </c>
      <c r="AG787" t="str" cm="1">
        <f t="array" ref="AG787">_xlfn.IFS(AF787=1,"Low",AF787=2,"Medium",AF787=3,"High",AF787=4,"Very High")</f>
        <v>Very High</v>
      </c>
      <c r="AH787">
        <v>1</v>
      </c>
      <c r="AI787">
        <v>14</v>
      </c>
      <c r="AJ787">
        <v>6</v>
      </c>
      <c r="AK787">
        <v>3</v>
      </c>
      <c r="AL787" t="str" cm="1">
        <f t="array" ref="AL787">_xlfn.IFS(AK787=1,"Low",AK787=2,"Medium",AK787=3,"High",AK787=4,"Very High")</f>
        <v>High</v>
      </c>
      <c r="AM787">
        <v>11</v>
      </c>
      <c r="AN787">
        <v>10</v>
      </c>
      <c r="AO787">
        <v>11</v>
      </c>
      <c r="AP787">
        <v>1</v>
      </c>
    </row>
    <row r="788" spans="1:42">
      <c r="A788">
        <v>27</v>
      </c>
      <c r="B788" t="str" cm="1">
        <f t="array" ref="B788">_xlfn.IFS(A788&lt;=25,"18-25",A788&lt;=35,"26-35",A788&lt;=45,"36-45",A788&lt;=55,"46-55",A788&gt;55,"56+")</f>
        <v>26-35</v>
      </c>
      <c r="C788" t="s">
        <v>39</v>
      </c>
      <c r="D788" t="s">
        <v>51</v>
      </c>
      <c r="E788" s="2">
        <v>1277</v>
      </c>
      <c r="F788" t="s">
        <v>41</v>
      </c>
      <c r="G788">
        <v>8</v>
      </c>
      <c r="H788" t="str">
        <f t="shared" si="12"/>
        <v>1-10 km</v>
      </c>
      <c r="I788">
        <v>5</v>
      </c>
      <c r="J788" t="str" cm="1">
        <f t="array" ref="J788">_xlfn.IFS(I788=1,"Below College",I788=2,"College",I788=3,"Bachelor",I788=4,"Master",I788=5,"Doctor")</f>
        <v>Doctor</v>
      </c>
      <c r="K788" t="s">
        <v>35</v>
      </c>
      <c r="L788">
        <v>1094</v>
      </c>
      <c r="M788">
        <v>1</v>
      </c>
      <c r="N788" t="str" cm="1">
        <f t="array" ref="N788">_xlfn.IFS(M788=1,"Low",M788=2,"Medium",M788=3,"High",M788=4,"Very High")</f>
        <v>Low</v>
      </c>
      <c r="O788" t="s">
        <v>42</v>
      </c>
      <c r="P788" s="2">
        <v>87</v>
      </c>
      <c r="Q788">
        <v>1</v>
      </c>
      <c r="R788" t="str" cm="1">
        <f t="array" ref="R788">_xlfn.IFS(Q788=1,"Low",Q788=2,"Medium",Q788=3,"High",Q788=4,"Very High")</f>
        <v>Low</v>
      </c>
      <c r="S788">
        <v>1</v>
      </c>
      <c r="T788" t="str" cm="1">
        <f t="array" ref="T788">_xlfn.IFS(S788=1,"Entry Level",S788=2,"Junior",S788=3,"Mid-Level",S788=4,"Senior",S788=5,"Executive")</f>
        <v>Entry Level</v>
      </c>
      <c r="U788" t="s">
        <v>46</v>
      </c>
      <c r="V788">
        <v>3</v>
      </c>
      <c r="W788" t="str" cm="1">
        <f t="array" ref="W788">_xlfn.IFS(V788=1,"Low",V788=2,"Medium",V788=3,"High",V788=4,"Very High")</f>
        <v>High</v>
      </c>
      <c r="X788" t="s">
        <v>44</v>
      </c>
      <c r="Y788" s="2">
        <v>4621</v>
      </c>
      <c r="Z788" s="2">
        <v>5869</v>
      </c>
      <c r="AA788">
        <v>1</v>
      </c>
      <c r="AB788" t="s">
        <v>39</v>
      </c>
      <c r="AC788">
        <v>19</v>
      </c>
      <c r="AD788">
        <v>3</v>
      </c>
      <c r="AE788" t="str" cm="1">
        <f t="array" ref="AE788">_xlfn.IFS(AD788=1,"Low",AD788=2,"Good",AD788=3,"Excellent",AD788=4,"Outstanding")</f>
        <v>Excellent</v>
      </c>
      <c r="AF788">
        <v>4</v>
      </c>
      <c r="AG788" t="str" cm="1">
        <f t="array" ref="AG788">_xlfn.IFS(AF788=1,"Low",AF788=2,"Medium",AF788=3,"High",AF788=4,"Very High")</f>
        <v>Very High</v>
      </c>
      <c r="AH788">
        <v>3</v>
      </c>
      <c r="AI788">
        <v>3</v>
      </c>
      <c r="AJ788">
        <v>4</v>
      </c>
      <c r="AK788">
        <v>3</v>
      </c>
      <c r="AL788" t="str" cm="1">
        <f t="array" ref="AL788">_xlfn.IFS(AK788=1,"Low",AK788=2,"Medium",AK788=3,"High",AK788=4,"Very High")</f>
        <v>High</v>
      </c>
      <c r="AM788">
        <v>3</v>
      </c>
      <c r="AN788">
        <v>2</v>
      </c>
      <c r="AO788">
        <v>1</v>
      </c>
      <c r="AP788">
        <v>2</v>
      </c>
    </row>
    <row r="789" spans="1:42">
      <c r="A789">
        <v>55</v>
      </c>
      <c r="B789" t="str" cm="1">
        <f t="array" ref="B789">_xlfn.IFS(A789&lt;=25,"18-25",A789&lt;=35,"26-35",A789&lt;=45,"36-45",A789&lt;=55,"46-55",A789&gt;55,"56+")</f>
        <v>46-55</v>
      </c>
      <c r="C789" t="s">
        <v>39</v>
      </c>
      <c r="D789" t="s">
        <v>40</v>
      </c>
      <c r="E789" s="2">
        <v>1091</v>
      </c>
      <c r="F789" t="s">
        <v>41</v>
      </c>
      <c r="G789">
        <v>2</v>
      </c>
      <c r="H789" t="str">
        <f t="shared" si="12"/>
        <v>1-10 km</v>
      </c>
      <c r="I789">
        <v>1</v>
      </c>
      <c r="J789" t="str" cm="1">
        <f t="array" ref="J789">_xlfn.IFS(I789=1,"Below College",I789=2,"College",I789=3,"Bachelor",I789=4,"Master",I789=5,"Doctor")</f>
        <v>Below College</v>
      </c>
      <c r="K789" t="s">
        <v>35</v>
      </c>
      <c r="L789">
        <v>1096</v>
      </c>
      <c r="M789">
        <v>4</v>
      </c>
      <c r="N789" t="str" cm="1">
        <f t="array" ref="N789">_xlfn.IFS(M789=1,"Low",M789=2,"Medium",M789=3,"High",M789=4,"Very High")</f>
        <v>Very High</v>
      </c>
      <c r="O789" t="s">
        <v>42</v>
      </c>
      <c r="P789" s="2">
        <v>65</v>
      </c>
      <c r="Q789">
        <v>3</v>
      </c>
      <c r="R789" t="str" cm="1">
        <f t="array" ref="R789">_xlfn.IFS(Q789=1,"Low",Q789=2,"Medium",Q789=3,"High",Q789=4,"Very High")</f>
        <v>High</v>
      </c>
      <c r="S789">
        <v>3</v>
      </c>
      <c r="T789" t="str" cm="1">
        <f t="array" ref="T789">_xlfn.IFS(S789=1,"Entry Level",S789=2,"Junior",S789=3,"Mid-Level",S789=4,"Senior",S789=5,"Executive")</f>
        <v>Mid-Level</v>
      </c>
      <c r="U789" t="s">
        <v>49</v>
      </c>
      <c r="V789">
        <v>2</v>
      </c>
      <c r="W789" t="str" cm="1">
        <f t="array" ref="W789">_xlfn.IFS(V789=1,"Low",V789=2,"Medium",V789=3,"High",V789=4,"Very High")</f>
        <v>Medium</v>
      </c>
      <c r="X789" t="s">
        <v>44</v>
      </c>
      <c r="Y789" s="2">
        <v>10976</v>
      </c>
      <c r="Z789" s="2">
        <v>15813</v>
      </c>
      <c r="AA789">
        <v>3</v>
      </c>
      <c r="AB789" t="s">
        <v>39</v>
      </c>
      <c r="AC789">
        <v>18</v>
      </c>
      <c r="AD789">
        <v>3</v>
      </c>
      <c r="AE789" t="str" cm="1">
        <f t="array" ref="AE789">_xlfn.IFS(AD789=1,"Low",AD789=2,"Good",AD789=3,"Excellent",AD789=4,"Outstanding")</f>
        <v>Excellent</v>
      </c>
      <c r="AF789">
        <v>2</v>
      </c>
      <c r="AG789" t="str" cm="1">
        <f t="array" ref="AG789">_xlfn.IFS(AF789=1,"Low",AF789=2,"Medium",AF789=3,"High",AF789=4,"Very High")</f>
        <v>Medium</v>
      </c>
      <c r="AH789">
        <v>1</v>
      </c>
      <c r="AI789">
        <v>23</v>
      </c>
      <c r="AJ789">
        <v>4</v>
      </c>
      <c r="AK789">
        <v>3</v>
      </c>
      <c r="AL789" t="str" cm="1">
        <f t="array" ref="AL789">_xlfn.IFS(AK789=1,"Low",AK789=2,"Medium",AK789=3,"High",AK789=4,"Very High")</f>
        <v>High</v>
      </c>
      <c r="AM789">
        <v>3</v>
      </c>
      <c r="AN789">
        <v>2</v>
      </c>
      <c r="AO789">
        <v>1</v>
      </c>
      <c r="AP789">
        <v>2</v>
      </c>
    </row>
    <row r="790" spans="1:42">
      <c r="A790">
        <v>28</v>
      </c>
      <c r="B790" t="str" cm="1">
        <f t="array" ref="B790">_xlfn.IFS(A790&lt;=25,"18-25",A790&lt;=35,"26-35",A790&lt;=45,"36-45",A790&lt;=55,"46-55",A790&gt;55,"56+")</f>
        <v>26-35</v>
      </c>
      <c r="C790" t="s">
        <v>39</v>
      </c>
      <c r="D790" t="s">
        <v>33</v>
      </c>
      <c r="E790" s="2">
        <v>857</v>
      </c>
      <c r="F790" t="s">
        <v>41</v>
      </c>
      <c r="G790">
        <v>10</v>
      </c>
      <c r="H790" t="str">
        <f t="shared" si="12"/>
        <v>1-10 km</v>
      </c>
      <c r="I790">
        <v>3</v>
      </c>
      <c r="J790" t="str" cm="1">
        <f t="array" ref="J790">_xlfn.IFS(I790=1,"Below College",I790=2,"College",I790=3,"Bachelor",I790=4,"Master",I790=5,"Doctor")</f>
        <v>Bachelor</v>
      </c>
      <c r="K790" t="s">
        <v>45</v>
      </c>
      <c r="L790">
        <v>1097</v>
      </c>
      <c r="M790">
        <v>3</v>
      </c>
      <c r="N790" t="str" cm="1">
        <f t="array" ref="N790">_xlfn.IFS(M790=1,"Low",M790=2,"Medium",M790=3,"High",M790=4,"Very High")</f>
        <v>High</v>
      </c>
      <c r="O790" t="s">
        <v>36</v>
      </c>
      <c r="P790" s="2">
        <v>59</v>
      </c>
      <c r="Q790">
        <v>3</v>
      </c>
      <c r="R790" t="str" cm="1">
        <f t="array" ref="R790">_xlfn.IFS(Q790=1,"Low",Q790=2,"Medium",Q790=3,"High",Q790=4,"Very High")</f>
        <v>High</v>
      </c>
      <c r="S790">
        <v>2</v>
      </c>
      <c r="T790" t="str" cm="1">
        <f t="array" ref="T790">_xlfn.IFS(S790=1,"Entry Level",S790=2,"Junior",S790=3,"Mid-Level",S790=4,"Senior",S790=5,"Executive")</f>
        <v>Junior</v>
      </c>
      <c r="U790" t="s">
        <v>43</v>
      </c>
      <c r="V790">
        <v>3</v>
      </c>
      <c r="W790" t="str" cm="1">
        <f t="array" ref="W790">_xlfn.IFS(V790=1,"Low",V790=2,"Medium",V790=3,"High",V790=4,"Very High")</f>
        <v>High</v>
      </c>
      <c r="X790" t="s">
        <v>38</v>
      </c>
      <c r="Y790" s="2">
        <v>3660</v>
      </c>
      <c r="Z790" s="2">
        <v>7909</v>
      </c>
      <c r="AA790">
        <v>3</v>
      </c>
      <c r="AB790" t="s">
        <v>39</v>
      </c>
      <c r="AC790">
        <v>13</v>
      </c>
      <c r="AD790">
        <v>3</v>
      </c>
      <c r="AE790" t="str" cm="1">
        <f t="array" ref="AE790">_xlfn.IFS(AD790=1,"Low",AD790=2,"Good",AD790=3,"Excellent",AD790=4,"Outstanding")</f>
        <v>Excellent</v>
      </c>
      <c r="AF790">
        <v>4</v>
      </c>
      <c r="AG790" t="str" cm="1">
        <f t="array" ref="AG790">_xlfn.IFS(AF790=1,"Low",AF790=2,"Medium",AF790=3,"High",AF790=4,"Very High")</f>
        <v>Very High</v>
      </c>
      <c r="AH790">
        <v>0</v>
      </c>
      <c r="AI790">
        <v>10</v>
      </c>
      <c r="AJ790">
        <v>4</v>
      </c>
      <c r="AK790">
        <v>4</v>
      </c>
      <c r="AL790" t="str" cm="1">
        <f t="array" ref="AL790">_xlfn.IFS(AK790=1,"Low",AK790=2,"Medium",AK790=3,"High",AK790=4,"Very High")</f>
        <v>Very High</v>
      </c>
      <c r="AM790">
        <v>8</v>
      </c>
      <c r="AN790">
        <v>7</v>
      </c>
      <c r="AO790">
        <v>1</v>
      </c>
      <c r="AP790">
        <v>7</v>
      </c>
    </row>
    <row r="791" spans="1:42">
      <c r="A791">
        <v>44</v>
      </c>
      <c r="B791" t="str" cm="1">
        <f t="array" ref="B791">_xlfn.IFS(A791&lt;=25,"18-25",A791&lt;=35,"26-35",A791&lt;=45,"36-45",A791&lt;=55,"46-55",A791&gt;55,"56+")</f>
        <v>36-45</v>
      </c>
      <c r="C791" t="s">
        <v>32</v>
      </c>
      <c r="D791" t="s">
        <v>33</v>
      </c>
      <c r="E791" s="2">
        <v>1376</v>
      </c>
      <c r="F791" t="s">
        <v>57</v>
      </c>
      <c r="G791">
        <v>1</v>
      </c>
      <c r="H791" t="str">
        <f t="shared" si="12"/>
        <v>1-10 km</v>
      </c>
      <c r="I791">
        <v>2</v>
      </c>
      <c r="J791" t="str" cm="1">
        <f t="array" ref="J791">_xlfn.IFS(I791=1,"Below College",I791=2,"College",I791=3,"Bachelor",I791=4,"Master",I791=5,"Doctor")</f>
        <v>College</v>
      </c>
      <c r="K791" t="s">
        <v>47</v>
      </c>
      <c r="L791">
        <v>1098</v>
      </c>
      <c r="M791">
        <v>2</v>
      </c>
      <c r="N791" t="str" cm="1">
        <f t="array" ref="N791">_xlfn.IFS(M791=1,"Low",M791=2,"Medium",M791=3,"High",M791=4,"Very High")</f>
        <v>Medium</v>
      </c>
      <c r="O791" t="s">
        <v>42</v>
      </c>
      <c r="P791" s="2">
        <v>91</v>
      </c>
      <c r="Q791">
        <v>2</v>
      </c>
      <c r="R791" t="str" cm="1">
        <f t="array" ref="R791">_xlfn.IFS(Q791=1,"Low",Q791=2,"Medium",Q791=3,"High",Q791=4,"Very High")</f>
        <v>Medium</v>
      </c>
      <c r="S791">
        <v>3</v>
      </c>
      <c r="T791" t="str" cm="1">
        <f t="array" ref="T791">_xlfn.IFS(S791=1,"Entry Level",S791=2,"Junior",S791=3,"Mid-Level",S791=4,"Senior",S791=5,"Executive")</f>
        <v>Mid-Level</v>
      </c>
      <c r="U791" t="s">
        <v>57</v>
      </c>
      <c r="V791">
        <v>1</v>
      </c>
      <c r="W791" t="str" cm="1">
        <f t="array" ref="W791">_xlfn.IFS(V791=1,"Low",V791=2,"Medium",V791=3,"High",V791=4,"Very High")</f>
        <v>Low</v>
      </c>
      <c r="X791" t="s">
        <v>44</v>
      </c>
      <c r="Y791" s="2">
        <v>10482</v>
      </c>
      <c r="Z791" s="2">
        <v>2326</v>
      </c>
      <c r="AA791">
        <v>9</v>
      </c>
      <c r="AB791" t="s">
        <v>39</v>
      </c>
      <c r="AC791">
        <v>14</v>
      </c>
      <c r="AD791">
        <v>3</v>
      </c>
      <c r="AE791" t="str" cm="1">
        <f t="array" ref="AE791">_xlfn.IFS(AD791=1,"Low",AD791=2,"Good",AD791=3,"Excellent",AD791=4,"Outstanding")</f>
        <v>Excellent</v>
      </c>
      <c r="AF791">
        <v>4</v>
      </c>
      <c r="AG791" t="str" cm="1">
        <f t="array" ref="AG791">_xlfn.IFS(AF791=1,"Low",AF791=2,"Medium",AF791=3,"High",AF791=4,"Very High")</f>
        <v>Very High</v>
      </c>
      <c r="AH791">
        <v>1</v>
      </c>
      <c r="AI791">
        <v>24</v>
      </c>
      <c r="AJ791">
        <v>1</v>
      </c>
      <c r="AK791">
        <v>3</v>
      </c>
      <c r="AL791" t="str" cm="1">
        <f t="array" ref="AL791">_xlfn.IFS(AK791=1,"Low",AK791=2,"Medium",AK791=3,"High",AK791=4,"Very High")</f>
        <v>High</v>
      </c>
      <c r="AM791">
        <v>20</v>
      </c>
      <c r="AN791">
        <v>6</v>
      </c>
      <c r="AO791">
        <v>3</v>
      </c>
      <c r="AP791">
        <v>6</v>
      </c>
    </row>
    <row r="792" spans="1:42">
      <c r="A792">
        <v>33</v>
      </c>
      <c r="B792" t="str" cm="1">
        <f t="array" ref="B792">_xlfn.IFS(A792&lt;=25,"18-25",A792&lt;=35,"26-35",A792&lt;=45,"36-45",A792&lt;=55,"46-55",A792&gt;55,"56+")</f>
        <v>26-35</v>
      </c>
      <c r="C792" t="s">
        <v>39</v>
      </c>
      <c r="D792" t="s">
        <v>33</v>
      </c>
      <c r="E792" s="2">
        <v>654</v>
      </c>
      <c r="F792" t="s">
        <v>41</v>
      </c>
      <c r="G792">
        <v>5</v>
      </c>
      <c r="H792" t="str">
        <f t="shared" si="12"/>
        <v>1-10 km</v>
      </c>
      <c r="I792">
        <v>3</v>
      </c>
      <c r="J792" t="str" cm="1">
        <f t="array" ref="J792">_xlfn.IFS(I792=1,"Below College",I792=2,"College",I792=3,"Bachelor",I792=4,"Master",I792=5,"Doctor")</f>
        <v>Bachelor</v>
      </c>
      <c r="K792" t="s">
        <v>35</v>
      </c>
      <c r="L792">
        <v>1099</v>
      </c>
      <c r="M792">
        <v>4</v>
      </c>
      <c r="N792" t="str" cm="1">
        <f t="array" ref="N792">_xlfn.IFS(M792=1,"Low",M792=2,"Medium",M792=3,"High",M792=4,"Very High")</f>
        <v>Very High</v>
      </c>
      <c r="O792" t="s">
        <v>42</v>
      </c>
      <c r="P792" s="2">
        <v>34</v>
      </c>
      <c r="Q792">
        <v>2</v>
      </c>
      <c r="R792" t="str" cm="1">
        <f t="array" ref="R792">_xlfn.IFS(Q792=1,"Low",Q792=2,"Medium",Q792=3,"High",Q792=4,"Very High")</f>
        <v>Medium</v>
      </c>
      <c r="S792">
        <v>3</v>
      </c>
      <c r="T792" t="str" cm="1">
        <f t="array" ref="T792">_xlfn.IFS(S792=1,"Entry Level",S792=2,"Junior",S792=3,"Mid-Level",S792=4,"Senior",S792=5,"Executive")</f>
        <v>Mid-Level</v>
      </c>
      <c r="U792" t="s">
        <v>50</v>
      </c>
      <c r="V792">
        <v>4</v>
      </c>
      <c r="W792" t="str" cm="1">
        <f t="array" ref="W792">_xlfn.IFS(V792=1,"Low",V792=2,"Medium",V792=3,"High",V792=4,"Very High")</f>
        <v>Very High</v>
      </c>
      <c r="X792" t="s">
        <v>48</v>
      </c>
      <c r="Y792" s="2">
        <v>7119</v>
      </c>
      <c r="Z792" s="2">
        <v>21214</v>
      </c>
      <c r="AA792">
        <v>4</v>
      </c>
      <c r="AB792" t="s">
        <v>39</v>
      </c>
      <c r="AC792">
        <v>15</v>
      </c>
      <c r="AD792">
        <v>3</v>
      </c>
      <c r="AE792" t="str" cm="1">
        <f t="array" ref="AE792">_xlfn.IFS(AD792=1,"Low",AD792=2,"Good",AD792=3,"Excellent",AD792=4,"Outstanding")</f>
        <v>Excellent</v>
      </c>
      <c r="AF792">
        <v>3</v>
      </c>
      <c r="AG792" t="str" cm="1">
        <f t="array" ref="AG792">_xlfn.IFS(AF792=1,"Low",AF792=2,"Medium",AF792=3,"High",AF792=4,"Very High")</f>
        <v>High</v>
      </c>
      <c r="AH792">
        <v>1</v>
      </c>
      <c r="AI792">
        <v>9</v>
      </c>
      <c r="AJ792">
        <v>2</v>
      </c>
      <c r="AK792">
        <v>3</v>
      </c>
      <c r="AL792" t="str" cm="1">
        <f t="array" ref="AL792">_xlfn.IFS(AK792=1,"Low",AK792=2,"Medium",AK792=3,"High",AK792=4,"Very High")</f>
        <v>High</v>
      </c>
      <c r="AM792">
        <v>3</v>
      </c>
      <c r="AN792">
        <v>2</v>
      </c>
      <c r="AO792">
        <v>1</v>
      </c>
      <c r="AP792">
        <v>2</v>
      </c>
    </row>
    <row r="793" spans="1:42">
      <c r="A793">
        <v>35</v>
      </c>
      <c r="B793" t="str" cm="1">
        <f t="array" ref="B793">_xlfn.IFS(A793&lt;=25,"18-25",A793&lt;=35,"26-35",A793&lt;=45,"36-45",A793&lt;=55,"46-55",A793&gt;55,"56+")</f>
        <v>26-35</v>
      </c>
      <c r="C793" t="s">
        <v>32</v>
      </c>
      <c r="D793" t="s">
        <v>33</v>
      </c>
      <c r="E793" s="2">
        <v>1204</v>
      </c>
      <c r="F793" t="s">
        <v>34</v>
      </c>
      <c r="G793">
        <v>4</v>
      </c>
      <c r="H793" t="str">
        <f t="shared" si="12"/>
        <v>1-10 km</v>
      </c>
      <c r="I793">
        <v>3</v>
      </c>
      <c r="J793" t="str" cm="1">
        <f t="array" ref="J793">_xlfn.IFS(I793=1,"Below College",I793=2,"College",I793=3,"Bachelor",I793=4,"Master",I793=5,"Doctor")</f>
        <v>Bachelor</v>
      </c>
      <c r="K793" t="s">
        <v>56</v>
      </c>
      <c r="L793">
        <v>1100</v>
      </c>
      <c r="M793">
        <v>4</v>
      </c>
      <c r="N793" t="str" cm="1">
        <f t="array" ref="N793">_xlfn.IFS(M793=1,"Low",M793=2,"Medium",M793=3,"High",M793=4,"Very High")</f>
        <v>Very High</v>
      </c>
      <c r="O793" t="s">
        <v>42</v>
      </c>
      <c r="P793" s="2">
        <v>86</v>
      </c>
      <c r="Q793">
        <v>3</v>
      </c>
      <c r="R793" t="str" cm="1">
        <f t="array" ref="R793">_xlfn.IFS(Q793=1,"Low",Q793=2,"Medium",Q793=3,"High",Q793=4,"Very High")</f>
        <v>High</v>
      </c>
      <c r="S793">
        <v>3</v>
      </c>
      <c r="T793" t="str" cm="1">
        <f t="array" ref="T793">_xlfn.IFS(S793=1,"Entry Level",S793=2,"Junior",S793=3,"Mid-Level",S793=4,"Senior",S793=5,"Executive")</f>
        <v>Mid-Level</v>
      </c>
      <c r="U793" t="s">
        <v>37</v>
      </c>
      <c r="V793">
        <v>1</v>
      </c>
      <c r="W793" t="str" cm="1">
        <f t="array" ref="W793">_xlfn.IFS(V793=1,"Low",V793=2,"Medium",V793=3,"High",V793=4,"Very High")</f>
        <v>Low</v>
      </c>
      <c r="X793" t="s">
        <v>38</v>
      </c>
      <c r="Y793" s="2">
        <v>9582</v>
      </c>
      <c r="Z793" s="2">
        <v>10333</v>
      </c>
      <c r="AA793">
        <v>0</v>
      </c>
      <c r="AB793" t="s">
        <v>32</v>
      </c>
      <c r="AC793">
        <v>22</v>
      </c>
      <c r="AD793">
        <v>4</v>
      </c>
      <c r="AE793" t="str" cm="1">
        <f t="array" ref="AE793">_xlfn.IFS(AD793=1,"Low",AD793=2,"Good",AD793=3,"Excellent",AD793=4,"Outstanding")</f>
        <v>Outstanding</v>
      </c>
      <c r="AF793">
        <v>1</v>
      </c>
      <c r="AG793" t="str" cm="1">
        <f t="array" ref="AG793">_xlfn.IFS(AF793=1,"Low",AF793=2,"Medium",AF793=3,"High",AF793=4,"Very High")</f>
        <v>Low</v>
      </c>
      <c r="AH793">
        <v>0</v>
      </c>
      <c r="AI793">
        <v>9</v>
      </c>
      <c r="AJ793">
        <v>2</v>
      </c>
      <c r="AK793">
        <v>3</v>
      </c>
      <c r="AL793" t="str" cm="1">
        <f t="array" ref="AL793">_xlfn.IFS(AK793=1,"Low",AK793=2,"Medium",AK793=3,"High",AK793=4,"Very High")</f>
        <v>High</v>
      </c>
      <c r="AM793">
        <v>8</v>
      </c>
      <c r="AN793">
        <v>7</v>
      </c>
      <c r="AO793">
        <v>4</v>
      </c>
      <c r="AP793">
        <v>7</v>
      </c>
    </row>
    <row r="794" spans="1:42">
      <c r="A794">
        <v>33</v>
      </c>
      <c r="B794" t="str" cm="1">
        <f t="array" ref="B794">_xlfn.IFS(A794&lt;=25,"18-25",A794&lt;=35,"26-35",A794&lt;=45,"36-45",A794&lt;=55,"46-55",A794&gt;55,"56+")</f>
        <v>26-35</v>
      </c>
      <c r="C794" t="s">
        <v>32</v>
      </c>
      <c r="D794" t="s">
        <v>40</v>
      </c>
      <c r="E794" s="2">
        <v>827</v>
      </c>
      <c r="F794" t="s">
        <v>41</v>
      </c>
      <c r="G794">
        <v>29</v>
      </c>
      <c r="H794" t="str">
        <f t="shared" si="12"/>
        <v>21-30 km</v>
      </c>
      <c r="I794">
        <v>4</v>
      </c>
      <c r="J794" t="str" cm="1">
        <f t="array" ref="J794">_xlfn.IFS(I794=1,"Below College",I794=2,"College",I794=3,"Bachelor",I794=4,"Master",I794=5,"Doctor")</f>
        <v>Master</v>
      </c>
      <c r="K794" t="s">
        <v>47</v>
      </c>
      <c r="L794">
        <v>1101</v>
      </c>
      <c r="M794">
        <v>1</v>
      </c>
      <c r="N794" t="str" cm="1">
        <f t="array" ref="N794">_xlfn.IFS(M794=1,"Low",M794=2,"Medium",M794=3,"High",M794=4,"Very High")</f>
        <v>Low</v>
      </c>
      <c r="O794" t="s">
        <v>36</v>
      </c>
      <c r="P794" s="2">
        <v>54</v>
      </c>
      <c r="Q794">
        <v>2</v>
      </c>
      <c r="R794" t="str" cm="1">
        <f t="array" ref="R794">_xlfn.IFS(Q794=1,"Low",Q794=2,"Medium",Q794=3,"High",Q794=4,"Very High")</f>
        <v>Medium</v>
      </c>
      <c r="S794">
        <v>2</v>
      </c>
      <c r="T794" t="str" cm="1">
        <f t="array" ref="T794">_xlfn.IFS(S794=1,"Entry Level",S794=2,"Junior",S794=3,"Mid-Level",S794=4,"Senior",S794=5,"Executive")</f>
        <v>Junior</v>
      </c>
      <c r="U794" t="s">
        <v>43</v>
      </c>
      <c r="V794">
        <v>3</v>
      </c>
      <c r="W794" t="str" cm="1">
        <f t="array" ref="W794">_xlfn.IFS(V794=1,"Low",V794=2,"Medium",V794=3,"High",V794=4,"Very High")</f>
        <v>High</v>
      </c>
      <c r="X794" t="s">
        <v>38</v>
      </c>
      <c r="Y794" s="2">
        <v>4508</v>
      </c>
      <c r="Z794" s="2">
        <v>3129</v>
      </c>
      <c r="AA794">
        <v>1</v>
      </c>
      <c r="AB794" t="s">
        <v>39</v>
      </c>
      <c r="AC794">
        <v>22</v>
      </c>
      <c r="AD794">
        <v>4</v>
      </c>
      <c r="AE794" t="str" cm="1">
        <f t="array" ref="AE794">_xlfn.IFS(AD794=1,"Low",AD794=2,"Good",AD794=3,"Excellent",AD794=4,"Outstanding")</f>
        <v>Outstanding</v>
      </c>
      <c r="AF794">
        <v>2</v>
      </c>
      <c r="AG794" t="str" cm="1">
        <f t="array" ref="AG794">_xlfn.IFS(AF794=1,"Low",AF794=2,"Medium",AF794=3,"High",AF794=4,"Very High")</f>
        <v>Medium</v>
      </c>
      <c r="AH794">
        <v>0</v>
      </c>
      <c r="AI794">
        <v>14</v>
      </c>
      <c r="AJ794">
        <v>4</v>
      </c>
      <c r="AK794">
        <v>3</v>
      </c>
      <c r="AL794" t="str" cm="1">
        <f t="array" ref="AL794">_xlfn.IFS(AK794=1,"Low",AK794=2,"Medium",AK794=3,"High",AK794=4,"Very High")</f>
        <v>High</v>
      </c>
      <c r="AM794">
        <v>13</v>
      </c>
      <c r="AN794">
        <v>7</v>
      </c>
      <c r="AO794">
        <v>3</v>
      </c>
      <c r="AP794">
        <v>8</v>
      </c>
    </row>
    <row r="795" spans="1:42">
      <c r="A795">
        <v>28</v>
      </c>
      <c r="B795" t="str" cm="1">
        <f t="array" ref="B795">_xlfn.IFS(A795&lt;=25,"18-25",A795&lt;=35,"26-35",A795&lt;=45,"36-45",A795&lt;=55,"46-55",A795&gt;55,"56+")</f>
        <v>26-35</v>
      </c>
      <c r="C795" t="s">
        <v>39</v>
      </c>
      <c r="D795" t="s">
        <v>33</v>
      </c>
      <c r="E795" s="2">
        <v>895</v>
      </c>
      <c r="F795" t="s">
        <v>41</v>
      </c>
      <c r="G795">
        <v>15</v>
      </c>
      <c r="H795" t="str">
        <f t="shared" si="12"/>
        <v>11-20 km</v>
      </c>
      <c r="I795">
        <v>2</v>
      </c>
      <c r="J795" t="str" cm="1">
        <f t="array" ref="J795">_xlfn.IFS(I795=1,"Below College",I795=2,"College",I795=3,"Bachelor",I795=4,"Master",I795=5,"Doctor")</f>
        <v>College</v>
      </c>
      <c r="K795" t="s">
        <v>35</v>
      </c>
      <c r="L795">
        <v>1102</v>
      </c>
      <c r="M795">
        <v>1</v>
      </c>
      <c r="N795" t="str" cm="1">
        <f t="array" ref="N795">_xlfn.IFS(M795=1,"Low",M795=2,"Medium",M795=3,"High",M795=4,"Very High")</f>
        <v>Low</v>
      </c>
      <c r="O795" t="s">
        <v>42</v>
      </c>
      <c r="P795" s="2">
        <v>50</v>
      </c>
      <c r="Q795">
        <v>3</v>
      </c>
      <c r="R795" t="str" cm="1">
        <f t="array" ref="R795">_xlfn.IFS(Q795=1,"Low",Q795=2,"Medium",Q795=3,"High",Q795=4,"Very High")</f>
        <v>High</v>
      </c>
      <c r="S795">
        <v>1</v>
      </c>
      <c r="T795" t="str" cm="1">
        <f t="array" ref="T795">_xlfn.IFS(S795=1,"Entry Level",S795=2,"Junior",S795=3,"Mid-Level",S795=4,"Senior",S795=5,"Executive")</f>
        <v>Entry Level</v>
      </c>
      <c r="U795" t="s">
        <v>46</v>
      </c>
      <c r="V795">
        <v>3</v>
      </c>
      <c r="W795" t="str" cm="1">
        <f t="array" ref="W795">_xlfn.IFS(V795=1,"Low",V795=2,"Medium",V795=3,"High",V795=4,"Very High")</f>
        <v>High</v>
      </c>
      <c r="X795" t="s">
        <v>48</v>
      </c>
      <c r="Y795" s="2">
        <v>2207</v>
      </c>
      <c r="Z795" s="2">
        <v>22482</v>
      </c>
      <c r="AA795">
        <v>1</v>
      </c>
      <c r="AB795" t="s">
        <v>39</v>
      </c>
      <c r="AC795">
        <v>16</v>
      </c>
      <c r="AD795">
        <v>3</v>
      </c>
      <c r="AE795" t="str" cm="1">
        <f t="array" ref="AE795">_xlfn.IFS(AD795=1,"Low",AD795=2,"Good",AD795=3,"Excellent",AD795=4,"Outstanding")</f>
        <v>Excellent</v>
      </c>
      <c r="AF795">
        <v>4</v>
      </c>
      <c r="AG795" t="str" cm="1">
        <f t="array" ref="AG795">_xlfn.IFS(AF795=1,"Low",AF795=2,"Medium",AF795=3,"High",AF795=4,"Very High")</f>
        <v>Very High</v>
      </c>
      <c r="AH795">
        <v>1</v>
      </c>
      <c r="AI795">
        <v>4</v>
      </c>
      <c r="AJ795">
        <v>5</v>
      </c>
      <c r="AK795">
        <v>2</v>
      </c>
      <c r="AL795" t="str" cm="1">
        <f t="array" ref="AL795">_xlfn.IFS(AK795=1,"Low",AK795=2,"Medium",AK795=3,"High",AK795=4,"Very High")</f>
        <v>Medium</v>
      </c>
      <c r="AM795">
        <v>4</v>
      </c>
      <c r="AN795">
        <v>2</v>
      </c>
      <c r="AO795">
        <v>2</v>
      </c>
      <c r="AP795">
        <v>2</v>
      </c>
    </row>
    <row r="796" spans="1:42">
      <c r="A796">
        <v>34</v>
      </c>
      <c r="B796" t="str" cm="1">
        <f t="array" ref="B796">_xlfn.IFS(A796&lt;=25,"18-25",A796&lt;=35,"26-35",A796&lt;=45,"36-45",A796&lt;=55,"46-55",A796&gt;55,"56+")</f>
        <v>26-35</v>
      </c>
      <c r="C796" t="s">
        <v>39</v>
      </c>
      <c r="D796" t="s">
        <v>40</v>
      </c>
      <c r="E796" s="2">
        <v>618</v>
      </c>
      <c r="F796" t="s">
        <v>41</v>
      </c>
      <c r="G796">
        <v>3</v>
      </c>
      <c r="H796" t="str">
        <f t="shared" si="12"/>
        <v>1-10 km</v>
      </c>
      <c r="I796">
        <v>1</v>
      </c>
      <c r="J796" t="str" cm="1">
        <f t="array" ref="J796">_xlfn.IFS(I796=1,"Below College",I796=2,"College",I796=3,"Bachelor",I796=4,"Master",I796=5,"Doctor")</f>
        <v>Below College</v>
      </c>
      <c r="K796" t="s">
        <v>35</v>
      </c>
      <c r="L796">
        <v>1103</v>
      </c>
      <c r="M796">
        <v>1</v>
      </c>
      <c r="N796" t="str" cm="1">
        <f t="array" ref="N796">_xlfn.IFS(M796=1,"Low",M796=2,"Medium",M796=3,"High",M796=4,"Very High")</f>
        <v>Low</v>
      </c>
      <c r="O796" t="s">
        <v>42</v>
      </c>
      <c r="P796" s="2">
        <v>45</v>
      </c>
      <c r="Q796">
        <v>3</v>
      </c>
      <c r="R796" t="str" cm="1">
        <f t="array" ref="R796">_xlfn.IFS(Q796=1,"Low",Q796=2,"Medium",Q796=3,"High",Q796=4,"Very High")</f>
        <v>High</v>
      </c>
      <c r="S796">
        <v>2</v>
      </c>
      <c r="T796" t="str" cm="1">
        <f t="array" ref="T796">_xlfn.IFS(S796=1,"Entry Level",S796=2,"Junior",S796=3,"Mid-Level",S796=4,"Senior",S796=5,"Executive")</f>
        <v>Junior</v>
      </c>
      <c r="U796" t="s">
        <v>50</v>
      </c>
      <c r="V796">
        <v>4</v>
      </c>
      <c r="W796" t="str" cm="1">
        <f t="array" ref="W796">_xlfn.IFS(V796=1,"Low",V796=2,"Medium",V796=3,"High",V796=4,"Very High")</f>
        <v>Very High</v>
      </c>
      <c r="X796" t="s">
        <v>38</v>
      </c>
      <c r="Y796" s="2">
        <v>7756</v>
      </c>
      <c r="Z796" s="2">
        <v>22266</v>
      </c>
      <c r="AA796">
        <v>0</v>
      </c>
      <c r="AB796" t="s">
        <v>39</v>
      </c>
      <c r="AC796">
        <v>17</v>
      </c>
      <c r="AD796">
        <v>3</v>
      </c>
      <c r="AE796" t="str" cm="1">
        <f t="array" ref="AE796">_xlfn.IFS(AD796=1,"Low",AD796=2,"Good",AD796=3,"Excellent",AD796=4,"Outstanding")</f>
        <v>Excellent</v>
      </c>
      <c r="AF796">
        <v>3</v>
      </c>
      <c r="AG796" t="str" cm="1">
        <f t="array" ref="AG796">_xlfn.IFS(AF796=1,"Low",AF796=2,"Medium",AF796=3,"High",AF796=4,"Very High")</f>
        <v>High</v>
      </c>
      <c r="AH796">
        <v>0</v>
      </c>
      <c r="AI796">
        <v>7</v>
      </c>
      <c r="AJ796">
        <v>1</v>
      </c>
      <c r="AK796">
        <v>2</v>
      </c>
      <c r="AL796" t="str" cm="1">
        <f t="array" ref="AL796">_xlfn.IFS(AK796=1,"Low",AK796=2,"Medium",AK796=3,"High",AK796=4,"Very High")</f>
        <v>Medium</v>
      </c>
      <c r="AM796">
        <v>6</v>
      </c>
      <c r="AN796">
        <v>2</v>
      </c>
      <c r="AO796">
        <v>0</v>
      </c>
      <c r="AP796">
        <v>4</v>
      </c>
    </row>
    <row r="797" spans="1:42">
      <c r="A797">
        <v>37</v>
      </c>
      <c r="B797" t="str" cm="1">
        <f t="array" ref="B797">_xlfn.IFS(A797&lt;=25,"18-25",A797&lt;=35,"26-35",A797&lt;=45,"36-45",A797&lt;=55,"46-55",A797&gt;55,"56+")</f>
        <v>36-45</v>
      </c>
      <c r="C797" t="s">
        <v>39</v>
      </c>
      <c r="D797" t="s">
        <v>33</v>
      </c>
      <c r="E797" s="2">
        <v>309</v>
      </c>
      <c r="F797" t="s">
        <v>34</v>
      </c>
      <c r="G797">
        <v>10</v>
      </c>
      <c r="H797" t="str">
        <f t="shared" si="12"/>
        <v>1-10 km</v>
      </c>
      <c r="I797">
        <v>4</v>
      </c>
      <c r="J797" t="str" cm="1">
        <f t="array" ref="J797">_xlfn.IFS(I797=1,"Below College",I797=2,"College",I797=3,"Bachelor",I797=4,"Master",I797=5,"Doctor")</f>
        <v>Master</v>
      </c>
      <c r="K797" t="s">
        <v>35</v>
      </c>
      <c r="L797">
        <v>1105</v>
      </c>
      <c r="M797">
        <v>4</v>
      </c>
      <c r="N797" t="str" cm="1">
        <f t="array" ref="N797">_xlfn.IFS(M797=1,"Low",M797=2,"Medium",M797=3,"High",M797=4,"Very High")</f>
        <v>Very High</v>
      </c>
      <c r="O797" t="s">
        <v>36</v>
      </c>
      <c r="P797" s="2">
        <v>88</v>
      </c>
      <c r="Q797">
        <v>2</v>
      </c>
      <c r="R797" t="str" cm="1">
        <f t="array" ref="R797">_xlfn.IFS(Q797=1,"Low",Q797=2,"Medium",Q797=3,"High",Q797=4,"Very High")</f>
        <v>Medium</v>
      </c>
      <c r="S797">
        <v>2</v>
      </c>
      <c r="T797" t="str" cm="1">
        <f t="array" ref="T797">_xlfn.IFS(S797=1,"Entry Level",S797=2,"Junior",S797=3,"Mid-Level",S797=4,"Senior",S797=5,"Executive")</f>
        <v>Junior</v>
      </c>
      <c r="U797" t="s">
        <v>37</v>
      </c>
      <c r="V797">
        <v>4</v>
      </c>
      <c r="W797" t="str" cm="1">
        <f t="array" ref="W797">_xlfn.IFS(V797=1,"Low",V797=2,"Medium",V797=3,"High",V797=4,"Very High")</f>
        <v>Very High</v>
      </c>
      <c r="X797" t="s">
        <v>48</v>
      </c>
      <c r="Y797" s="2">
        <v>6694</v>
      </c>
      <c r="Z797" s="2">
        <v>24223</v>
      </c>
      <c r="AA797">
        <v>2</v>
      </c>
      <c r="AB797" t="s">
        <v>32</v>
      </c>
      <c r="AC797">
        <v>14</v>
      </c>
      <c r="AD797">
        <v>3</v>
      </c>
      <c r="AE797" t="str" cm="1">
        <f t="array" ref="AE797">_xlfn.IFS(AD797=1,"Low",AD797=2,"Good",AD797=3,"Excellent",AD797=4,"Outstanding")</f>
        <v>Excellent</v>
      </c>
      <c r="AF797">
        <v>3</v>
      </c>
      <c r="AG797" t="str" cm="1">
        <f t="array" ref="AG797">_xlfn.IFS(AF797=1,"Low",AF797=2,"Medium",AF797=3,"High",AF797=4,"Very High")</f>
        <v>High</v>
      </c>
      <c r="AH797">
        <v>3</v>
      </c>
      <c r="AI797">
        <v>8</v>
      </c>
      <c r="AJ797">
        <v>5</v>
      </c>
      <c r="AK797">
        <v>3</v>
      </c>
      <c r="AL797" t="str" cm="1">
        <f t="array" ref="AL797">_xlfn.IFS(AK797=1,"Low",AK797=2,"Medium",AK797=3,"High",AK797=4,"Very High")</f>
        <v>High</v>
      </c>
      <c r="AM797">
        <v>1</v>
      </c>
      <c r="AN797">
        <v>0</v>
      </c>
      <c r="AO797">
        <v>0</v>
      </c>
      <c r="AP797">
        <v>0</v>
      </c>
    </row>
    <row r="798" spans="1:42">
      <c r="A798">
        <v>25</v>
      </c>
      <c r="B798" t="str" cm="1">
        <f t="array" ref="B798">_xlfn.IFS(A798&lt;=25,"18-25",A798&lt;=35,"26-35",A798&lt;=45,"36-45",A798&lt;=55,"46-55",A798&gt;55,"56+")</f>
        <v>18-25</v>
      </c>
      <c r="C798" t="s">
        <v>32</v>
      </c>
      <c r="D798" t="s">
        <v>33</v>
      </c>
      <c r="E798" s="2">
        <v>1219</v>
      </c>
      <c r="F798" t="s">
        <v>41</v>
      </c>
      <c r="G798">
        <v>4</v>
      </c>
      <c r="H798" t="str">
        <f t="shared" si="12"/>
        <v>1-10 km</v>
      </c>
      <c r="I798">
        <v>1</v>
      </c>
      <c r="J798" t="str" cm="1">
        <f t="array" ref="J798">_xlfn.IFS(I798=1,"Below College",I798=2,"College",I798=3,"Bachelor",I798=4,"Master",I798=5,"Doctor")</f>
        <v>Below College</v>
      </c>
      <c r="K798" t="s">
        <v>56</v>
      </c>
      <c r="L798">
        <v>1106</v>
      </c>
      <c r="M798">
        <v>4</v>
      </c>
      <c r="N798" t="str" cm="1">
        <f t="array" ref="N798">_xlfn.IFS(M798=1,"Low",M798=2,"Medium",M798=3,"High",M798=4,"Very High")</f>
        <v>Very High</v>
      </c>
      <c r="O798" t="s">
        <v>42</v>
      </c>
      <c r="P798" s="2">
        <v>32</v>
      </c>
      <c r="Q798">
        <v>3</v>
      </c>
      <c r="R798" t="str" cm="1">
        <f t="array" ref="R798">_xlfn.IFS(Q798=1,"Low",Q798=2,"Medium",Q798=3,"High",Q798=4,"Very High")</f>
        <v>High</v>
      </c>
      <c r="S798">
        <v>1</v>
      </c>
      <c r="T798" t="str" cm="1">
        <f t="array" ref="T798">_xlfn.IFS(S798=1,"Entry Level",S798=2,"Junior",S798=3,"Mid-Level",S798=4,"Senior",S798=5,"Executive")</f>
        <v>Entry Level</v>
      </c>
      <c r="U798" t="s">
        <v>46</v>
      </c>
      <c r="V798">
        <v>4</v>
      </c>
      <c r="W798" t="str" cm="1">
        <f t="array" ref="W798">_xlfn.IFS(V798=1,"Low",V798=2,"Medium",V798=3,"High",V798=4,"Very High")</f>
        <v>Very High</v>
      </c>
      <c r="X798" t="s">
        <v>44</v>
      </c>
      <c r="Y798" s="2">
        <v>3691</v>
      </c>
      <c r="Z798" s="2">
        <v>4605</v>
      </c>
      <c r="AA798">
        <v>1</v>
      </c>
      <c r="AB798" t="s">
        <v>32</v>
      </c>
      <c r="AC798">
        <v>15</v>
      </c>
      <c r="AD798">
        <v>3</v>
      </c>
      <c r="AE798" t="str" cm="1">
        <f t="array" ref="AE798">_xlfn.IFS(AD798=1,"Low",AD798=2,"Good",AD798=3,"Excellent",AD798=4,"Outstanding")</f>
        <v>Excellent</v>
      </c>
      <c r="AF798">
        <v>2</v>
      </c>
      <c r="AG798" t="str" cm="1">
        <f t="array" ref="AG798">_xlfn.IFS(AF798=1,"Low",AF798=2,"Medium",AF798=3,"High",AF798=4,"Very High")</f>
        <v>Medium</v>
      </c>
      <c r="AH798">
        <v>1</v>
      </c>
      <c r="AI798">
        <v>7</v>
      </c>
      <c r="AJ798">
        <v>3</v>
      </c>
      <c r="AK798">
        <v>4</v>
      </c>
      <c r="AL798" t="str" cm="1">
        <f t="array" ref="AL798">_xlfn.IFS(AK798=1,"Low",AK798=2,"Medium",AK798=3,"High",AK798=4,"Very High")</f>
        <v>Very High</v>
      </c>
      <c r="AM798">
        <v>7</v>
      </c>
      <c r="AN798">
        <v>7</v>
      </c>
      <c r="AO798">
        <v>5</v>
      </c>
      <c r="AP798">
        <v>6</v>
      </c>
    </row>
    <row r="799" spans="1:42">
      <c r="A799">
        <v>26</v>
      </c>
      <c r="B799" t="str" cm="1">
        <f t="array" ref="B799">_xlfn.IFS(A799&lt;=25,"18-25",A799&lt;=35,"26-35",A799&lt;=45,"36-45",A799&lt;=55,"46-55",A799&gt;55,"56+")</f>
        <v>26-35</v>
      </c>
      <c r="C799" t="s">
        <v>32</v>
      </c>
      <c r="D799" t="s">
        <v>33</v>
      </c>
      <c r="E799" s="2">
        <v>1330</v>
      </c>
      <c r="F799" t="s">
        <v>41</v>
      </c>
      <c r="G799">
        <v>21</v>
      </c>
      <c r="H799" t="str">
        <f t="shared" si="12"/>
        <v>21-30 km</v>
      </c>
      <c r="I799">
        <v>3</v>
      </c>
      <c r="J799" t="str" cm="1">
        <f t="array" ref="J799">_xlfn.IFS(I799=1,"Below College",I799=2,"College",I799=3,"Bachelor",I799=4,"Master",I799=5,"Doctor")</f>
        <v>Bachelor</v>
      </c>
      <c r="K799" t="s">
        <v>47</v>
      </c>
      <c r="L799">
        <v>1107</v>
      </c>
      <c r="M799">
        <v>1</v>
      </c>
      <c r="N799" t="str" cm="1">
        <f t="array" ref="N799">_xlfn.IFS(M799=1,"Low",M799=2,"Medium",M799=3,"High",M799=4,"Very High")</f>
        <v>Low</v>
      </c>
      <c r="O799" t="s">
        <v>42</v>
      </c>
      <c r="P799" s="2">
        <v>37</v>
      </c>
      <c r="Q799">
        <v>3</v>
      </c>
      <c r="R799" t="str" cm="1">
        <f t="array" ref="R799">_xlfn.IFS(Q799=1,"Low",Q799=2,"Medium",Q799=3,"High",Q799=4,"Very High")</f>
        <v>High</v>
      </c>
      <c r="S799">
        <v>1</v>
      </c>
      <c r="T799" t="str" cm="1">
        <f t="array" ref="T799">_xlfn.IFS(S799=1,"Entry Level",S799=2,"Junior",S799=3,"Mid-Level",S799=4,"Senior",S799=5,"Executive")</f>
        <v>Entry Level</v>
      </c>
      <c r="U799" t="s">
        <v>46</v>
      </c>
      <c r="V799">
        <v>3</v>
      </c>
      <c r="W799" t="str" cm="1">
        <f t="array" ref="W799">_xlfn.IFS(V799=1,"Low",V799=2,"Medium",V799=3,"High",V799=4,"Very High")</f>
        <v>High</v>
      </c>
      <c r="X799" t="s">
        <v>48</v>
      </c>
      <c r="Y799" s="2">
        <v>2377</v>
      </c>
      <c r="Z799" s="2">
        <v>19373</v>
      </c>
      <c r="AA799">
        <v>1</v>
      </c>
      <c r="AB799" t="s">
        <v>39</v>
      </c>
      <c r="AC799">
        <v>20</v>
      </c>
      <c r="AD799">
        <v>4</v>
      </c>
      <c r="AE799" t="str" cm="1">
        <f t="array" ref="AE799">_xlfn.IFS(AD799=1,"Low",AD799=2,"Good",AD799=3,"Excellent",AD799=4,"Outstanding")</f>
        <v>Outstanding</v>
      </c>
      <c r="AF799">
        <v>3</v>
      </c>
      <c r="AG799" t="str" cm="1">
        <f t="array" ref="AG799">_xlfn.IFS(AF799=1,"Low",AF799=2,"Medium",AF799=3,"High",AF799=4,"Very High")</f>
        <v>High</v>
      </c>
      <c r="AH799">
        <v>1</v>
      </c>
      <c r="AI799">
        <v>1</v>
      </c>
      <c r="AJ799">
        <v>0</v>
      </c>
      <c r="AK799">
        <v>2</v>
      </c>
      <c r="AL799" t="str" cm="1">
        <f t="array" ref="AL799">_xlfn.IFS(AK799=1,"Low",AK799=2,"Medium",AK799=3,"High",AK799=4,"Very High")</f>
        <v>Medium</v>
      </c>
      <c r="AM799">
        <v>1</v>
      </c>
      <c r="AN799">
        <v>1</v>
      </c>
      <c r="AO799">
        <v>0</v>
      </c>
      <c r="AP799">
        <v>0</v>
      </c>
    </row>
    <row r="800" spans="1:42">
      <c r="A800">
        <v>33</v>
      </c>
      <c r="B800" t="str" cm="1">
        <f t="array" ref="B800">_xlfn.IFS(A800&lt;=25,"18-25",A800&lt;=35,"26-35",A800&lt;=45,"36-45",A800&lt;=55,"46-55",A800&gt;55,"56+")</f>
        <v>26-35</v>
      </c>
      <c r="C800" t="s">
        <v>32</v>
      </c>
      <c r="D800" t="s">
        <v>33</v>
      </c>
      <c r="E800" s="2">
        <v>1017</v>
      </c>
      <c r="F800" t="s">
        <v>41</v>
      </c>
      <c r="G800">
        <v>25</v>
      </c>
      <c r="H800" t="str">
        <f t="shared" si="12"/>
        <v>21-30 km</v>
      </c>
      <c r="I800">
        <v>3</v>
      </c>
      <c r="J800" t="str" cm="1">
        <f t="array" ref="J800">_xlfn.IFS(I800=1,"Below College",I800=2,"College",I800=3,"Bachelor",I800=4,"Master",I800=5,"Doctor")</f>
        <v>Bachelor</v>
      </c>
      <c r="K800" t="s">
        <v>47</v>
      </c>
      <c r="L800">
        <v>1108</v>
      </c>
      <c r="M800">
        <v>1</v>
      </c>
      <c r="N800" t="str" cm="1">
        <f t="array" ref="N800">_xlfn.IFS(M800=1,"Low",M800=2,"Medium",M800=3,"High",M800=4,"Very High")</f>
        <v>Low</v>
      </c>
      <c r="O800" t="s">
        <v>42</v>
      </c>
      <c r="P800" s="2">
        <v>55</v>
      </c>
      <c r="Q800">
        <v>2</v>
      </c>
      <c r="R800" t="str" cm="1">
        <f t="array" ref="R800">_xlfn.IFS(Q800=1,"Low",Q800=2,"Medium",Q800=3,"High",Q800=4,"Very High")</f>
        <v>Medium</v>
      </c>
      <c r="S800">
        <v>1</v>
      </c>
      <c r="T800" t="str" cm="1">
        <f t="array" ref="T800">_xlfn.IFS(S800=1,"Entry Level",S800=2,"Junior",S800=3,"Mid-Level",S800=4,"Senior",S800=5,"Executive")</f>
        <v>Entry Level</v>
      </c>
      <c r="U800" t="s">
        <v>43</v>
      </c>
      <c r="V800">
        <v>2</v>
      </c>
      <c r="W800" t="str" cm="1">
        <f t="array" ref="W800">_xlfn.IFS(V800=1,"Low",V800=2,"Medium",V800=3,"High",V800=4,"Very High")</f>
        <v>Medium</v>
      </c>
      <c r="X800" t="s">
        <v>38</v>
      </c>
      <c r="Y800" s="2">
        <v>2313</v>
      </c>
      <c r="Z800" s="2">
        <v>2993</v>
      </c>
      <c r="AA800">
        <v>4</v>
      </c>
      <c r="AB800" t="s">
        <v>32</v>
      </c>
      <c r="AC800">
        <v>20</v>
      </c>
      <c r="AD800">
        <v>4</v>
      </c>
      <c r="AE800" t="str" cm="1">
        <f t="array" ref="AE800">_xlfn.IFS(AD800=1,"Low",AD800=2,"Good",AD800=3,"Excellent",AD800=4,"Outstanding")</f>
        <v>Outstanding</v>
      </c>
      <c r="AF800">
        <v>2</v>
      </c>
      <c r="AG800" t="str" cm="1">
        <f t="array" ref="AG800">_xlfn.IFS(AF800=1,"Low",AF800=2,"Medium",AF800=3,"High",AF800=4,"Very High")</f>
        <v>Medium</v>
      </c>
      <c r="AH800">
        <v>0</v>
      </c>
      <c r="AI800">
        <v>5</v>
      </c>
      <c r="AJ800">
        <v>0</v>
      </c>
      <c r="AK800">
        <v>3</v>
      </c>
      <c r="AL800" t="str" cm="1">
        <f t="array" ref="AL800">_xlfn.IFS(AK800=1,"Low",AK800=2,"Medium",AK800=3,"High",AK800=4,"Very High")</f>
        <v>High</v>
      </c>
      <c r="AM800">
        <v>2</v>
      </c>
      <c r="AN800">
        <v>2</v>
      </c>
      <c r="AO800">
        <v>2</v>
      </c>
      <c r="AP800">
        <v>2</v>
      </c>
    </row>
    <row r="801" spans="1:42">
      <c r="A801">
        <v>42</v>
      </c>
      <c r="B801" t="str" cm="1">
        <f t="array" ref="B801">_xlfn.IFS(A801&lt;=25,"18-25",A801&lt;=35,"26-35",A801&lt;=45,"36-45",A801&lt;=55,"46-55",A801&gt;55,"56+")</f>
        <v>36-45</v>
      </c>
      <c r="C801" t="s">
        <v>39</v>
      </c>
      <c r="D801" t="s">
        <v>33</v>
      </c>
      <c r="E801" s="2">
        <v>469</v>
      </c>
      <c r="F801" t="s">
        <v>41</v>
      </c>
      <c r="G801">
        <v>2</v>
      </c>
      <c r="H801" t="str">
        <f t="shared" si="12"/>
        <v>1-10 km</v>
      </c>
      <c r="I801">
        <v>2</v>
      </c>
      <c r="J801" t="str" cm="1">
        <f t="array" ref="J801">_xlfn.IFS(I801=1,"Below College",I801=2,"College",I801=3,"Bachelor",I801=4,"Master",I801=5,"Doctor")</f>
        <v>College</v>
      </c>
      <c r="K801" t="s">
        <v>47</v>
      </c>
      <c r="L801">
        <v>1109</v>
      </c>
      <c r="M801">
        <v>4</v>
      </c>
      <c r="N801" t="str" cm="1">
        <f t="array" ref="N801">_xlfn.IFS(M801=1,"Low",M801=2,"Medium",M801=3,"High",M801=4,"Very High")</f>
        <v>Very High</v>
      </c>
      <c r="O801" t="s">
        <v>42</v>
      </c>
      <c r="P801" s="2">
        <v>35</v>
      </c>
      <c r="Q801">
        <v>3</v>
      </c>
      <c r="R801" t="str" cm="1">
        <f t="array" ref="R801">_xlfn.IFS(Q801=1,"Low",Q801=2,"Medium",Q801=3,"High",Q801=4,"Very High")</f>
        <v>High</v>
      </c>
      <c r="S801">
        <v>4</v>
      </c>
      <c r="T801" t="str" cm="1">
        <f t="array" ref="T801">_xlfn.IFS(S801=1,"Entry Level",S801=2,"Junior",S801=3,"Mid-Level",S801=4,"Senior",S801=5,"Executive")</f>
        <v>Senior</v>
      </c>
      <c r="U801" t="s">
        <v>52</v>
      </c>
      <c r="V801">
        <v>1</v>
      </c>
      <c r="W801" t="str" cm="1">
        <f t="array" ref="W801">_xlfn.IFS(V801=1,"Low",V801=2,"Medium",V801=3,"High",V801=4,"Very High")</f>
        <v>Low</v>
      </c>
      <c r="X801" t="s">
        <v>44</v>
      </c>
      <c r="Y801" s="2">
        <v>17665</v>
      </c>
      <c r="Z801" s="2">
        <v>14399</v>
      </c>
      <c r="AA801">
        <v>0</v>
      </c>
      <c r="AB801" t="s">
        <v>39</v>
      </c>
      <c r="AC801">
        <v>17</v>
      </c>
      <c r="AD801">
        <v>3</v>
      </c>
      <c r="AE801" t="str" cm="1">
        <f t="array" ref="AE801">_xlfn.IFS(AD801=1,"Low",AD801=2,"Good",AD801=3,"Excellent",AD801=4,"Outstanding")</f>
        <v>Excellent</v>
      </c>
      <c r="AF801">
        <v>4</v>
      </c>
      <c r="AG801" t="str" cm="1">
        <f t="array" ref="AG801">_xlfn.IFS(AF801=1,"Low",AF801=2,"Medium",AF801=3,"High",AF801=4,"Very High")</f>
        <v>Very High</v>
      </c>
      <c r="AH801">
        <v>1</v>
      </c>
      <c r="AI801">
        <v>23</v>
      </c>
      <c r="AJ801">
        <v>3</v>
      </c>
      <c r="AK801">
        <v>3</v>
      </c>
      <c r="AL801" t="str" cm="1">
        <f t="array" ref="AL801">_xlfn.IFS(AK801=1,"Low",AK801=2,"Medium",AK801=3,"High",AK801=4,"Very High")</f>
        <v>High</v>
      </c>
      <c r="AM801">
        <v>22</v>
      </c>
      <c r="AN801">
        <v>6</v>
      </c>
      <c r="AO801">
        <v>13</v>
      </c>
      <c r="AP801">
        <v>7</v>
      </c>
    </row>
    <row r="802" spans="1:42">
      <c r="A802">
        <v>28</v>
      </c>
      <c r="B802" t="str" cm="1">
        <f t="array" ref="B802">_xlfn.IFS(A802&lt;=25,"18-25",A802&lt;=35,"26-35",A802&lt;=45,"36-45",A802&lt;=55,"46-55",A802&gt;55,"56+")</f>
        <v>26-35</v>
      </c>
      <c r="C802" t="s">
        <v>32</v>
      </c>
      <c r="D802" t="s">
        <v>40</v>
      </c>
      <c r="E802" s="2">
        <v>1009</v>
      </c>
      <c r="F802" t="s">
        <v>41</v>
      </c>
      <c r="G802">
        <v>1</v>
      </c>
      <c r="H802" t="str">
        <f t="shared" si="12"/>
        <v>1-10 km</v>
      </c>
      <c r="I802">
        <v>3</v>
      </c>
      <c r="J802" t="str" cm="1">
        <f t="array" ref="J802">_xlfn.IFS(I802=1,"Below College",I802=2,"College",I802=3,"Bachelor",I802=4,"Master",I802=5,"Doctor")</f>
        <v>Bachelor</v>
      </c>
      <c r="K802" t="s">
        <v>47</v>
      </c>
      <c r="L802">
        <v>1111</v>
      </c>
      <c r="M802">
        <v>1</v>
      </c>
      <c r="N802" t="str" cm="1">
        <f t="array" ref="N802">_xlfn.IFS(M802=1,"Low",M802=2,"Medium",M802=3,"High",M802=4,"Very High")</f>
        <v>Low</v>
      </c>
      <c r="O802" t="s">
        <v>42</v>
      </c>
      <c r="P802" s="2">
        <v>45</v>
      </c>
      <c r="Q802">
        <v>2</v>
      </c>
      <c r="R802" t="str" cm="1">
        <f t="array" ref="R802">_xlfn.IFS(Q802=1,"Low",Q802=2,"Medium",Q802=3,"High",Q802=4,"Very High")</f>
        <v>Medium</v>
      </c>
      <c r="S802">
        <v>1</v>
      </c>
      <c r="T802" t="str" cm="1">
        <f t="array" ref="T802">_xlfn.IFS(S802=1,"Entry Level",S802=2,"Junior",S802=3,"Mid-Level",S802=4,"Senior",S802=5,"Executive")</f>
        <v>Entry Level</v>
      </c>
      <c r="U802" t="s">
        <v>46</v>
      </c>
      <c r="V802">
        <v>2</v>
      </c>
      <c r="W802" t="str" cm="1">
        <f t="array" ref="W802">_xlfn.IFS(V802=1,"Low",V802=2,"Medium",V802=3,"High",V802=4,"Very High")</f>
        <v>Medium</v>
      </c>
      <c r="X802" t="s">
        <v>48</v>
      </c>
      <c r="Y802" s="2">
        <v>2596</v>
      </c>
      <c r="Z802" s="2">
        <v>7160</v>
      </c>
      <c r="AA802">
        <v>1</v>
      </c>
      <c r="AB802" t="s">
        <v>39</v>
      </c>
      <c r="AC802">
        <v>15</v>
      </c>
      <c r="AD802">
        <v>3</v>
      </c>
      <c r="AE802" t="str" cm="1">
        <f t="array" ref="AE802">_xlfn.IFS(AD802=1,"Low",AD802=2,"Good",AD802=3,"Excellent",AD802=4,"Outstanding")</f>
        <v>Excellent</v>
      </c>
      <c r="AF802">
        <v>1</v>
      </c>
      <c r="AG802" t="str" cm="1">
        <f t="array" ref="AG802">_xlfn.IFS(AF802=1,"Low",AF802=2,"Medium",AF802=3,"High",AF802=4,"Very High")</f>
        <v>Low</v>
      </c>
      <c r="AH802">
        <v>2</v>
      </c>
      <c r="AI802">
        <v>1</v>
      </c>
      <c r="AJ802">
        <v>2</v>
      </c>
      <c r="AK802">
        <v>3</v>
      </c>
      <c r="AL802" t="str" cm="1">
        <f t="array" ref="AL802">_xlfn.IFS(AK802=1,"Low",AK802=2,"Medium",AK802=3,"High",AK802=4,"Very High")</f>
        <v>High</v>
      </c>
      <c r="AM802">
        <v>1</v>
      </c>
      <c r="AN802">
        <v>0</v>
      </c>
      <c r="AO802">
        <v>0</v>
      </c>
      <c r="AP802">
        <v>0</v>
      </c>
    </row>
    <row r="803" spans="1:42">
      <c r="A803">
        <v>50</v>
      </c>
      <c r="B803" t="str" cm="1">
        <f t="array" ref="B803">_xlfn.IFS(A803&lt;=25,"18-25",A803&lt;=35,"26-35",A803&lt;=45,"36-45",A803&lt;=55,"46-55",A803&gt;55,"56+")</f>
        <v>46-55</v>
      </c>
      <c r="C803" t="s">
        <v>32</v>
      </c>
      <c r="D803" t="s">
        <v>40</v>
      </c>
      <c r="E803" s="2">
        <v>959</v>
      </c>
      <c r="F803" t="s">
        <v>34</v>
      </c>
      <c r="G803">
        <v>1</v>
      </c>
      <c r="H803" t="str">
        <f t="shared" si="12"/>
        <v>1-10 km</v>
      </c>
      <c r="I803">
        <v>4</v>
      </c>
      <c r="J803" t="str" cm="1">
        <f t="array" ref="J803">_xlfn.IFS(I803=1,"Below College",I803=2,"College",I803=3,"Bachelor",I803=4,"Master",I803=5,"Doctor")</f>
        <v>Master</v>
      </c>
      <c r="K803" t="s">
        <v>45</v>
      </c>
      <c r="L803">
        <v>1113</v>
      </c>
      <c r="M803">
        <v>4</v>
      </c>
      <c r="N803" t="str" cm="1">
        <f t="array" ref="N803">_xlfn.IFS(M803=1,"Low",M803=2,"Medium",M803=3,"High",M803=4,"Very High")</f>
        <v>Very High</v>
      </c>
      <c r="O803" t="s">
        <v>42</v>
      </c>
      <c r="P803" s="2">
        <v>81</v>
      </c>
      <c r="Q803">
        <v>3</v>
      </c>
      <c r="R803" t="str" cm="1">
        <f t="array" ref="R803">_xlfn.IFS(Q803=1,"Low",Q803=2,"Medium",Q803=3,"High",Q803=4,"Very High")</f>
        <v>High</v>
      </c>
      <c r="S803">
        <v>2</v>
      </c>
      <c r="T803" t="str" cm="1">
        <f t="array" ref="T803">_xlfn.IFS(S803=1,"Entry Level",S803=2,"Junior",S803=3,"Mid-Level",S803=4,"Senior",S803=5,"Executive")</f>
        <v>Junior</v>
      </c>
      <c r="U803" t="s">
        <v>37</v>
      </c>
      <c r="V803">
        <v>3</v>
      </c>
      <c r="W803" t="str" cm="1">
        <f t="array" ref="W803">_xlfn.IFS(V803=1,"Low",V803=2,"Medium",V803=3,"High",V803=4,"Very High")</f>
        <v>High</v>
      </c>
      <c r="X803" t="s">
        <v>38</v>
      </c>
      <c r="Y803" s="2">
        <v>4728</v>
      </c>
      <c r="Z803" s="2">
        <v>17251</v>
      </c>
      <c r="AA803">
        <v>3</v>
      </c>
      <c r="AB803" t="s">
        <v>32</v>
      </c>
      <c r="AC803">
        <v>14</v>
      </c>
      <c r="AD803">
        <v>3</v>
      </c>
      <c r="AE803" t="str" cm="1">
        <f t="array" ref="AE803">_xlfn.IFS(AD803=1,"Low",AD803=2,"Good",AD803=3,"Excellent",AD803=4,"Outstanding")</f>
        <v>Excellent</v>
      </c>
      <c r="AF803">
        <v>4</v>
      </c>
      <c r="AG803" t="str" cm="1">
        <f t="array" ref="AG803">_xlfn.IFS(AF803=1,"Low",AF803=2,"Medium",AF803=3,"High",AF803=4,"Very High")</f>
        <v>Very High</v>
      </c>
      <c r="AH803">
        <v>0</v>
      </c>
      <c r="AI803">
        <v>5</v>
      </c>
      <c r="AJ803">
        <v>4</v>
      </c>
      <c r="AK803">
        <v>3</v>
      </c>
      <c r="AL803" t="str" cm="1">
        <f t="array" ref="AL803">_xlfn.IFS(AK803=1,"Low",AK803=2,"Medium",AK803=3,"High",AK803=4,"Very High")</f>
        <v>High</v>
      </c>
      <c r="AM803">
        <v>0</v>
      </c>
      <c r="AN803">
        <v>0</v>
      </c>
      <c r="AO803">
        <v>0</v>
      </c>
      <c r="AP803">
        <v>0</v>
      </c>
    </row>
    <row r="804" spans="1:42">
      <c r="A804">
        <v>33</v>
      </c>
      <c r="B804" t="str" cm="1">
        <f t="array" ref="B804">_xlfn.IFS(A804&lt;=25,"18-25",A804&lt;=35,"26-35",A804&lt;=45,"36-45",A804&lt;=55,"46-55",A804&gt;55,"56+")</f>
        <v>26-35</v>
      </c>
      <c r="C804" t="s">
        <v>39</v>
      </c>
      <c r="D804" t="s">
        <v>40</v>
      </c>
      <c r="E804" s="2">
        <v>970</v>
      </c>
      <c r="F804" t="s">
        <v>34</v>
      </c>
      <c r="G804">
        <v>7</v>
      </c>
      <c r="H804" t="str">
        <f t="shared" si="12"/>
        <v>1-10 km</v>
      </c>
      <c r="I804">
        <v>3</v>
      </c>
      <c r="J804" t="str" cm="1">
        <f t="array" ref="J804">_xlfn.IFS(I804=1,"Below College",I804=2,"College",I804=3,"Bachelor",I804=4,"Master",I804=5,"Doctor")</f>
        <v>Bachelor</v>
      </c>
      <c r="K804" t="s">
        <v>35</v>
      </c>
      <c r="L804">
        <v>1114</v>
      </c>
      <c r="M804">
        <v>4</v>
      </c>
      <c r="N804" t="str" cm="1">
        <f t="array" ref="N804">_xlfn.IFS(M804=1,"Low",M804=2,"Medium",M804=3,"High",M804=4,"Very High")</f>
        <v>Very High</v>
      </c>
      <c r="O804" t="s">
        <v>36</v>
      </c>
      <c r="P804" s="2">
        <v>30</v>
      </c>
      <c r="Q804">
        <v>3</v>
      </c>
      <c r="R804" t="str" cm="1">
        <f t="array" ref="R804">_xlfn.IFS(Q804=1,"Low",Q804=2,"Medium",Q804=3,"High",Q804=4,"Very High")</f>
        <v>High</v>
      </c>
      <c r="S804">
        <v>2</v>
      </c>
      <c r="T804" t="str" cm="1">
        <f t="array" ref="T804">_xlfn.IFS(S804=1,"Entry Level",S804=2,"Junior",S804=3,"Mid-Level",S804=4,"Senior",S804=5,"Executive")</f>
        <v>Junior</v>
      </c>
      <c r="U804" t="s">
        <v>37</v>
      </c>
      <c r="V804">
        <v>2</v>
      </c>
      <c r="W804" t="str" cm="1">
        <f t="array" ref="W804">_xlfn.IFS(V804=1,"Low",V804=2,"Medium",V804=3,"High",V804=4,"Very High")</f>
        <v>Medium</v>
      </c>
      <c r="X804" t="s">
        <v>44</v>
      </c>
      <c r="Y804" s="2">
        <v>4302</v>
      </c>
      <c r="Z804" s="2">
        <v>13401</v>
      </c>
      <c r="AA804">
        <v>0</v>
      </c>
      <c r="AB804" t="s">
        <v>39</v>
      </c>
      <c r="AC804">
        <v>17</v>
      </c>
      <c r="AD804">
        <v>3</v>
      </c>
      <c r="AE804" t="str" cm="1">
        <f t="array" ref="AE804">_xlfn.IFS(AD804=1,"Low",AD804=2,"Good",AD804=3,"Excellent",AD804=4,"Outstanding")</f>
        <v>Excellent</v>
      </c>
      <c r="AF804">
        <v>3</v>
      </c>
      <c r="AG804" t="str" cm="1">
        <f t="array" ref="AG804">_xlfn.IFS(AF804=1,"Low",AF804=2,"Medium",AF804=3,"High",AF804=4,"Very High")</f>
        <v>High</v>
      </c>
      <c r="AH804">
        <v>1</v>
      </c>
      <c r="AI804">
        <v>4</v>
      </c>
      <c r="AJ804">
        <v>3</v>
      </c>
      <c r="AK804">
        <v>3</v>
      </c>
      <c r="AL804" t="str" cm="1">
        <f t="array" ref="AL804">_xlfn.IFS(AK804=1,"Low",AK804=2,"Medium",AK804=3,"High",AK804=4,"Very High")</f>
        <v>High</v>
      </c>
      <c r="AM804">
        <v>3</v>
      </c>
      <c r="AN804">
        <v>2</v>
      </c>
      <c r="AO804">
        <v>0</v>
      </c>
      <c r="AP804">
        <v>2</v>
      </c>
    </row>
    <row r="805" spans="1:42">
      <c r="A805">
        <v>34</v>
      </c>
      <c r="B805" t="str" cm="1">
        <f t="array" ref="B805">_xlfn.IFS(A805&lt;=25,"18-25",A805&lt;=35,"26-35",A805&lt;=45,"36-45",A805&lt;=55,"46-55",A805&gt;55,"56+")</f>
        <v>26-35</v>
      </c>
      <c r="C805" t="s">
        <v>39</v>
      </c>
      <c r="D805" t="s">
        <v>51</v>
      </c>
      <c r="E805" s="2">
        <v>697</v>
      </c>
      <c r="F805" t="s">
        <v>41</v>
      </c>
      <c r="G805">
        <v>3</v>
      </c>
      <c r="H805" t="str">
        <f t="shared" si="12"/>
        <v>1-10 km</v>
      </c>
      <c r="I805">
        <v>4</v>
      </c>
      <c r="J805" t="str" cm="1">
        <f t="array" ref="J805">_xlfn.IFS(I805=1,"Below College",I805=2,"College",I805=3,"Bachelor",I805=4,"Master",I805=5,"Doctor")</f>
        <v>Master</v>
      </c>
      <c r="K805" t="s">
        <v>35</v>
      </c>
      <c r="L805">
        <v>1115</v>
      </c>
      <c r="M805">
        <v>3</v>
      </c>
      <c r="N805" t="str" cm="1">
        <f t="array" ref="N805">_xlfn.IFS(M805=1,"Low",M805=2,"Medium",M805=3,"High",M805=4,"Very High")</f>
        <v>High</v>
      </c>
      <c r="O805" t="s">
        <v>42</v>
      </c>
      <c r="P805" s="2">
        <v>40</v>
      </c>
      <c r="Q805">
        <v>2</v>
      </c>
      <c r="R805" t="str" cm="1">
        <f t="array" ref="R805">_xlfn.IFS(Q805=1,"Low",Q805=2,"Medium",Q805=3,"High",Q805=4,"Very High")</f>
        <v>Medium</v>
      </c>
      <c r="S805">
        <v>1</v>
      </c>
      <c r="T805" t="str" cm="1">
        <f t="array" ref="T805">_xlfn.IFS(S805=1,"Entry Level",S805=2,"Junior",S805=3,"Mid-Level",S805=4,"Senior",S805=5,"Executive")</f>
        <v>Entry Level</v>
      </c>
      <c r="U805" t="s">
        <v>43</v>
      </c>
      <c r="V805">
        <v>4</v>
      </c>
      <c r="W805" t="str" cm="1">
        <f t="array" ref="W805">_xlfn.IFS(V805=1,"Low",V805=2,"Medium",V805=3,"High",V805=4,"Very High")</f>
        <v>Very High</v>
      </c>
      <c r="X805" t="s">
        <v>44</v>
      </c>
      <c r="Y805" s="2">
        <v>2979</v>
      </c>
      <c r="Z805" s="2">
        <v>22478</v>
      </c>
      <c r="AA805">
        <v>3</v>
      </c>
      <c r="AB805" t="s">
        <v>39</v>
      </c>
      <c r="AC805">
        <v>17</v>
      </c>
      <c r="AD805">
        <v>3</v>
      </c>
      <c r="AE805" t="str" cm="1">
        <f t="array" ref="AE805">_xlfn.IFS(AD805=1,"Low",AD805=2,"Good",AD805=3,"Excellent",AD805=4,"Outstanding")</f>
        <v>Excellent</v>
      </c>
      <c r="AF805">
        <v>4</v>
      </c>
      <c r="AG805" t="str" cm="1">
        <f t="array" ref="AG805">_xlfn.IFS(AF805=1,"Low",AF805=2,"Medium",AF805=3,"High",AF805=4,"Very High")</f>
        <v>Very High</v>
      </c>
      <c r="AH805">
        <v>3</v>
      </c>
      <c r="AI805">
        <v>6</v>
      </c>
      <c r="AJ805">
        <v>2</v>
      </c>
      <c r="AK805">
        <v>3</v>
      </c>
      <c r="AL805" t="str" cm="1">
        <f t="array" ref="AL805">_xlfn.IFS(AK805=1,"Low",AK805=2,"Medium",AK805=3,"High",AK805=4,"Very High")</f>
        <v>High</v>
      </c>
      <c r="AM805">
        <v>0</v>
      </c>
      <c r="AN805">
        <v>0</v>
      </c>
      <c r="AO805">
        <v>0</v>
      </c>
      <c r="AP805">
        <v>0</v>
      </c>
    </row>
    <row r="806" spans="1:42">
      <c r="A806">
        <v>48</v>
      </c>
      <c r="B806" t="str" cm="1">
        <f t="array" ref="B806">_xlfn.IFS(A806&lt;=25,"18-25",A806&lt;=35,"26-35",A806&lt;=45,"36-45",A806&lt;=55,"46-55",A806&gt;55,"56+")</f>
        <v>46-55</v>
      </c>
      <c r="C806" t="s">
        <v>39</v>
      </c>
      <c r="D806" t="s">
        <v>51</v>
      </c>
      <c r="E806" s="2">
        <v>1262</v>
      </c>
      <c r="F806" t="s">
        <v>41</v>
      </c>
      <c r="G806">
        <v>1</v>
      </c>
      <c r="H806" t="str">
        <f t="shared" si="12"/>
        <v>1-10 km</v>
      </c>
      <c r="I806">
        <v>4</v>
      </c>
      <c r="J806" t="str" cm="1">
        <f t="array" ref="J806">_xlfn.IFS(I806=1,"Below College",I806=2,"College",I806=3,"Bachelor",I806=4,"Master",I806=5,"Doctor")</f>
        <v>Master</v>
      </c>
      <c r="K806" t="s">
        <v>47</v>
      </c>
      <c r="L806">
        <v>1116</v>
      </c>
      <c r="M806">
        <v>1</v>
      </c>
      <c r="N806" t="str" cm="1">
        <f t="array" ref="N806">_xlfn.IFS(M806=1,"Low",M806=2,"Medium",M806=3,"High",M806=4,"Very High")</f>
        <v>Low</v>
      </c>
      <c r="O806" t="s">
        <v>42</v>
      </c>
      <c r="P806" s="2">
        <v>35</v>
      </c>
      <c r="Q806">
        <v>4</v>
      </c>
      <c r="R806" t="str" cm="1">
        <f t="array" ref="R806">_xlfn.IFS(Q806=1,"Low",Q806=2,"Medium",Q806=3,"High",Q806=4,"Very High")</f>
        <v>Very High</v>
      </c>
      <c r="S806">
        <v>4</v>
      </c>
      <c r="T806" t="str" cm="1">
        <f t="array" ref="T806">_xlfn.IFS(S806=1,"Entry Level",S806=2,"Junior",S806=3,"Mid-Level",S806=4,"Senior",S806=5,"Executive")</f>
        <v>Senior</v>
      </c>
      <c r="U806" t="s">
        <v>52</v>
      </c>
      <c r="V806">
        <v>4</v>
      </c>
      <c r="W806" t="str" cm="1">
        <f t="array" ref="W806">_xlfn.IFS(V806=1,"Low",V806=2,"Medium",V806=3,"High",V806=4,"Very High")</f>
        <v>Very High</v>
      </c>
      <c r="X806" t="s">
        <v>38</v>
      </c>
      <c r="Y806" s="2">
        <v>16885</v>
      </c>
      <c r="Z806" s="2">
        <v>16154</v>
      </c>
      <c r="AA806">
        <v>2</v>
      </c>
      <c r="AB806" t="s">
        <v>39</v>
      </c>
      <c r="AC806">
        <v>22</v>
      </c>
      <c r="AD806">
        <v>4</v>
      </c>
      <c r="AE806" t="str" cm="1">
        <f t="array" ref="AE806">_xlfn.IFS(AD806=1,"Low",AD806=2,"Good",AD806=3,"Excellent",AD806=4,"Outstanding")</f>
        <v>Outstanding</v>
      </c>
      <c r="AF806">
        <v>3</v>
      </c>
      <c r="AG806" t="str" cm="1">
        <f t="array" ref="AG806">_xlfn.IFS(AF806=1,"Low",AF806=2,"Medium",AF806=3,"High",AF806=4,"Very High")</f>
        <v>High</v>
      </c>
      <c r="AH806">
        <v>0</v>
      </c>
      <c r="AI806">
        <v>27</v>
      </c>
      <c r="AJ806">
        <v>3</v>
      </c>
      <c r="AK806">
        <v>2</v>
      </c>
      <c r="AL806" t="str" cm="1">
        <f t="array" ref="AL806">_xlfn.IFS(AK806=1,"Low",AK806=2,"Medium",AK806=3,"High",AK806=4,"Very High")</f>
        <v>Medium</v>
      </c>
      <c r="AM806">
        <v>5</v>
      </c>
      <c r="AN806">
        <v>4</v>
      </c>
      <c r="AO806">
        <v>2</v>
      </c>
      <c r="AP806">
        <v>1</v>
      </c>
    </row>
    <row r="807" spans="1:42">
      <c r="A807">
        <v>45</v>
      </c>
      <c r="B807" t="str" cm="1">
        <f t="array" ref="B807">_xlfn.IFS(A807&lt;=25,"18-25",A807&lt;=35,"26-35",A807&lt;=45,"36-45",A807&lt;=55,"46-55",A807&gt;55,"56+")</f>
        <v>36-45</v>
      </c>
      <c r="C807" t="s">
        <v>39</v>
      </c>
      <c r="D807" t="s">
        <v>51</v>
      </c>
      <c r="E807" s="2">
        <v>1050</v>
      </c>
      <c r="F807" t="s">
        <v>34</v>
      </c>
      <c r="G807">
        <v>9</v>
      </c>
      <c r="H807" t="str">
        <f t="shared" si="12"/>
        <v>1-10 km</v>
      </c>
      <c r="I807">
        <v>4</v>
      </c>
      <c r="J807" t="str" cm="1">
        <f t="array" ref="J807">_xlfn.IFS(I807=1,"Below College",I807=2,"College",I807=3,"Bachelor",I807=4,"Master",I807=5,"Doctor")</f>
        <v>Master</v>
      </c>
      <c r="K807" t="s">
        <v>35</v>
      </c>
      <c r="L807">
        <v>1117</v>
      </c>
      <c r="M807">
        <v>2</v>
      </c>
      <c r="N807" t="str" cm="1">
        <f t="array" ref="N807">_xlfn.IFS(M807=1,"Low",M807=2,"Medium",M807=3,"High",M807=4,"Very High")</f>
        <v>Medium</v>
      </c>
      <c r="O807" t="s">
        <v>36</v>
      </c>
      <c r="P807" s="2">
        <v>65</v>
      </c>
      <c r="Q807">
        <v>2</v>
      </c>
      <c r="R807" t="str" cm="1">
        <f t="array" ref="R807">_xlfn.IFS(Q807=1,"Low",Q807=2,"Medium",Q807=3,"High",Q807=4,"Very High")</f>
        <v>Medium</v>
      </c>
      <c r="S807">
        <v>2</v>
      </c>
      <c r="T807" t="str" cm="1">
        <f t="array" ref="T807">_xlfn.IFS(S807=1,"Entry Level",S807=2,"Junior",S807=3,"Mid-Level",S807=4,"Senior",S807=5,"Executive")</f>
        <v>Junior</v>
      </c>
      <c r="U807" t="s">
        <v>37</v>
      </c>
      <c r="V807">
        <v>3</v>
      </c>
      <c r="W807" t="str" cm="1">
        <f t="array" ref="W807">_xlfn.IFS(V807=1,"Low",V807=2,"Medium",V807=3,"High",V807=4,"Very High")</f>
        <v>High</v>
      </c>
      <c r="X807" t="s">
        <v>44</v>
      </c>
      <c r="Y807" s="2">
        <v>5593</v>
      </c>
      <c r="Z807" s="2">
        <v>17970</v>
      </c>
      <c r="AA807">
        <v>1</v>
      </c>
      <c r="AB807" t="s">
        <v>39</v>
      </c>
      <c r="AC807">
        <v>13</v>
      </c>
      <c r="AD807">
        <v>3</v>
      </c>
      <c r="AE807" t="str" cm="1">
        <f t="array" ref="AE807">_xlfn.IFS(AD807=1,"Low",AD807=2,"Good",AD807=3,"Excellent",AD807=4,"Outstanding")</f>
        <v>Excellent</v>
      </c>
      <c r="AF807">
        <v>4</v>
      </c>
      <c r="AG807" t="str" cm="1">
        <f t="array" ref="AG807">_xlfn.IFS(AF807=1,"Low",AF807=2,"Medium",AF807=3,"High",AF807=4,"Very High")</f>
        <v>Very High</v>
      </c>
      <c r="AH807">
        <v>1</v>
      </c>
      <c r="AI807">
        <v>15</v>
      </c>
      <c r="AJ807">
        <v>2</v>
      </c>
      <c r="AK807">
        <v>3</v>
      </c>
      <c r="AL807" t="str" cm="1">
        <f t="array" ref="AL807">_xlfn.IFS(AK807=1,"Low",AK807=2,"Medium",AK807=3,"High",AK807=4,"Very High")</f>
        <v>High</v>
      </c>
      <c r="AM807">
        <v>15</v>
      </c>
      <c r="AN807">
        <v>10</v>
      </c>
      <c r="AO807">
        <v>4</v>
      </c>
      <c r="AP807">
        <v>12</v>
      </c>
    </row>
    <row r="808" spans="1:42">
      <c r="A808">
        <v>52</v>
      </c>
      <c r="B808" t="str" cm="1">
        <f t="array" ref="B808">_xlfn.IFS(A808&lt;=25,"18-25",A808&lt;=35,"26-35",A808&lt;=45,"36-45",A808&lt;=55,"46-55",A808&gt;55,"56+")</f>
        <v>46-55</v>
      </c>
      <c r="C808" t="s">
        <v>39</v>
      </c>
      <c r="D808" t="s">
        <v>33</v>
      </c>
      <c r="E808" s="2">
        <v>994</v>
      </c>
      <c r="F808" t="s">
        <v>41</v>
      </c>
      <c r="G808">
        <v>7</v>
      </c>
      <c r="H808" t="str">
        <f t="shared" si="12"/>
        <v>1-10 km</v>
      </c>
      <c r="I808">
        <v>4</v>
      </c>
      <c r="J808" t="str" cm="1">
        <f t="array" ref="J808">_xlfn.IFS(I808=1,"Below College",I808=2,"College",I808=3,"Bachelor",I808=4,"Master",I808=5,"Doctor")</f>
        <v>Master</v>
      </c>
      <c r="K808" t="s">
        <v>35</v>
      </c>
      <c r="L808">
        <v>1118</v>
      </c>
      <c r="M808">
        <v>2</v>
      </c>
      <c r="N808" t="str" cm="1">
        <f t="array" ref="N808">_xlfn.IFS(M808=1,"Low",M808=2,"Medium",M808=3,"High",M808=4,"Very High")</f>
        <v>Medium</v>
      </c>
      <c r="O808" t="s">
        <v>42</v>
      </c>
      <c r="P808" s="2">
        <v>87</v>
      </c>
      <c r="Q808">
        <v>3</v>
      </c>
      <c r="R808" t="str" cm="1">
        <f t="array" ref="R808">_xlfn.IFS(Q808=1,"Low",Q808=2,"Medium",Q808=3,"High",Q808=4,"Very High")</f>
        <v>High</v>
      </c>
      <c r="S808">
        <v>3</v>
      </c>
      <c r="T808" t="str" cm="1">
        <f t="array" ref="T808">_xlfn.IFS(S808=1,"Entry Level",S808=2,"Junior",S808=3,"Mid-Level",S808=4,"Senior",S808=5,"Executive")</f>
        <v>Mid-Level</v>
      </c>
      <c r="U808" t="s">
        <v>50</v>
      </c>
      <c r="V808">
        <v>2</v>
      </c>
      <c r="W808" t="str" cm="1">
        <f t="array" ref="W808">_xlfn.IFS(V808=1,"Low",V808=2,"Medium",V808=3,"High",V808=4,"Very High")</f>
        <v>Medium</v>
      </c>
      <c r="X808" t="s">
        <v>38</v>
      </c>
      <c r="Y808" s="2">
        <v>10445</v>
      </c>
      <c r="Z808" s="2">
        <v>15322</v>
      </c>
      <c r="AA808">
        <v>7</v>
      </c>
      <c r="AB808" t="s">
        <v>39</v>
      </c>
      <c r="AC808">
        <v>19</v>
      </c>
      <c r="AD808">
        <v>3</v>
      </c>
      <c r="AE808" t="str" cm="1">
        <f t="array" ref="AE808">_xlfn.IFS(AD808=1,"Low",AD808=2,"Good",AD808=3,"Excellent",AD808=4,"Outstanding")</f>
        <v>Excellent</v>
      </c>
      <c r="AF808">
        <v>4</v>
      </c>
      <c r="AG808" t="str" cm="1">
        <f t="array" ref="AG808">_xlfn.IFS(AF808=1,"Low",AF808=2,"Medium",AF808=3,"High",AF808=4,"Very High")</f>
        <v>Very High</v>
      </c>
      <c r="AH808">
        <v>0</v>
      </c>
      <c r="AI808">
        <v>18</v>
      </c>
      <c r="AJ808">
        <v>4</v>
      </c>
      <c r="AK808">
        <v>3</v>
      </c>
      <c r="AL808" t="str" cm="1">
        <f t="array" ref="AL808">_xlfn.IFS(AK808=1,"Low",AK808=2,"Medium",AK808=3,"High",AK808=4,"Very High")</f>
        <v>High</v>
      </c>
      <c r="AM808">
        <v>8</v>
      </c>
      <c r="AN808">
        <v>6</v>
      </c>
      <c r="AO808">
        <v>4</v>
      </c>
      <c r="AP808">
        <v>0</v>
      </c>
    </row>
    <row r="809" spans="1:42">
      <c r="A809">
        <v>38</v>
      </c>
      <c r="B809" t="str" cm="1">
        <f t="array" ref="B809">_xlfn.IFS(A809&lt;=25,"18-25",A809&lt;=35,"26-35",A809&lt;=45,"36-45",A809&lt;=55,"46-55",A809&gt;55,"56+")</f>
        <v>36-45</v>
      </c>
      <c r="C809" t="s">
        <v>39</v>
      </c>
      <c r="D809" t="s">
        <v>33</v>
      </c>
      <c r="E809" s="2">
        <v>770</v>
      </c>
      <c r="F809" t="s">
        <v>34</v>
      </c>
      <c r="G809">
        <v>10</v>
      </c>
      <c r="H809" t="str">
        <f t="shared" si="12"/>
        <v>1-10 km</v>
      </c>
      <c r="I809">
        <v>4</v>
      </c>
      <c r="J809" t="str" cm="1">
        <f t="array" ref="J809">_xlfn.IFS(I809=1,"Below College",I809=2,"College",I809=3,"Bachelor",I809=4,"Master",I809=5,"Doctor")</f>
        <v>Master</v>
      </c>
      <c r="K809" t="s">
        <v>55</v>
      </c>
      <c r="L809">
        <v>1119</v>
      </c>
      <c r="M809">
        <v>3</v>
      </c>
      <c r="N809" t="str" cm="1">
        <f t="array" ref="N809">_xlfn.IFS(M809=1,"Low",M809=2,"Medium",M809=3,"High",M809=4,"Very High")</f>
        <v>High</v>
      </c>
      <c r="O809" t="s">
        <v>42</v>
      </c>
      <c r="P809" s="2">
        <v>73</v>
      </c>
      <c r="Q809">
        <v>2</v>
      </c>
      <c r="R809" t="str" cm="1">
        <f t="array" ref="R809">_xlfn.IFS(Q809=1,"Low",Q809=2,"Medium",Q809=3,"High",Q809=4,"Very High")</f>
        <v>Medium</v>
      </c>
      <c r="S809">
        <v>3</v>
      </c>
      <c r="T809" t="str" cm="1">
        <f t="array" ref="T809">_xlfn.IFS(S809=1,"Entry Level",S809=2,"Junior",S809=3,"Mid-Level",S809=4,"Senior",S809=5,"Executive")</f>
        <v>Mid-Level</v>
      </c>
      <c r="U809" t="s">
        <v>37</v>
      </c>
      <c r="V809">
        <v>3</v>
      </c>
      <c r="W809" t="str" cm="1">
        <f t="array" ref="W809">_xlfn.IFS(V809=1,"Low",V809=2,"Medium",V809=3,"High",V809=4,"Very High")</f>
        <v>High</v>
      </c>
      <c r="X809" t="s">
        <v>48</v>
      </c>
      <c r="Y809" s="2">
        <v>8740</v>
      </c>
      <c r="Z809" s="2">
        <v>5569</v>
      </c>
      <c r="AA809">
        <v>0</v>
      </c>
      <c r="AB809" t="s">
        <v>32</v>
      </c>
      <c r="AC809">
        <v>14</v>
      </c>
      <c r="AD809">
        <v>3</v>
      </c>
      <c r="AE809" t="str" cm="1">
        <f t="array" ref="AE809">_xlfn.IFS(AD809=1,"Low",AD809=2,"Good",AD809=3,"Excellent",AD809=4,"Outstanding")</f>
        <v>Excellent</v>
      </c>
      <c r="AF809">
        <v>2</v>
      </c>
      <c r="AG809" t="str" cm="1">
        <f t="array" ref="AG809">_xlfn.IFS(AF809=1,"Low",AF809=2,"Medium",AF809=3,"High",AF809=4,"Very High")</f>
        <v>Medium</v>
      </c>
      <c r="AH809">
        <v>2</v>
      </c>
      <c r="AI809">
        <v>9</v>
      </c>
      <c r="AJ809">
        <v>2</v>
      </c>
      <c r="AK809">
        <v>3</v>
      </c>
      <c r="AL809" t="str" cm="1">
        <f t="array" ref="AL809">_xlfn.IFS(AK809=1,"Low",AK809=2,"Medium",AK809=3,"High",AK809=4,"Very High")</f>
        <v>High</v>
      </c>
      <c r="AM809">
        <v>8</v>
      </c>
      <c r="AN809">
        <v>7</v>
      </c>
      <c r="AO809">
        <v>2</v>
      </c>
      <c r="AP809">
        <v>7</v>
      </c>
    </row>
    <row r="810" spans="1:42">
      <c r="A810">
        <v>29</v>
      </c>
      <c r="B810" t="str" cm="1">
        <f t="array" ref="B810">_xlfn.IFS(A810&lt;=25,"18-25",A810&lt;=35,"26-35",A810&lt;=45,"36-45",A810&lt;=55,"46-55",A810&gt;55,"56+")</f>
        <v>26-35</v>
      </c>
      <c r="C810" t="s">
        <v>39</v>
      </c>
      <c r="D810" t="s">
        <v>33</v>
      </c>
      <c r="E810" s="2">
        <v>1107</v>
      </c>
      <c r="F810" t="s">
        <v>41</v>
      </c>
      <c r="G810">
        <v>28</v>
      </c>
      <c r="H810" t="str">
        <f t="shared" si="12"/>
        <v>21-30 km</v>
      </c>
      <c r="I810">
        <v>4</v>
      </c>
      <c r="J810" t="str" cm="1">
        <f t="array" ref="J810">_xlfn.IFS(I810=1,"Below College",I810=2,"College",I810=3,"Bachelor",I810=4,"Master",I810=5,"Doctor")</f>
        <v>Master</v>
      </c>
      <c r="K810" t="s">
        <v>35</v>
      </c>
      <c r="L810">
        <v>1120</v>
      </c>
      <c r="M810">
        <v>3</v>
      </c>
      <c r="N810" t="str" cm="1">
        <f t="array" ref="N810">_xlfn.IFS(M810=1,"Low",M810=2,"Medium",M810=3,"High",M810=4,"Very High")</f>
        <v>High</v>
      </c>
      <c r="O810" t="s">
        <v>36</v>
      </c>
      <c r="P810" s="2">
        <v>93</v>
      </c>
      <c r="Q810">
        <v>3</v>
      </c>
      <c r="R810" t="str" cm="1">
        <f t="array" ref="R810">_xlfn.IFS(Q810=1,"Low",Q810=2,"Medium",Q810=3,"High",Q810=4,"Very High")</f>
        <v>High</v>
      </c>
      <c r="S810">
        <v>1</v>
      </c>
      <c r="T810" t="str" cm="1">
        <f t="array" ref="T810">_xlfn.IFS(S810=1,"Entry Level",S810=2,"Junior",S810=3,"Mid-Level",S810=4,"Senior",S810=5,"Executive")</f>
        <v>Entry Level</v>
      </c>
      <c r="U810" t="s">
        <v>43</v>
      </c>
      <c r="V810">
        <v>4</v>
      </c>
      <c r="W810" t="str" cm="1">
        <f t="array" ref="W810">_xlfn.IFS(V810=1,"Low",V810=2,"Medium",V810=3,"High",V810=4,"Very High")</f>
        <v>Very High</v>
      </c>
      <c r="X810" t="s">
        <v>48</v>
      </c>
      <c r="Y810" s="2">
        <v>2514</v>
      </c>
      <c r="Z810" s="2">
        <v>26968</v>
      </c>
      <c r="AA810">
        <v>4</v>
      </c>
      <c r="AB810" t="s">
        <v>39</v>
      </c>
      <c r="AC810">
        <v>22</v>
      </c>
      <c r="AD810">
        <v>4</v>
      </c>
      <c r="AE810" t="str" cm="1">
        <f t="array" ref="AE810">_xlfn.IFS(AD810=1,"Low",AD810=2,"Good",AD810=3,"Excellent",AD810=4,"Outstanding")</f>
        <v>Outstanding</v>
      </c>
      <c r="AF810">
        <v>1</v>
      </c>
      <c r="AG810" t="str" cm="1">
        <f t="array" ref="AG810">_xlfn.IFS(AF810=1,"Low",AF810=2,"Medium",AF810=3,"High",AF810=4,"Very High")</f>
        <v>Low</v>
      </c>
      <c r="AH810">
        <v>1</v>
      </c>
      <c r="AI810">
        <v>11</v>
      </c>
      <c r="AJ810">
        <v>1</v>
      </c>
      <c r="AK810">
        <v>3</v>
      </c>
      <c r="AL810" t="str" cm="1">
        <f t="array" ref="AL810">_xlfn.IFS(AK810=1,"Low",AK810=2,"Medium",AK810=3,"High",AK810=4,"Very High")</f>
        <v>High</v>
      </c>
      <c r="AM810">
        <v>7</v>
      </c>
      <c r="AN810">
        <v>5</v>
      </c>
      <c r="AO810">
        <v>1</v>
      </c>
      <c r="AP810">
        <v>7</v>
      </c>
    </row>
    <row r="811" spans="1:42">
      <c r="A811">
        <v>28</v>
      </c>
      <c r="B811" t="str" cm="1">
        <f t="array" ref="B811">_xlfn.IFS(A811&lt;=25,"18-25",A811&lt;=35,"26-35",A811&lt;=45,"36-45",A811&lt;=55,"46-55",A811&gt;55,"56+")</f>
        <v>26-35</v>
      </c>
      <c r="C811" t="s">
        <v>39</v>
      </c>
      <c r="D811" t="s">
        <v>33</v>
      </c>
      <c r="E811" s="2">
        <v>950</v>
      </c>
      <c r="F811" t="s">
        <v>41</v>
      </c>
      <c r="G811">
        <v>3</v>
      </c>
      <c r="H811" t="str">
        <f t="shared" si="12"/>
        <v>1-10 km</v>
      </c>
      <c r="I811">
        <v>3</v>
      </c>
      <c r="J811" t="str" cm="1">
        <f t="array" ref="J811">_xlfn.IFS(I811=1,"Below College",I811=2,"College",I811=3,"Bachelor",I811=4,"Master",I811=5,"Doctor")</f>
        <v>Bachelor</v>
      </c>
      <c r="K811" t="s">
        <v>47</v>
      </c>
      <c r="L811">
        <v>1121</v>
      </c>
      <c r="M811">
        <v>4</v>
      </c>
      <c r="N811" t="str" cm="1">
        <f t="array" ref="N811">_xlfn.IFS(M811=1,"Low",M811=2,"Medium",M811=3,"High",M811=4,"Very High")</f>
        <v>Very High</v>
      </c>
      <c r="O811" t="s">
        <v>36</v>
      </c>
      <c r="P811" s="2">
        <v>93</v>
      </c>
      <c r="Q811">
        <v>3</v>
      </c>
      <c r="R811" t="str" cm="1">
        <f t="array" ref="R811">_xlfn.IFS(Q811=1,"Low",Q811=2,"Medium",Q811=3,"High",Q811=4,"Very High")</f>
        <v>High</v>
      </c>
      <c r="S811">
        <v>3</v>
      </c>
      <c r="T811" t="str" cm="1">
        <f t="array" ref="T811">_xlfn.IFS(S811=1,"Entry Level",S811=2,"Junior",S811=3,"Mid-Level",S811=4,"Senior",S811=5,"Executive")</f>
        <v>Mid-Level</v>
      </c>
      <c r="U811" t="s">
        <v>49</v>
      </c>
      <c r="V811">
        <v>2</v>
      </c>
      <c r="W811" t="str" cm="1">
        <f t="array" ref="W811">_xlfn.IFS(V811=1,"Low",V811=2,"Medium",V811=3,"High",V811=4,"Very High")</f>
        <v>Medium</v>
      </c>
      <c r="X811" t="s">
        <v>48</v>
      </c>
      <c r="Y811" s="2">
        <v>7655</v>
      </c>
      <c r="Z811" s="2">
        <v>8039</v>
      </c>
      <c r="AA811">
        <v>0</v>
      </c>
      <c r="AB811" t="s">
        <v>39</v>
      </c>
      <c r="AC811">
        <v>17</v>
      </c>
      <c r="AD811">
        <v>3</v>
      </c>
      <c r="AE811" t="str" cm="1">
        <f t="array" ref="AE811">_xlfn.IFS(AD811=1,"Low",AD811=2,"Good",AD811=3,"Excellent",AD811=4,"Outstanding")</f>
        <v>Excellent</v>
      </c>
      <c r="AF811">
        <v>2</v>
      </c>
      <c r="AG811" t="str" cm="1">
        <f t="array" ref="AG811">_xlfn.IFS(AF811=1,"Low",AF811=2,"Medium",AF811=3,"High",AF811=4,"Very High")</f>
        <v>Medium</v>
      </c>
      <c r="AH811">
        <v>3</v>
      </c>
      <c r="AI811">
        <v>10</v>
      </c>
      <c r="AJ811">
        <v>3</v>
      </c>
      <c r="AK811">
        <v>2</v>
      </c>
      <c r="AL811" t="str" cm="1">
        <f t="array" ref="AL811">_xlfn.IFS(AK811=1,"Low",AK811=2,"Medium",AK811=3,"High",AK811=4,"Very High")</f>
        <v>Medium</v>
      </c>
      <c r="AM811">
        <v>9</v>
      </c>
      <c r="AN811">
        <v>7</v>
      </c>
      <c r="AO811">
        <v>1</v>
      </c>
      <c r="AP811">
        <v>7</v>
      </c>
    </row>
    <row r="812" spans="1:42">
      <c r="A812">
        <v>46</v>
      </c>
      <c r="B812" t="str" cm="1">
        <f t="array" ref="B812">_xlfn.IFS(A812&lt;=25,"18-25",A812&lt;=35,"26-35",A812&lt;=45,"36-45",A812&lt;=55,"46-55",A812&gt;55,"56+")</f>
        <v>46-55</v>
      </c>
      <c r="C812" t="s">
        <v>39</v>
      </c>
      <c r="D812" t="s">
        <v>33</v>
      </c>
      <c r="E812" s="2">
        <v>406</v>
      </c>
      <c r="F812" t="s">
        <v>34</v>
      </c>
      <c r="G812">
        <v>3</v>
      </c>
      <c r="H812" t="str">
        <f t="shared" si="12"/>
        <v>1-10 km</v>
      </c>
      <c r="I812">
        <v>1</v>
      </c>
      <c r="J812" t="str" cm="1">
        <f t="array" ref="J812">_xlfn.IFS(I812=1,"Below College",I812=2,"College",I812=3,"Bachelor",I812=4,"Master",I812=5,"Doctor")</f>
        <v>Below College</v>
      </c>
      <c r="K812" t="s">
        <v>55</v>
      </c>
      <c r="L812">
        <v>1124</v>
      </c>
      <c r="M812">
        <v>1</v>
      </c>
      <c r="N812" t="str" cm="1">
        <f t="array" ref="N812">_xlfn.IFS(M812=1,"Low",M812=2,"Medium",M812=3,"High",M812=4,"Very High")</f>
        <v>Low</v>
      </c>
      <c r="O812" t="s">
        <v>42</v>
      </c>
      <c r="P812" s="2">
        <v>52</v>
      </c>
      <c r="Q812">
        <v>3</v>
      </c>
      <c r="R812" t="str" cm="1">
        <f t="array" ref="R812">_xlfn.IFS(Q812=1,"Low",Q812=2,"Medium",Q812=3,"High",Q812=4,"Very High")</f>
        <v>High</v>
      </c>
      <c r="S812">
        <v>4</v>
      </c>
      <c r="T812" t="str" cm="1">
        <f t="array" ref="T812">_xlfn.IFS(S812=1,"Entry Level",S812=2,"Junior",S812=3,"Mid-Level",S812=4,"Senior",S812=5,"Executive")</f>
        <v>Senior</v>
      </c>
      <c r="U812" t="s">
        <v>52</v>
      </c>
      <c r="V812">
        <v>3</v>
      </c>
      <c r="W812" t="str" cm="1">
        <f t="array" ref="W812">_xlfn.IFS(V812=1,"Low",V812=2,"Medium",V812=3,"High",V812=4,"Very High")</f>
        <v>High</v>
      </c>
      <c r="X812" t="s">
        <v>44</v>
      </c>
      <c r="Y812" s="2">
        <v>17465</v>
      </c>
      <c r="Z812" s="2">
        <v>15596</v>
      </c>
      <c r="AA812">
        <v>3</v>
      </c>
      <c r="AB812" t="s">
        <v>39</v>
      </c>
      <c r="AC812">
        <v>12</v>
      </c>
      <c r="AD812">
        <v>3</v>
      </c>
      <c r="AE812" t="str" cm="1">
        <f t="array" ref="AE812">_xlfn.IFS(AD812=1,"Low",AD812=2,"Good",AD812=3,"Excellent",AD812=4,"Outstanding")</f>
        <v>Excellent</v>
      </c>
      <c r="AF812">
        <v>4</v>
      </c>
      <c r="AG812" t="str" cm="1">
        <f t="array" ref="AG812">_xlfn.IFS(AF812=1,"Low",AF812=2,"Medium",AF812=3,"High",AF812=4,"Very High")</f>
        <v>Very High</v>
      </c>
      <c r="AH812">
        <v>1</v>
      </c>
      <c r="AI812">
        <v>23</v>
      </c>
      <c r="AJ812">
        <v>3</v>
      </c>
      <c r="AK812">
        <v>3</v>
      </c>
      <c r="AL812" t="str" cm="1">
        <f t="array" ref="AL812">_xlfn.IFS(AK812=1,"Low",AK812=2,"Medium",AK812=3,"High",AK812=4,"Very High")</f>
        <v>High</v>
      </c>
      <c r="AM812">
        <v>12</v>
      </c>
      <c r="AN812">
        <v>9</v>
      </c>
      <c r="AO812">
        <v>4</v>
      </c>
      <c r="AP812">
        <v>9</v>
      </c>
    </row>
    <row r="813" spans="1:42">
      <c r="A813">
        <v>38</v>
      </c>
      <c r="B813" t="str" cm="1">
        <f t="array" ref="B813">_xlfn.IFS(A813&lt;=25,"18-25",A813&lt;=35,"26-35",A813&lt;=45,"36-45",A813&lt;=55,"46-55",A813&gt;55,"56+")</f>
        <v>36-45</v>
      </c>
      <c r="C813" t="s">
        <v>39</v>
      </c>
      <c r="D813" t="s">
        <v>33</v>
      </c>
      <c r="E813" s="2">
        <v>130</v>
      </c>
      <c r="F813" t="s">
        <v>34</v>
      </c>
      <c r="G813">
        <v>2</v>
      </c>
      <c r="H813" t="str">
        <f t="shared" si="12"/>
        <v>1-10 km</v>
      </c>
      <c r="I813">
        <v>2</v>
      </c>
      <c r="J813" t="str" cm="1">
        <f t="array" ref="J813">_xlfn.IFS(I813=1,"Below College",I813=2,"College",I813=3,"Bachelor",I813=4,"Master",I813=5,"Doctor")</f>
        <v>College</v>
      </c>
      <c r="K813" t="s">
        <v>55</v>
      </c>
      <c r="L813">
        <v>1125</v>
      </c>
      <c r="M813">
        <v>4</v>
      </c>
      <c r="N813" t="str" cm="1">
        <f t="array" ref="N813">_xlfn.IFS(M813=1,"Low",M813=2,"Medium",M813=3,"High",M813=4,"Very High")</f>
        <v>Very High</v>
      </c>
      <c r="O813" t="s">
        <v>42</v>
      </c>
      <c r="P813" s="2">
        <v>32</v>
      </c>
      <c r="Q813">
        <v>3</v>
      </c>
      <c r="R813" t="str" cm="1">
        <f t="array" ref="R813">_xlfn.IFS(Q813=1,"Low",Q813=2,"Medium",Q813=3,"High",Q813=4,"Very High")</f>
        <v>High</v>
      </c>
      <c r="S813">
        <v>3</v>
      </c>
      <c r="T813" t="str" cm="1">
        <f t="array" ref="T813">_xlfn.IFS(S813=1,"Entry Level",S813=2,"Junior",S813=3,"Mid-Level",S813=4,"Senior",S813=5,"Executive")</f>
        <v>Mid-Level</v>
      </c>
      <c r="U813" t="s">
        <v>37</v>
      </c>
      <c r="V813">
        <v>2</v>
      </c>
      <c r="W813" t="str" cm="1">
        <f t="array" ref="W813">_xlfn.IFS(V813=1,"Low",V813=2,"Medium",V813=3,"High",V813=4,"Very High")</f>
        <v>Medium</v>
      </c>
      <c r="X813" t="s">
        <v>38</v>
      </c>
      <c r="Y813" s="2">
        <v>7351</v>
      </c>
      <c r="Z813" s="2">
        <v>20619</v>
      </c>
      <c r="AA813">
        <v>7</v>
      </c>
      <c r="AB813" t="s">
        <v>39</v>
      </c>
      <c r="AC813">
        <v>16</v>
      </c>
      <c r="AD813">
        <v>3</v>
      </c>
      <c r="AE813" t="str" cm="1">
        <f t="array" ref="AE813">_xlfn.IFS(AD813=1,"Low",AD813=2,"Good",AD813=3,"Excellent",AD813=4,"Outstanding")</f>
        <v>Excellent</v>
      </c>
      <c r="AF813">
        <v>3</v>
      </c>
      <c r="AG813" t="str" cm="1">
        <f t="array" ref="AG813">_xlfn.IFS(AF813=1,"Low",AF813=2,"Medium",AF813=3,"High",AF813=4,"Very High")</f>
        <v>High</v>
      </c>
      <c r="AH813">
        <v>0</v>
      </c>
      <c r="AI813">
        <v>10</v>
      </c>
      <c r="AJ813">
        <v>2</v>
      </c>
      <c r="AK813">
        <v>3</v>
      </c>
      <c r="AL813" t="str" cm="1">
        <f t="array" ref="AL813">_xlfn.IFS(AK813=1,"Low",AK813=2,"Medium",AK813=3,"High",AK813=4,"Very High")</f>
        <v>High</v>
      </c>
      <c r="AM813">
        <v>1</v>
      </c>
      <c r="AN813">
        <v>0</v>
      </c>
      <c r="AO813">
        <v>0</v>
      </c>
      <c r="AP813">
        <v>0</v>
      </c>
    </row>
    <row r="814" spans="1:42">
      <c r="A814">
        <v>43</v>
      </c>
      <c r="B814" t="str" cm="1">
        <f t="array" ref="B814">_xlfn.IFS(A814&lt;=25,"18-25",A814&lt;=35,"26-35",A814&lt;=45,"36-45",A814&lt;=55,"46-55",A814&gt;55,"56+")</f>
        <v>36-45</v>
      </c>
      <c r="C814" t="s">
        <v>39</v>
      </c>
      <c r="D814" t="s">
        <v>40</v>
      </c>
      <c r="E814" s="2">
        <v>1082</v>
      </c>
      <c r="F814" t="s">
        <v>41</v>
      </c>
      <c r="G814">
        <v>27</v>
      </c>
      <c r="H814" t="str">
        <f t="shared" si="12"/>
        <v>21-30 km</v>
      </c>
      <c r="I814">
        <v>3</v>
      </c>
      <c r="J814" t="str" cm="1">
        <f t="array" ref="J814">_xlfn.IFS(I814=1,"Below College",I814=2,"College",I814=3,"Bachelor",I814=4,"Master",I814=5,"Doctor")</f>
        <v>Bachelor</v>
      </c>
      <c r="K814" t="s">
        <v>35</v>
      </c>
      <c r="L814">
        <v>1126</v>
      </c>
      <c r="M814">
        <v>3</v>
      </c>
      <c r="N814" t="str" cm="1">
        <f t="array" ref="N814">_xlfn.IFS(M814=1,"Low",M814=2,"Medium",M814=3,"High",M814=4,"Very High")</f>
        <v>High</v>
      </c>
      <c r="O814" t="s">
        <v>36</v>
      </c>
      <c r="P814" s="2">
        <v>83</v>
      </c>
      <c r="Q814">
        <v>3</v>
      </c>
      <c r="R814" t="str" cm="1">
        <f t="array" ref="R814">_xlfn.IFS(Q814=1,"Low",Q814=2,"Medium",Q814=3,"High",Q814=4,"Very High")</f>
        <v>High</v>
      </c>
      <c r="S814">
        <v>3</v>
      </c>
      <c r="T814" t="str" cm="1">
        <f t="array" ref="T814">_xlfn.IFS(S814=1,"Entry Level",S814=2,"Junior",S814=3,"Mid-Level",S814=4,"Senior",S814=5,"Executive")</f>
        <v>Mid-Level</v>
      </c>
      <c r="U814" t="s">
        <v>49</v>
      </c>
      <c r="V814">
        <v>1</v>
      </c>
      <c r="W814" t="str" cm="1">
        <f t="array" ref="W814">_xlfn.IFS(V814=1,"Low",V814=2,"Medium",V814=3,"High",V814=4,"Very High")</f>
        <v>Low</v>
      </c>
      <c r="X814" t="s">
        <v>44</v>
      </c>
      <c r="Y814" s="2">
        <v>10820</v>
      </c>
      <c r="Z814" s="2">
        <v>11535</v>
      </c>
      <c r="AA814">
        <v>8</v>
      </c>
      <c r="AB814" t="s">
        <v>39</v>
      </c>
      <c r="AC814">
        <v>11</v>
      </c>
      <c r="AD814">
        <v>3</v>
      </c>
      <c r="AE814" t="str" cm="1">
        <f t="array" ref="AE814">_xlfn.IFS(AD814=1,"Low",AD814=2,"Good",AD814=3,"Excellent",AD814=4,"Outstanding")</f>
        <v>Excellent</v>
      </c>
      <c r="AF814">
        <v>3</v>
      </c>
      <c r="AG814" t="str" cm="1">
        <f t="array" ref="AG814">_xlfn.IFS(AF814=1,"Low",AF814=2,"Medium",AF814=3,"High",AF814=4,"Very High")</f>
        <v>High</v>
      </c>
      <c r="AH814">
        <v>1</v>
      </c>
      <c r="AI814">
        <v>18</v>
      </c>
      <c r="AJ814">
        <v>1</v>
      </c>
      <c r="AK814">
        <v>3</v>
      </c>
      <c r="AL814" t="str" cm="1">
        <f t="array" ref="AL814">_xlfn.IFS(AK814=1,"Low",AK814=2,"Medium",AK814=3,"High",AK814=4,"Very High")</f>
        <v>High</v>
      </c>
      <c r="AM814">
        <v>8</v>
      </c>
      <c r="AN814">
        <v>7</v>
      </c>
      <c r="AO814">
        <v>0</v>
      </c>
      <c r="AP814">
        <v>1</v>
      </c>
    </row>
    <row r="815" spans="1:42">
      <c r="A815">
        <v>39</v>
      </c>
      <c r="B815" t="str" cm="1">
        <f t="array" ref="B815">_xlfn.IFS(A815&lt;=25,"18-25",A815&lt;=35,"26-35",A815&lt;=45,"36-45",A815&lt;=55,"46-55",A815&gt;55,"56+")</f>
        <v>36-45</v>
      </c>
      <c r="C815" t="s">
        <v>32</v>
      </c>
      <c r="D815" t="s">
        <v>40</v>
      </c>
      <c r="E815" s="2">
        <v>203</v>
      </c>
      <c r="F815" t="s">
        <v>41</v>
      </c>
      <c r="G815">
        <v>2</v>
      </c>
      <c r="H815" t="str">
        <f t="shared" si="12"/>
        <v>1-10 km</v>
      </c>
      <c r="I815">
        <v>3</v>
      </c>
      <c r="J815" t="str" cm="1">
        <f t="array" ref="J815">_xlfn.IFS(I815=1,"Below College",I815=2,"College",I815=3,"Bachelor",I815=4,"Master",I815=5,"Doctor")</f>
        <v>Bachelor</v>
      </c>
      <c r="K815" t="s">
        <v>35</v>
      </c>
      <c r="L815">
        <v>1127</v>
      </c>
      <c r="M815">
        <v>1</v>
      </c>
      <c r="N815" t="str" cm="1">
        <f t="array" ref="N815">_xlfn.IFS(M815=1,"Low",M815=2,"Medium",M815=3,"High",M815=4,"Very High")</f>
        <v>Low</v>
      </c>
      <c r="O815" t="s">
        <v>42</v>
      </c>
      <c r="P815" s="2">
        <v>84</v>
      </c>
      <c r="Q815">
        <v>3</v>
      </c>
      <c r="R815" t="str" cm="1">
        <f t="array" ref="R815">_xlfn.IFS(Q815=1,"Low",Q815=2,"Medium",Q815=3,"High",Q815=4,"Very High")</f>
        <v>High</v>
      </c>
      <c r="S815">
        <v>4</v>
      </c>
      <c r="T815" t="str" cm="1">
        <f t="array" ref="T815">_xlfn.IFS(S815=1,"Entry Level",S815=2,"Junior",S815=3,"Mid-Level",S815=4,"Senior",S815=5,"Executive")</f>
        <v>Senior</v>
      </c>
      <c r="U815" t="s">
        <v>50</v>
      </c>
      <c r="V815">
        <v>4</v>
      </c>
      <c r="W815" t="str" cm="1">
        <f t="array" ref="W815">_xlfn.IFS(V815=1,"Low",V815=2,"Medium",V815=3,"High",V815=4,"Very High")</f>
        <v>Very High</v>
      </c>
      <c r="X815" t="s">
        <v>48</v>
      </c>
      <c r="Y815" s="2">
        <v>12169</v>
      </c>
      <c r="Z815" s="2">
        <v>13547</v>
      </c>
      <c r="AA815">
        <v>7</v>
      </c>
      <c r="AB815" t="s">
        <v>39</v>
      </c>
      <c r="AC815">
        <v>11</v>
      </c>
      <c r="AD815">
        <v>3</v>
      </c>
      <c r="AE815" t="str" cm="1">
        <f t="array" ref="AE815">_xlfn.IFS(AD815=1,"Low",AD815=2,"Good",AD815=3,"Excellent",AD815=4,"Outstanding")</f>
        <v>Excellent</v>
      </c>
      <c r="AF815">
        <v>4</v>
      </c>
      <c r="AG815" t="str" cm="1">
        <f t="array" ref="AG815">_xlfn.IFS(AF815=1,"Low",AF815=2,"Medium",AF815=3,"High",AF815=4,"Very High")</f>
        <v>Very High</v>
      </c>
      <c r="AH815">
        <v>3</v>
      </c>
      <c r="AI815">
        <v>21</v>
      </c>
      <c r="AJ815">
        <v>4</v>
      </c>
      <c r="AK815">
        <v>3</v>
      </c>
      <c r="AL815" t="str" cm="1">
        <f t="array" ref="AL815">_xlfn.IFS(AK815=1,"Low",AK815=2,"Medium",AK815=3,"High",AK815=4,"Very High")</f>
        <v>High</v>
      </c>
      <c r="AM815">
        <v>18</v>
      </c>
      <c r="AN815">
        <v>7</v>
      </c>
      <c r="AO815">
        <v>11</v>
      </c>
      <c r="AP815">
        <v>5</v>
      </c>
    </row>
    <row r="816" spans="1:42">
      <c r="A816">
        <v>40</v>
      </c>
      <c r="B816" t="str" cm="1">
        <f t="array" ref="B816">_xlfn.IFS(A816&lt;=25,"18-25",A816&lt;=35,"26-35",A816&lt;=45,"36-45",A816&lt;=55,"46-55",A816&gt;55,"56+")</f>
        <v>36-45</v>
      </c>
      <c r="C816" t="s">
        <v>39</v>
      </c>
      <c r="D816" t="s">
        <v>33</v>
      </c>
      <c r="E816" s="2">
        <v>1308</v>
      </c>
      <c r="F816" t="s">
        <v>41</v>
      </c>
      <c r="G816">
        <v>14</v>
      </c>
      <c r="H816" t="str">
        <f t="shared" si="12"/>
        <v>11-20 km</v>
      </c>
      <c r="I816">
        <v>3</v>
      </c>
      <c r="J816" t="str" cm="1">
        <f t="array" ref="J816">_xlfn.IFS(I816=1,"Below College",I816=2,"College",I816=3,"Bachelor",I816=4,"Master",I816=5,"Doctor")</f>
        <v>Bachelor</v>
      </c>
      <c r="K816" t="s">
        <v>47</v>
      </c>
      <c r="L816">
        <v>1128</v>
      </c>
      <c r="M816">
        <v>3</v>
      </c>
      <c r="N816" t="str" cm="1">
        <f t="array" ref="N816">_xlfn.IFS(M816=1,"Low",M816=2,"Medium",M816=3,"High",M816=4,"Very High")</f>
        <v>High</v>
      </c>
      <c r="O816" t="s">
        <v>42</v>
      </c>
      <c r="P816" s="2">
        <v>44</v>
      </c>
      <c r="Q816">
        <v>2</v>
      </c>
      <c r="R816" t="str" cm="1">
        <f t="array" ref="R816">_xlfn.IFS(Q816=1,"Low",Q816=2,"Medium",Q816=3,"High",Q816=4,"Very High")</f>
        <v>Medium</v>
      </c>
      <c r="S816">
        <v>5</v>
      </c>
      <c r="T816" t="str" cm="1">
        <f t="array" ref="T816">_xlfn.IFS(S816=1,"Entry Level",S816=2,"Junior",S816=3,"Mid-Level",S816=4,"Senior",S816=5,"Executive")</f>
        <v>Executive</v>
      </c>
      <c r="U816" t="s">
        <v>54</v>
      </c>
      <c r="V816">
        <v>3</v>
      </c>
      <c r="W816" t="str" cm="1">
        <f t="array" ref="W816">_xlfn.IFS(V816=1,"Low",V816=2,"Medium",V816=3,"High",V816=4,"Very High")</f>
        <v>High</v>
      </c>
      <c r="X816" t="s">
        <v>38</v>
      </c>
      <c r="Y816" s="2">
        <v>19626</v>
      </c>
      <c r="Z816" s="2">
        <v>17544</v>
      </c>
      <c r="AA816">
        <v>1</v>
      </c>
      <c r="AB816" t="s">
        <v>39</v>
      </c>
      <c r="AC816">
        <v>14</v>
      </c>
      <c r="AD816">
        <v>3</v>
      </c>
      <c r="AE816" t="str" cm="1">
        <f t="array" ref="AE816">_xlfn.IFS(AD816=1,"Low",AD816=2,"Good",AD816=3,"Excellent",AD816=4,"Outstanding")</f>
        <v>Excellent</v>
      </c>
      <c r="AF816">
        <v>1</v>
      </c>
      <c r="AG816" t="str" cm="1">
        <f t="array" ref="AG816">_xlfn.IFS(AF816=1,"Low",AF816=2,"Medium",AF816=3,"High",AF816=4,"Very High")</f>
        <v>Low</v>
      </c>
      <c r="AH816">
        <v>0</v>
      </c>
      <c r="AI816">
        <v>21</v>
      </c>
      <c r="AJ816">
        <v>2</v>
      </c>
      <c r="AK816">
        <v>4</v>
      </c>
      <c r="AL816" t="str" cm="1">
        <f t="array" ref="AL816">_xlfn.IFS(AK816=1,"Low",AK816=2,"Medium",AK816=3,"High",AK816=4,"Very High")</f>
        <v>Very High</v>
      </c>
      <c r="AM816">
        <v>20</v>
      </c>
      <c r="AN816">
        <v>7</v>
      </c>
      <c r="AO816">
        <v>4</v>
      </c>
      <c r="AP816">
        <v>9</v>
      </c>
    </row>
    <row r="817" spans="1:42">
      <c r="A817">
        <v>21</v>
      </c>
      <c r="B817" t="str" cm="1">
        <f t="array" ref="B817">_xlfn.IFS(A817&lt;=25,"18-25",A817&lt;=35,"26-35",A817&lt;=45,"36-45",A817&lt;=55,"46-55",A817&gt;55,"56+")</f>
        <v>18-25</v>
      </c>
      <c r="C817" t="s">
        <v>39</v>
      </c>
      <c r="D817" t="s">
        <v>33</v>
      </c>
      <c r="E817" s="2">
        <v>984</v>
      </c>
      <c r="F817" t="s">
        <v>41</v>
      </c>
      <c r="G817">
        <v>1</v>
      </c>
      <c r="H817" t="str">
        <f t="shared" si="12"/>
        <v>1-10 km</v>
      </c>
      <c r="I817">
        <v>1</v>
      </c>
      <c r="J817" t="str" cm="1">
        <f t="array" ref="J817">_xlfn.IFS(I817=1,"Below College",I817=2,"College",I817=3,"Bachelor",I817=4,"Master",I817=5,"Doctor")</f>
        <v>Below College</v>
      </c>
      <c r="K817" t="s">
        <v>56</v>
      </c>
      <c r="L817">
        <v>1131</v>
      </c>
      <c r="M817">
        <v>4</v>
      </c>
      <c r="N817" t="str" cm="1">
        <f t="array" ref="N817">_xlfn.IFS(M817=1,"Low",M817=2,"Medium",M817=3,"High",M817=4,"Very High")</f>
        <v>Very High</v>
      </c>
      <c r="O817" t="s">
        <v>36</v>
      </c>
      <c r="P817" s="2">
        <v>70</v>
      </c>
      <c r="Q817">
        <v>2</v>
      </c>
      <c r="R817" t="str" cm="1">
        <f t="array" ref="R817">_xlfn.IFS(Q817=1,"Low",Q817=2,"Medium",Q817=3,"High",Q817=4,"Very High")</f>
        <v>Medium</v>
      </c>
      <c r="S817">
        <v>1</v>
      </c>
      <c r="T817" t="str" cm="1">
        <f t="array" ref="T817">_xlfn.IFS(S817=1,"Entry Level",S817=2,"Junior",S817=3,"Mid-Level",S817=4,"Senior",S817=5,"Executive")</f>
        <v>Entry Level</v>
      </c>
      <c r="U817" t="s">
        <v>43</v>
      </c>
      <c r="V817">
        <v>2</v>
      </c>
      <c r="W817" t="str" cm="1">
        <f t="array" ref="W817">_xlfn.IFS(V817=1,"Low",V817=2,"Medium",V817=3,"High",V817=4,"Very High")</f>
        <v>Medium</v>
      </c>
      <c r="X817" t="s">
        <v>38</v>
      </c>
      <c r="Y817" s="2">
        <v>2070</v>
      </c>
      <c r="Z817" s="2">
        <v>25326</v>
      </c>
      <c r="AA817">
        <v>1</v>
      </c>
      <c r="AB817" t="s">
        <v>32</v>
      </c>
      <c r="AC817">
        <v>11</v>
      </c>
      <c r="AD817">
        <v>3</v>
      </c>
      <c r="AE817" t="str" cm="1">
        <f t="array" ref="AE817">_xlfn.IFS(AD817=1,"Low",AD817=2,"Good",AD817=3,"Excellent",AD817=4,"Outstanding")</f>
        <v>Excellent</v>
      </c>
      <c r="AF817">
        <v>3</v>
      </c>
      <c r="AG817" t="str" cm="1">
        <f t="array" ref="AG817">_xlfn.IFS(AF817=1,"Low",AF817=2,"Medium",AF817=3,"High",AF817=4,"Very High")</f>
        <v>High</v>
      </c>
      <c r="AH817">
        <v>0</v>
      </c>
      <c r="AI817">
        <v>2</v>
      </c>
      <c r="AJ817">
        <v>6</v>
      </c>
      <c r="AK817">
        <v>4</v>
      </c>
      <c r="AL817" t="str" cm="1">
        <f t="array" ref="AL817">_xlfn.IFS(AK817=1,"Low",AK817=2,"Medium",AK817=3,"High",AK817=4,"Very High")</f>
        <v>Very High</v>
      </c>
      <c r="AM817">
        <v>2</v>
      </c>
      <c r="AN817">
        <v>2</v>
      </c>
      <c r="AO817">
        <v>2</v>
      </c>
      <c r="AP817">
        <v>2</v>
      </c>
    </row>
    <row r="818" spans="1:42">
      <c r="A818">
        <v>39</v>
      </c>
      <c r="B818" t="str" cm="1">
        <f t="array" ref="B818">_xlfn.IFS(A818&lt;=25,"18-25",A818&lt;=35,"26-35",A818&lt;=45,"36-45",A818&lt;=55,"46-55",A818&gt;55,"56+")</f>
        <v>36-45</v>
      </c>
      <c r="C818" t="s">
        <v>39</v>
      </c>
      <c r="D818" t="s">
        <v>51</v>
      </c>
      <c r="E818" s="2">
        <v>439</v>
      </c>
      <c r="F818" t="s">
        <v>41</v>
      </c>
      <c r="G818">
        <v>9</v>
      </c>
      <c r="H818" t="str">
        <f t="shared" si="12"/>
        <v>1-10 km</v>
      </c>
      <c r="I818">
        <v>3</v>
      </c>
      <c r="J818" t="str" cm="1">
        <f t="array" ref="J818">_xlfn.IFS(I818=1,"Below College",I818=2,"College",I818=3,"Bachelor",I818=4,"Master",I818=5,"Doctor")</f>
        <v>Bachelor</v>
      </c>
      <c r="K818" t="s">
        <v>35</v>
      </c>
      <c r="L818">
        <v>1132</v>
      </c>
      <c r="M818">
        <v>3</v>
      </c>
      <c r="N818" t="str" cm="1">
        <f t="array" ref="N818">_xlfn.IFS(M818=1,"Low",M818=2,"Medium",M818=3,"High",M818=4,"Very High")</f>
        <v>High</v>
      </c>
      <c r="O818" t="s">
        <v>42</v>
      </c>
      <c r="P818" s="2">
        <v>70</v>
      </c>
      <c r="Q818">
        <v>3</v>
      </c>
      <c r="R818" t="str" cm="1">
        <f t="array" ref="R818">_xlfn.IFS(Q818=1,"Low",Q818=2,"Medium",Q818=3,"High",Q818=4,"Very High")</f>
        <v>High</v>
      </c>
      <c r="S818">
        <v>2</v>
      </c>
      <c r="T818" t="str" cm="1">
        <f t="array" ref="T818">_xlfn.IFS(S818=1,"Entry Level",S818=2,"Junior",S818=3,"Mid-Level",S818=4,"Senior",S818=5,"Executive")</f>
        <v>Junior</v>
      </c>
      <c r="U818" t="s">
        <v>46</v>
      </c>
      <c r="V818">
        <v>2</v>
      </c>
      <c r="W818" t="str" cm="1">
        <f t="array" ref="W818">_xlfn.IFS(V818=1,"Low",V818=2,"Medium",V818=3,"High",V818=4,"Very High")</f>
        <v>Medium</v>
      </c>
      <c r="X818" t="s">
        <v>38</v>
      </c>
      <c r="Y818" s="2">
        <v>6782</v>
      </c>
      <c r="Z818" s="2">
        <v>8770</v>
      </c>
      <c r="AA818">
        <v>9</v>
      </c>
      <c r="AB818" t="s">
        <v>39</v>
      </c>
      <c r="AC818">
        <v>15</v>
      </c>
      <c r="AD818">
        <v>3</v>
      </c>
      <c r="AE818" t="str" cm="1">
        <f t="array" ref="AE818">_xlfn.IFS(AD818=1,"Low",AD818=2,"Good",AD818=3,"Excellent",AD818=4,"Outstanding")</f>
        <v>Excellent</v>
      </c>
      <c r="AF818">
        <v>3</v>
      </c>
      <c r="AG818" t="str" cm="1">
        <f t="array" ref="AG818">_xlfn.IFS(AF818=1,"Low",AF818=2,"Medium",AF818=3,"High",AF818=4,"Very High")</f>
        <v>High</v>
      </c>
      <c r="AH818">
        <v>0</v>
      </c>
      <c r="AI818">
        <v>9</v>
      </c>
      <c r="AJ818">
        <v>2</v>
      </c>
      <c r="AK818">
        <v>2</v>
      </c>
      <c r="AL818" t="str" cm="1">
        <f t="array" ref="AL818">_xlfn.IFS(AK818=1,"Low",AK818=2,"Medium",AK818=3,"High",AK818=4,"Very High")</f>
        <v>Medium</v>
      </c>
      <c r="AM818">
        <v>5</v>
      </c>
      <c r="AN818">
        <v>4</v>
      </c>
      <c r="AO818">
        <v>0</v>
      </c>
      <c r="AP818">
        <v>3</v>
      </c>
    </row>
    <row r="819" spans="1:42">
      <c r="A819">
        <v>36</v>
      </c>
      <c r="B819" t="str" cm="1">
        <f t="array" ref="B819">_xlfn.IFS(A819&lt;=25,"18-25",A819&lt;=35,"26-35",A819&lt;=45,"36-45",A819&lt;=55,"46-55",A819&gt;55,"56+")</f>
        <v>36-45</v>
      </c>
      <c r="C819" t="s">
        <v>39</v>
      </c>
      <c r="D819" t="s">
        <v>51</v>
      </c>
      <c r="E819" s="2">
        <v>217</v>
      </c>
      <c r="F819" t="s">
        <v>41</v>
      </c>
      <c r="G819">
        <v>18</v>
      </c>
      <c r="H819" t="str">
        <f t="shared" si="12"/>
        <v>11-20 km</v>
      </c>
      <c r="I819">
        <v>4</v>
      </c>
      <c r="J819" t="str" cm="1">
        <f t="array" ref="J819">_xlfn.IFS(I819=1,"Below College",I819=2,"College",I819=3,"Bachelor",I819=4,"Master",I819=5,"Doctor")</f>
        <v>Master</v>
      </c>
      <c r="K819" t="s">
        <v>35</v>
      </c>
      <c r="L819">
        <v>1133</v>
      </c>
      <c r="M819">
        <v>1</v>
      </c>
      <c r="N819" t="str" cm="1">
        <f t="array" ref="N819">_xlfn.IFS(M819=1,"Low",M819=2,"Medium",M819=3,"High",M819=4,"Very High")</f>
        <v>Low</v>
      </c>
      <c r="O819" t="s">
        <v>42</v>
      </c>
      <c r="P819" s="2">
        <v>78</v>
      </c>
      <c r="Q819">
        <v>3</v>
      </c>
      <c r="R819" t="str" cm="1">
        <f t="array" ref="R819">_xlfn.IFS(Q819=1,"Low",Q819=2,"Medium",Q819=3,"High",Q819=4,"Very High")</f>
        <v>High</v>
      </c>
      <c r="S819">
        <v>2</v>
      </c>
      <c r="T819" t="str" cm="1">
        <f t="array" ref="T819">_xlfn.IFS(S819=1,"Entry Level",S819=2,"Junior",S819=3,"Mid-Level",S819=4,"Senior",S819=5,"Executive")</f>
        <v>Junior</v>
      </c>
      <c r="U819" t="s">
        <v>49</v>
      </c>
      <c r="V819">
        <v>4</v>
      </c>
      <c r="W819" t="str" cm="1">
        <f t="array" ref="W819">_xlfn.IFS(V819=1,"Low",V819=2,"Medium",V819=3,"High",V819=4,"Very High")</f>
        <v>Very High</v>
      </c>
      <c r="X819" t="s">
        <v>38</v>
      </c>
      <c r="Y819" s="2">
        <v>7779</v>
      </c>
      <c r="Z819" s="2">
        <v>23238</v>
      </c>
      <c r="AA819">
        <v>2</v>
      </c>
      <c r="AB819" t="s">
        <v>39</v>
      </c>
      <c r="AC819">
        <v>20</v>
      </c>
      <c r="AD819">
        <v>4</v>
      </c>
      <c r="AE819" t="str" cm="1">
        <f t="array" ref="AE819">_xlfn.IFS(AD819=1,"Low",AD819=2,"Good",AD819=3,"Excellent",AD819=4,"Outstanding")</f>
        <v>Outstanding</v>
      </c>
      <c r="AF819">
        <v>1</v>
      </c>
      <c r="AG819" t="str" cm="1">
        <f t="array" ref="AG819">_xlfn.IFS(AF819=1,"Low",AF819=2,"Medium",AF819=3,"High",AF819=4,"Very High")</f>
        <v>Low</v>
      </c>
      <c r="AH819">
        <v>0</v>
      </c>
      <c r="AI819">
        <v>18</v>
      </c>
      <c r="AJ819">
        <v>0</v>
      </c>
      <c r="AK819">
        <v>3</v>
      </c>
      <c r="AL819" t="str" cm="1">
        <f t="array" ref="AL819">_xlfn.IFS(AK819=1,"Low",AK819=2,"Medium",AK819=3,"High",AK819=4,"Very High")</f>
        <v>High</v>
      </c>
      <c r="AM819">
        <v>11</v>
      </c>
      <c r="AN819">
        <v>9</v>
      </c>
      <c r="AO819">
        <v>0</v>
      </c>
      <c r="AP819">
        <v>9</v>
      </c>
    </row>
    <row r="820" spans="1:42">
      <c r="A820">
        <v>31</v>
      </c>
      <c r="B820" t="str" cm="1">
        <f t="array" ref="B820">_xlfn.IFS(A820&lt;=25,"18-25",A820&lt;=35,"26-35",A820&lt;=45,"36-45",A820&lt;=55,"46-55",A820&gt;55,"56+")</f>
        <v>26-35</v>
      </c>
      <c r="C820" t="s">
        <v>39</v>
      </c>
      <c r="D820" t="s">
        <v>40</v>
      </c>
      <c r="E820" s="2">
        <v>793</v>
      </c>
      <c r="F820" t="s">
        <v>34</v>
      </c>
      <c r="G820">
        <v>20</v>
      </c>
      <c r="H820" t="str">
        <f t="shared" si="12"/>
        <v>11-20 km</v>
      </c>
      <c r="I820">
        <v>3</v>
      </c>
      <c r="J820" t="str" cm="1">
        <f t="array" ref="J820">_xlfn.IFS(I820=1,"Below College",I820=2,"College",I820=3,"Bachelor",I820=4,"Master",I820=5,"Doctor")</f>
        <v>Bachelor</v>
      </c>
      <c r="K820" t="s">
        <v>35</v>
      </c>
      <c r="L820">
        <v>1135</v>
      </c>
      <c r="M820">
        <v>3</v>
      </c>
      <c r="N820" t="str" cm="1">
        <f t="array" ref="N820">_xlfn.IFS(M820=1,"Low",M820=2,"Medium",M820=3,"High",M820=4,"Very High")</f>
        <v>High</v>
      </c>
      <c r="O820" t="s">
        <v>42</v>
      </c>
      <c r="P820" s="2">
        <v>67</v>
      </c>
      <c r="Q820">
        <v>4</v>
      </c>
      <c r="R820" t="str" cm="1">
        <f t="array" ref="R820">_xlfn.IFS(Q820=1,"Low",Q820=2,"Medium",Q820=3,"High",Q820=4,"Very High")</f>
        <v>Very High</v>
      </c>
      <c r="S820">
        <v>1</v>
      </c>
      <c r="T820" t="str" cm="1">
        <f t="array" ref="T820">_xlfn.IFS(S820=1,"Entry Level",S820=2,"Junior",S820=3,"Mid-Level",S820=4,"Senior",S820=5,"Executive")</f>
        <v>Entry Level</v>
      </c>
      <c r="U820" t="s">
        <v>53</v>
      </c>
      <c r="V820">
        <v>4</v>
      </c>
      <c r="W820" t="str" cm="1">
        <f t="array" ref="W820">_xlfn.IFS(V820=1,"Low",V820=2,"Medium",V820=3,"High",V820=4,"Very High")</f>
        <v>Very High</v>
      </c>
      <c r="X820" t="s">
        <v>44</v>
      </c>
      <c r="Y820" s="2">
        <v>2791</v>
      </c>
      <c r="Z820" s="2">
        <v>21981</v>
      </c>
      <c r="AA820">
        <v>0</v>
      </c>
      <c r="AB820" t="s">
        <v>39</v>
      </c>
      <c r="AC820">
        <v>12</v>
      </c>
      <c r="AD820">
        <v>3</v>
      </c>
      <c r="AE820" t="str" cm="1">
        <f t="array" ref="AE820">_xlfn.IFS(AD820=1,"Low",AD820=2,"Good",AD820=3,"Excellent",AD820=4,"Outstanding")</f>
        <v>Excellent</v>
      </c>
      <c r="AF820">
        <v>1</v>
      </c>
      <c r="AG820" t="str" cm="1">
        <f t="array" ref="AG820">_xlfn.IFS(AF820=1,"Low",AF820=2,"Medium",AF820=3,"High",AF820=4,"Very High")</f>
        <v>Low</v>
      </c>
      <c r="AH820">
        <v>1</v>
      </c>
      <c r="AI820">
        <v>3</v>
      </c>
      <c r="AJ820">
        <v>4</v>
      </c>
      <c r="AK820">
        <v>3</v>
      </c>
      <c r="AL820" t="str" cm="1">
        <f t="array" ref="AL820">_xlfn.IFS(AK820=1,"Low",AK820=2,"Medium",AK820=3,"High",AK820=4,"Very High")</f>
        <v>High</v>
      </c>
      <c r="AM820">
        <v>2</v>
      </c>
      <c r="AN820">
        <v>2</v>
      </c>
      <c r="AO820">
        <v>2</v>
      </c>
      <c r="AP820">
        <v>2</v>
      </c>
    </row>
    <row r="821" spans="1:42">
      <c r="A821">
        <v>28</v>
      </c>
      <c r="B821" t="str" cm="1">
        <f t="array" ref="B821">_xlfn.IFS(A821&lt;=25,"18-25",A821&lt;=35,"26-35",A821&lt;=45,"36-45",A821&lt;=55,"46-55",A821&gt;55,"56+")</f>
        <v>26-35</v>
      </c>
      <c r="C821" t="s">
        <v>39</v>
      </c>
      <c r="D821" t="s">
        <v>33</v>
      </c>
      <c r="E821" s="2">
        <v>1451</v>
      </c>
      <c r="F821" t="s">
        <v>41</v>
      </c>
      <c r="G821">
        <v>2</v>
      </c>
      <c r="H821" t="str">
        <f t="shared" si="12"/>
        <v>1-10 km</v>
      </c>
      <c r="I821">
        <v>1</v>
      </c>
      <c r="J821" t="str" cm="1">
        <f t="array" ref="J821">_xlfn.IFS(I821=1,"Below College",I821=2,"College",I821=3,"Bachelor",I821=4,"Master",I821=5,"Doctor")</f>
        <v>Below College</v>
      </c>
      <c r="K821" t="s">
        <v>35</v>
      </c>
      <c r="L821">
        <v>1136</v>
      </c>
      <c r="M821">
        <v>1</v>
      </c>
      <c r="N821" t="str" cm="1">
        <f t="array" ref="N821">_xlfn.IFS(M821=1,"Low",M821=2,"Medium",M821=3,"High",M821=4,"Very High")</f>
        <v>Low</v>
      </c>
      <c r="O821" t="s">
        <v>42</v>
      </c>
      <c r="P821" s="2">
        <v>67</v>
      </c>
      <c r="Q821">
        <v>2</v>
      </c>
      <c r="R821" t="str" cm="1">
        <f t="array" ref="R821">_xlfn.IFS(Q821=1,"Low",Q821=2,"Medium",Q821=3,"High",Q821=4,"Very High")</f>
        <v>Medium</v>
      </c>
      <c r="S821">
        <v>1</v>
      </c>
      <c r="T821" t="str" cm="1">
        <f t="array" ref="T821">_xlfn.IFS(S821=1,"Entry Level",S821=2,"Junior",S821=3,"Mid-Level",S821=4,"Senior",S821=5,"Executive")</f>
        <v>Entry Level</v>
      </c>
      <c r="U821" t="s">
        <v>43</v>
      </c>
      <c r="V821">
        <v>2</v>
      </c>
      <c r="W821" t="str" cm="1">
        <f t="array" ref="W821">_xlfn.IFS(V821=1,"Low",V821=2,"Medium",V821=3,"High",V821=4,"Very High")</f>
        <v>Medium</v>
      </c>
      <c r="X821" t="s">
        <v>44</v>
      </c>
      <c r="Y821" s="2">
        <v>3201</v>
      </c>
      <c r="Z821" s="2">
        <v>19911</v>
      </c>
      <c r="AA821">
        <v>0</v>
      </c>
      <c r="AB821" t="s">
        <v>39</v>
      </c>
      <c r="AC821">
        <v>17</v>
      </c>
      <c r="AD821">
        <v>3</v>
      </c>
      <c r="AE821" t="str" cm="1">
        <f t="array" ref="AE821">_xlfn.IFS(AD821=1,"Low",AD821=2,"Good",AD821=3,"Excellent",AD821=4,"Outstanding")</f>
        <v>Excellent</v>
      </c>
      <c r="AF821">
        <v>1</v>
      </c>
      <c r="AG821" t="str" cm="1">
        <f t="array" ref="AG821">_xlfn.IFS(AF821=1,"Low",AF821=2,"Medium",AF821=3,"High",AF821=4,"Very High")</f>
        <v>Low</v>
      </c>
      <c r="AH821">
        <v>0</v>
      </c>
      <c r="AI821">
        <v>6</v>
      </c>
      <c r="AJ821">
        <v>2</v>
      </c>
      <c r="AK821">
        <v>1</v>
      </c>
      <c r="AL821" t="str" cm="1">
        <f t="array" ref="AL821">_xlfn.IFS(AK821=1,"Low",AK821=2,"Medium",AK821=3,"High",AK821=4,"Very High")</f>
        <v>Low</v>
      </c>
      <c r="AM821">
        <v>5</v>
      </c>
      <c r="AN821">
        <v>3</v>
      </c>
      <c r="AO821">
        <v>0</v>
      </c>
      <c r="AP821">
        <v>4</v>
      </c>
    </row>
    <row r="822" spans="1:42">
      <c r="A822">
        <v>35</v>
      </c>
      <c r="B822" t="str" cm="1">
        <f t="array" ref="B822">_xlfn.IFS(A822&lt;=25,"18-25",A822&lt;=35,"26-35",A822&lt;=45,"36-45",A822&lt;=55,"46-55",A822&gt;55,"56+")</f>
        <v>26-35</v>
      </c>
      <c r="C822" t="s">
        <v>39</v>
      </c>
      <c r="D822" t="s">
        <v>40</v>
      </c>
      <c r="E822" s="2">
        <v>1182</v>
      </c>
      <c r="F822" t="s">
        <v>34</v>
      </c>
      <c r="G822">
        <v>11</v>
      </c>
      <c r="H822" t="str">
        <f t="shared" si="12"/>
        <v>11-20 km</v>
      </c>
      <c r="I822">
        <v>2</v>
      </c>
      <c r="J822" t="str" cm="1">
        <f t="array" ref="J822">_xlfn.IFS(I822=1,"Below College",I822=2,"College",I822=3,"Bachelor",I822=4,"Master",I822=5,"Doctor")</f>
        <v>College</v>
      </c>
      <c r="K822" t="s">
        <v>55</v>
      </c>
      <c r="L822">
        <v>1137</v>
      </c>
      <c r="M822">
        <v>4</v>
      </c>
      <c r="N822" t="str" cm="1">
        <f t="array" ref="N822">_xlfn.IFS(M822=1,"Low",M822=2,"Medium",M822=3,"High",M822=4,"Very High")</f>
        <v>Very High</v>
      </c>
      <c r="O822" t="s">
        <v>42</v>
      </c>
      <c r="P822" s="2">
        <v>54</v>
      </c>
      <c r="Q822">
        <v>3</v>
      </c>
      <c r="R822" t="str" cm="1">
        <f t="array" ref="R822">_xlfn.IFS(Q822=1,"Low",Q822=2,"Medium",Q822=3,"High",Q822=4,"Very High")</f>
        <v>High</v>
      </c>
      <c r="S822">
        <v>2</v>
      </c>
      <c r="T822" t="str" cm="1">
        <f t="array" ref="T822">_xlfn.IFS(S822=1,"Entry Level",S822=2,"Junior",S822=3,"Mid-Level",S822=4,"Senior",S822=5,"Executive")</f>
        <v>Junior</v>
      </c>
      <c r="U822" t="s">
        <v>37</v>
      </c>
      <c r="V822">
        <v>4</v>
      </c>
      <c r="W822" t="str" cm="1">
        <f t="array" ref="W822">_xlfn.IFS(V822=1,"Low",V822=2,"Medium",V822=3,"High",V822=4,"Very High")</f>
        <v>Very High</v>
      </c>
      <c r="X822" t="s">
        <v>48</v>
      </c>
      <c r="Y822" s="2">
        <v>4968</v>
      </c>
      <c r="Z822" s="2">
        <v>18500</v>
      </c>
      <c r="AA822">
        <v>1</v>
      </c>
      <c r="AB822" t="s">
        <v>39</v>
      </c>
      <c r="AC822">
        <v>11</v>
      </c>
      <c r="AD822">
        <v>3</v>
      </c>
      <c r="AE822" t="str" cm="1">
        <f t="array" ref="AE822">_xlfn.IFS(AD822=1,"Low",AD822=2,"Good",AD822=3,"Excellent",AD822=4,"Outstanding")</f>
        <v>Excellent</v>
      </c>
      <c r="AF822">
        <v>4</v>
      </c>
      <c r="AG822" t="str" cm="1">
        <f t="array" ref="AG822">_xlfn.IFS(AF822=1,"Low",AF822=2,"Medium",AF822=3,"High",AF822=4,"Very High")</f>
        <v>Very High</v>
      </c>
      <c r="AH822">
        <v>1</v>
      </c>
      <c r="AI822">
        <v>5</v>
      </c>
      <c r="AJ822">
        <v>3</v>
      </c>
      <c r="AK822">
        <v>3</v>
      </c>
      <c r="AL822" t="str" cm="1">
        <f t="array" ref="AL822">_xlfn.IFS(AK822=1,"Low",AK822=2,"Medium",AK822=3,"High",AK822=4,"Very High")</f>
        <v>High</v>
      </c>
      <c r="AM822">
        <v>5</v>
      </c>
      <c r="AN822">
        <v>2</v>
      </c>
      <c r="AO822">
        <v>0</v>
      </c>
      <c r="AP822">
        <v>2</v>
      </c>
    </row>
    <row r="823" spans="1:42">
      <c r="A823">
        <v>49</v>
      </c>
      <c r="B823" t="str" cm="1">
        <f t="array" ref="B823">_xlfn.IFS(A823&lt;=25,"18-25",A823&lt;=35,"26-35",A823&lt;=45,"36-45",A823&lt;=55,"46-55",A823&gt;55,"56+")</f>
        <v>46-55</v>
      </c>
      <c r="C823" t="s">
        <v>39</v>
      </c>
      <c r="D823" t="s">
        <v>33</v>
      </c>
      <c r="E823" s="2">
        <v>174</v>
      </c>
      <c r="F823" t="s">
        <v>34</v>
      </c>
      <c r="G823">
        <v>8</v>
      </c>
      <c r="H823" t="str">
        <f t="shared" si="12"/>
        <v>1-10 km</v>
      </c>
      <c r="I823">
        <v>4</v>
      </c>
      <c r="J823" t="str" cm="1">
        <f t="array" ref="J823">_xlfn.IFS(I823=1,"Below College",I823=2,"College",I823=3,"Bachelor",I823=4,"Master",I823=5,"Doctor")</f>
        <v>Master</v>
      </c>
      <c r="K823" t="s">
        <v>56</v>
      </c>
      <c r="L823">
        <v>1138</v>
      </c>
      <c r="M823">
        <v>4</v>
      </c>
      <c r="N823" t="str" cm="1">
        <f t="array" ref="N823">_xlfn.IFS(M823=1,"Low",M823=2,"Medium",M823=3,"High",M823=4,"Very High")</f>
        <v>Very High</v>
      </c>
      <c r="O823" t="s">
        <v>42</v>
      </c>
      <c r="P823" s="2">
        <v>56</v>
      </c>
      <c r="Q823">
        <v>2</v>
      </c>
      <c r="R823" t="str" cm="1">
        <f t="array" ref="R823">_xlfn.IFS(Q823=1,"Low",Q823=2,"Medium",Q823=3,"High",Q823=4,"Very High")</f>
        <v>Medium</v>
      </c>
      <c r="S823">
        <v>4</v>
      </c>
      <c r="T823" t="str" cm="1">
        <f t="array" ref="T823">_xlfn.IFS(S823=1,"Entry Level",S823=2,"Junior",S823=3,"Mid-Level",S823=4,"Senior",S823=5,"Executive")</f>
        <v>Senior</v>
      </c>
      <c r="U823" t="s">
        <v>37</v>
      </c>
      <c r="V823">
        <v>2</v>
      </c>
      <c r="W823" t="str" cm="1">
        <f t="array" ref="W823">_xlfn.IFS(V823=1,"Low",V823=2,"Medium",V823=3,"High",V823=4,"Very High")</f>
        <v>Medium</v>
      </c>
      <c r="X823" t="s">
        <v>44</v>
      </c>
      <c r="Y823" s="2">
        <v>13120</v>
      </c>
      <c r="Z823" s="2">
        <v>11879</v>
      </c>
      <c r="AA823">
        <v>6</v>
      </c>
      <c r="AB823" t="s">
        <v>39</v>
      </c>
      <c r="AC823">
        <v>17</v>
      </c>
      <c r="AD823">
        <v>3</v>
      </c>
      <c r="AE823" t="str" cm="1">
        <f t="array" ref="AE823">_xlfn.IFS(AD823=1,"Low",AD823=2,"Good",AD823=3,"Excellent",AD823=4,"Outstanding")</f>
        <v>Excellent</v>
      </c>
      <c r="AF823">
        <v>2</v>
      </c>
      <c r="AG823" t="str" cm="1">
        <f t="array" ref="AG823">_xlfn.IFS(AF823=1,"Low",AF823=2,"Medium",AF823=3,"High",AF823=4,"Very High")</f>
        <v>Medium</v>
      </c>
      <c r="AH823">
        <v>1</v>
      </c>
      <c r="AI823">
        <v>22</v>
      </c>
      <c r="AJ823">
        <v>3</v>
      </c>
      <c r="AK823">
        <v>3</v>
      </c>
      <c r="AL823" t="str" cm="1">
        <f t="array" ref="AL823">_xlfn.IFS(AK823=1,"Low",AK823=2,"Medium",AK823=3,"High",AK823=4,"Very High")</f>
        <v>High</v>
      </c>
      <c r="AM823">
        <v>9</v>
      </c>
      <c r="AN823">
        <v>8</v>
      </c>
      <c r="AO823">
        <v>2</v>
      </c>
      <c r="AP823">
        <v>3</v>
      </c>
    </row>
    <row r="824" spans="1:42">
      <c r="A824">
        <v>34</v>
      </c>
      <c r="B824" t="str" cm="1">
        <f t="array" ref="B824">_xlfn.IFS(A824&lt;=25,"18-25",A824&lt;=35,"26-35",A824&lt;=45,"36-45",A824&lt;=55,"46-55",A824&gt;55,"56+")</f>
        <v>26-35</v>
      </c>
      <c r="C824" t="s">
        <v>39</v>
      </c>
      <c r="D824" t="s">
        <v>40</v>
      </c>
      <c r="E824" s="2">
        <v>1003</v>
      </c>
      <c r="F824" t="s">
        <v>41</v>
      </c>
      <c r="G824">
        <v>2</v>
      </c>
      <c r="H824" t="str">
        <f t="shared" si="12"/>
        <v>1-10 km</v>
      </c>
      <c r="I824">
        <v>2</v>
      </c>
      <c r="J824" t="str" cm="1">
        <f t="array" ref="J824">_xlfn.IFS(I824=1,"Below College",I824=2,"College",I824=3,"Bachelor",I824=4,"Master",I824=5,"Doctor")</f>
        <v>College</v>
      </c>
      <c r="K824" t="s">
        <v>35</v>
      </c>
      <c r="L824">
        <v>1140</v>
      </c>
      <c r="M824">
        <v>4</v>
      </c>
      <c r="N824" t="str" cm="1">
        <f t="array" ref="N824">_xlfn.IFS(M824=1,"Low",M824=2,"Medium",M824=3,"High",M824=4,"Very High")</f>
        <v>Very High</v>
      </c>
      <c r="O824" t="s">
        <v>42</v>
      </c>
      <c r="P824" s="2">
        <v>95</v>
      </c>
      <c r="Q824">
        <v>3</v>
      </c>
      <c r="R824" t="str" cm="1">
        <f t="array" ref="R824">_xlfn.IFS(Q824=1,"Low",Q824=2,"Medium",Q824=3,"High",Q824=4,"Very High")</f>
        <v>High</v>
      </c>
      <c r="S824">
        <v>2</v>
      </c>
      <c r="T824" t="str" cm="1">
        <f t="array" ref="T824">_xlfn.IFS(S824=1,"Entry Level",S824=2,"Junior",S824=3,"Mid-Level",S824=4,"Senior",S824=5,"Executive")</f>
        <v>Junior</v>
      </c>
      <c r="U824" t="s">
        <v>49</v>
      </c>
      <c r="V824">
        <v>3</v>
      </c>
      <c r="W824" t="str" cm="1">
        <f t="array" ref="W824">_xlfn.IFS(V824=1,"Low",V824=2,"Medium",V824=3,"High",V824=4,"Very High")</f>
        <v>High</v>
      </c>
      <c r="X824" t="s">
        <v>38</v>
      </c>
      <c r="Y824" s="2">
        <v>4033</v>
      </c>
      <c r="Z824" s="2">
        <v>15834</v>
      </c>
      <c r="AA824">
        <v>2</v>
      </c>
      <c r="AB824" t="s">
        <v>39</v>
      </c>
      <c r="AC824">
        <v>11</v>
      </c>
      <c r="AD824">
        <v>3</v>
      </c>
      <c r="AE824" t="str" cm="1">
        <f t="array" ref="AE824">_xlfn.IFS(AD824=1,"Low",AD824=2,"Good",AD824=3,"Excellent",AD824=4,"Outstanding")</f>
        <v>Excellent</v>
      </c>
      <c r="AF824">
        <v>4</v>
      </c>
      <c r="AG824" t="str" cm="1">
        <f t="array" ref="AG824">_xlfn.IFS(AF824=1,"Low",AF824=2,"Medium",AF824=3,"High",AF824=4,"Very High")</f>
        <v>Very High</v>
      </c>
      <c r="AH824">
        <v>0</v>
      </c>
      <c r="AI824">
        <v>5</v>
      </c>
      <c r="AJ824">
        <v>3</v>
      </c>
      <c r="AK824">
        <v>2</v>
      </c>
      <c r="AL824" t="str" cm="1">
        <f t="array" ref="AL824">_xlfn.IFS(AK824=1,"Low",AK824=2,"Medium",AK824=3,"High",AK824=4,"Very High")</f>
        <v>Medium</v>
      </c>
      <c r="AM824">
        <v>3</v>
      </c>
      <c r="AN824">
        <v>2</v>
      </c>
      <c r="AO824">
        <v>0</v>
      </c>
      <c r="AP824">
        <v>2</v>
      </c>
    </row>
    <row r="825" spans="1:42">
      <c r="A825">
        <v>29</v>
      </c>
      <c r="B825" t="str" cm="1">
        <f t="array" ref="B825">_xlfn.IFS(A825&lt;=25,"18-25",A825&lt;=35,"26-35",A825&lt;=45,"36-45",A825&lt;=55,"46-55",A825&gt;55,"56+")</f>
        <v>26-35</v>
      </c>
      <c r="C825" t="s">
        <v>39</v>
      </c>
      <c r="D825" t="s">
        <v>40</v>
      </c>
      <c r="E825" s="2">
        <v>490</v>
      </c>
      <c r="F825" t="s">
        <v>41</v>
      </c>
      <c r="G825">
        <v>10</v>
      </c>
      <c r="H825" t="str">
        <f t="shared" si="12"/>
        <v>1-10 km</v>
      </c>
      <c r="I825">
        <v>3</v>
      </c>
      <c r="J825" t="str" cm="1">
        <f t="array" ref="J825">_xlfn.IFS(I825=1,"Below College",I825=2,"College",I825=3,"Bachelor",I825=4,"Master",I825=5,"Doctor")</f>
        <v>Bachelor</v>
      </c>
      <c r="K825" t="s">
        <v>35</v>
      </c>
      <c r="L825">
        <v>1143</v>
      </c>
      <c r="M825">
        <v>4</v>
      </c>
      <c r="N825" t="str" cm="1">
        <f t="array" ref="N825">_xlfn.IFS(M825=1,"Low",M825=2,"Medium",M825=3,"High",M825=4,"Very High")</f>
        <v>Very High</v>
      </c>
      <c r="O825" t="s">
        <v>36</v>
      </c>
      <c r="P825" s="2">
        <v>61</v>
      </c>
      <c r="Q825">
        <v>3</v>
      </c>
      <c r="R825" t="str" cm="1">
        <f t="array" ref="R825">_xlfn.IFS(Q825=1,"Low",Q825=2,"Medium",Q825=3,"High",Q825=4,"Very High")</f>
        <v>High</v>
      </c>
      <c r="S825">
        <v>1</v>
      </c>
      <c r="T825" t="str" cm="1">
        <f t="array" ref="T825">_xlfn.IFS(S825=1,"Entry Level",S825=2,"Junior",S825=3,"Mid-Level",S825=4,"Senior",S825=5,"Executive")</f>
        <v>Entry Level</v>
      </c>
      <c r="U825" t="s">
        <v>43</v>
      </c>
      <c r="V825">
        <v>2</v>
      </c>
      <c r="W825" t="str" cm="1">
        <f t="array" ref="W825">_xlfn.IFS(V825=1,"Low",V825=2,"Medium",V825=3,"High",V825=4,"Very High")</f>
        <v>Medium</v>
      </c>
      <c r="X825" t="s">
        <v>48</v>
      </c>
      <c r="Y825" s="2">
        <v>3291</v>
      </c>
      <c r="Z825" s="2">
        <v>17940</v>
      </c>
      <c r="AA825">
        <v>0</v>
      </c>
      <c r="AB825" t="s">
        <v>39</v>
      </c>
      <c r="AC825">
        <v>14</v>
      </c>
      <c r="AD825">
        <v>3</v>
      </c>
      <c r="AE825" t="str" cm="1">
        <f t="array" ref="AE825">_xlfn.IFS(AD825=1,"Low",AD825=2,"Good",AD825=3,"Excellent",AD825=4,"Outstanding")</f>
        <v>Excellent</v>
      </c>
      <c r="AF825">
        <v>4</v>
      </c>
      <c r="AG825" t="str" cm="1">
        <f t="array" ref="AG825">_xlfn.IFS(AF825=1,"Low",AF825=2,"Medium",AF825=3,"High",AF825=4,"Very High")</f>
        <v>Very High</v>
      </c>
      <c r="AH825">
        <v>2</v>
      </c>
      <c r="AI825">
        <v>8</v>
      </c>
      <c r="AJ825">
        <v>2</v>
      </c>
      <c r="AK825">
        <v>2</v>
      </c>
      <c r="AL825" t="str" cm="1">
        <f t="array" ref="AL825">_xlfn.IFS(AK825=1,"Low",AK825=2,"Medium",AK825=3,"High",AK825=4,"Very High")</f>
        <v>Medium</v>
      </c>
      <c r="AM825">
        <v>7</v>
      </c>
      <c r="AN825">
        <v>5</v>
      </c>
      <c r="AO825">
        <v>1</v>
      </c>
      <c r="AP825">
        <v>1</v>
      </c>
    </row>
    <row r="826" spans="1:42">
      <c r="A826">
        <v>42</v>
      </c>
      <c r="B826" t="str" cm="1">
        <f t="array" ref="B826">_xlfn.IFS(A826&lt;=25,"18-25",A826&lt;=35,"26-35",A826&lt;=45,"36-45",A826&lt;=55,"46-55",A826&gt;55,"56+")</f>
        <v>36-45</v>
      </c>
      <c r="C826" t="s">
        <v>39</v>
      </c>
      <c r="D826" t="s">
        <v>33</v>
      </c>
      <c r="E826" s="2">
        <v>188</v>
      </c>
      <c r="F826" t="s">
        <v>41</v>
      </c>
      <c r="G826">
        <v>29</v>
      </c>
      <c r="H826" t="str">
        <f t="shared" si="12"/>
        <v>21-30 km</v>
      </c>
      <c r="I826">
        <v>3</v>
      </c>
      <c r="J826" t="str" cm="1">
        <f t="array" ref="J826">_xlfn.IFS(I826=1,"Below College",I826=2,"College",I826=3,"Bachelor",I826=4,"Master",I826=5,"Doctor")</f>
        <v>Bachelor</v>
      </c>
      <c r="K826" t="s">
        <v>47</v>
      </c>
      <c r="L826">
        <v>1148</v>
      </c>
      <c r="M826">
        <v>2</v>
      </c>
      <c r="N826" t="str" cm="1">
        <f t="array" ref="N826">_xlfn.IFS(M826=1,"Low",M826=2,"Medium",M826=3,"High",M826=4,"Very High")</f>
        <v>Medium</v>
      </c>
      <c r="O826" t="s">
        <v>42</v>
      </c>
      <c r="P826" s="2">
        <v>56</v>
      </c>
      <c r="Q826">
        <v>1</v>
      </c>
      <c r="R826" t="str" cm="1">
        <f t="array" ref="R826">_xlfn.IFS(Q826=1,"Low",Q826=2,"Medium",Q826=3,"High",Q826=4,"Very High")</f>
        <v>Low</v>
      </c>
      <c r="S826">
        <v>2</v>
      </c>
      <c r="T826" t="str" cm="1">
        <f t="array" ref="T826">_xlfn.IFS(S826=1,"Entry Level",S826=2,"Junior",S826=3,"Mid-Level",S826=4,"Senior",S826=5,"Executive")</f>
        <v>Junior</v>
      </c>
      <c r="U826" t="s">
        <v>46</v>
      </c>
      <c r="V826">
        <v>4</v>
      </c>
      <c r="W826" t="str" cm="1">
        <f t="array" ref="W826">_xlfn.IFS(V826=1,"Low",V826=2,"Medium",V826=3,"High",V826=4,"Very High")</f>
        <v>Very High</v>
      </c>
      <c r="X826" t="s">
        <v>38</v>
      </c>
      <c r="Y826" s="2">
        <v>4272</v>
      </c>
      <c r="Z826" s="2">
        <v>9558</v>
      </c>
      <c r="AA826">
        <v>4</v>
      </c>
      <c r="AB826" t="s">
        <v>39</v>
      </c>
      <c r="AC826">
        <v>19</v>
      </c>
      <c r="AD826">
        <v>3</v>
      </c>
      <c r="AE826" t="str" cm="1">
        <f t="array" ref="AE826">_xlfn.IFS(AD826=1,"Low",AD826=2,"Good",AD826=3,"Excellent",AD826=4,"Outstanding")</f>
        <v>Excellent</v>
      </c>
      <c r="AF826">
        <v>1</v>
      </c>
      <c r="AG826" t="str" cm="1">
        <f t="array" ref="AG826">_xlfn.IFS(AF826=1,"Low",AF826=2,"Medium",AF826=3,"High",AF826=4,"Very High")</f>
        <v>Low</v>
      </c>
      <c r="AH826">
        <v>0</v>
      </c>
      <c r="AI826">
        <v>16</v>
      </c>
      <c r="AJ826">
        <v>3</v>
      </c>
      <c r="AK826">
        <v>3</v>
      </c>
      <c r="AL826" t="str" cm="1">
        <f t="array" ref="AL826">_xlfn.IFS(AK826=1,"Low",AK826=2,"Medium",AK826=3,"High",AK826=4,"Very High")</f>
        <v>High</v>
      </c>
      <c r="AM826">
        <v>1</v>
      </c>
      <c r="AN826">
        <v>0</v>
      </c>
      <c r="AO826">
        <v>0</v>
      </c>
      <c r="AP826">
        <v>0</v>
      </c>
    </row>
    <row r="827" spans="1:42">
      <c r="A827">
        <v>29</v>
      </c>
      <c r="B827" t="str" cm="1">
        <f t="array" ref="B827">_xlfn.IFS(A827&lt;=25,"18-25",A827&lt;=35,"26-35",A827&lt;=45,"36-45",A827&lt;=55,"46-55",A827&gt;55,"56+")</f>
        <v>26-35</v>
      </c>
      <c r="C827" t="s">
        <v>39</v>
      </c>
      <c r="D827" t="s">
        <v>33</v>
      </c>
      <c r="E827" s="2">
        <v>718</v>
      </c>
      <c r="F827" t="s">
        <v>41</v>
      </c>
      <c r="G827">
        <v>8</v>
      </c>
      <c r="H827" t="str">
        <f t="shared" si="12"/>
        <v>1-10 km</v>
      </c>
      <c r="I827">
        <v>1</v>
      </c>
      <c r="J827" t="str" cm="1">
        <f t="array" ref="J827">_xlfn.IFS(I827=1,"Below College",I827=2,"College",I827=3,"Bachelor",I827=4,"Master",I827=5,"Doctor")</f>
        <v>Below College</v>
      </c>
      <c r="K827" t="s">
        <v>47</v>
      </c>
      <c r="L827">
        <v>1150</v>
      </c>
      <c r="M827">
        <v>2</v>
      </c>
      <c r="N827" t="str" cm="1">
        <f t="array" ref="N827">_xlfn.IFS(M827=1,"Low",M827=2,"Medium",M827=3,"High",M827=4,"Very High")</f>
        <v>Medium</v>
      </c>
      <c r="O827" t="s">
        <v>42</v>
      </c>
      <c r="P827" s="2">
        <v>79</v>
      </c>
      <c r="Q827">
        <v>2</v>
      </c>
      <c r="R827" t="str" cm="1">
        <f t="array" ref="R827">_xlfn.IFS(Q827=1,"Low",Q827=2,"Medium",Q827=3,"High",Q827=4,"Very High")</f>
        <v>Medium</v>
      </c>
      <c r="S827">
        <v>2</v>
      </c>
      <c r="T827" t="str" cm="1">
        <f t="array" ref="T827">_xlfn.IFS(S827=1,"Entry Level",S827=2,"Junior",S827=3,"Mid-Level",S827=4,"Senior",S827=5,"Executive")</f>
        <v>Junior</v>
      </c>
      <c r="U827" t="s">
        <v>49</v>
      </c>
      <c r="V827">
        <v>4</v>
      </c>
      <c r="W827" t="str" cm="1">
        <f t="array" ref="W827">_xlfn.IFS(V827=1,"Low",V827=2,"Medium",V827=3,"High",V827=4,"Very High")</f>
        <v>Very High</v>
      </c>
      <c r="X827" t="s">
        <v>44</v>
      </c>
      <c r="Y827" s="2">
        <v>5056</v>
      </c>
      <c r="Z827" s="2">
        <v>17689</v>
      </c>
      <c r="AA827">
        <v>1</v>
      </c>
      <c r="AB827" t="s">
        <v>32</v>
      </c>
      <c r="AC827">
        <v>15</v>
      </c>
      <c r="AD827">
        <v>3</v>
      </c>
      <c r="AE827" t="str" cm="1">
        <f t="array" ref="AE827">_xlfn.IFS(AD827=1,"Low",AD827=2,"Good",AD827=3,"Excellent",AD827=4,"Outstanding")</f>
        <v>Excellent</v>
      </c>
      <c r="AF827">
        <v>3</v>
      </c>
      <c r="AG827" t="str" cm="1">
        <f t="array" ref="AG827">_xlfn.IFS(AF827=1,"Low",AF827=2,"Medium",AF827=3,"High",AF827=4,"Very High")</f>
        <v>High</v>
      </c>
      <c r="AH827">
        <v>1</v>
      </c>
      <c r="AI827">
        <v>10</v>
      </c>
      <c r="AJ827">
        <v>2</v>
      </c>
      <c r="AK827">
        <v>2</v>
      </c>
      <c r="AL827" t="str" cm="1">
        <f t="array" ref="AL827">_xlfn.IFS(AK827=1,"Low",AK827=2,"Medium",AK827=3,"High",AK827=4,"Very High")</f>
        <v>Medium</v>
      </c>
      <c r="AM827">
        <v>10</v>
      </c>
      <c r="AN827">
        <v>7</v>
      </c>
      <c r="AO827">
        <v>1</v>
      </c>
      <c r="AP827">
        <v>2</v>
      </c>
    </row>
    <row r="828" spans="1:42">
      <c r="A828">
        <v>38</v>
      </c>
      <c r="B828" t="str" cm="1">
        <f t="array" ref="B828">_xlfn.IFS(A828&lt;=25,"18-25",A828&lt;=35,"26-35",A828&lt;=45,"36-45",A828&lt;=55,"46-55",A828&gt;55,"56+")</f>
        <v>36-45</v>
      </c>
      <c r="C828" t="s">
        <v>39</v>
      </c>
      <c r="D828" t="s">
        <v>33</v>
      </c>
      <c r="E828" s="2">
        <v>433</v>
      </c>
      <c r="F828" t="s">
        <v>57</v>
      </c>
      <c r="G828">
        <v>1</v>
      </c>
      <c r="H828" t="str">
        <f t="shared" si="12"/>
        <v>1-10 km</v>
      </c>
      <c r="I828">
        <v>3</v>
      </c>
      <c r="J828" t="str" cm="1">
        <f t="array" ref="J828">_xlfn.IFS(I828=1,"Below College",I828=2,"College",I828=3,"Bachelor",I828=4,"Master",I828=5,"Doctor")</f>
        <v>Bachelor</v>
      </c>
      <c r="K828" t="s">
        <v>57</v>
      </c>
      <c r="L828">
        <v>1152</v>
      </c>
      <c r="M828">
        <v>3</v>
      </c>
      <c r="N828" t="str" cm="1">
        <f t="array" ref="N828">_xlfn.IFS(M828=1,"Low",M828=2,"Medium",M828=3,"High",M828=4,"Very High")</f>
        <v>High</v>
      </c>
      <c r="O828" t="s">
        <v>42</v>
      </c>
      <c r="P828" s="2">
        <v>37</v>
      </c>
      <c r="Q828">
        <v>4</v>
      </c>
      <c r="R828" t="str" cm="1">
        <f t="array" ref="R828">_xlfn.IFS(Q828=1,"Low",Q828=2,"Medium",Q828=3,"High",Q828=4,"Very High")</f>
        <v>Very High</v>
      </c>
      <c r="S828">
        <v>1</v>
      </c>
      <c r="T828" t="str" cm="1">
        <f t="array" ref="T828">_xlfn.IFS(S828=1,"Entry Level",S828=2,"Junior",S828=3,"Mid-Level",S828=4,"Senior",S828=5,"Executive")</f>
        <v>Entry Level</v>
      </c>
      <c r="U828" t="s">
        <v>57</v>
      </c>
      <c r="V828">
        <v>3</v>
      </c>
      <c r="W828" t="str" cm="1">
        <f t="array" ref="W828">_xlfn.IFS(V828=1,"Low",V828=2,"Medium",V828=3,"High",V828=4,"Very High")</f>
        <v>High</v>
      </c>
      <c r="X828" t="s">
        <v>44</v>
      </c>
      <c r="Y828" s="2">
        <v>2844</v>
      </c>
      <c r="Z828" s="2">
        <v>6004</v>
      </c>
      <c r="AA828">
        <v>1</v>
      </c>
      <c r="AB828" t="s">
        <v>39</v>
      </c>
      <c r="AC828">
        <v>13</v>
      </c>
      <c r="AD828">
        <v>3</v>
      </c>
      <c r="AE828" t="str" cm="1">
        <f t="array" ref="AE828">_xlfn.IFS(AD828=1,"Low",AD828=2,"Good",AD828=3,"Excellent",AD828=4,"Outstanding")</f>
        <v>Excellent</v>
      </c>
      <c r="AF828">
        <v>4</v>
      </c>
      <c r="AG828" t="str" cm="1">
        <f t="array" ref="AG828">_xlfn.IFS(AF828=1,"Low",AF828=2,"Medium",AF828=3,"High",AF828=4,"Very High")</f>
        <v>Very High</v>
      </c>
      <c r="AH828">
        <v>1</v>
      </c>
      <c r="AI828">
        <v>7</v>
      </c>
      <c r="AJ828">
        <v>2</v>
      </c>
      <c r="AK828">
        <v>4</v>
      </c>
      <c r="AL828" t="str" cm="1">
        <f t="array" ref="AL828">_xlfn.IFS(AK828=1,"Low",AK828=2,"Medium",AK828=3,"High",AK828=4,"Very High")</f>
        <v>Very High</v>
      </c>
      <c r="AM828">
        <v>7</v>
      </c>
      <c r="AN828">
        <v>6</v>
      </c>
      <c r="AO828">
        <v>5</v>
      </c>
      <c r="AP828">
        <v>0</v>
      </c>
    </row>
    <row r="829" spans="1:42">
      <c r="A829">
        <v>28</v>
      </c>
      <c r="B829" t="str" cm="1">
        <f t="array" ref="B829">_xlfn.IFS(A829&lt;=25,"18-25",A829&lt;=35,"26-35",A829&lt;=45,"36-45",A829&lt;=55,"46-55",A829&gt;55,"56+")</f>
        <v>26-35</v>
      </c>
      <c r="C829" t="s">
        <v>39</v>
      </c>
      <c r="D829" t="s">
        <v>40</v>
      </c>
      <c r="E829" s="2">
        <v>773</v>
      </c>
      <c r="F829" t="s">
        <v>41</v>
      </c>
      <c r="G829">
        <v>6</v>
      </c>
      <c r="H829" t="str">
        <f t="shared" si="12"/>
        <v>1-10 km</v>
      </c>
      <c r="I829">
        <v>3</v>
      </c>
      <c r="J829" t="str" cm="1">
        <f t="array" ref="J829">_xlfn.IFS(I829=1,"Below College",I829=2,"College",I829=3,"Bachelor",I829=4,"Master",I829=5,"Doctor")</f>
        <v>Bachelor</v>
      </c>
      <c r="K829" t="s">
        <v>35</v>
      </c>
      <c r="L829">
        <v>1154</v>
      </c>
      <c r="M829">
        <v>3</v>
      </c>
      <c r="N829" t="str" cm="1">
        <f t="array" ref="N829">_xlfn.IFS(M829=1,"Low",M829=2,"Medium",M829=3,"High",M829=4,"Very High")</f>
        <v>High</v>
      </c>
      <c r="O829" t="s">
        <v>42</v>
      </c>
      <c r="P829" s="2">
        <v>39</v>
      </c>
      <c r="Q829">
        <v>2</v>
      </c>
      <c r="R829" t="str" cm="1">
        <f t="array" ref="R829">_xlfn.IFS(Q829=1,"Low",Q829=2,"Medium",Q829=3,"High",Q829=4,"Very High")</f>
        <v>Medium</v>
      </c>
      <c r="S829">
        <v>1</v>
      </c>
      <c r="T829" t="str" cm="1">
        <f t="array" ref="T829">_xlfn.IFS(S829=1,"Entry Level",S829=2,"Junior",S829=3,"Mid-Level",S829=4,"Senior",S829=5,"Executive")</f>
        <v>Entry Level</v>
      </c>
      <c r="U829" t="s">
        <v>43</v>
      </c>
      <c r="V829">
        <v>3</v>
      </c>
      <c r="W829" t="str" cm="1">
        <f t="array" ref="W829">_xlfn.IFS(V829=1,"Low",V829=2,"Medium",V829=3,"High",V829=4,"Very High")</f>
        <v>High</v>
      </c>
      <c r="X829" t="s">
        <v>48</v>
      </c>
      <c r="Y829" s="2">
        <v>2703</v>
      </c>
      <c r="Z829" s="2">
        <v>22088</v>
      </c>
      <c r="AA829">
        <v>1</v>
      </c>
      <c r="AB829" t="s">
        <v>32</v>
      </c>
      <c r="AC829">
        <v>14</v>
      </c>
      <c r="AD829">
        <v>3</v>
      </c>
      <c r="AE829" t="str" cm="1">
        <f t="array" ref="AE829">_xlfn.IFS(AD829=1,"Low",AD829=2,"Good",AD829=3,"Excellent",AD829=4,"Outstanding")</f>
        <v>Excellent</v>
      </c>
      <c r="AF829">
        <v>4</v>
      </c>
      <c r="AG829" t="str" cm="1">
        <f t="array" ref="AG829">_xlfn.IFS(AF829=1,"Low",AF829=2,"Medium",AF829=3,"High",AF829=4,"Very High")</f>
        <v>Very High</v>
      </c>
      <c r="AH829">
        <v>1</v>
      </c>
      <c r="AI829">
        <v>3</v>
      </c>
      <c r="AJ829">
        <v>2</v>
      </c>
      <c r="AK829">
        <v>3</v>
      </c>
      <c r="AL829" t="str" cm="1">
        <f t="array" ref="AL829">_xlfn.IFS(AK829=1,"Low",AK829=2,"Medium",AK829=3,"High",AK829=4,"Very High")</f>
        <v>High</v>
      </c>
      <c r="AM829">
        <v>3</v>
      </c>
      <c r="AN829">
        <v>1</v>
      </c>
      <c r="AO829">
        <v>0</v>
      </c>
      <c r="AP829">
        <v>2</v>
      </c>
    </row>
    <row r="830" spans="1:42">
      <c r="A830">
        <v>18</v>
      </c>
      <c r="B830" t="str" cm="1">
        <f t="array" ref="B830">_xlfn.IFS(A830&lt;=25,"18-25",A830&lt;=35,"26-35",A830&lt;=45,"36-45",A830&lt;=55,"46-55",A830&gt;55,"56+")</f>
        <v>18-25</v>
      </c>
      <c r="C830" t="s">
        <v>32</v>
      </c>
      <c r="D830" t="s">
        <v>51</v>
      </c>
      <c r="E830" s="2">
        <v>247</v>
      </c>
      <c r="F830" t="s">
        <v>41</v>
      </c>
      <c r="G830">
        <v>8</v>
      </c>
      <c r="H830" t="str">
        <f t="shared" si="12"/>
        <v>1-10 km</v>
      </c>
      <c r="I830">
        <v>1</v>
      </c>
      <c r="J830" t="str" cm="1">
        <f t="array" ref="J830">_xlfn.IFS(I830=1,"Below College",I830=2,"College",I830=3,"Bachelor",I830=4,"Master",I830=5,"Doctor")</f>
        <v>Below College</v>
      </c>
      <c r="K830" t="s">
        <v>47</v>
      </c>
      <c r="L830">
        <v>1156</v>
      </c>
      <c r="M830">
        <v>3</v>
      </c>
      <c r="N830" t="str" cm="1">
        <f t="array" ref="N830">_xlfn.IFS(M830=1,"Low",M830=2,"Medium",M830=3,"High",M830=4,"Very High")</f>
        <v>High</v>
      </c>
      <c r="O830" t="s">
        <v>42</v>
      </c>
      <c r="P830" s="2">
        <v>80</v>
      </c>
      <c r="Q830">
        <v>3</v>
      </c>
      <c r="R830" t="str" cm="1">
        <f t="array" ref="R830">_xlfn.IFS(Q830=1,"Low",Q830=2,"Medium",Q830=3,"High",Q830=4,"Very High")</f>
        <v>High</v>
      </c>
      <c r="S830">
        <v>1</v>
      </c>
      <c r="T830" t="str" cm="1">
        <f t="array" ref="T830">_xlfn.IFS(S830=1,"Entry Level",S830=2,"Junior",S830=3,"Mid-Level",S830=4,"Senior",S830=5,"Executive")</f>
        <v>Entry Level</v>
      </c>
      <c r="U830" t="s">
        <v>46</v>
      </c>
      <c r="V830">
        <v>3</v>
      </c>
      <c r="W830" t="str" cm="1">
        <f t="array" ref="W830">_xlfn.IFS(V830=1,"Low",V830=2,"Medium",V830=3,"High",V830=4,"Very High")</f>
        <v>High</v>
      </c>
      <c r="X830" t="s">
        <v>38</v>
      </c>
      <c r="Y830" s="2">
        <v>1904</v>
      </c>
      <c r="Z830" s="2">
        <v>13556</v>
      </c>
      <c r="AA830">
        <v>1</v>
      </c>
      <c r="AB830" t="s">
        <v>39</v>
      </c>
      <c r="AC830">
        <v>12</v>
      </c>
      <c r="AD830">
        <v>3</v>
      </c>
      <c r="AE830" t="str" cm="1">
        <f t="array" ref="AE830">_xlfn.IFS(AD830=1,"Low",AD830=2,"Good",AD830=3,"Excellent",AD830=4,"Outstanding")</f>
        <v>Excellent</v>
      </c>
      <c r="AF830">
        <v>4</v>
      </c>
      <c r="AG830" t="str" cm="1">
        <f t="array" ref="AG830">_xlfn.IFS(AF830=1,"Low",AF830=2,"Medium",AF830=3,"High",AF830=4,"Very High")</f>
        <v>Very High</v>
      </c>
      <c r="AH830">
        <v>0</v>
      </c>
      <c r="AI830">
        <v>0</v>
      </c>
      <c r="AJ830">
        <v>0</v>
      </c>
      <c r="AK830">
        <v>3</v>
      </c>
      <c r="AL830" t="str" cm="1">
        <f t="array" ref="AL830">_xlfn.IFS(AK830=1,"Low",AK830=2,"Medium",AK830=3,"High",AK830=4,"Very High")</f>
        <v>High</v>
      </c>
      <c r="AM830">
        <v>0</v>
      </c>
      <c r="AN830">
        <v>0</v>
      </c>
      <c r="AO830">
        <v>0</v>
      </c>
      <c r="AP830">
        <v>0</v>
      </c>
    </row>
    <row r="831" spans="1:42">
      <c r="A831">
        <v>33</v>
      </c>
      <c r="B831" t="str" cm="1">
        <f t="array" ref="B831">_xlfn.IFS(A831&lt;=25,"18-25",A831&lt;=35,"26-35",A831&lt;=45,"36-45",A831&lt;=55,"46-55",A831&gt;55,"56+")</f>
        <v>26-35</v>
      </c>
      <c r="C831" t="s">
        <v>32</v>
      </c>
      <c r="D831" t="s">
        <v>33</v>
      </c>
      <c r="E831" s="2">
        <v>603</v>
      </c>
      <c r="F831" t="s">
        <v>34</v>
      </c>
      <c r="G831">
        <v>9</v>
      </c>
      <c r="H831" t="str">
        <f t="shared" si="12"/>
        <v>1-10 km</v>
      </c>
      <c r="I831">
        <v>4</v>
      </c>
      <c r="J831" t="str" cm="1">
        <f t="array" ref="J831">_xlfn.IFS(I831=1,"Below College",I831=2,"College",I831=3,"Bachelor",I831=4,"Master",I831=5,"Doctor")</f>
        <v>Master</v>
      </c>
      <c r="K831" t="s">
        <v>55</v>
      </c>
      <c r="L831">
        <v>1157</v>
      </c>
      <c r="M831">
        <v>1</v>
      </c>
      <c r="N831" t="str" cm="1">
        <f t="array" ref="N831">_xlfn.IFS(M831=1,"Low",M831=2,"Medium",M831=3,"High",M831=4,"Very High")</f>
        <v>Low</v>
      </c>
      <c r="O831" t="s">
        <v>36</v>
      </c>
      <c r="P831" s="2">
        <v>77</v>
      </c>
      <c r="Q831">
        <v>3</v>
      </c>
      <c r="R831" t="str" cm="1">
        <f t="array" ref="R831">_xlfn.IFS(Q831=1,"Low",Q831=2,"Medium",Q831=3,"High",Q831=4,"Very High")</f>
        <v>High</v>
      </c>
      <c r="S831">
        <v>2</v>
      </c>
      <c r="T831" t="str" cm="1">
        <f t="array" ref="T831">_xlfn.IFS(S831=1,"Entry Level",S831=2,"Junior",S831=3,"Mid-Level",S831=4,"Senior",S831=5,"Executive")</f>
        <v>Junior</v>
      </c>
      <c r="U831" t="s">
        <v>37</v>
      </c>
      <c r="V831">
        <v>1</v>
      </c>
      <c r="W831" t="str" cm="1">
        <f t="array" ref="W831">_xlfn.IFS(V831=1,"Low",V831=2,"Medium",V831=3,"High",V831=4,"Very High")</f>
        <v>Low</v>
      </c>
      <c r="X831" t="s">
        <v>38</v>
      </c>
      <c r="Y831" s="2">
        <v>8224</v>
      </c>
      <c r="Z831" s="2">
        <v>18385</v>
      </c>
      <c r="AA831">
        <v>0</v>
      </c>
      <c r="AB831" t="s">
        <v>32</v>
      </c>
      <c r="AC831">
        <v>17</v>
      </c>
      <c r="AD831">
        <v>3</v>
      </c>
      <c r="AE831" t="str" cm="1">
        <f t="array" ref="AE831">_xlfn.IFS(AD831=1,"Low",AD831=2,"Good",AD831=3,"Excellent",AD831=4,"Outstanding")</f>
        <v>Excellent</v>
      </c>
      <c r="AF831">
        <v>1</v>
      </c>
      <c r="AG831" t="str" cm="1">
        <f t="array" ref="AG831">_xlfn.IFS(AF831=1,"Low",AF831=2,"Medium",AF831=3,"High",AF831=4,"Very High")</f>
        <v>Low</v>
      </c>
      <c r="AH831">
        <v>0</v>
      </c>
      <c r="AI831">
        <v>6</v>
      </c>
      <c r="AJ831">
        <v>3</v>
      </c>
      <c r="AK831">
        <v>3</v>
      </c>
      <c r="AL831" t="str" cm="1">
        <f t="array" ref="AL831">_xlfn.IFS(AK831=1,"Low",AK831=2,"Medium",AK831=3,"High",AK831=4,"Very High")</f>
        <v>High</v>
      </c>
      <c r="AM831">
        <v>5</v>
      </c>
      <c r="AN831">
        <v>2</v>
      </c>
      <c r="AO831">
        <v>0</v>
      </c>
      <c r="AP831">
        <v>3</v>
      </c>
    </row>
    <row r="832" spans="1:42">
      <c r="A832">
        <v>41</v>
      </c>
      <c r="B832" t="str" cm="1">
        <f t="array" ref="B832">_xlfn.IFS(A832&lt;=25,"18-25",A832&lt;=35,"26-35",A832&lt;=45,"36-45",A832&lt;=55,"46-55",A832&gt;55,"56+")</f>
        <v>36-45</v>
      </c>
      <c r="C832" t="s">
        <v>39</v>
      </c>
      <c r="D832" t="s">
        <v>33</v>
      </c>
      <c r="E832" s="2">
        <v>167</v>
      </c>
      <c r="F832" t="s">
        <v>41</v>
      </c>
      <c r="G832">
        <v>12</v>
      </c>
      <c r="H832" t="str">
        <f t="shared" si="12"/>
        <v>11-20 km</v>
      </c>
      <c r="I832">
        <v>4</v>
      </c>
      <c r="J832" t="str" cm="1">
        <f t="array" ref="J832">_xlfn.IFS(I832=1,"Below College",I832=2,"College",I832=3,"Bachelor",I832=4,"Master",I832=5,"Doctor")</f>
        <v>Master</v>
      </c>
      <c r="K832" t="s">
        <v>35</v>
      </c>
      <c r="L832">
        <v>1158</v>
      </c>
      <c r="M832">
        <v>2</v>
      </c>
      <c r="N832" t="str" cm="1">
        <f t="array" ref="N832">_xlfn.IFS(M832=1,"Low",M832=2,"Medium",M832=3,"High",M832=4,"Very High")</f>
        <v>Medium</v>
      </c>
      <c r="O832" t="s">
        <v>42</v>
      </c>
      <c r="P832" s="2">
        <v>46</v>
      </c>
      <c r="Q832">
        <v>3</v>
      </c>
      <c r="R832" t="str" cm="1">
        <f t="array" ref="R832">_xlfn.IFS(Q832=1,"Low",Q832=2,"Medium",Q832=3,"High",Q832=4,"Very High")</f>
        <v>High</v>
      </c>
      <c r="S832">
        <v>1</v>
      </c>
      <c r="T832" t="str" cm="1">
        <f t="array" ref="T832">_xlfn.IFS(S832=1,"Entry Level",S832=2,"Junior",S832=3,"Mid-Level",S832=4,"Senior",S832=5,"Executive")</f>
        <v>Entry Level</v>
      </c>
      <c r="U832" t="s">
        <v>46</v>
      </c>
      <c r="V832">
        <v>4</v>
      </c>
      <c r="W832" t="str" cm="1">
        <f t="array" ref="W832">_xlfn.IFS(V832=1,"Low",V832=2,"Medium",V832=3,"High",V832=4,"Very High")</f>
        <v>Very High</v>
      </c>
      <c r="X832" t="s">
        <v>44</v>
      </c>
      <c r="Y832" s="2">
        <v>4766</v>
      </c>
      <c r="Z832" s="2">
        <v>9051</v>
      </c>
      <c r="AA832">
        <v>3</v>
      </c>
      <c r="AB832" t="s">
        <v>32</v>
      </c>
      <c r="AC832">
        <v>11</v>
      </c>
      <c r="AD832">
        <v>3</v>
      </c>
      <c r="AE832" t="str" cm="1">
        <f t="array" ref="AE832">_xlfn.IFS(AD832=1,"Low",AD832=2,"Good",AD832=3,"Excellent",AD832=4,"Outstanding")</f>
        <v>Excellent</v>
      </c>
      <c r="AF832">
        <v>1</v>
      </c>
      <c r="AG832" t="str" cm="1">
        <f t="array" ref="AG832">_xlfn.IFS(AF832=1,"Low",AF832=2,"Medium",AF832=3,"High",AF832=4,"Very High")</f>
        <v>Low</v>
      </c>
      <c r="AH832">
        <v>1</v>
      </c>
      <c r="AI832">
        <v>6</v>
      </c>
      <c r="AJ832">
        <v>4</v>
      </c>
      <c r="AK832">
        <v>3</v>
      </c>
      <c r="AL832" t="str" cm="1">
        <f t="array" ref="AL832">_xlfn.IFS(AK832=1,"Low",AK832=2,"Medium",AK832=3,"High",AK832=4,"Very High")</f>
        <v>High</v>
      </c>
      <c r="AM832">
        <v>1</v>
      </c>
      <c r="AN832">
        <v>0</v>
      </c>
      <c r="AO832">
        <v>0</v>
      </c>
      <c r="AP832">
        <v>0</v>
      </c>
    </row>
    <row r="833" spans="1:42">
      <c r="A833">
        <v>31</v>
      </c>
      <c r="B833" t="str" cm="1">
        <f t="array" ref="B833">_xlfn.IFS(A833&lt;=25,"18-25",A833&lt;=35,"26-35",A833&lt;=45,"36-45",A833&lt;=55,"46-55",A833&gt;55,"56+")</f>
        <v>26-35</v>
      </c>
      <c r="C833" t="s">
        <v>32</v>
      </c>
      <c r="D833" t="s">
        <v>40</v>
      </c>
      <c r="E833" s="2">
        <v>874</v>
      </c>
      <c r="F833" t="s">
        <v>41</v>
      </c>
      <c r="G833">
        <v>15</v>
      </c>
      <c r="H833" t="str">
        <f t="shared" si="12"/>
        <v>11-20 km</v>
      </c>
      <c r="I833">
        <v>3</v>
      </c>
      <c r="J833" t="str" cm="1">
        <f t="array" ref="J833">_xlfn.IFS(I833=1,"Below College",I833=2,"College",I833=3,"Bachelor",I833=4,"Master",I833=5,"Doctor")</f>
        <v>Bachelor</v>
      </c>
      <c r="K833" t="s">
        <v>47</v>
      </c>
      <c r="L833">
        <v>1160</v>
      </c>
      <c r="M833">
        <v>3</v>
      </c>
      <c r="N833" t="str" cm="1">
        <f t="array" ref="N833">_xlfn.IFS(M833=1,"Low",M833=2,"Medium",M833=3,"High",M833=4,"Very High")</f>
        <v>High</v>
      </c>
      <c r="O833" t="s">
        <v>42</v>
      </c>
      <c r="P833" s="2">
        <v>72</v>
      </c>
      <c r="Q833">
        <v>3</v>
      </c>
      <c r="R833" t="str" cm="1">
        <f t="array" ref="R833">_xlfn.IFS(Q833=1,"Low",Q833=2,"Medium",Q833=3,"High",Q833=4,"Very High")</f>
        <v>High</v>
      </c>
      <c r="S833">
        <v>1</v>
      </c>
      <c r="T833" t="str" cm="1">
        <f t="array" ref="T833">_xlfn.IFS(S833=1,"Entry Level",S833=2,"Junior",S833=3,"Mid-Level",S833=4,"Senior",S833=5,"Executive")</f>
        <v>Entry Level</v>
      </c>
      <c r="U833" t="s">
        <v>46</v>
      </c>
      <c r="V833">
        <v>3</v>
      </c>
      <c r="W833" t="str" cm="1">
        <f t="array" ref="W833">_xlfn.IFS(V833=1,"Low",V833=2,"Medium",V833=3,"High",V833=4,"Very High")</f>
        <v>High</v>
      </c>
      <c r="X833" t="s">
        <v>44</v>
      </c>
      <c r="Y833" s="2">
        <v>2610</v>
      </c>
      <c r="Z833" s="2">
        <v>6233</v>
      </c>
      <c r="AA833">
        <v>1</v>
      </c>
      <c r="AB833" t="s">
        <v>39</v>
      </c>
      <c r="AC833">
        <v>12</v>
      </c>
      <c r="AD833">
        <v>3</v>
      </c>
      <c r="AE833" t="str" cm="1">
        <f t="array" ref="AE833">_xlfn.IFS(AD833=1,"Low",AD833=2,"Good",AD833=3,"Excellent",AD833=4,"Outstanding")</f>
        <v>Excellent</v>
      </c>
      <c r="AF833">
        <v>3</v>
      </c>
      <c r="AG833" t="str" cm="1">
        <f t="array" ref="AG833">_xlfn.IFS(AF833=1,"Low",AF833=2,"Medium",AF833=3,"High",AF833=4,"Very High")</f>
        <v>High</v>
      </c>
      <c r="AH833">
        <v>1</v>
      </c>
      <c r="AI833">
        <v>2</v>
      </c>
      <c r="AJ833">
        <v>5</v>
      </c>
      <c r="AK833">
        <v>2</v>
      </c>
      <c r="AL833" t="str" cm="1">
        <f t="array" ref="AL833">_xlfn.IFS(AK833=1,"Low",AK833=2,"Medium",AK833=3,"High",AK833=4,"Very High")</f>
        <v>Medium</v>
      </c>
      <c r="AM833">
        <v>2</v>
      </c>
      <c r="AN833">
        <v>2</v>
      </c>
      <c r="AO833">
        <v>2</v>
      </c>
      <c r="AP833">
        <v>2</v>
      </c>
    </row>
    <row r="834" spans="1:42">
      <c r="A834">
        <v>37</v>
      </c>
      <c r="B834" t="str" cm="1">
        <f t="array" ref="B834">_xlfn.IFS(A834&lt;=25,"18-25",A834&lt;=35,"26-35",A834&lt;=45,"36-45",A834&lt;=55,"46-55",A834&gt;55,"56+")</f>
        <v>36-45</v>
      </c>
      <c r="C834" t="s">
        <v>39</v>
      </c>
      <c r="D834" t="s">
        <v>33</v>
      </c>
      <c r="E834" s="2">
        <v>367</v>
      </c>
      <c r="F834" t="s">
        <v>41</v>
      </c>
      <c r="G834">
        <v>25</v>
      </c>
      <c r="H834" t="str">
        <f t="shared" si="12"/>
        <v>21-30 km</v>
      </c>
      <c r="I834">
        <v>2</v>
      </c>
      <c r="J834" t="str" cm="1">
        <f t="array" ref="J834">_xlfn.IFS(I834=1,"Below College",I834=2,"College",I834=3,"Bachelor",I834=4,"Master",I834=5,"Doctor")</f>
        <v>College</v>
      </c>
      <c r="K834" t="s">
        <v>47</v>
      </c>
      <c r="L834">
        <v>1161</v>
      </c>
      <c r="M834">
        <v>3</v>
      </c>
      <c r="N834" t="str" cm="1">
        <f t="array" ref="N834">_xlfn.IFS(M834=1,"Low",M834=2,"Medium",M834=3,"High",M834=4,"Very High")</f>
        <v>High</v>
      </c>
      <c r="O834" t="s">
        <v>36</v>
      </c>
      <c r="P834" s="2">
        <v>52</v>
      </c>
      <c r="Q834">
        <v>2</v>
      </c>
      <c r="R834" t="str" cm="1">
        <f t="array" ref="R834">_xlfn.IFS(Q834=1,"Low",Q834=2,"Medium",Q834=3,"High",Q834=4,"Very High")</f>
        <v>Medium</v>
      </c>
      <c r="S834">
        <v>2</v>
      </c>
      <c r="T834" t="str" cm="1">
        <f t="array" ref="T834">_xlfn.IFS(S834=1,"Entry Level",S834=2,"Junior",S834=3,"Mid-Level",S834=4,"Senior",S834=5,"Executive")</f>
        <v>Junior</v>
      </c>
      <c r="U834" t="s">
        <v>50</v>
      </c>
      <c r="V834">
        <v>4</v>
      </c>
      <c r="W834" t="str" cm="1">
        <f t="array" ref="W834">_xlfn.IFS(V834=1,"Low",V834=2,"Medium",V834=3,"High",V834=4,"Very High")</f>
        <v>Very High</v>
      </c>
      <c r="X834" t="s">
        <v>48</v>
      </c>
      <c r="Y834" s="2">
        <v>5731</v>
      </c>
      <c r="Z834" s="2">
        <v>17171</v>
      </c>
      <c r="AA834">
        <v>7</v>
      </c>
      <c r="AB834" t="s">
        <v>39</v>
      </c>
      <c r="AC834">
        <v>13</v>
      </c>
      <c r="AD834">
        <v>3</v>
      </c>
      <c r="AE834" t="str" cm="1">
        <f t="array" ref="AE834">_xlfn.IFS(AD834=1,"Low",AD834=2,"Good",AD834=3,"Excellent",AD834=4,"Outstanding")</f>
        <v>Excellent</v>
      </c>
      <c r="AF834">
        <v>3</v>
      </c>
      <c r="AG834" t="str" cm="1">
        <f t="array" ref="AG834">_xlfn.IFS(AF834=1,"Low",AF834=2,"Medium",AF834=3,"High",AF834=4,"Very High")</f>
        <v>High</v>
      </c>
      <c r="AH834">
        <v>2</v>
      </c>
      <c r="AI834">
        <v>9</v>
      </c>
      <c r="AJ834">
        <v>2</v>
      </c>
      <c r="AK834">
        <v>3</v>
      </c>
      <c r="AL834" t="str" cm="1">
        <f t="array" ref="AL834">_xlfn.IFS(AK834=1,"Low",AK834=2,"Medium",AK834=3,"High",AK834=4,"Very High")</f>
        <v>High</v>
      </c>
      <c r="AM834">
        <v>6</v>
      </c>
      <c r="AN834">
        <v>2</v>
      </c>
      <c r="AO834">
        <v>1</v>
      </c>
      <c r="AP834">
        <v>3</v>
      </c>
    </row>
    <row r="835" spans="1:42">
      <c r="A835">
        <v>27</v>
      </c>
      <c r="B835" t="str" cm="1">
        <f t="array" ref="B835">_xlfn.IFS(A835&lt;=25,"18-25",A835&lt;=35,"26-35",A835&lt;=45,"36-45",A835&lt;=55,"46-55",A835&gt;55,"56+")</f>
        <v>26-35</v>
      </c>
      <c r="C835" t="s">
        <v>39</v>
      </c>
      <c r="D835" t="s">
        <v>33</v>
      </c>
      <c r="E835" s="2">
        <v>199</v>
      </c>
      <c r="F835" t="s">
        <v>41</v>
      </c>
      <c r="G835">
        <v>6</v>
      </c>
      <c r="H835" t="str">
        <f t="shared" ref="H835:H898" si="13">IF(G835&lt;=10,"1-10 km",IF(G835&lt;=20,"11-20 km",IF(G835&lt;=30,"21-30 km","31+ km")))</f>
        <v>1-10 km</v>
      </c>
      <c r="I835">
        <v>3</v>
      </c>
      <c r="J835" t="str" cm="1">
        <f t="array" ref="J835">_xlfn.IFS(I835=1,"Below College",I835=2,"College",I835=3,"Bachelor",I835=4,"Master",I835=5,"Doctor")</f>
        <v>Bachelor</v>
      </c>
      <c r="K835" t="s">
        <v>35</v>
      </c>
      <c r="L835">
        <v>1162</v>
      </c>
      <c r="M835">
        <v>4</v>
      </c>
      <c r="N835" t="str" cm="1">
        <f t="array" ref="N835">_xlfn.IFS(M835=1,"Low",M835=2,"Medium",M835=3,"High",M835=4,"Very High")</f>
        <v>Very High</v>
      </c>
      <c r="O835" t="s">
        <v>42</v>
      </c>
      <c r="P835" s="2">
        <v>55</v>
      </c>
      <c r="Q835">
        <v>2</v>
      </c>
      <c r="R835" t="str" cm="1">
        <f t="array" ref="R835">_xlfn.IFS(Q835=1,"Low",Q835=2,"Medium",Q835=3,"High",Q835=4,"Very High")</f>
        <v>Medium</v>
      </c>
      <c r="S835">
        <v>1</v>
      </c>
      <c r="T835" t="str" cm="1">
        <f t="array" ref="T835">_xlfn.IFS(S835=1,"Entry Level",S835=2,"Junior",S835=3,"Mid-Level",S835=4,"Senior",S835=5,"Executive")</f>
        <v>Entry Level</v>
      </c>
      <c r="U835" t="s">
        <v>43</v>
      </c>
      <c r="V835">
        <v>3</v>
      </c>
      <c r="W835" t="str" cm="1">
        <f t="array" ref="W835">_xlfn.IFS(V835=1,"Low",V835=2,"Medium",V835=3,"High",V835=4,"Very High")</f>
        <v>High</v>
      </c>
      <c r="X835" t="s">
        <v>44</v>
      </c>
      <c r="Y835" s="2">
        <v>2539</v>
      </c>
      <c r="Z835" s="2">
        <v>7950</v>
      </c>
      <c r="AA835">
        <v>1</v>
      </c>
      <c r="AB835" t="s">
        <v>39</v>
      </c>
      <c r="AC835">
        <v>13</v>
      </c>
      <c r="AD835">
        <v>3</v>
      </c>
      <c r="AE835" t="str" cm="1">
        <f t="array" ref="AE835">_xlfn.IFS(AD835=1,"Low",AD835=2,"Good",AD835=3,"Excellent",AD835=4,"Outstanding")</f>
        <v>Excellent</v>
      </c>
      <c r="AF835">
        <v>3</v>
      </c>
      <c r="AG835" t="str" cm="1">
        <f t="array" ref="AG835">_xlfn.IFS(AF835=1,"Low",AF835=2,"Medium",AF835=3,"High",AF835=4,"Very High")</f>
        <v>High</v>
      </c>
      <c r="AH835">
        <v>1</v>
      </c>
      <c r="AI835">
        <v>4</v>
      </c>
      <c r="AJ835">
        <v>0</v>
      </c>
      <c r="AK835">
        <v>3</v>
      </c>
      <c r="AL835" t="str" cm="1">
        <f t="array" ref="AL835">_xlfn.IFS(AK835=1,"Low",AK835=2,"Medium",AK835=3,"High",AK835=4,"Very High")</f>
        <v>High</v>
      </c>
      <c r="AM835">
        <v>4</v>
      </c>
      <c r="AN835">
        <v>2</v>
      </c>
      <c r="AO835">
        <v>2</v>
      </c>
      <c r="AP835">
        <v>2</v>
      </c>
    </row>
    <row r="836" spans="1:42">
      <c r="A836">
        <v>34</v>
      </c>
      <c r="B836" t="str" cm="1">
        <f t="array" ref="B836">_xlfn.IFS(A836&lt;=25,"18-25",A836&lt;=35,"26-35",A836&lt;=45,"36-45",A836&lt;=55,"46-55",A836&gt;55,"56+")</f>
        <v>26-35</v>
      </c>
      <c r="C836" t="s">
        <v>39</v>
      </c>
      <c r="D836" t="s">
        <v>33</v>
      </c>
      <c r="E836" s="2">
        <v>1400</v>
      </c>
      <c r="F836" t="s">
        <v>34</v>
      </c>
      <c r="G836">
        <v>9</v>
      </c>
      <c r="H836" t="str">
        <f t="shared" si="13"/>
        <v>1-10 km</v>
      </c>
      <c r="I836">
        <v>1</v>
      </c>
      <c r="J836" t="str" cm="1">
        <f t="array" ref="J836">_xlfn.IFS(I836=1,"Below College",I836=2,"College",I836=3,"Bachelor",I836=4,"Master",I836=5,"Doctor")</f>
        <v>Below College</v>
      </c>
      <c r="K836" t="s">
        <v>35</v>
      </c>
      <c r="L836">
        <v>1163</v>
      </c>
      <c r="M836">
        <v>2</v>
      </c>
      <c r="N836" t="str" cm="1">
        <f t="array" ref="N836">_xlfn.IFS(M836=1,"Low",M836=2,"Medium",M836=3,"High",M836=4,"Very High")</f>
        <v>Medium</v>
      </c>
      <c r="O836" t="s">
        <v>36</v>
      </c>
      <c r="P836" s="2">
        <v>70</v>
      </c>
      <c r="Q836">
        <v>3</v>
      </c>
      <c r="R836" t="str" cm="1">
        <f t="array" ref="R836">_xlfn.IFS(Q836=1,"Low",Q836=2,"Medium",Q836=3,"High",Q836=4,"Very High")</f>
        <v>High</v>
      </c>
      <c r="S836">
        <v>2</v>
      </c>
      <c r="T836" t="str" cm="1">
        <f t="array" ref="T836">_xlfn.IFS(S836=1,"Entry Level",S836=2,"Junior",S836=3,"Mid-Level",S836=4,"Senior",S836=5,"Executive")</f>
        <v>Junior</v>
      </c>
      <c r="U836" t="s">
        <v>37</v>
      </c>
      <c r="V836">
        <v>3</v>
      </c>
      <c r="W836" t="str" cm="1">
        <f t="array" ref="W836">_xlfn.IFS(V836=1,"Low",V836=2,"Medium",V836=3,"High",V836=4,"Very High")</f>
        <v>High</v>
      </c>
      <c r="X836" t="s">
        <v>44</v>
      </c>
      <c r="Y836" s="2">
        <v>5714</v>
      </c>
      <c r="Z836" s="2">
        <v>5829</v>
      </c>
      <c r="AA836">
        <v>1</v>
      </c>
      <c r="AB836" t="s">
        <v>39</v>
      </c>
      <c r="AC836">
        <v>20</v>
      </c>
      <c r="AD836">
        <v>4</v>
      </c>
      <c r="AE836" t="str" cm="1">
        <f t="array" ref="AE836">_xlfn.IFS(AD836=1,"Low",AD836=2,"Good",AD836=3,"Excellent",AD836=4,"Outstanding")</f>
        <v>Outstanding</v>
      </c>
      <c r="AF836">
        <v>1</v>
      </c>
      <c r="AG836" t="str" cm="1">
        <f t="array" ref="AG836">_xlfn.IFS(AF836=1,"Low",AF836=2,"Medium",AF836=3,"High",AF836=4,"Very High")</f>
        <v>Low</v>
      </c>
      <c r="AH836">
        <v>0</v>
      </c>
      <c r="AI836">
        <v>6</v>
      </c>
      <c r="AJ836">
        <v>3</v>
      </c>
      <c r="AK836">
        <v>2</v>
      </c>
      <c r="AL836" t="str" cm="1">
        <f t="array" ref="AL836">_xlfn.IFS(AK836=1,"Low",AK836=2,"Medium",AK836=3,"High",AK836=4,"Very High")</f>
        <v>Medium</v>
      </c>
      <c r="AM836">
        <v>6</v>
      </c>
      <c r="AN836">
        <v>5</v>
      </c>
      <c r="AO836">
        <v>1</v>
      </c>
      <c r="AP836">
        <v>3</v>
      </c>
    </row>
    <row r="837" spans="1:42">
      <c r="A837">
        <v>35</v>
      </c>
      <c r="B837" t="str" cm="1">
        <f t="array" ref="B837">_xlfn.IFS(A837&lt;=25,"18-25",A837&lt;=35,"26-35",A837&lt;=45,"36-45",A837&lt;=55,"46-55",A837&gt;55,"56+")</f>
        <v>26-35</v>
      </c>
      <c r="C837" t="s">
        <v>39</v>
      </c>
      <c r="D837" t="s">
        <v>33</v>
      </c>
      <c r="E837" s="2">
        <v>528</v>
      </c>
      <c r="F837" t="s">
        <v>57</v>
      </c>
      <c r="G837">
        <v>8</v>
      </c>
      <c r="H837" t="str">
        <f t="shared" si="13"/>
        <v>1-10 km</v>
      </c>
      <c r="I837">
        <v>4</v>
      </c>
      <c r="J837" t="str" cm="1">
        <f t="array" ref="J837">_xlfn.IFS(I837=1,"Below College",I837=2,"College",I837=3,"Bachelor",I837=4,"Master",I837=5,"Doctor")</f>
        <v>Master</v>
      </c>
      <c r="K837" t="s">
        <v>56</v>
      </c>
      <c r="L837">
        <v>1164</v>
      </c>
      <c r="M837">
        <v>3</v>
      </c>
      <c r="N837" t="str" cm="1">
        <f t="array" ref="N837">_xlfn.IFS(M837=1,"Low",M837=2,"Medium",M837=3,"High",M837=4,"Very High")</f>
        <v>High</v>
      </c>
      <c r="O837" t="s">
        <v>42</v>
      </c>
      <c r="P837" s="2">
        <v>100</v>
      </c>
      <c r="Q837">
        <v>3</v>
      </c>
      <c r="R837" t="str" cm="1">
        <f t="array" ref="R837">_xlfn.IFS(Q837=1,"Low",Q837=2,"Medium",Q837=3,"High",Q837=4,"Very High")</f>
        <v>High</v>
      </c>
      <c r="S837">
        <v>1</v>
      </c>
      <c r="T837" t="str" cm="1">
        <f t="array" ref="T837">_xlfn.IFS(S837=1,"Entry Level",S837=2,"Junior",S837=3,"Mid-Level",S837=4,"Senior",S837=5,"Executive")</f>
        <v>Entry Level</v>
      </c>
      <c r="U837" t="s">
        <v>57</v>
      </c>
      <c r="V837">
        <v>3</v>
      </c>
      <c r="W837" t="str" cm="1">
        <f t="array" ref="W837">_xlfn.IFS(V837=1,"Low",V837=2,"Medium",V837=3,"High",V837=4,"Very High")</f>
        <v>High</v>
      </c>
      <c r="X837" t="s">
        <v>38</v>
      </c>
      <c r="Y837" s="2">
        <v>4323</v>
      </c>
      <c r="Z837" s="2">
        <v>7108</v>
      </c>
      <c r="AA837">
        <v>1</v>
      </c>
      <c r="AB837" t="s">
        <v>39</v>
      </c>
      <c r="AC837">
        <v>17</v>
      </c>
      <c r="AD837">
        <v>3</v>
      </c>
      <c r="AE837" t="str" cm="1">
        <f t="array" ref="AE837">_xlfn.IFS(AD837=1,"Low",AD837=2,"Good",AD837=3,"Excellent",AD837=4,"Outstanding")</f>
        <v>Excellent</v>
      </c>
      <c r="AF837">
        <v>2</v>
      </c>
      <c r="AG837" t="str" cm="1">
        <f t="array" ref="AG837">_xlfn.IFS(AF837=1,"Low",AF837=2,"Medium",AF837=3,"High",AF837=4,"Very High")</f>
        <v>Medium</v>
      </c>
      <c r="AH837">
        <v>0</v>
      </c>
      <c r="AI837">
        <v>6</v>
      </c>
      <c r="AJ837">
        <v>2</v>
      </c>
      <c r="AK837">
        <v>1</v>
      </c>
      <c r="AL837" t="str" cm="1">
        <f t="array" ref="AL837">_xlfn.IFS(AK837=1,"Low",AK837=2,"Medium",AK837=3,"High",AK837=4,"Very High")</f>
        <v>Low</v>
      </c>
      <c r="AM837">
        <v>5</v>
      </c>
      <c r="AN837">
        <v>4</v>
      </c>
      <c r="AO837">
        <v>1</v>
      </c>
      <c r="AP837">
        <v>4</v>
      </c>
    </row>
    <row r="838" spans="1:42">
      <c r="A838">
        <v>29</v>
      </c>
      <c r="B838" t="str" cm="1">
        <f t="array" ref="B838">_xlfn.IFS(A838&lt;=25,"18-25",A838&lt;=35,"26-35",A838&lt;=45,"36-45",A838&lt;=55,"46-55",A838&gt;55,"56+")</f>
        <v>26-35</v>
      </c>
      <c r="C838" t="s">
        <v>32</v>
      </c>
      <c r="D838" t="s">
        <v>33</v>
      </c>
      <c r="E838" s="2">
        <v>408</v>
      </c>
      <c r="F838" t="s">
        <v>34</v>
      </c>
      <c r="G838">
        <v>23</v>
      </c>
      <c r="H838" t="str">
        <f t="shared" si="13"/>
        <v>21-30 km</v>
      </c>
      <c r="I838">
        <v>1</v>
      </c>
      <c r="J838" t="str" cm="1">
        <f t="array" ref="J838">_xlfn.IFS(I838=1,"Below College",I838=2,"College",I838=3,"Bachelor",I838=4,"Master",I838=5,"Doctor")</f>
        <v>Below College</v>
      </c>
      <c r="K838" t="s">
        <v>35</v>
      </c>
      <c r="L838">
        <v>1165</v>
      </c>
      <c r="M838">
        <v>4</v>
      </c>
      <c r="N838" t="str" cm="1">
        <f t="array" ref="N838">_xlfn.IFS(M838=1,"Low",M838=2,"Medium",M838=3,"High",M838=4,"Very High")</f>
        <v>Very High</v>
      </c>
      <c r="O838" t="s">
        <v>36</v>
      </c>
      <c r="P838" s="2">
        <v>45</v>
      </c>
      <c r="Q838">
        <v>2</v>
      </c>
      <c r="R838" t="str" cm="1">
        <f t="array" ref="R838">_xlfn.IFS(Q838=1,"Low",Q838=2,"Medium",Q838=3,"High",Q838=4,"Very High")</f>
        <v>Medium</v>
      </c>
      <c r="S838">
        <v>3</v>
      </c>
      <c r="T838" t="str" cm="1">
        <f t="array" ref="T838">_xlfn.IFS(S838=1,"Entry Level",S838=2,"Junior",S838=3,"Mid-Level",S838=4,"Senior",S838=5,"Executive")</f>
        <v>Mid-Level</v>
      </c>
      <c r="U838" t="s">
        <v>37</v>
      </c>
      <c r="V838">
        <v>1</v>
      </c>
      <c r="W838" t="str" cm="1">
        <f t="array" ref="W838">_xlfn.IFS(V838=1,"Low",V838=2,"Medium",V838=3,"High",V838=4,"Very High")</f>
        <v>Low</v>
      </c>
      <c r="X838" t="s">
        <v>44</v>
      </c>
      <c r="Y838" s="2">
        <v>7336</v>
      </c>
      <c r="Z838" s="2">
        <v>11162</v>
      </c>
      <c r="AA838">
        <v>1</v>
      </c>
      <c r="AB838" t="s">
        <v>39</v>
      </c>
      <c r="AC838">
        <v>13</v>
      </c>
      <c r="AD838">
        <v>3</v>
      </c>
      <c r="AE838" t="str" cm="1">
        <f t="array" ref="AE838">_xlfn.IFS(AD838=1,"Low",AD838=2,"Good",AD838=3,"Excellent",AD838=4,"Outstanding")</f>
        <v>Excellent</v>
      </c>
      <c r="AF838">
        <v>1</v>
      </c>
      <c r="AG838" t="str" cm="1">
        <f t="array" ref="AG838">_xlfn.IFS(AF838=1,"Low",AF838=2,"Medium",AF838=3,"High",AF838=4,"Very High")</f>
        <v>Low</v>
      </c>
      <c r="AH838">
        <v>1</v>
      </c>
      <c r="AI838">
        <v>11</v>
      </c>
      <c r="AJ838">
        <v>3</v>
      </c>
      <c r="AK838">
        <v>1</v>
      </c>
      <c r="AL838" t="str" cm="1">
        <f t="array" ref="AL838">_xlfn.IFS(AK838=1,"Low",AK838=2,"Medium",AK838=3,"High",AK838=4,"Very High")</f>
        <v>Low</v>
      </c>
      <c r="AM838">
        <v>11</v>
      </c>
      <c r="AN838">
        <v>8</v>
      </c>
      <c r="AO838">
        <v>3</v>
      </c>
      <c r="AP838">
        <v>10</v>
      </c>
    </row>
    <row r="839" spans="1:42">
      <c r="A839">
        <v>40</v>
      </c>
      <c r="B839" t="str" cm="1">
        <f t="array" ref="B839">_xlfn.IFS(A839&lt;=25,"18-25",A839&lt;=35,"26-35",A839&lt;=45,"36-45",A839&lt;=55,"46-55",A839&gt;55,"56+")</f>
        <v>36-45</v>
      </c>
      <c r="C839" t="s">
        <v>39</v>
      </c>
      <c r="D839" t="s">
        <v>40</v>
      </c>
      <c r="E839" s="2">
        <v>593</v>
      </c>
      <c r="F839" t="s">
        <v>41</v>
      </c>
      <c r="G839">
        <v>9</v>
      </c>
      <c r="H839" t="str">
        <f t="shared" si="13"/>
        <v>1-10 km</v>
      </c>
      <c r="I839">
        <v>4</v>
      </c>
      <c r="J839" t="str" cm="1">
        <f t="array" ref="J839">_xlfn.IFS(I839=1,"Below College",I839=2,"College",I839=3,"Bachelor",I839=4,"Master",I839=5,"Doctor")</f>
        <v>Master</v>
      </c>
      <c r="K839" t="s">
        <v>47</v>
      </c>
      <c r="L839">
        <v>1166</v>
      </c>
      <c r="M839">
        <v>2</v>
      </c>
      <c r="N839" t="str" cm="1">
        <f t="array" ref="N839">_xlfn.IFS(M839=1,"Low",M839=2,"Medium",M839=3,"High",M839=4,"Very High")</f>
        <v>Medium</v>
      </c>
      <c r="O839" t="s">
        <v>36</v>
      </c>
      <c r="P839" s="2">
        <v>88</v>
      </c>
      <c r="Q839">
        <v>3</v>
      </c>
      <c r="R839" t="str" cm="1">
        <f t="array" ref="R839">_xlfn.IFS(Q839=1,"Low",Q839=2,"Medium",Q839=3,"High",Q839=4,"Very High")</f>
        <v>High</v>
      </c>
      <c r="S839">
        <v>3</v>
      </c>
      <c r="T839" t="str" cm="1">
        <f t="array" ref="T839">_xlfn.IFS(S839=1,"Entry Level",S839=2,"Junior",S839=3,"Mid-Level",S839=4,"Senior",S839=5,"Executive")</f>
        <v>Mid-Level</v>
      </c>
      <c r="U839" t="s">
        <v>54</v>
      </c>
      <c r="V839">
        <v>3</v>
      </c>
      <c r="W839" t="str" cm="1">
        <f t="array" ref="W839">_xlfn.IFS(V839=1,"Low",V839=2,"Medium",V839=3,"High",V839=4,"Very High")</f>
        <v>High</v>
      </c>
      <c r="X839" t="s">
        <v>38</v>
      </c>
      <c r="Y839" s="2">
        <v>13499</v>
      </c>
      <c r="Z839" s="2">
        <v>13782</v>
      </c>
      <c r="AA839">
        <v>9</v>
      </c>
      <c r="AB839" t="s">
        <v>39</v>
      </c>
      <c r="AC839">
        <v>17</v>
      </c>
      <c r="AD839">
        <v>3</v>
      </c>
      <c r="AE839" t="str" cm="1">
        <f t="array" ref="AE839">_xlfn.IFS(AD839=1,"Low",AD839=2,"Good",AD839=3,"Excellent",AD839=4,"Outstanding")</f>
        <v>Excellent</v>
      </c>
      <c r="AF839">
        <v>3</v>
      </c>
      <c r="AG839" t="str" cm="1">
        <f t="array" ref="AG839">_xlfn.IFS(AF839=1,"Low",AF839=2,"Medium",AF839=3,"High",AF839=4,"Very High")</f>
        <v>High</v>
      </c>
      <c r="AH839">
        <v>0</v>
      </c>
      <c r="AI839">
        <v>20</v>
      </c>
      <c r="AJ839">
        <v>3</v>
      </c>
      <c r="AK839">
        <v>2</v>
      </c>
      <c r="AL839" t="str" cm="1">
        <f t="array" ref="AL839">_xlfn.IFS(AK839=1,"Low",AK839=2,"Medium",AK839=3,"High",AK839=4,"Very High")</f>
        <v>Medium</v>
      </c>
      <c r="AM839">
        <v>18</v>
      </c>
      <c r="AN839">
        <v>7</v>
      </c>
      <c r="AO839">
        <v>2</v>
      </c>
      <c r="AP839">
        <v>13</v>
      </c>
    </row>
    <row r="840" spans="1:42">
      <c r="A840">
        <v>42</v>
      </c>
      <c r="B840" t="str" cm="1">
        <f t="array" ref="B840">_xlfn.IFS(A840&lt;=25,"18-25",A840&lt;=35,"26-35",A840&lt;=45,"36-45",A840&lt;=55,"46-55",A840&gt;55,"56+")</f>
        <v>36-45</v>
      </c>
      <c r="C840" t="s">
        <v>32</v>
      </c>
      <c r="D840" t="s">
        <v>40</v>
      </c>
      <c r="E840" s="2">
        <v>481</v>
      </c>
      <c r="F840" t="s">
        <v>34</v>
      </c>
      <c r="G840">
        <v>12</v>
      </c>
      <c r="H840" t="str">
        <f t="shared" si="13"/>
        <v>11-20 km</v>
      </c>
      <c r="I840">
        <v>3</v>
      </c>
      <c r="J840" t="str" cm="1">
        <f t="array" ref="J840">_xlfn.IFS(I840=1,"Below College",I840=2,"College",I840=3,"Bachelor",I840=4,"Master",I840=5,"Doctor")</f>
        <v>Bachelor</v>
      </c>
      <c r="K840" t="s">
        <v>35</v>
      </c>
      <c r="L840">
        <v>1167</v>
      </c>
      <c r="M840">
        <v>3</v>
      </c>
      <c r="N840" t="str" cm="1">
        <f t="array" ref="N840">_xlfn.IFS(M840=1,"Low",M840=2,"Medium",M840=3,"High",M840=4,"Very High")</f>
        <v>High</v>
      </c>
      <c r="O840" t="s">
        <v>42</v>
      </c>
      <c r="P840" s="2">
        <v>44</v>
      </c>
      <c r="Q840">
        <v>3</v>
      </c>
      <c r="R840" t="str" cm="1">
        <f t="array" ref="R840">_xlfn.IFS(Q840=1,"Low",Q840=2,"Medium",Q840=3,"High",Q840=4,"Very High")</f>
        <v>High</v>
      </c>
      <c r="S840">
        <v>4</v>
      </c>
      <c r="T840" t="str" cm="1">
        <f t="array" ref="T840">_xlfn.IFS(S840=1,"Entry Level",S840=2,"Junior",S840=3,"Mid-Level",S840=4,"Senior",S840=5,"Executive")</f>
        <v>Senior</v>
      </c>
      <c r="U840" t="s">
        <v>37</v>
      </c>
      <c r="V840">
        <v>1</v>
      </c>
      <c r="W840" t="str" cm="1">
        <f t="array" ref="W840">_xlfn.IFS(V840=1,"Low",V840=2,"Medium",V840=3,"High",V840=4,"Very High")</f>
        <v>Low</v>
      </c>
      <c r="X840" t="s">
        <v>38</v>
      </c>
      <c r="Y840" s="2">
        <v>13758</v>
      </c>
      <c r="Z840" s="2">
        <v>2447</v>
      </c>
      <c r="AA840">
        <v>0</v>
      </c>
      <c r="AB840" t="s">
        <v>32</v>
      </c>
      <c r="AC840">
        <v>12</v>
      </c>
      <c r="AD840">
        <v>3</v>
      </c>
      <c r="AE840" t="str" cm="1">
        <f t="array" ref="AE840">_xlfn.IFS(AD840=1,"Low",AD840=2,"Good",AD840=3,"Excellent",AD840=4,"Outstanding")</f>
        <v>Excellent</v>
      </c>
      <c r="AF840">
        <v>2</v>
      </c>
      <c r="AG840" t="str" cm="1">
        <f t="array" ref="AG840">_xlfn.IFS(AF840=1,"Low",AF840=2,"Medium",AF840=3,"High",AF840=4,"Very High")</f>
        <v>Medium</v>
      </c>
      <c r="AH840">
        <v>0</v>
      </c>
      <c r="AI840">
        <v>22</v>
      </c>
      <c r="AJ840">
        <v>2</v>
      </c>
      <c r="AK840">
        <v>2</v>
      </c>
      <c r="AL840" t="str" cm="1">
        <f t="array" ref="AL840">_xlfn.IFS(AK840=1,"Low",AK840=2,"Medium",AK840=3,"High",AK840=4,"Very High")</f>
        <v>Medium</v>
      </c>
      <c r="AM840">
        <v>21</v>
      </c>
      <c r="AN840">
        <v>9</v>
      </c>
      <c r="AO840">
        <v>13</v>
      </c>
      <c r="AP840">
        <v>14</v>
      </c>
    </row>
    <row r="841" spans="1:42">
      <c r="A841">
        <v>42</v>
      </c>
      <c r="B841" t="str" cm="1">
        <f t="array" ref="B841">_xlfn.IFS(A841&lt;=25,"18-25",A841&lt;=35,"26-35",A841&lt;=45,"36-45",A841&lt;=55,"46-55",A841&gt;55,"56+")</f>
        <v>36-45</v>
      </c>
      <c r="C841" t="s">
        <v>39</v>
      </c>
      <c r="D841" t="s">
        <v>33</v>
      </c>
      <c r="E841" s="2">
        <v>647</v>
      </c>
      <c r="F841" t="s">
        <v>34</v>
      </c>
      <c r="G841">
        <v>4</v>
      </c>
      <c r="H841" t="str">
        <f t="shared" si="13"/>
        <v>1-10 km</v>
      </c>
      <c r="I841">
        <v>4</v>
      </c>
      <c r="J841" t="str" cm="1">
        <f t="array" ref="J841">_xlfn.IFS(I841=1,"Below College",I841=2,"College",I841=3,"Bachelor",I841=4,"Master",I841=5,"Doctor")</f>
        <v>Master</v>
      </c>
      <c r="K841" t="s">
        <v>55</v>
      </c>
      <c r="L841">
        <v>1171</v>
      </c>
      <c r="M841">
        <v>2</v>
      </c>
      <c r="N841" t="str" cm="1">
        <f t="array" ref="N841">_xlfn.IFS(M841=1,"Low",M841=2,"Medium",M841=3,"High",M841=4,"Very High")</f>
        <v>Medium</v>
      </c>
      <c r="O841" t="s">
        <v>42</v>
      </c>
      <c r="P841" s="2">
        <v>45</v>
      </c>
      <c r="Q841">
        <v>3</v>
      </c>
      <c r="R841" t="str" cm="1">
        <f t="array" ref="R841">_xlfn.IFS(Q841=1,"Low",Q841=2,"Medium",Q841=3,"High",Q841=4,"Very High")</f>
        <v>High</v>
      </c>
      <c r="S841">
        <v>2</v>
      </c>
      <c r="T841" t="str" cm="1">
        <f t="array" ref="T841">_xlfn.IFS(S841=1,"Entry Level",S841=2,"Junior",S841=3,"Mid-Level",S841=4,"Senior",S841=5,"Executive")</f>
        <v>Junior</v>
      </c>
      <c r="U841" t="s">
        <v>37</v>
      </c>
      <c r="V841">
        <v>1</v>
      </c>
      <c r="W841" t="str" cm="1">
        <f t="array" ref="W841">_xlfn.IFS(V841=1,"Low",V841=2,"Medium",V841=3,"High",V841=4,"Very High")</f>
        <v>Low</v>
      </c>
      <c r="X841" t="s">
        <v>38</v>
      </c>
      <c r="Y841" s="2">
        <v>5155</v>
      </c>
      <c r="Z841" s="2">
        <v>2253</v>
      </c>
      <c r="AA841">
        <v>7</v>
      </c>
      <c r="AB841" t="s">
        <v>39</v>
      </c>
      <c r="AC841">
        <v>13</v>
      </c>
      <c r="AD841">
        <v>3</v>
      </c>
      <c r="AE841" t="str" cm="1">
        <f t="array" ref="AE841">_xlfn.IFS(AD841=1,"Low",AD841=2,"Good",AD841=3,"Excellent",AD841=4,"Outstanding")</f>
        <v>Excellent</v>
      </c>
      <c r="AF841">
        <v>4</v>
      </c>
      <c r="AG841" t="str" cm="1">
        <f t="array" ref="AG841">_xlfn.IFS(AF841=1,"Low",AF841=2,"Medium",AF841=3,"High",AF841=4,"Very High")</f>
        <v>Very High</v>
      </c>
      <c r="AH841">
        <v>0</v>
      </c>
      <c r="AI841">
        <v>9</v>
      </c>
      <c r="AJ841">
        <v>3</v>
      </c>
      <c r="AK841">
        <v>4</v>
      </c>
      <c r="AL841" t="str" cm="1">
        <f t="array" ref="AL841">_xlfn.IFS(AK841=1,"Low",AK841=2,"Medium",AK841=3,"High",AK841=4,"Very High")</f>
        <v>Very High</v>
      </c>
      <c r="AM841">
        <v>6</v>
      </c>
      <c r="AN841">
        <v>4</v>
      </c>
      <c r="AO841">
        <v>1</v>
      </c>
      <c r="AP841">
        <v>5</v>
      </c>
    </row>
    <row r="842" spans="1:42">
      <c r="A842">
        <v>35</v>
      </c>
      <c r="B842" t="str" cm="1">
        <f t="array" ref="B842">_xlfn.IFS(A842&lt;=25,"18-25",A842&lt;=35,"26-35",A842&lt;=45,"36-45",A842&lt;=55,"46-55",A842&gt;55,"56+")</f>
        <v>26-35</v>
      </c>
      <c r="C842" t="s">
        <v>39</v>
      </c>
      <c r="D842" t="s">
        <v>33</v>
      </c>
      <c r="E842" s="2">
        <v>982</v>
      </c>
      <c r="F842" t="s">
        <v>41</v>
      </c>
      <c r="G842">
        <v>1</v>
      </c>
      <c r="H842" t="str">
        <f t="shared" si="13"/>
        <v>1-10 km</v>
      </c>
      <c r="I842">
        <v>4</v>
      </c>
      <c r="J842" t="str" cm="1">
        <f t="array" ref="J842">_xlfn.IFS(I842=1,"Below College",I842=2,"College",I842=3,"Bachelor",I842=4,"Master",I842=5,"Doctor")</f>
        <v>Master</v>
      </c>
      <c r="K842" t="s">
        <v>47</v>
      </c>
      <c r="L842">
        <v>1172</v>
      </c>
      <c r="M842">
        <v>4</v>
      </c>
      <c r="N842" t="str" cm="1">
        <f t="array" ref="N842">_xlfn.IFS(M842=1,"Low",M842=2,"Medium",M842=3,"High",M842=4,"Very High")</f>
        <v>Very High</v>
      </c>
      <c r="O842" t="s">
        <v>42</v>
      </c>
      <c r="P842" s="2">
        <v>58</v>
      </c>
      <c r="Q842">
        <v>2</v>
      </c>
      <c r="R842" t="str" cm="1">
        <f t="array" ref="R842">_xlfn.IFS(Q842=1,"Low",Q842=2,"Medium",Q842=3,"High",Q842=4,"Very High")</f>
        <v>Medium</v>
      </c>
      <c r="S842">
        <v>1</v>
      </c>
      <c r="T842" t="str" cm="1">
        <f t="array" ref="T842">_xlfn.IFS(S842=1,"Entry Level",S842=2,"Junior",S842=3,"Mid-Level",S842=4,"Senior",S842=5,"Executive")</f>
        <v>Entry Level</v>
      </c>
      <c r="U842" t="s">
        <v>46</v>
      </c>
      <c r="V842">
        <v>3</v>
      </c>
      <c r="W842" t="str" cm="1">
        <f t="array" ref="W842">_xlfn.IFS(V842=1,"Low",V842=2,"Medium",V842=3,"High",V842=4,"Very High")</f>
        <v>High</v>
      </c>
      <c r="X842" t="s">
        <v>44</v>
      </c>
      <c r="Y842" s="2">
        <v>2258</v>
      </c>
      <c r="Z842" s="2">
        <v>16340</v>
      </c>
      <c r="AA842">
        <v>6</v>
      </c>
      <c r="AB842" t="s">
        <v>39</v>
      </c>
      <c r="AC842">
        <v>12</v>
      </c>
      <c r="AD842">
        <v>3</v>
      </c>
      <c r="AE842" t="str" cm="1">
        <f t="array" ref="AE842">_xlfn.IFS(AD842=1,"Low",AD842=2,"Good",AD842=3,"Excellent",AD842=4,"Outstanding")</f>
        <v>Excellent</v>
      </c>
      <c r="AF842">
        <v>2</v>
      </c>
      <c r="AG842" t="str" cm="1">
        <f t="array" ref="AG842">_xlfn.IFS(AF842=1,"Low",AF842=2,"Medium",AF842=3,"High",AF842=4,"Very High")</f>
        <v>Medium</v>
      </c>
      <c r="AH842">
        <v>1</v>
      </c>
      <c r="AI842">
        <v>10</v>
      </c>
      <c r="AJ842">
        <v>2</v>
      </c>
      <c r="AK842">
        <v>3</v>
      </c>
      <c r="AL842" t="str" cm="1">
        <f t="array" ref="AL842">_xlfn.IFS(AK842=1,"Low",AK842=2,"Medium",AK842=3,"High",AK842=4,"Very High")</f>
        <v>High</v>
      </c>
      <c r="AM842">
        <v>8</v>
      </c>
      <c r="AN842">
        <v>0</v>
      </c>
      <c r="AO842">
        <v>1</v>
      </c>
      <c r="AP842">
        <v>7</v>
      </c>
    </row>
    <row r="843" spans="1:42">
      <c r="A843">
        <v>24</v>
      </c>
      <c r="B843" t="str" cm="1">
        <f t="array" ref="B843">_xlfn.IFS(A843&lt;=25,"18-25",A843&lt;=35,"26-35",A843&lt;=45,"36-45",A843&lt;=55,"46-55",A843&gt;55,"56+")</f>
        <v>18-25</v>
      </c>
      <c r="C843" t="s">
        <v>39</v>
      </c>
      <c r="D843" t="s">
        <v>33</v>
      </c>
      <c r="E843" s="2">
        <v>477</v>
      </c>
      <c r="F843" t="s">
        <v>41</v>
      </c>
      <c r="G843">
        <v>24</v>
      </c>
      <c r="H843" t="str">
        <f t="shared" si="13"/>
        <v>21-30 km</v>
      </c>
      <c r="I843">
        <v>3</v>
      </c>
      <c r="J843" t="str" cm="1">
        <f t="array" ref="J843">_xlfn.IFS(I843=1,"Below College",I843=2,"College",I843=3,"Bachelor",I843=4,"Master",I843=5,"Doctor")</f>
        <v>Bachelor</v>
      </c>
      <c r="K843" t="s">
        <v>47</v>
      </c>
      <c r="L843">
        <v>1173</v>
      </c>
      <c r="M843">
        <v>4</v>
      </c>
      <c r="N843" t="str" cm="1">
        <f t="array" ref="N843">_xlfn.IFS(M843=1,"Low",M843=2,"Medium",M843=3,"High",M843=4,"Very High")</f>
        <v>Very High</v>
      </c>
      <c r="O843" t="s">
        <v>42</v>
      </c>
      <c r="P843" s="2">
        <v>49</v>
      </c>
      <c r="Q843">
        <v>3</v>
      </c>
      <c r="R843" t="str" cm="1">
        <f t="array" ref="R843">_xlfn.IFS(Q843=1,"Low",Q843=2,"Medium",Q843=3,"High",Q843=4,"Very High")</f>
        <v>High</v>
      </c>
      <c r="S843">
        <v>1</v>
      </c>
      <c r="T843" t="str" cm="1">
        <f t="array" ref="T843">_xlfn.IFS(S843=1,"Entry Level",S843=2,"Junior",S843=3,"Mid-Level",S843=4,"Senior",S843=5,"Executive")</f>
        <v>Entry Level</v>
      </c>
      <c r="U843" t="s">
        <v>46</v>
      </c>
      <c r="V843">
        <v>2</v>
      </c>
      <c r="W843" t="str" cm="1">
        <f t="array" ref="W843">_xlfn.IFS(V843=1,"Low",V843=2,"Medium",V843=3,"High",V843=4,"Very High")</f>
        <v>Medium</v>
      </c>
      <c r="X843" t="s">
        <v>38</v>
      </c>
      <c r="Y843" s="2">
        <v>3597</v>
      </c>
      <c r="Z843" s="2">
        <v>6409</v>
      </c>
      <c r="AA843">
        <v>8</v>
      </c>
      <c r="AB843" t="s">
        <v>39</v>
      </c>
      <c r="AC843">
        <v>22</v>
      </c>
      <c r="AD843">
        <v>4</v>
      </c>
      <c r="AE843" t="str" cm="1">
        <f t="array" ref="AE843">_xlfn.IFS(AD843=1,"Low",AD843=2,"Good",AD843=3,"Excellent",AD843=4,"Outstanding")</f>
        <v>Outstanding</v>
      </c>
      <c r="AF843">
        <v>4</v>
      </c>
      <c r="AG843" t="str" cm="1">
        <f t="array" ref="AG843">_xlfn.IFS(AF843=1,"Low",AF843=2,"Medium",AF843=3,"High",AF843=4,"Very High")</f>
        <v>Very High</v>
      </c>
      <c r="AH843">
        <v>0</v>
      </c>
      <c r="AI843">
        <v>6</v>
      </c>
      <c r="AJ843">
        <v>2</v>
      </c>
      <c r="AK843">
        <v>3</v>
      </c>
      <c r="AL843" t="str" cm="1">
        <f t="array" ref="AL843">_xlfn.IFS(AK843=1,"Low",AK843=2,"Medium",AK843=3,"High",AK843=4,"Very High")</f>
        <v>High</v>
      </c>
      <c r="AM843">
        <v>4</v>
      </c>
      <c r="AN843">
        <v>3</v>
      </c>
      <c r="AO843">
        <v>1</v>
      </c>
      <c r="AP843">
        <v>2</v>
      </c>
    </row>
    <row r="844" spans="1:42">
      <c r="A844">
        <v>28</v>
      </c>
      <c r="B844" t="str" cm="1">
        <f t="array" ref="B844">_xlfn.IFS(A844&lt;=25,"18-25",A844&lt;=35,"26-35",A844&lt;=45,"36-45",A844&lt;=55,"46-55",A844&gt;55,"56+")</f>
        <v>26-35</v>
      </c>
      <c r="C844" t="s">
        <v>32</v>
      </c>
      <c r="D844" t="s">
        <v>33</v>
      </c>
      <c r="E844" s="2">
        <v>1485</v>
      </c>
      <c r="F844" t="s">
        <v>41</v>
      </c>
      <c r="G844">
        <v>12</v>
      </c>
      <c r="H844" t="str">
        <f t="shared" si="13"/>
        <v>11-20 km</v>
      </c>
      <c r="I844">
        <v>1</v>
      </c>
      <c r="J844" t="str" cm="1">
        <f t="array" ref="J844">_xlfn.IFS(I844=1,"Below College",I844=2,"College",I844=3,"Bachelor",I844=4,"Master",I844=5,"Doctor")</f>
        <v>Below College</v>
      </c>
      <c r="K844" t="s">
        <v>35</v>
      </c>
      <c r="L844">
        <v>1175</v>
      </c>
      <c r="M844">
        <v>3</v>
      </c>
      <c r="N844" t="str" cm="1">
        <f t="array" ref="N844">_xlfn.IFS(M844=1,"Low",M844=2,"Medium",M844=3,"High",M844=4,"Very High")</f>
        <v>High</v>
      </c>
      <c r="O844" t="s">
        <v>36</v>
      </c>
      <c r="P844" s="2">
        <v>79</v>
      </c>
      <c r="Q844">
        <v>3</v>
      </c>
      <c r="R844" t="str" cm="1">
        <f t="array" ref="R844">_xlfn.IFS(Q844=1,"Low",Q844=2,"Medium",Q844=3,"High",Q844=4,"Very High")</f>
        <v>High</v>
      </c>
      <c r="S844">
        <v>1</v>
      </c>
      <c r="T844" t="str" cm="1">
        <f t="array" ref="T844">_xlfn.IFS(S844=1,"Entry Level",S844=2,"Junior",S844=3,"Mid-Level",S844=4,"Senior",S844=5,"Executive")</f>
        <v>Entry Level</v>
      </c>
      <c r="U844" t="s">
        <v>46</v>
      </c>
      <c r="V844">
        <v>4</v>
      </c>
      <c r="W844" t="str" cm="1">
        <f t="array" ref="W844">_xlfn.IFS(V844=1,"Low",V844=2,"Medium",V844=3,"High",V844=4,"Very High")</f>
        <v>Very High</v>
      </c>
      <c r="X844" t="s">
        <v>44</v>
      </c>
      <c r="Y844" s="2">
        <v>2515</v>
      </c>
      <c r="Z844" s="2">
        <v>22955</v>
      </c>
      <c r="AA844">
        <v>1</v>
      </c>
      <c r="AB844" t="s">
        <v>32</v>
      </c>
      <c r="AC844">
        <v>11</v>
      </c>
      <c r="AD844">
        <v>3</v>
      </c>
      <c r="AE844" t="str" cm="1">
        <f t="array" ref="AE844">_xlfn.IFS(AD844=1,"Low",AD844=2,"Good",AD844=3,"Excellent",AD844=4,"Outstanding")</f>
        <v>Excellent</v>
      </c>
      <c r="AF844">
        <v>4</v>
      </c>
      <c r="AG844" t="str" cm="1">
        <f t="array" ref="AG844">_xlfn.IFS(AF844=1,"Low",AF844=2,"Medium",AF844=3,"High",AF844=4,"Very High")</f>
        <v>Very High</v>
      </c>
      <c r="AH844">
        <v>0</v>
      </c>
      <c r="AI844">
        <v>1</v>
      </c>
      <c r="AJ844">
        <v>4</v>
      </c>
      <c r="AK844">
        <v>2</v>
      </c>
      <c r="AL844" t="str" cm="1">
        <f t="array" ref="AL844">_xlfn.IFS(AK844=1,"Low",AK844=2,"Medium",AK844=3,"High",AK844=4,"Very High")</f>
        <v>Medium</v>
      </c>
      <c r="AM844">
        <v>1</v>
      </c>
      <c r="AN844">
        <v>1</v>
      </c>
      <c r="AO844">
        <v>0</v>
      </c>
      <c r="AP844">
        <v>0</v>
      </c>
    </row>
    <row r="845" spans="1:42">
      <c r="A845">
        <v>26</v>
      </c>
      <c r="B845" t="str" cm="1">
        <f t="array" ref="B845">_xlfn.IFS(A845&lt;=25,"18-25",A845&lt;=35,"26-35",A845&lt;=45,"36-45",A845&lt;=55,"46-55",A845&gt;55,"56+")</f>
        <v>26-35</v>
      </c>
      <c r="C845" t="s">
        <v>39</v>
      </c>
      <c r="D845" t="s">
        <v>33</v>
      </c>
      <c r="E845" s="2">
        <v>1384</v>
      </c>
      <c r="F845" t="s">
        <v>41</v>
      </c>
      <c r="G845">
        <v>3</v>
      </c>
      <c r="H845" t="str">
        <f t="shared" si="13"/>
        <v>1-10 km</v>
      </c>
      <c r="I845">
        <v>4</v>
      </c>
      <c r="J845" t="str" cm="1">
        <f t="array" ref="J845">_xlfn.IFS(I845=1,"Below College",I845=2,"College",I845=3,"Bachelor",I845=4,"Master",I845=5,"Doctor")</f>
        <v>Master</v>
      </c>
      <c r="K845" t="s">
        <v>47</v>
      </c>
      <c r="L845">
        <v>1177</v>
      </c>
      <c r="M845">
        <v>1</v>
      </c>
      <c r="N845" t="str" cm="1">
        <f t="array" ref="N845">_xlfn.IFS(M845=1,"Low",M845=2,"Medium",M845=3,"High",M845=4,"Very High")</f>
        <v>Low</v>
      </c>
      <c r="O845" t="s">
        <v>42</v>
      </c>
      <c r="P845" s="2">
        <v>82</v>
      </c>
      <c r="Q845">
        <v>4</v>
      </c>
      <c r="R845" t="str" cm="1">
        <f t="array" ref="R845">_xlfn.IFS(Q845=1,"Low",Q845=2,"Medium",Q845=3,"High",Q845=4,"Very High")</f>
        <v>Very High</v>
      </c>
      <c r="S845">
        <v>1</v>
      </c>
      <c r="T845" t="str" cm="1">
        <f t="array" ref="T845">_xlfn.IFS(S845=1,"Entry Level",S845=2,"Junior",S845=3,"Mid-Level",S845=4,"Senior",S845=5,"Executive")</f>
        <v>Entry Level</v>
      </c>
      <c r="U845" t="s">
        <v>46</v>
      </c>
      <c r="V845">
        <v>4</v>
      </c>
      <c r="W845" t="str" cm="1">
        <f t="array" ref="W845">_xlfn.IFS(V845=1,"Low",V845=2,"Medium",V845=3,"High",V845=4,"Very High")</f>
        <v>Very High</v>
      </c>
      <c r="X845" t="s">
        <v>44</v>
      </c>
      <c r="Y845" s="2">
        <v>4420</v>
      </c>
      <c r="Z845" s="2">
        <v>13421</v>
      </c>
      <c r="AA845">
        <v>1</v>
      </c>
      <c r="AB845" t="s">
        <v>39</v>
      </c>
      <c r="AC845">
        <v>22</v>
      </c>
      <c r="AD845">
        <v>4</v>
      </c>
      <c r="AE845" t="str" cm="1">
        <f t="array" ref="AE845">_xlfn.IFS(AD845=1,"Low",AD845=2,"Good",AD845=3,"Excellent",AD845=4,"Outstanding")</f>
        <v>Outstanding</v>
      </c>
      <c r="AF845">
        <v>2</v>
      </c>
      <c r="AG845" t="str" cm="1">
        <f t="array" ref="AG845">_xlfn.IFS(AF845=1,"Low",AF845=2,"Medium",AF845=3,"High",AF845=4,"Very High")</f>
        <v>Medium</v>
      </c>
      <c r="AH845">
        <v>1</v>
      </c>
      <c r="AI845">
        <v>8</v>
      </c>
      <c r="AJ845">
        <v>2</v>
      </c>
      <c r="AK845">
        <v>3</v>
      </c>
      <c r="AL845" t="str" cm="1">
        <f t="array" ref="AL845">_xlfn.IFS(AK845=1,"Low",AK845=2,"Medium",AK845=3,"High",AK845=4,"Very High")</f>
        <v>High</v>
      </c>
      <c r="AM845">
        <v>8</v>
      </c>
      <c r="AN845">
        <v>7</v>
      </c>
      <c r="AO845">
        <v>0</v>
      </c>
      <c r="AP845">
        <v>7</v>
      </c>
    </row>
    <row r="846" spans="1:42">
      <c r="A846">
        <v>30</v>
      </c>
      <c r="B846" t="str" cm="1">
        <f t="array" ref="B846">_xlfn.IFS(A846&lt;=25,"18-25",A846&lt;=35,"26-35",A846&lt;=45,"36-45",A846&lt;=55,"46-55",A846&gt;55,"56+")</f>
        <v>26-35</v>
      </c>
      <c r="C846" t="s">
        <v>39</v>
      </c>
      <c r="D846" t="s">
        <v>33</v>
      </c>
      <c r="E846" s="2">
        <v>852</v>
      </c>
      <c r="F846" t="s">
        <v>34</v>
      </c>
      <c r="G846">
        <v>10</v>
      </c>
      <c r="H846" t="str">
        <f t="shared" si="13"/>
        <v>1-10 km</v>
      </c>
      <c r="I846">
        <v>3</v>
      </c>
      <c r="J846" t="str" cm="1">
        <f t="array" ref="J846">_xlfn.IFS(I846=1,"Below College",I846=2,"College",I846=3,"Bachelor",I846=4,"Master",I846=5,"Doctor")</f>
        <v>Bachelor</v>
      </c>
      <c r="K846" t="s">
        <v>55</v>
      </c>
      <c r="L846">
        <v>1179</v>
      </c>
      <c r="M846">
        <v>3</v>
      </c>
      <c r="N846" t="str" cm="1">
        <f t="array" ref="N846">_xlfn.IFS(M846=1,"Low",M846=2,"Medium",M846=3,"High",M846=4,"Very High")</f>
        <v>High</v>
      </c>
      <c r="O846" t="s">
        <v>42</v>
      </c>
      <c r="P846" s="2">
        <v>72</v>
      </c>
      <c r="Q846">
        <v>2</v>
      </c>
      <c r="R846" t="str" cm="1">
        <f t="array" ref="R846">_xlfn.IFS(Q846=1,"Low",Q846=2,"Medium",Q846=3,"High",Q846=4,"Very High")</f>
        <v>Medium</v>
      </c>
      <c r="S846">
        <v>2</v>
      </c>
      <c r="T846" t="str" cm="1">
        <f t="array" ref="T846">_xlfn.IFS(S846=1,"Entry Level",S846=2,"Junior",S846=3,"Mid-Level",S846=4,"Senior",S846=5,"Executive")</f>
        <v>Junior</v>
      </c>
      <c r="U846" t="s">
        <v>37</v>
      </c>
      <c r="V846">
        <v>3</v>
      </c>
      <c r="W846" t="str" cm="1">
        <f t="array" ref="W846">_xlfn.IFS(V846=1,"Low",V846=2,"Medium",V846=3,"High",V846=4,"Very High")</f>
        <v>High</v>
      </c>
      <c r="X846" t="s">
        <v>44</v>
      </c>
      <c r="Y846" s="2">
        <v>6578</v>
      </c>
      <c r="Z846" s="2">
        <v>2706</v>
      </c>
      <c r="AA846">
        <v>1</v>
      </c>
      <c r="AB846" t="s">
        <v>39</v>
      </c>
      <c r="AC846">
        <v>18</v>
      </c>
      <c r="AD846">
        <v>3</v>
      </c>
      <c r="AE846" t="str" cm="1">
        <f t="array" ref="AE846">_xlfn.IFS(AD846=1,"Low",AD846=2,"Good",AD846=3,"Excellent",AD846=4,"Outstanding")</f>
        <v>Excellent</v>
      </c>
      <c r="AF846">
        <v>1</v>
      </c>
      <c r="AG846" t="str" cm="1">
        <f t="array" ref="AG846">_xlfn.IFS(AF846=1,"Low",AF846=2,"Medium",AF846=3,"High",AF846=4,"Very High")</f>
        <v>Low</v>
      </c>
      <c r="AH846">
        <v>1</v>
      </c>
      <c r="AI846">
        <v>10</v>
      </c>
      <c r="AJ846">
        <v>3</v>
      </c>
      <c r="AK846">
        <v>3</v>
      </c>
      <c r="AL846" t="str" cm="1">
        <f t="array" ref="AL846">_xlfn.IFS(AK846=1,"Low",AK846=2,"Medium",AK846=3,"High",AK846=4,"Very High")</f>
        <v>High</v>
      </c>
      <c r="AM846">
        <v>10</v>
      </c>
      <c r="AN846">
        <v>3</v>
      </c>
      <c r="AO846">
        <v>1</v>
      </c>
      <c r="AP846">
        <v>4</v>
      </c>
    </row>
    <row r="847" spans="1:42">
      <c r="A847">
        <v>40</v>
      </c>
      <c r="B847" t="str" cm="1">
        <f t="array" ref="B847">_xlfn.IFS(A847&lt;=25,"18-25",A847&lt;=35,"26-35",A847&lt;=45,"36-45",A847&lt;=55,"46-55",A847&gt;55,"56+")</f>
        <v>36-45</v>
      </c>
      <c r="C847" t="s">
        <v>39</v>
      </c>
      <c r="D847" t="s">
        <v>40</v>
      </c>
      <c r="E847" s="2">
        <v>902</v>
      </c>
      <c r="F847" t="s">
        <v>41</v>
      </c>
      <c r="G847">
        <v>26</v>
      </c>
      <c r="H847" t="str">
        <f t="shared" si="13"/>
        <v>21-30 km</v>
      </c>
      <c r="I847">
        <v>2</v>
      </c>
      <c r="J847" t="str" cm="1">
        <f t="array" ref="J847">_xlfn.IFS(I847=1,"Below College",I847=2,"College",I847=3,"Bachelor",I847=4,"Master",I847=5,"Doctor")</f>
        <v>College</v>
      </c>
      <c r="K847" t="s">
        <v>47</v>
      </c>
      <c r="L847">
        <v>1180</v>
      </c>
      <c r="M847">
        <v>3</v>
      </c>
      <c r="N847" t="str" cm="1">
        <f t="array" ref="N847">_xlfn.IFS(M847=1,"Low",M847=2,"Medium",M847=3,"High",M847=4,"Very High")</f>
        <v>High</v>
      </c>
      <c r="O847" t="s">
        <v>36</v>
      </c>
      <c r="P847" s="2">
        <v>92</v>
      </c>
      <c r="Q847">
        <v>2</v>
      </c>
      <c r="R847" t="str" cm="1">
        <f t="array" ref="R847">_xlfn.IFS(Q847=1,"Low",Q847=2,"Medium",Q847=3,"High",Q847=4,"Very High")</f>
        <v>Medium</v>
      </c>
      <c r="S847">
        <v>2</v>
      </c>
      <c r="T847" t="str" cm="1">
        <f t="array" ref="T847">_xlfn.IFS(S847=1,"Entry Level",S847=2,"Junior",S847=3,"Mid-Level",S847=4,"Senior",S847=5,"Executive")</f>
        <v>Junior</v>
      </c>
      <c r="U847" t="s">
        <v>43</v>
      </c>
      <c r="V847">
        <v>4</v>
      </c>
      <c r="W847" t="str" cm="1">
        <f t="array" ref="W847">_xlfn.IFS(V847=1,"Low",V847=2,"Medium",V847=3,"High",V847=4,"Very High")</f>
        <v>Very High</v>
      </c>
      <c r="X847" t="s">
        <v>44</v>
      </c>
      <c r="Y847" s="2">
        <v>4422</v>
      </c>
      <c r="Z847" s="2">
        <v>21203</v>
      </c>
      <c r="AA847">
        <v>3</v>
      </c>
      <c r="AB847" t="s">
        <v>32</v>
      </c>
      <c r="AC847">
        <v>13</v>
      </c>
      <c r="AD847">
        <v>3</v>
      </c>
      <c r="AE847" t="str" cm="1">
        <f t="array" ref="AE847">_xlfn.IFS(AD847=1,"Low",AD847=2,"Good",AD847=3,"Excellent",AD847=4,"Outstanding")</f>
        <v>Excellent</v>
      </c>
      <c r="AF847">
        <v>4</v>
      </c>
      <c r="AG847" t="str" cm="1">
        <f t="array" ref="AG847">_xlfn.IFS(AF847=1,"Low",AF847=2,"Medium",AF847=3,"High",AF847=4,"Very High")</f>
        <v>Very High</v>
      </c>
      <c r="AH847">
        <v>1</v>
      </c>
      <c r="AI847">
        <v>16</v>
      </c>
      <c r="AJ847">
        <v>3</v>
      </c>
      <c r="AK847">
        <v>1</v>
      </c>
      <c r="AL847" t="str" cm="1">
        <f t="array" ref="AL847">_xlfn.IFS(AK847=1,"Low",AK847=2,"Medium",AK847=3,"High",AK847=4,"Very High")</f>
        <v>Low</v>
      </c>
      <c r="AM847">
        <v>1</v>
      </c>
      <c r="AN847">
        <v>1</v>
      </c>
      <c r="AO847">
        <v>0</v>
      </c>
      <c r="AP847">
        <v>0</v>
      </c>
    </row>
    <row r="848" spans="1:42">
      <c r="A848">
        <v>35</v>
      </c>
      <c r="B848" t="str" cm="1">
        <f t="array" ref="B848">_xlfn.IFS(A848&lt;=25,"18-25",A848&lt;=35,"26-35",A848&lt;=45,"36-45",A848&lt;=55,"46-55",A848&gt;55,"56+")</f>
        <v>26-35</v>
      </c>
      <c r="C848" t="s">
        <v>39</v>
      </c>
      <c r="D848" t="s">
        <v>33</v>
      </c>
      <c r="E848" s="2">
        <v>819</v>
      </c>
      <c r="F848" t="s">
        <v>41</v>
      </c>
      <c r="G848">
        <v>2</v>
      </c>
      <c r="H848" t="str">
        <f t="shared" si="13"/>
        <v>1-10 km</v>
      </c>
      <c r="I848">
        <v>3</v>
      </c>
      <c r="J848" t="str" cm="1">
        <f t="array" ref="J848">_xlfn.IFS(I848=1,"Below College",I848=2,"College",I848=3,"Bachelor",I848=4,"Master",I848=5,"Doctor")</f>
        <v>Bachelor</v>
      </c>
      <c r="K848" t="s">
        <v>35</v>
      </c>
      <c r="L848">
        <v>1182</v>
      </c>
      <c r="M848">
        <v>3</v>
      </c>
      <c r="N848" t="str" cm="1">
        <f t="array" ref="N848">_xlfn.IFS(M848=1,"Low",M848=2,"Medium",M848=3,"High",M848=4,"Very High")</f>
        <v>High</v>
      </c>
      <c r="O848" t="s">
        <v>42</v>
      </c>
      <c r="P848" s="2">
        <v>44</v>
      </c>
      <c r="Q848">
        <v>2</v>
      </c>
      <c r="R848" t="str" cm="1">
        <f t="array" ref="R848">_xlfn.IFS(Q848=1,"Low",Q848=2,"Medium",Q848=3,"High",Q848=4,"Very High")</f>
        <v>Medium</v>
      </c>
      <c r="S848">
        <v>3</v>
      </c>
      <c r="T848" t="str" cm="1">
        <f t="array" ref="T848">_xlfn.IFS(S848=1,"Entry Level",S848=2,"Junior",S848=3,"Mid-Level",S848=4,"Senior",S848=5,"Executive")</f>
        <v>Mid-Level</v>
      </c>
      <c r="U848" t="s">
        <v>49</v>
      </c>
      <c r="V848">
        <v>2</v>
      </c>
      <c r="W848" t="str" cm="1">
        <f t="array" ref="W848">_xlfn.IFS(V848=1,"Low",V848=2,"Medium",V848=3,"High",V848=4,"Very High")</f>
        <v>Medium</v>
      </c>
      <c r="X848" t="s">
        <v>48</v>
      </c>
      <c r="Y848" s="2">
        <v>10274</v>
      </c>
      <c r="Z848" s="2">
        <v>19588</v>
      </c>
      <c r="AA848">
        <v>2</v>
      </c>
      <c r="AB848" t="s">
        <v>39</v>
      </c>
      <c r="AC848">
        <v>18</v>
      </c>
      <c r="AD848">
        <v>3</v>
      </c>
      <c r="AE848" t="str" cm="1">
        <f t="array" ref="AE848">_xlfn.IFS(AD848=1,"Low",AD848=2,"Good",AD848=3,"Excellent",AD848=4,"Outstanding")</f>
        <v>Excellent</v>
      </c>
      <c r="AF848">
        <v>2</v>
      </c>
      <c r="AG848" t="str" cm="1">
        <f t="array" ref="AG848">_xlfn.IFS(AF848=1,"Low",AF848=2,"Medium",AF848=3,"High",AF848=4,"Very High")</f>
        <v>Medium</v>
      </c>
      <c r="AH848">
        <v>1</v>
      </c>
      <c r="AI848">
        <v>15</v>
      </c>
      <c r="AJ848">
        <v>2</v>
      </c>
      <c r="AK848">
        <v>4</v>
      </c>
      <c r="AL848" t="str" cm="1">
        <f t="array" ref="AL848">_xlfn.IFS(AK848=1,"Low",AK848=2,"Medium",AK848=3,"High",AK848=4,"Very High")</f>
        <v>Very High</v>
      </c>
      <c r="AM848">
        <v>7</v>
      </c>
      <c r="AN848">
        <v>7</v>
      </c>
      <c r="AO848">
        <v>6</v>
      </c>
      <c r="AP848">
        <v>4</v>
      </c>
    </row>
    <row r="849" spans="1:42">
      <c r="A849">
        <v>34</v>
      </c>
      <c r="B849" t="str" cm="1">
        <f t="array" ref="B849">_xlfn.IFS(A849&lt;=25,"18-25",A849&lt;=35,"26-35",A849&lt;=45,"36-45",A849&lt;=55,"46-55",A849&gt;55,"56+")</f>
        <v>26-35</v>
      </c>
      <c r="C849" t="s">
        <v>39</v>
      </c>
      <c r="D849" t="s">
        <v>40</v>
      </c>
      <c r="E849" s="2">
        <v>669</v>
      </c>
      <c r="F849" t="s">
        <v>41</v>
      </c>
      <c r="G849">
        <v>1</v>
      </c>
      <c r="H849" t="str">
        <f t="shared" si="13"/>
        <v>1-10 km</v>
      </c>
      <c r="I849">
        <v>3</v>
      </c>
      <c r="J849" t="str" cm="1">
        <f t="array" ref="J849">_xlfn.IFS(I849=1,"Below College",I849=2,"College",I849=3,"Bachelor",I849=4,"Master",I849=5,"Doctor")</f>
        <v>Bachelor</v>
      </c>
      <c r="K849" t="s">
        <v>47</v>
      </c>
      <c r="L849">
        <v>1184</v>
      </c>
      <c r="M849">
        <v>4</v>
      </c>
      <c r="N849" t="str" cm="1">
        <f t="array" ref="N849">_xlfn.IFS(M849=1,"Low",M849=2,"Medium",M849=3,"High",M849=4,"Very High")</f>
        <v>Very High</v>
      </c>
      <c r="O849" t="s">
        <v>42</v>
      </c>
      <c r="P849" s="2">
        <v>97</v>
      </c>
      <c r="Q849">
        <v>2</v>
      </c>
      <c r="R849" t="str" cm="1">
        <f t="array" ref="R849">_xlfn.IFS(Q849=1,"Low",Q849=2,"Medium",Q849=3,"High",Q849=4,"Very High")</f>
        <v>Medium</v>
      </c>
      <c r="S849">
        <v>2</v>
      </c>
      <c r="T849" t="str" cm="1">
        <f t="array" ref="T849">_xlfn.IFS(S849=1,"Entry Level",S849=2,"Junior",S849=3,"Mid-Level",S849=4,"Senior",S849=5,"Executive")</f>
        <v>Junior</v>
      </c>
      <c r="U849" t="s">
        <v>50</v>
      </c>
      <c r="V849">
        <v>1</v>
      </c>
      <c r="W849" t="str" cm="1">
        <f t="array" ref="W849">_xlfn.IFS(V849=1,"Low",V849=2,"Medium",V849=3,"High",V849=4,"Very High")</f>
        <v>Low</v>
      </c>
      <c r="X849" t="s">
        <v>38</v>
      </c>
      <c r="Y849" s="2">
        <v>5343</v>
      </c>
      <c r="Z849" s="2">
        <v>25755</v>
      </c>
      <c r="AA849">
        <v>0</v>
      </c>
      <c r="AB849" t="s">
        <v>39</v>
      </c>
      <c r="AC849">
        <v>20</v>
      </c>
      <c r="AD849">
        <v>4</v>
      </c>
      <c r="AE849" t="str" cm="1">
        <f t="array" ref="AE849">_xlfn.IFS(AD849=1,"Low",AD849=2,"Good",AD849=3,"Excellent",AD849=4,"Outstanding")</f>
        <v>Outstanding</v>
      </c>
      <c r="AF849">
        <v>3</v>
      </c>
      <c r="AG849" t="str" cm="1">
        <f t="array" ref="AG849">_xlfn.IFS(AF849=1,"Low",AF849=2,"Medium",AF849=3,"High",AF849=4,"Very High")</f>
        <v>High</v>
      </c>
      <c r="AH849">
        <v>0</v>
      </c>
      <c r="AI849">
        <v>14</v>
      </c>
      <c r="AJ849">
        <v>3</v>
      </c>
      <c r="AK849">
        <v>3</v>
      </c>
      <c r="AL849" t="str" cm="1">
        <f t="array" ref="AL849">_xlfn.IFS(AK849=1,"Low",AK849=2,"Medium",AK849=3,"High",AK849=4,"Very High")</f>
        <v>High</v>
      </c>
      <c r="AM849">
        <v>13</v>
      </c>
      <c r="AN849">
        <v>9</v>
      </c>
      <c r="AO849">
        <v>4</v>
      </c>
      <c r="AP849">
        <v>9</v>
      </c>
    </row>
    <row r="850" spans="1:42">
      <c r="A850">
        <v>35</v>
      </c>
      <c r="B850" t="str" cm="1">
        <f t="array" ref="B850">_xlfn.IFS(A850&lt;=25,"18-25",A850&lt;=35,"26-35",A850&lt;=45,"36-45",A850&lt;=55,"46-55",A850&gt;55,"56+")</f>
        <v>26-35</v>
      </c>
      <c r="C850" t="s">
        <v>39</v>
      </c>
      <c r="D850" t="s">
        <v>40</v>
      </c>
      <c r="E850" s="2">
        <v>636</v>
      </c>
      <c r="F850" t="s">
        <v>41</v>
      </c>
      <c r="G850">
        <v>4</v>
      </c>
      <c r="H850" t="str">
        <f t="shared" si="13"/>
        <v>1-10 km</v>
      </c>
      <c r="I850">
        <v>4</v>
      </c>
      <c r="J850" t="str" cm="1">
        <f t="array" ref="J850">_xlfn.IFS(I850=1,"Below College",I850=2,"College",I850=3,"Bachelor",I850=4,"Master",I850=5,"Doctor")</f>
        <v>Master</v>
      </c>
      <c r="K850" t="s">
        <v>45</v>
      </c>
      <c r="L850">
        <v>1185</v>
      </c>
      <c r="M850">
        <v>4</v>
      </c>
      <c r="N850" t="str" cm="1">
        <f t="array" ref="N850">_xlfn.IFS(M850=1,"Low",M850=2,"Medium",M850=3,"High",M850=4,"Very High")</f>
        <v>Very High</v>
      </c>
      <c r="O850" t="s">
        <v>42</v>
      </c>
      <c r="P850" s="2">
        <v>47</v>
      </c>
      <c r="Q850">
        <v>2</v>
      </c>
      <c r="R850" t="str" cm="1">
        <f t="array" ref="R850">_xlfn.IFS(Q850=1,"Low",Q850=2,"Medium",Q850=3,"High",Q850=4,"Very High")</f>
        <v>Medium</v>
      </c>
      <c r="S850">
        <v>1</v>
      </c>
      <c r="T850" t="str" cm="1">
        <f t="array" ref="T850">_xlfn.IFS(S850=1,"Entry Level",S850=2,"Junior",S850=3,"Mid-Level",S850=4,"Senior",S850=5,"Executive")</f>
        <v>Entry Level</v>
      </c>
      <c r="U850" t="s">
        <v>46</v>
      </c>
      <c r="V850">
        <v>4</v>
      </c>
      <c r="W850" t="str" cm="1">
        <f t="array" ref="W850">_xlfn.IFS(V850=1,"Low",V850=2,"Medium",V850=3,"High",V850=4,"Very High")</f>
        <v>Very High</v>
      </c>
      <c r="X850" t="s">
        <v>44</v>
      </c>
      <c r="Y850" s="2">
        <v>2376</v>
      </c>
      <c r="Z850" s="2">
        <v>26537</v>
      </c>
      <c r="AA850">
        <v>1</v>
      </c>
      <c r="AB850" t="s">
        <v>39</v>
      </c>
      <c r="AC850">
        <v>13</v>
      </c>
      <c r="AD850">
        <v>3</v>
      </c>
      <c r="AE850" t="str" cm="1">
        <f t="array" ref="AE850">_xlfn.IFS(AD850=1,"Low",AD850=2,"Good",AD850=3,"Excellent",AD850=4,"Outstanding")</f>
        <v>Excellent</v>
      </c>
      <c r="AF850">
        <v>2</v>
      </c>
      <c r="AG850" t="str" cm="1">
        <f t="array" ref="AG850">_xlfn.IFS(AF850=1,"Low",AF850=2,"Medium",AF850=3,"High",AF850=4,"Very High")</f>
        <v>Medium</v>
      </c>
      <c r="AH850">
        <v>1</v>
      </c>
      <c r="AI850">
        <v>2</v>
      </c>
      <c r="AJ850">
        <v>2</v>
      </c>
      <c r="AK850">
        <v>4</v>
      </c>
      <c r="AL850" t="str" cm="1">
        <f t="array" ref="AL850">_xlfn.IFS(AK850=1,"Low",AK850=2,"Medium",AK850=3,"High",AK850=4,"Very High")</f>
        <v>Very High</v>
      </c>
      <c r="AM850">
        <v>2</v>
      </c>
      <c r="AN850">
        <v>2</v>
      </c>
      <c r="AO850">
        <v>2</v>
      </c>
      <c r="AP850">
        <v>2</v>
      </c>
    </row>
    <row r="851" spans="1:42">
      <c r="A851">
        <v>43</v>
      </c>
      <c r="B851" t="str" cm="1">
        <f t="array" ref="B851">_xlfn.IFS(A851&lt;=25,"18-25",A851&lt;=35,"26-35",A851&lt;=45,"36-45",A851&lt;=55,"46-55",A851&gt;55,"56+")</f>
        <v>36-45</v>
      </c>
      <c r="C851" t="s">
        <v>32</v>
      </c>
      <c r="D851" t="s">
        <v>33</v>
      </c>
      <c r="E851" s="2">
        <v>1372</v>
      </c>
      <c r="F851" t="s">
        <v>34</v>
      </c>
      <c r="G851">
        <v>9</v>
      </c>
      <c r="H851" t="str">
        <f t="shared" si="13"/>
        <v>1-10 km</v>
      </c>
      <c r="I851">
        <v>3</v>
      </c>
      <c r="J851" t="str" cm="1">
        <f t="array" ref="J851">_xlfn.IFS(I851=1,"Below College",I851=2,"College",I851=3,"Bachelor",I851=4,"Master",I851=5,"Doctor")</f>
        <v>Bachelor</v>
      </c>
      <c r="K851" t="s">
        <v>55</v>
      </c>
      <c r="L851">
        <v>1188</v>
      </c>
      <c r="M851">
        <v>1</v>
      </c>
      <c r="N851" t="str" cm="1">
        <f t="array" ref="N851">_xlfn.IFS(M851=1,"Low",M851=2,"Medium",M851=3,"High",M851=4,"Very High")</f>
        <v>Low</v>
      </c>
      <c r="O851" t="s">
        <v>36</v>
      </c>
      <c r="P851" s="2">
        <v>85</v>
      </c>
      <c r="Q851">
        <v>1</v>
      </c>
      <c r="R851" t="str" cm="1">
        <f t="array" ref="R851">_xlfn.IFS(Q851=1,"Low",Q851=2,"Medium",Q851=3,"High",Q851=4,"Very High")</f>
        <v>Low</v>
      </c>
      <c r="S851">
        <v>2</v>
      </c>
      <c r="T851" t="str" cm="1">
        <f t="array" ref="T851">_xlfn.IFS(S851=1,"Entry Level",S851=2,"Junior",S851=3,"Mid-Level",S851=4,"Senior",S851=5,"Executive")</f>
        <v>Junior</v>
      </c>
      <c r="U851" t="s">
        <v>37</v>
      </c>
      <c r="V851">
        <v>3</v>
      </c>
      <c r="W851" t="str" cm="1">
        <f t="array" ref="W851">_xlfn.IFS(V851=1,"Low",V851=2,"Medium",V851=3,"High",V851=4,"Very High")</f>
        <v>High</v>
      </c>
      <c r="X851" t="s">
        <v>38</v>
      </c>
      <c r="Y851" s="2">
        <v>5346</v>
      </c>
      <c r="Z851" s="2">
        <v>9489</v>
      </c>
      <c r="AA851">
        <v>8</v>
      </c>
      <c r="AB851" t="s">
        <v>39</v>
      </c>
      <c r="AC851">
        <v>13</v>
      </c>
      <c r="AD851">
        <v>3</v>
      </c>
      <c r="AE851" t="str" cm="1">
        <f t="array" ref="AE851">_xlfn.IFS(AD851=1,"Low",AD851=2,"Good",AD851=3,"Excellent",AD851=4,"Outstanding")</f>
        <v>Excellent</v>
      </c>
      <c r="AF851">
        <v>2</v>
      </c>
      <c r="AG851" t="str" cm="1">
        <f t="array" ref="AG851">_xlfn.IFS(AF851=1,"Low",AF851=2,"Medium",AF851=3,"High",AF851=4,"Very High")</f>
        <v>Medium</v>
      </c>
      <c r="AH851">
        <v>0</v>
      </c>
      <c r="AI851">
        <v>7</v>
      </c>
      <c r="AJ851">
        <v>2</v>
      </c>
      <c r="AK851">
        <v>2</v>
      </c>
      <c r="AL851" t="str" cm="1">
        <f t="array" ref="AL851">_xlfn.IFS(AK851=1,"Low",AK851=2,"Medium",AK851=3,"High",AK851=4,"Very High")</f>
        <v>Medium</v>
      </c>
      <c r="AM851">
        <v>4</v>
      </c>
      <c r="AN851">
        <v>3</v>
      </c>
      <c r="AO851">
        <v>1</v>
      </c>
      <c r="AP851">
        <v>3</v>
      </c>
    </row>
    <row r="852" spans="1:42">
      <c r="A852">
        <v>32</v>
      </c>
      <c r="B852" t="str" cm="1">
        <f t="array" ref="B852">_xlfn.IFS(A852&lt;=25,"18-25",A852&lt;=35,"26-35",A852&lt;=45,"36-45",A852&lt;=55,"46-55",A852&gt;55,"56+")</f>
        <v>26-35</v>
      </c>
      <c r="C852" t="s">
        <v>39</v>
      </c>
      <c r="D852" t="s">
        <v>51</v>
      </c>
      <c r="E852" s="2">
        <v>862</v>
      </c>
      <c r="F852" t="s">
        <v>34</v>
      </c>
      <c r="G852">
        <v>2</v>
      </c>
      <c r="H852" t="str">
        <f t="shared" si="13"/>
        <v>1-10 km</v>
      </c>
      <c r="I852">
        <v>1</v>
      </c>
      <c r="J852" t="str" cm="1">
        <f t="array" ref="J852">_xlfn.IFS(I852=1,"Below College",I852=2,"College",I852=3,"Bachelor",I852=4,"Master",I852=5,"Doctor")</f>
        <v>Below College</v>
      </c>
      <c r="K852" t="s">
        <v>35</v>
      </c>
      <c r="L852">
        <v>1190</v>
      </c>
      <c r="M852">
        <v>3</v>
      </c>
      <c r="N852" t="str" cm="1">
        <f t="array" ref="N852">_xlfn.IFS(M852=1,"Low",M852=2,"Medium",M852=3,"High",M852=4,"Very High")</f>
        <v>High</v>
      </c>
      <c r="O852" t="s">
        <v>36</v>
      </c>
      <c r="P852" s="2">
        <v>76</v>
      </c>
      <c r="Q852">
        <v>3</v>
      </c>
      <c r="R852" t="str" cm="1">
        <f t="array" ref="R852">_xlfn.IFS(Q852=1,"Low",Q852=2,"Medium",Q852=3,"High",Q852=4,"Very High")</f>
        <v>High</v>
      </c>
      <c r="S852">
        <v>1</v>
      </c>
      <c r="T852" t="str" cm="1">
        <f t="array" ref="T852">_xlfn.IFS(S852=1,"Entry Level",S852=2,"Junior",S852=3,"Mid-Level",S852=4,"Senior",S852=5,"Executive")</f>
        <v>Entry Level</v>
      </c>
      <c r="U852" t="s">
        <v>53</v>
      </c>
      <c r="V852">
        <v>1</v>
      </c>
      <c r="W852" t="str" cm="1">
        <f t="array" ref="W852">_xlfn.IFS(V852=1,"Low",V852=2,"Medium",V852=3,"High",V852=4,"Very High")</f>
        <v>Low</v>
      </c>
      <c r="X852" t="s">
        <v>48</v>
      </c>
      <c r="Y852" s="2">
        <v>2827</v>
      </c>
      <c r="Z852" s="2">
        <v>14947</v>
      </c>
      <c r="AA852">
        <v>1</v>
      </c>
      <c r="AB852" t="s">
        <v>39</v>
      </c>
      <c r="AC852">
        <v>12</v>
      </c>
      <c r="AD852">
        <v>3</v>
      </c>
      <c r="AE852" t="str" cm="1">
        <f t="array" ref="AE852">_xlfn.IFS(AD852=1,"Low",AD852=2,"Good",AD852=3,"Excellent",AD852=4,"Outstanding")</f>
        <v>Excellent</v>
      </c>
      <c r="AF852">
        <v>3</v>
      </c>
      <c r="AG852" t="str" cm="1">
        <f t="array" ref="AG852">_xlfn.IFS(AF852=1,"Low",AF852=2,"Medium",AF852=3,"High",AF852=4,"Very High")</f>
        <v>High</v>
      </c>
      <c r="AH852">
        <v>3</v>
      </c>
      <c r="AI852">
        <v>1</v>
      </c>
      <c r="AJ852">
        <v>3</v>
      </c>
      <c r="AK852">
        <v>3</v>
      </c>
      <c r="AL852" t="str" cm="1">
        <f t="array" ref="AL852">_xlfn.IFS(AK852=1,"Low",AK852=2,"Medium",AK852=3,"High",AK852=4,"Very High")</f>
        <v>High</v>
      </c>
      <c r="AM852">
        <v>1</v>
      </c>
      <c r="AN852">
        <v>0</v>
      </c>
      <c r="AO852">
        <v>0</v>
      </c>
      <c r="AP852">
        <v>0</v>
      </c>
    </row>
    <row r="853" spans="1:42">
      <c r="A853">
        <v>56</v>
      </c>
      <c r="B853" t="str" cm="1">
        <f t="array" ref="B853">_xlfn.IFS(A853&lt;=25,"18-25",A853&lt;=35,"26-35",A853&lt;=45,"36-45",A853&lt;=55,"46-55",A853&gt;55,"56+")</f>
        <v>56+</v>
      </c>
      <c r="C853" t="s">
        <v>39</v>
      </c>
      <c r="D853" t="s">
        <v>33</v>
      </c>
      <c r="E853" s="2">
        <v>718</v>
      </c>
      <c r="F853" t="s">
        <v>41</v>
      </c>
      <c r="G853">
        <v>4</v>
      </c>
      <c r="H853" t="str">
        <f t="shared" si="13"/>
        <v>1-10 km</v>
      </c>
      <c r="I853">
        <v>4</v>
      </c>
      <c r="J853" t="str" cm="1">
        <f t="array" ref="J853">_xlfn.IFS(I853=1,"Below College",I853=2,"College",I853=3,"Bachelor",I853=4,"Master",I853=5,"Doctor")</f>
        <v>Master</v>
      </c>
      <c r="K853" t="s">
        <v>56</v>
      </c>
      <c r="L853">
        <v>1191</v>
      </c>
      <c r="M853">
        <v>4</v>
      </c>
      <c r="N853" t="str" cm="1">
        <f t="array" ref="N853">_xlfn.IFS(M853=1,"Low",M853=2,"Medium",M853=3,"High",M853=4,"Very High")</f>
        <v>Very High</v>
      </c>
      <c r="O853" t="s">
        <v>36</v>
      </c>
      <c r="P853" s="2">
        <v>92</v>
      </c>
      <c r="Q853">
        <v>3</v>
      </c>
      <c r="R853" t="str" cm="1">
        <f t="array" ref="R853">_xlfn.IFS(Q853=1,"Low",Q853=2,"Medium",Q853=3,"High",Q853=4,"Very High")</f>
        <v>High</v>
      </c>
      <c r="S853">
        <v>5</v>
      </c>
      <c r="T853" t="str" cm="1">
        <f t="array" ref="T853">_xlfn.IFS(S853=1,"Entry Level",S853=2,"Junior",S853=3,"Mid-Level",S853=4,"Senior",S853=5,"Executive")</f>
        <v>Executive</v>
      </c>
      <c r="U853" t="s">
        <v>52</v>
      </c>
      <c r="V853">
        <v>1</v>
      </c>
      <c r="W853" t="str" cm="1">
        <f t="array" ref="W853">_xlfn.IFS(V853=1,"Low",V853=2,"Medium",V853=3,"High",V853=4,"Very High")</f>
        <v>Low</v>
      </c>
      <c r="X853" t="s">
        <v>48</v>
      </c>
      <c r="Y853" s="2">
        <v>19943</v>
      </c>
      <c r="Z853" s="2">
        <v>18575</v>
      </c>
      <c r="AA853">
        <v>4</v>
      </c>
      <c r="AB853" t="s">
        <v>39</v>
      </c>
      <c r="AC853">
        <v>13</v>
      </c>
      <c r="AD853">
        <v>3</v>
      </c>
      <c r="AE853" t="str" cm="1">
        <f t="array" ref="AE853">_xlfn.IFS(AD853=1,"Low",AD853=2,"Good",AD853=3,"Excellent",AD853=4,"Outstanding")</f>
        <v>Excellent</v>
      </c>
      <c r="AF853">
        <v>4</v>
      </c>
      <c r="AG853" t="str" cm="1">
        <f t="array" ref="AG853">_xlfn.IFS(AF853=1,"Low",AF853=2,"Medium",AF853=3,"High",AF853=4,"Very High")</f>
        <v>Very High</v>
      </c>
      <c r="AH853">
        <v>1</v>
      </c>
      <c r="AI853">
        <v>28</v>
      </c>
      <c r="AJ853">
        <v>2</v>
      </c>
      <c r="AK853">
        <v>3</v>
      </c>
      <c r="AL853" t="str" cm="1">
        <f t="array" ref="AL853">_xlfn.IFS(AK853=1,"Low",AK853=2,"Medium",AK853=3,"High",AK853=4,"Very High")</f>
        <v>High</v>
      </c>
      <c r="AM853">
        <v>5</v>
      </c>
      <c r="AN853">
        <v>2</v>
      </c>
      <c r="AO853">
        <v>4</v>
      </c>
      <c r="AP853">
        <v>2</v>
      </c>
    </row>
    <row r="854" spans="1:42">
      <c r="A854">
        <v>29</v>
      </c>
      <c r="B854" t="str" cm="1">
        <f t="array" ref="B854">_xlfn.IFS(A854&lt;=25,"18-25",A854&lt;=35,"26-35",A854&lt;=45,"36-45",A854&lt;=55,"46-55",A854&gt;55,"56+")</f>
        <v>26-35</v>
      </c>
      <c r="C854" t="s">
        <v>39</v>
      </c>
      <c r="D854" t="s">
        <v>33</v>
      </c>
      <c r="E854" s="2">
        <v>1401</v>
      </c>
      <c r="F854" t="s">
        <v>41</v>
      </c>
      <c r="G854">
        <v>6</v>
      </c>
      <c r="H854" t="str">
        <f t="shared" si="13"/>
        <v>1-10 km</v>
      </c>
      <c r="I854">
        <v>1</v>
      </c>
      <c r="J854" t="str" cm="1">
        <f t="array" ref="J854">_xlfn.IFS(I854=1,"Below College",I854=2,"College",I854=3,"Bachelor",I854=4,"Master",I854=5,"Doctor")</f>
        <v>Below College</v>
      </c>
      <c r="K854" t="s">
        <v>47</v>
      </c>
      <c r="L854">
        <v>1192</v>
      </c>
      <c r="M854">
        <v>2</v>
      </c>
      <c r="N854" t="str" cm="1">
        <f t="array" ref="N854">_xlfn.IFS(M854=1,"Low",M854=2,"Medium",M854=3,"High",M854=4,"Very High")</f>
        <v>Medium</v>
      </c>
      <c r="O854" t="s">
        <v>36</v>
      </c>
      <c r="P854" s="2">
        <v>54</v>
      </c>
      <c r="Q854">
        <v>3</v>
      </c>
      <c r="R854" t="str" cm="1">
        <f t="array" ref="R854">_xlfn.IFS(Q854=1,"Low",Q854=2,"Medium",Q854=3,"High",Q854=4,"Very High")</f>
        <v>High</v>
      </c>
      <c r="S854">
        <v>1</v>
      </c>
      <c r="T854" t="str" cm="1">
        <f t="array" ref="T854">_xlfn.IFS(S854=1,"Entry Level",S854=2,"Junior",S854=3,"Mid-Level",S854=4,"Senior",S854=5,"Executive")</f>
        <v>Entry Level</v>
      </c>
      <c r="U854" t="s">
        <v>46</v>
      </c>
      <c r="V854">
        <v>4</v>
      </c>
      <c r="W854" t="str" cm="1">
        <f t="array" ref="W854">_xlfn.IFS(V854=1,"Low",V854=2,"Medium",V854=3,"High",V854=4,"Very High")</f>
        <v>Very High</v>
      </c>
      <c r="X854" t="s">
        <v>44</v>
      </c>
      <c r="Y854" s="2">
        <v>3131</v>
      </c>
      <c r="Z854" s="2">
        <v>26342</v>
      </c>
      <c r="AA854">
        <v>1</v>
      </c>
      <c r="AB854" t="s">
        <v>39</v>
      </c>
      <c r="AC854">
        <v>13</v>
      </c>
      <c r="AD854">
        <v>3</v>
      </c>
      <c r="AE854" t="str" cm="1">
        <f t="array" ref="AE854">_xlfn.IFS(AD854=1,"Low",AD854=2,"Good",AD854=3,"Excellent",AD854=4,"Outstanding")</f>
        <v>Excellent</v>
      </c>
      <c r="AF854">
        <v>1</v>
      </c>
      <c r="AG854" t="str" cm="1">
        <f t="array" ref="AG854">_xlfn.IFS(AF854=1,"Low",AF854=2,"Medium",AF854=3,"High",AF854=4,"Very High")</f>
        <v>Low</v>
      </c>
      <c r="AH854">
        <v>1</v>
      </c>
      <c r="AI854">
        <v>10</v>
      </c>
      <c r="AJ854">
        <v>5</v>
      </c>
      <c r="AK854">
        <v>3</v>
      </c>
      <c r="AL854" t="str" cm="1">
        <f t="array" ref="AL854">_xlfn.IFS(AK854=1,"Low",AK854=2,"Medium",AK854=3,"High",AK854=4,"Very High")</f>
        <v>High</v>
      </c>
      <c r="AM854">
        <v>10</v>
      </c>
      <c r="AN854">
        <v>8</v>
      </c>
      <c r="AO854">
        <v>0</v>
      </c>
      <c r="AP854">
        <v>8</v>
      </c>
    </row>
    <row r="855" spans="1:42">
      <c r="A855">
        <v>19</v>
      </c>
      <c r="B855" t="str" cm="1">
        <f t="array" ref="B855">_xlfn.IFS(A855&lt;=25,"18-25",A855&lt;=35,"26-35",A855&lt;=45,"36-45",A855&lt;=55,"46-55",A855&gt;55,"56+")</f>
        <v>18-25</v>
      </c>
      <c r="C855" t="s">
        <v>39</v>
      </c>
      <c r="D855" t="s">
        <v>33</v>
      </c>
      <c r="E855" s="2">
        <v>645</v>
      </c>
      <c r="F855" t="s">
        <v>41</v>
      </c>
      <c r="G855">
        <v>9</v>
      </c>
      <c r="H855" t="str">
        <f t="shared" si="13"/>
        <v>1-10 km</v>
      </c>
      <c r="I855">
        <v>2</v>
      </c>
      <c r="J855" t="str" cm="1">
        <f t="array" ref="J855">_xlfn.IFS(I855=1,"Below College",I855=2,"College",I855=3,"Bachelor",I855=4,"Master",I855=5,"Doctor")</f>
        <v>College</v>
      </c>
      <c r="K855" t="s">
        <v>35</v>
      </c>
      <c r="L855">
        <v>1193</v>
      </c>
      <c r="M855">
        <v>3</v>
      </c>
      <c r="N855" t="str" cm="1">
        <f t="array" ref="N855">_xlfn.IFS(M855=1,"Low",M855=2,"Medium",M855=3,"High",M855=4,"Very High")</f>
        <v>High</v>
      </c>
      <c r="O855" t="s">
        <v>42</v>
      </c>
      <c r="P855" s="2">
        <v>54</v>
      </c>
      <c r="Q855">
        <v>3</v>
      </c>
      <c r="R855" t="str" cm="1">
        <f t="array" ref="R855">_xlfn.IFS(Q855=1,"Low",Q855=2,"Medium",Q855=3,"High",Q855=4,"Very High")</f>
        <v>High</v>
      </c>
      <c r="S855">
        <v>1</v>
      </c>
      <c r="T855" t="str" cm="1">
        <f t="array" ref="T855">_xlfn.IFS(S855=1,"Entry Level",S855=2,"Junior",S855=3,"Mid-Level",S855=4,"Senior",S855=5,"Executive")</f>
        <v>Entry Level</v>
      </c>
      <c r="U855" t="s">
        <v>43</v>
      </c>
      <c r="V855">
        <v>1</v>
      </c>
      <c r="W855" t="str" cm="1">
        <f t="array" ref="W855">_xlfn.IFS(V855=1,"Low",V855=2,"Medium",V855=3,"High",V855=4,"Very High")</f>
        <v>Low</v>
      </c>
      <c r="X855" t="s">
        <v>38</v>
      </c>
      <c r="Y855" s="2">
        <v>2552</v>
      </c>
      <c r="Z855" s="2">
        <v>7172</v>
      </c>
      <c r="AA855">
        <v>1</v>
      </c>
      <c r="AB855" t="s">
        <v>39</v>
      </c>
      <c r="AC855">
        <v>25</v>
      </c>
      <c r="AD855">
        <v>4</v>
      </c>
      <c r="AE855" t="str" cm="1">
        <f t="array" ref="AE855">_xlfn.IFS(AD855=1,"Low",AD855=2,"Good",AD855=3,"Excellent",AD855=4,"Outstanding")</f>
        <v>Outstanding</v>
      </c>
      <c r="AF855">
        <v>3</v>
      </c>
      <c r="AG855" t="str" cm="1">
        <f t="array" ref="AG855">_xlfn.IFS(AF855=1,"Low",AF855=2,"Medium",AF855=3,"High",AF855=4,"Very High")</f>
        <v>High</v>
      </c>
      <c r="AH855">
        <v>0</v>
      </c>
      <c r="AI855">
        <v>1</v>
      </c>
      <c r="AJ855">
        <v>4</v>
      </c>
      <c r="AK855">
        <v>3</v>
      </c>
      <c r="AL855" t="str" cm="1">
        <f t="array" ref="AL855">_xlfn.IFS(AK855=1,"Low",AK855=2,"Medium",AK855=3,"High",AK855=4,"Very High")</f>
        <v>High</v>
      </c>
      <c r="AM855">
        <v>1</v>
      </c>
      <c r="AN855">
        <v>1</v>
      </c>
      <c r="AO855">
        <v>0</v>
      </c>
      <c r="AP855">
        <v>0</v>
      </c>
    </row>
    <row r="856" spans="1:42">
      <c r="A856">
        <v>45</v>
      </c>
      <c r="B856" t="str" cm="1">
        <f t="array" ref="B856">_xlfn.IFS(A856&lt;=25,"18-25",A856&lt;=35,"26-35",A856&lt;=45,"36-45",A856&lt;=55,"46-55",A856&gt;55,"56+")</f>
        <v>36-45</v>
      </c>
      <c r="C856" t="s">
        <v>39</v>
      </c>
      <c r="D856" t="s">
        <v>33</v>
      </c>
      <c r="E856" s="2">
        <v>1457</v>
      </c>
      <c r="F856" t="s">
        <v>41</v>
      </c>
      <c r="G856">
        <v>7</v>
      </c>
      <c r="H856" t="str">
        <f t="shared" si="13"/>
        <v>1-10 km</v>
      </c>
      <c r="I856">
        <v>3</v>
      </c>
      <c r="J856" t="str" cm="1">
        <f t="array" ref="J856">_xlfn.IFS(I856=1,"Below College",I856=2,"College",I856=3,"Bachelor",I856=4,"Master",I856=5,"Doctor")</f>
        <v>Bachelor</v>
      </c>
      <c r="K856" t="s">
        <v>47</v>
      </c>
      <c r="L856">
        <v>1195</v>
      </c>
      <c r="M856">
        <v>1</v>
      </c>
      <c r="N856" t="str" cm="1">
        <f t="array" ref="N856">_xlfn.IFS(M856=1,"Low",M856=2,"Medium",M856=3,"High",M856=4,"Very High")</f>
        <v>Low</v>
      </c>
      <c r="O856" t="s">
        <v>36</v>
      </c>
      <c r="P856" s="2">
        <v>83</v>
      </c>
      <c r="Q856">
        <v>3</v>
      </c>
      <c r="R856" t="str" cm="1">
        <f t="array" ref="R856">_xlfn.IFS(Q856=1,"Low",Q856=2,"Medium",Q856=3,"High",Q856=4,"Very High")</f>
        <v>High</v>
      </c>
      <c r="S856">
        <v>1</v>
      </c>
      <c r="T856" t="str" cm="1">
        <f t="array" ref="T856">_xlfn.IFS(S856=1,"Entry Level",S856=2,"Junior",S856=3,"Mid-Level",S856=4,"Senior",S856=5,"Executive")</f>
        <v>Entry Level</v>
      </c>
      <c r="U856" t="s">
        <v>43</v>
      </c>
      <c r="V856">
        <v>3</v>
      </c>
      <c r="W856" t="str" cm="1">
        <f t="array" ref="W856">_xlfn.IFS(V856=1,"Low",V856=2,"Medium",V856=3,"High",V856=4,"Very High")</f>
        <v>High</v>
      </c>
      <c r="X856" t="s">
        <v>44</v>
      </c>
      <c r="Y856" s="2">
        <v>4477</v>
      </c>
      <c r="Z856" s="2">
        <v>20100</v>
      </c>
      <c r="AA856">
        <v>4</v>
      </c>
      <c r="AB856" t="s">
        <v>32</v>
      </c>
      <c r="AC856">
        <v>19</v>
      </c>
      <c r="AD856">
        <v>3</v>
      </c>
      <c r="AE856" t="str" cm="1">
        <f t="array" ref="AE856">_xlfn.IFS(AD856=1,"Low",AD856=2,"Good",AD856=3,"Excellent",AD856=4,"Outstanding")</f>
        <v>Excellent</v>
      </c>
      <c r="AF856">
        <v>3</v>
      </c>
      <c r="AG856" t="str" cm="1">
        <f t="array" ref="AG856">_xlfn.IFS(AF856=1,"Low",AF856=2,"Medium",AF856=3,"High",AF856=4,"Very High")</f>
        <v>High</v>
      </c>
      <c r="AH856">
        <v>1</v>
      </c>
      <c r="AI856">
        <v>7</v>
      </c>
      <c r="AJ856">
        <v>2</v>
      </c>
      <c r="AK856">
        <v>2</v>
      </c>
      <c r="AL856" t="str" cm="1">
        <f t="array" ref="AL856">_xlfn.IFS(AK856=1,"Low",AK856=2,"Medium",AK856=3,"High",AK856=4,"Very High")</f>
        <v>Medium</v>
      </c>
      <c r="AM856">
        <v>3</v>
      </c>
      <c r="AN856">
        <v>2</v>
      </c>
      <c r="AO856">
        <v>0</v>
      </c>
      <c r="AP856">
        <v>2</v>
      </c>
    </row>
    <row r="857" spans="1:42">
      <c r="A857">
        <v>37</v>
      </c>
      <c r="B857" t="str" cm="1">
        <f t="array" ref="B857">_xlfn.IFS(A857&lt;=25,"18-25",A857&lt;=35,"26-35",A857&lt;=45,"36-45",A857&lt;=55,"46-55",A857&gt;55,"56+")</f>
        <v>36-45</v>
      </c>
      <c r="C857" t="s">
        <v>39</v>
      </c>
      <c r="D857" t="s">
        <v>33</v>
      </c>
      <c r="E857" s="2">
        <v>977</v>
      </c>
      <c r="F857" t="s">
        <v>41</v>
      </c>
      <c r="G857">
        <v>1</v>
      </c>
      <c r="H857" t="str">
        <f t="shared" si="13"/>
        <v>1-10 km</v>
      </c>
      <c r="I857">
        <v>3</v>
      </c>
      <c r="J857" t="str" cm="1">
        <f t="array" ref="J857">_xlfn.IFS(I857=1,"Below College",I857=2,"College",I857=3,"Bachelor",I857=4,"Master",I857=5,"Doctor")</f>
        <v>Bachelor</v>
      </c>
      <c r="K857" t="s">
        <v>35</v>
      </c>
      <c r="L857">
        <v>1196</v>
      </c>
      <c r="M857">
        <v>4</v>
      </c>
      <c r="N857" t="str" cm="1">
        <f t="array" ref="N857">_xlfn.IFS(M857=1,"Low",M857=2,"Medium",M857=3,"High",M857=4,"Very High")</f>
        <v>Very High</v>
      </c>
      <c r="O857" t="s">
        <v>36</v>
      </c>
      <c r="P857" s="2">
        <v>56</v>
      </c>
      <c r="Q857">
        <v>2</v>
      </c>
      <c r="R857" t="str" cm="1">
        <f t="array" ref="R857">_xlfn.IFS(Q857=1,"Low",Q857=2,"Medium",Q857=3,"High",Q857=4,"Very High")</f>
        <v>Medium</v>
      </c>
      <c r="S857">
        <v>2</v>
      </c>
      <c r="T857" t="str" cm="1">
        <f t="array" ref="T857">_xlfn.IFS(S857=1,"Entry Level",S857=2,"Junior",S857=3,"Mid-Level",S857=4,"Senior",S857=5,"Executive")</f>
        <v>Junior</v>
      </c>
      <c r="U857" t="s">
        <v>49</v>
      </c>
      <c r="V857">
        <v>4</v>
      </c>
      <c r="W857" t="str" cm="1">
        <f t="array" ref="W857">_xlfn.IFS(V857=1,"Low",V857=2,"Medium",V857=3,"High",V857=4,"Very High")</f>
        <v>Very High</v>
      </c>
      <c r="X857" t="s">
        <v>44</v>
      </c>
      <c r="Y857" s="2">
        <v>6474</v>
      </c>
      <c r="Z857" s="2">
        <v>9961</v>
      </c>
      <c r="AA857">
        <v>1</v>
      </c>
      <c r="AB857" t="s">
        <v>39</v>
      </c>
      <c r="AC857">
        <v>13</v>
      </c>
      <c r="AD857">
        <v>3</v>
      </c>
      <c r="AE857" t="str" cm="1">
        <f t="array" ref="AE857">_xlfn.IFS(AD857=1,"Low",AD857=2,"Good",AD857=3,"Excellent",AD857=4,"Outstanding")</f>
        <v>Excellent</v>
      </c>
      <c r="AF857">
        <v>2</v>
      </c>
      <c r="AG857" t="str" cm="1">
        <f t="array" ref="AG857">_xlfn.IFS(AF857=1,"Low",AF857=2,"Medium",AF857=3,"High",AF857=4,"Very High")</f>
        <v>Medium</v>
      </c>
      <c r="AH857">
        <v>1</v>
      </c>
      <c r="AI857">
        <v>14</v>
      </c>
      <c r="AJ857">
        <v>2</v>
      </c>
      <c r="AK857">
        <v>2</v>
      </c>
      <c r="AL857" t="str" cm="1">
        <f t="array" ref="AL857">_xlfn.IFS(AK857=1,"Low",AK857=2,"Medium",AK857=3,"High",AK857=4,"Very High")</f>
        <v>Medium</v>
      </c>
      <c r="AM857">
        <v>14</v>
      </c>
      <c r="AN857">
        <v>8</v>
      </c>
      <c r="AO857">
        <v>3</v>
      </c>
      <c r="AP857">
        <v>11</v>
      </c>
    </row>
    <row r="858" spans="1:42">
      <c r="A858">
        <v>20</v>
      </c>
      <c r="B858" t="str" cm="1">
        <f t="array" ref="B858">_xlfn.IFS(A858&lt;=25,"18-25",A858&lt;=35,"26-35",A858&lt;=45,"36-45",A858&lt;=55,"46-55",A858&gt;55,"56+")</f>
        <v>18-25</v>
      </c>
      <c r="C858" t="s">
        <v>39</v>
      </c>
      <c r="D858" t="s">
        <v>33</v>
      </c>
      <c r="E858" s="2">
        <v>805</v>
      </c>
      <c r="F858" t="s">
        <v>41</v>
      </c>
      <c r="G858">
        <v>3</v>
      </c>
      <c r="H858" t="str">
        <f t="shared" si="13"/>
        <v>1-10 km</v>
      </c>
      <c r="I858">
        <v>3</v>
      </c>
      <c r="J858" t="str" cm="1">
        <f t="array" ref="J858">_xlfn.IFS(I858=1,"Below College",I858=2,"College",I858=3,"Bachelor",I858=4,"Master",I858=5,"Doctor")</f>
        <v>Bachelor</v>
      </c>
      <c r="K858" t="s">
        <v>35</v>
      </c>
      <c r="L858">
        <v>1198</v>
      </c>
      <c r="M858">
        <v>1</v>
      </c>
      <c r="N858" t="str" cm="1">
        <f t="array" ref="N858">_xlfn.IFS(M858=1,"Low",M858=2,"Medium",M858=3,"High",M858=4,"Very High")</f>
        <v>Low</v>
      </c>
      <c r="O858" t="s">
        <v>42</v>
      </c>
      <c r="P858" s="2">
        <v>87</v>
      </c>
      <c r="Q858">
        <v>2</v>
      </c>
      <c r="R858" t="str" cm="1">
        <f t="array" ref="R858">_xlfn.IFS(Q858=1,"Low",Q858=2,"Medium",Q858=3,"High",Q858=4,"Very High")</f>
        <v>Medium</v>
      </c>
      <c r="S858">
        <v>1</v>
      </c>
      <c r="T858" t="str" cm="1">
        <f t="array" ref="T858">_xlfn.IFS(S858=1,"Entry Level",S858=2,"Junior",S858=3,"Mid-Level",S858=4,"Senior",S858=5,"Executive")</f>
        <v>Entry Level</v>
      </c>
      <c r="U858" t="s">
        <v>46</v>
      </c>
      <c r="V858">
        <v>3</v>
      </c>
      <c r="W858" t="str" cm="1">
        <f t="array" ref="W858">_xlfn.IFS(V858=1,"Low",V858=2,"Medium",V858=3,"High",V858=4,"Very High")</f>
        <v>High</v>
      </c>
      <c r="X858" t="s">
        <v>38</v>
      </c>
      <c r="Y858" s="2">
        <v>3033</v>
      </c>
      <c r="Z858" s="2">
        <v>12828</v>
      </c>
      <c r="AA858">
        <v>1</v>
      </c>
      <c r="AB858" t="s">
        <v>39</v>
      </c>
      <c r="AC858">
        <v>12</v>
      </c>
      <c r="AD858">
        <v>3</v>
      </c>
      <c r="AE858" t="str" cm="1">
        <f t="array" ref="AE858">_xlfn.IFS(AD858=1,"Low",AD858=2,"Good",AD858=3,"Excellent",AD858=4,"Outstanding")</f>
        <v>Excellent</v>
      </c>
      <c r="AF858">
        <v>1</v>
      </c>
      <c r="AG858" t="str" cm="1">
        <f t="array" ref="AG858">_xlfn.IFS(AF858=1,"Low",AF858=2,"Medium",AF858=3,"High",AF858=4,"Very High")</f>
        <v>Low</v>
      </c>
      <c r="AH858">
        <v>0</v>
      </c>
      <c r="AI858">
        <v>2</v>
      </c>
      <c r="AJ858">
        <v>2</v>
      </c>
      <c r="AK858">
        <v>2</v>
      </c>
      <c r="AL858" t="str" cm="1">
        <f t="array" ref="AL858">_xlfn.IFS(AK858=1,"Low",AK858=2,"Medium",AK858=3,"High",AK858=4,"Very High")</f>
        <v>Medium</v>
      </c>
      <c r="AM858">
        <v>2</v>
      </c>
      <c r="AN858">
        <v>2</v>
      </c>
      <c r="AO858">
        <v>1</v>
      </c>
      <c r="AP858">
        <v>2</v>
      </c>
    </row>
    <row r="859" spans="1:42">
      <c r="A859">
        <v>44</v>
      </c>
      <c r="B859" t="str" cm="1">
        <f t="array" ref="B859">_xlfn.IFS(A859&lt;=25,"18-25",A859&lt;=35,"26-35",A859&lt;=45,"36-45",A859&lt;=55,"46-55",A859&gt;55,"56+")</f>
        <v>36-45</v>
      </c>
      <c r="C859" t="s">
        <v>32</v>
      </c>
      <c r="D859" t="s">
        <v>33</v>
      </c>
      <c r="E859" s="2">
        <v>1097</v>
      </c>
      <c r="F859" t="s">
        <v>41</v>
      </c>
      <c r="G859">
        <v>10</v>
      </c>
      <c r="H859" t="str">
        <f t="shared" si="13"/>
        <v>1-10 km</v>
      </c>
      <c r="I859">
        <v>4</v>
      </c>
      <c r="J859" t="str" cm="1">
        <f t="array" ref="J859">_xlfn.IFS(I859=1,"Below College",I859=2,"College",I859=3,"Bachelor",I859=4,"Master",I859=5,"Doctor")</f>
        <v>Master</v>
      </c>
      <c r="K859" t="s">
        <v>35</v>
      </c>
      <c r="L859">
        <v>1200</v>
      </c>
      <c r="M859">
        <v>3</v>
      </c>
      <c r="N859" t="str" cm="1">
        <f t="array" ref="N859">_xlfn.IFS(M859=1,"Low",M859=2,"Medium",M859=3,"High",M859=4,"Very High")</f>
        <v>High</v>
      </c>
      <c r="O859" t="s">
        <v>42</v>
      </c>
      <c r="P859" s="2">
        <v>96</v>
      </c>
      <c r="Q859">
        <v>3</v>
      </c>
      <c r="R859" t="str" cm="1">
        <f t="array" ref="R859">_xlfn.IFS(Q859=1,"Low",Q859=2,"Medium",Q859=3,"High",Q859=4,"Very High")</f>
        <v>High</v>
      </c>
      <c r="S859">
        <v>1</v>
      </c>
      <c r="T859" t="str" cm="1">
        <f t="array" ref="T859">_xlfn.IFS(S859=1,"Entry Level",S859=2,"Junior",S859=3,"Mid-Level",S859=4,"Senior",S859=5,"Executive")</f>
        <v>Entry Level</v>
      </c>
      <c r="U859" t="s">
        <v>43</v>
      </c>
      <c r="V859">
        <v>3</v>
      </c>
      <c r="W859" t="str" cm="1">
        <f t="array" ref="W859">_xlfn.IFS(V859=1,"Low",V859=2,"Medium",V859=3,"High",V859=4,"Very High")</f>
        <v>High</v>
      </c>
      <c r="X859" t="s">
        <v>38</v>
      </c>
      <c r="Y859" s="2">
        <v>2936</v>
      </c>
      <c r="Z859" s="2">
        <v>10826</v>
      </c>
      <c r="AA859">
        <v>1</v>
      </c>
      <c r="AB859" t="s">
        <v>32</v>
      </c>
      <c r="AC859">
        <v>11</v>
      </c>
      <c r="AD859">
        <v>3</v>
      </c>
      <c r="AE859" t="str" cm="1">
        <f t="array" ref="AE859">_xlfn.IFS(AD859=1,"Low",AD859=2,"Good",AD859=3,"Excellent",AD859=4,"Outstanding")</f>
        <v>Excellent</v>
      </c>
      <c r="AF859">
        <v>3</v>
      </c>
      <c r="AG859" t="str" cm="1">
        <f t="array" ref="AG859">_xlfn.IFS(AF859=1,"Low",AF859=2,"Medium",AF859=3,"High",AF859=4,"Very High")</f>
        <v>High</v>
      </c>
      <c r="AH859">
        <v>0</v>
      </c>
      <c r="AI859">
        <v>6</v>
      </c>
      <c r="AJ859">
        <v>4</v>
      </c>
      <c r="AK859">
        <v>3</v>
      </c>
      <c r="AL859" t="str" cm="1">
        <f t="array" ref="AL859">_xlfn.IFS(AK859=1,"Low",AK859=2,"Medium",AK859=3,"High",AK859=4,"Very High")</f>
        <v>High</v>
      </c>
      <c r="AM859">
        <v>6</v>
      </c>
      <c r="AN859">
        <v>4</v>
      </c>
      <c r="AO859">
        <v>0</v>
      </c>
      <c r="AP859">
        <v>2</v>
      </c>
    </row>
    <row r="860" spans="1:42">
      <c r="A860">
        <v>53</v>
      </c>
      <c r="B860" t="str" cm="1">
        <f t="array" ref="B860">_xlfn.IFS(A860&lt;=25,"18-25",A860&lt;=35,"26-35",A860&lt;=45,"36-45",A860&lt;=55,"46-55",A860&gt;55,"56+")</f>
        <v>46-55</v>
      </c>
      <c r="C860" t="s">
        <v>39</v>
      </c>
      <c r="D860" t="s">
        <v>33</v>
      </c>
      <c r="E860" s="2">
        <v>1223</v>
      </c>
      <c r="F860" t="s">
        <v>41</v>
      </c>
      <c r="G860">
        <v>7</v>
      </c>
      <c r="H860" t="str">
        <f t="shared" si="13"/>
        <v>1-10 km</v>
      </c>
      <c r="I860">
        <v>2</v>
      </c>
      <c r="J860" t="str" cm="1">
        <f t="array" ref="J860">_xlfn.IFS(I860=1,"Below College",I860=2,"College",I860=3,"Bachelor",I860=4,"Master",I860=5,"Doctor")</f>
        <v>College</v>
      </c>
      <c r="K860" t="s">
        <v>47</v>
      </c>
      <c r="L860">
        <v>1201</v>
      </c>
      <c r="M860">
        <v>4</v>
      </c>
      <c r="N860" t="str" cm="1">
        <f t="array" ref="N860">_xlfn.IFS(M860=1,"Low",M860=2,"Medium",M860=3,"High",M860=4,"Very High")</f>
        <v>Very High</v>
      </c>
      <c r="O860" t="s">
        <v>36</v>
      </c>
      <c r="P860" s="2">
        <v>50</v>
      </c>
      <c r="Q860">
        <v>3</v>
      </c>
      <c r="R860" t="str" cm="1">
        <f t="array" ref="R860">_xlfn.IFS(Q860=1,"Low",Q860=2,"Medium",Q860=3,"High",Q860=4,"Very High")</f>
        <v>High</v>
      </c>
      <c r="S860">
        <v>5</v>
      </c>
      <c r="T860" t="str" cm="1">
        <f t="array" ref="T860">_xlfn.IFS(S860=1,"Entry Level",S860=2,"Junior",S860=3,"Mid-Level",S860=4,"Senior",S860=5,"Executive")</f>
        <v>Executive</v>
      </c>
      <c r="U860" t="s">
        <v>52</v>
      </c>
      <c r="V860">
        <v>3</v>
      </c>
      <c r="W860" t="str" cm="1">
        <f t="array" ref="W860">_xlfn.IFS(V860=1,"Low",V860=2,"Medium",V860=3,"High",V860=4,"Very High")</f>
        <v>High</v>
      </c>
      <c r="X860" t="s">
        <v>48</v>
      </c>
      <c r="Y860" s="2">
        <v>18606</v>
      </c>
      <c r="Z860" s="2">
        <v>18640</v>
      </c>
      <c r="AA860">
        <v>3</v>
      </c>
      <c r="AB860" t="s">
        <v>39</v>
      </c>
      <c r="AC860">
        <v>18</v>
      </c>
      <c r="AD860">
        <v>3</v>
      </c>
      <c r="AE860" t="str" cm="1">
        <f t="array" ref="AE860">_xlfn.IFS(AD860=1,"Low",AD860=2,"Good",AD860=3,"Excellent",AD860=4,"Outstanding")</f>
        <v>Excellent</v>
      </c>
      <c r="AF860">
        <v>2</v>
      </c>
      <c r="AG860" t="str" cm="1">
        <f t="array" ref="AG860">_xlfn.IFS(AF860=1,"Low",AF860=2,"Medium",AF860=3,"High",AF860=4,"Very High")</f>
        <v>Medium</v>
      </c>
      <c r="AH860">
        <v>1</v>
      </c>
      <c r="AI860">
        <v>26</v>
      </c>
      <c r="AJ860">
        <v>6</v>
      </c>
      <c r="AK860">
        <v>3</v>
      </c>
      <c r="AL860" t="str" cm="1">
        <f t="array" ref="AL860">_xlfn.IFS(AK860=1,"Low",AK860=2,"Medium",AK860=3,"High",AK860=4,"Very High")</f>
        <v>High</v>
      </c>
      <c r="AM860">
        <v>7</v>
      </c>
      <c r="AN860">
        <v>7</v>
      </c>
      <c r="AO860">
        <v>4</v>
      </c>
      <c r="AP860">
        <v>7</v>
      </c>
    </row>
    <row r="861" spans="1:42">
      <c r="A861">
        <v>29</v>
      </c>
      <c r="B861" t="str" cm="1">
        <f t="array" ref="B861">_xlfn.IFS(A861&lt;=25,"18-25",A861&lt;=35,"26-35",A861&lt;=45,"36-45",A861&lt;=55,"46-55",A861&gt;55,"56+")</f>
        <v>26-35</v>
      </c>
      <c r="C861" t="s">
        <v>39</v>
      </c>
      <c r="D861" t="s">
        <v>33</v>
      </c>
      <c r="E861" s="2">
        <v>942</v>
      </c>
      <c r="F861" t="s">
        <v>41</v>
      </c>
      <c r="G861">
        <v>15</v>
      </c>
      <c r="H861" t="str">
        <f t="shared" si="13"/>
        <v>11-20 km</v>
      </c>
      <c r="I861">
        <v>1</v>
      </c>
      <c r="J861" t="str" cm="1">
        <f t="array" ref="J861">_xlfn.IFS(I861=1,"Below College",I861=2,"College",I861=3,"Bachelor",I861=4,"Master",I861=5,"Doctor")</f>
        <v>Below College</v>
      </c>
      <c r="K861" t="s">
        <v>35</v>
      </c>
      <c r="L861">
        <v>1202</v>
      </c>
      <c r="M861">
        <v>2</v>
      </c>
      <c r="N861" t="str" cm="1">
        <f t="array" ref="N861">_xlfn.IFS(M861=1,"Low",M861=2,"Medium",M861=3,"High",M861=4,"Very High")</f>
        <v>Medium</v>
      </c>
      <c r="O861" t="s">
        <v>36</v>
      </c>
      <c r="P861" s="2">
        <v>69</v>
      </c>
      <c r="Q861">
        <v>1</v>
      </c>
      <c r="R861" t="str" cm="1">
        <f t="array" ref="R861">_xlfn.IFS(Q861=1,"Low",Q861=2,"Medium",Q861=3,"High",Q861=4,"Very High")</f>
        <v>Low</v>
      </c>
      <c r="S861">
        <v>1</v>
      </c>
      <c r="T861" t="str" cm="1">
        <f t="array" ref="T861">_xlfn.IFS(S861=1,"Entry Level",S861=2,"Junior",S861=3,"Mid-Level",S861=4,"Senior",S861=5,"Executive")</f>
        <v>Entry Level</v>
      </c>
      <c r="U861" t="s">
        <v>43</v>
      </c>
      <c r="V861">
        <v>4</v>
      </c>
      <c r="W861" t="str" cm="1">
        <f t="array" ref="W861">_xlfn.IFS(V861=1,"Low",V861=2,"Medium",V861=3,"High",V861=4,"Very High")</f>
        <v>Very High</v>
      </c>
      <c r="X861" t="s">
        <v>44</v>
      </c>
      <c r="Y861" s="2">
        <v>2168</v>
      </c>
      <c r="Z861" s="2">
        <v>26933</v>
      </c>
      <c r="AA861">
        <v>0</v>
      </c>
      <c r="AB861" t="s">
        <v>32</v>
      </c>
      <c r="AC861">
        <v>18</v>
      </c>
      <c r="AD861">
        <v>3</v>
      </c>
      <c r="AE861" t="str" cm="1">
        <f t="array" ref="AE861">_xlfn.IFS(AD861=1,"Low",AD861=2,"Good",AD861=3,"Excellent",AD861=4,"Outstanding")</f>
        <v>Excellent</v>
      </c>
      <c r="AF861">
        <v>1</v>
      </c>
      <c r="AG861" t="str" cm="1">
        <f t="array" ref="AG861">_xlfn.IFS(AF861=1,"Low",AF861=2,"Medium",AF861=3,"High",AF861=4,"Very High")</f>
        <v>Low</v>
      </c>
      <c r="AH861">
        <v>1</v>
      </c>
      <c r="AI861">
        <v>6</v>
      </c>
      <c r="AJ861">
        <v>2</v>
      </c>
      <c r="AK861">
        <v>2</v>
      </c>
      <c r="AL861" t="str" cm="1">
        <f t="array" ref="AL861">_xlfn.IFS(AK861=1,"Low",AK861=2,"Medium",AK861=3,"High",AK861=4,"Very High")</f>
        <v>Medium</v>
      </c>
      <c r="AM861">
        <v>5</v>
      </c>
      <c r="AN861">
        <v>4</v>
      </c>
      <c r="AO861">
        <v>1</v>
      </c>
      <c r="AP861">
        <v>3</v>
      </c>
    </row>
    <row r="862" spans="1:42">
      <c r="A862">
        <v>22</v>
      </c>
      <c r="B862" t="str" cm="1">
        <f t="array" ref="B862">_xlfn.IFS(A862&lt;=25,"18-25",A862&lt;=35,"26-35",A862&lt;=45,"36-45",A862&lt;=55,"46-55",A862&gt;55,"56+")</f>
        <v>18-25</v>
      </c>
      <c r="C862" t="s">
        <v>32</v>
      </c>
      <c r="D862" t="s">
        <v>40</v>
      </c>
      <c r="E862" s="2">
        <v>1256</v>
      </c>
      <c r="F862" t="s">
        <v>41</v>
      </c>
      <c r="G862">
        <v>3</v>
      </c>
      <c r="H862" t="str">
        <f t="shared" si="13"/>
        <v>1-10 km</v>
      </c>
      <c r="I862">
        <v>4</v>
      </c>
      <c r="J862" t="str" cm="1">
        <f t="array" ref="J862">_xlfn.IFS(I862=1,"Below College",I862=2,"College",I862=3,"Bachelor",I862=4,"Master",I862=5,"Doctor")</f>
        <v>Master</v>
      </c>
      <c r="K862" t="s">
        <v>35</v>
      </c>
      <c r="L862">
        <v>1203</v>
      </c>
      <c r="M862">
        <v>3</v>
      </c>
      <c r="N862" t="str" cm="1">
        <f t="array" ref="N862">_xlfn.IFS(M862=1,"Low",M862=2,"Medium",M862=3,"High",M862=4,"Very High")</f>
        <v>High</v>
      </c>
      <c r="O862" t="s">
        <v>42</v>
      </c>
      <c r="P862" s="2">
        <v>48</v>
      </c>
      <c r="Q862">
        <v>2</v>
      </c>
      <c r="R862" t="str" cm="1">
        <f t="array" ref="R862">_xlfn.IFS(Q862=1,"Low",Q862=2,"Medium",Q862=3,"High",Q862=4,"Very High")</f>
        <v>Medium</v>
      </c>
      <c r="S862">
        <v>1</v>
      </c>
      <c r="T862" t="str" cm="1">
        <f t="array" ref="T862">_xlfn.IFS(S862=1,"Entry Level",S862=2,"Junior",S862=3,"Mid-Level",S862=4,"Senior",S862=5,"Executive")</f>
        <v>Entry Level</v>
      </c>
      <c r="U862" t="s">
        <v>43</v>
      </c>
      <c r="V862">
        <v>4</v>
      </c>
      <c r="W862" t="str" cm="1">
        <f t="array" ref="W862">_xlfn.IFS(V862=1,"Low",V862=2,"Medium",V862=3,"High",V862=4,"Very High")</f>
        <v>Very High</v>
      </c>
      <c r="X862" t="s">
        <v>44</v>
      </c>
      <c r="Y862" s="2">
        <v>2853</v>
      </c>
      <c r="Z862" s="2">
        <v>4223</v>
      </c>
      <c r="AA862">
        <v>0</v>
      </c>
      <c r="AB862" t="s">
        <v>32</v>
      </c>
      <c r="AC862">
        <v>11</v>
      </c>
      <c r="AD862">
        <v>3</v>
      </c>
      <c r="AE862" t="str" cm="1">
        <f t="array" ref="AE862">_xlfn.IFS(AD862=1,"Low",AD862=2,"Good",AD862=3,"Excellent",AD862=4,"Outstanding")</f>
        <v>Excellent</v>
      </c>
      <c r="AF862">
        <v>2</v>
      </c>
      <c r="AG862" t="str" cm="1">
        <f t="array" ref="AG862">_xlfn.IFS(AF862=1,"Low",AF862=2,"Medium",AF862=3,"High",AF862=4,"Very High")</f>
        <v>Medium</v>
      </c>
      <c r="AH862">
        <v>1</v>
      </c>
      <c r="AI862">
        <v>1</v>
      </c>
      <c r="AJ862">
        <v>5</v>
      </c>
      <c r="AK862">
        <v>3</v>
      </c>
      <c r="AL862" t="str" cm="1">
        <f t="array" ref="AL862">_xlfn.IFS(AK862=1,"Low",AK862=2,"Medium",AK862=3,"High",AK862=4,"Very High")</f>
        <v>High</v>
      </c>
      <c r="AM862">
        <v>0</v>
      </c>
      <c r="AN862">
        <v>0</v>
      </c>
      <c r="AO862">
        <v>0</v>
      </c>
      <c r="AP862">
        <v>0</v>
      </c>
    </row>
    <row r="863" spans="1:42">
      <c r="A863">
        <v>46</v>
      </c>
      <c r="B863" t="str" cm="1">
        <f t="array" ref="B863">_xlfn.IFS(A863&lt;=25,"18-25",A863&lt;=35,"26-35",A863&lt;=45,"36-45",A863&lt;=55,"46-55",A863&gt;55,"56+")</f>
        <v>46-55</v>
      </c>
      <c r="C863" t="s">
        <v>39</v>
      </c>
      <c r="D863" t="s">
        <v>33</v>
      </c>
      <c r="E863" s="2">
        <v>1402</v>
      </c>
      <c r="F863" t="s">
        <v>34</v>
      </c>
      <c r="G863">
        <v>2</v>
      </c>
      <c r="H863" t="str">
        <f t="shared" si="13"/>
        <v>1-10 km</v>
      </c>
      <c r="I863">
        <v>3</v>
      </c>
      <c r="J863" t="str" cm="1">
        <f t="array" ref="J863">_xlfn.IFS(I863=1,"Below College",I863=2,"College",I863=3,"Bachelor",I863=4,"Master",I863=5,"Doctor")</f>
        <v>Bachelor</v>
      </c>
      <c r="K863" t="s">
        <v>55</v>
      </c>
      <c r="L863">
        <v>1204</v>
      </c>
      <c r="M863">
        <v>3</v>
      </c>
      <c r="N863" t="str" cm="1">
        <f t="array" ref="N863">_xlfn.IFS(M863=1,"Low",M863=2,"Medium",M863=3,"High",M863=4,"Very High")</f>
        <v>High</v>
      </c>
      <c r="O863" t="s">
        <v>36</v>
      </c>
      <c r="P863" s="2">
        <v>69</v>
      </c>
      <c r="Q863">
        <v>3</v>
      </c>
      <c r="R863" t="str" cm="1">
        <f t="array" ref="R863">_xlfn.IFS(Q863=1,"Low",Q863=2,"Medium",Q863=3,"High",Q863=4,"Very High")</f>
        <v>High</v>
      </c>
      <c r="S863">
        <v>4</v>
      </c>
      <c r="T863" t="str" cm="1">
        <f t="array" ref="T863">_xlfn.IFS(S863=1,"Entry Level",S863=2,"Junior",S863=3,"Mid-Level",S863=4,"Senior",S863=5,"Executive")</f>
        <v>Senior</v>
      </c>
      <c r="U863" t="s">
        <v>52</v>
      </c>
      <c r="V863">
        <v>1</v>
      </c>
      <c r="W863" t="str" cm="1">
        <f t="array" ref="W863">_xlfn.IFS(V863=1,"Low",V863=2,"Medium",V863=3,"High",V863=4,"Very High")</f>
        <v>Low</v>
      </c>
      <c r="X863" t="s">
        <v>44</v>
      </c>
      <c r="Y863" s="2">
        <v>17048</v>
      </c>
      <c r="Z863" s="2">
        <v>24097</v>
      </c>
      <c r="AA863">
        <v>8</v>
      </c>
      <c r="AB863" t="s">
        <v>39</v>
      </c>
      <c r="AC863">
        <v>23</v>
      </c>
      <c r="AD863">
        <v>4</v>
      </c>
      <c r="AE863" t="str" cm="1">
        <f t="array" ref="AE863">_xlfn.IFS(AD863=1,"Low",AD863=2,"Good",AD863=3,"Excellent",AD863=4,"Outstanding")</f>
        <v>Outstanding</v>
      </c>
      <c r="AF863">
        <v>1</v>
      </c>
      <c r="AG863" t="str" cm="1">
        <f t="array" ref="AG863">_xlfn.IFS(AF863=1,"Low",AF863=2,"Medium",AF863=3,"High",AF863=4,"Very High")</f>
        <v>Low</v>
      </c>
      <c r="AH863">
        <v>0</v>
      </c>
      <c r="AI863">
        <v>28</v>
      </c>
      <c r="AJ863">
        <v>2</v>
      </c>
      <c r="AK863">
        <v>3</v>
      </c>
      <c r="AL863" t="str" cm="1">
        <f t="array" ref="AL863">_xlfn.IFS(AK863=1,"Low",AK863=2,"Medium",AK863=3,"High",AK863=4,"Very High")</f>
        <v>High</v>
      </c>
      <c r="AM863">
        <v>26</v>
      </c>
      <c r="AN863">
        <v>15</v>
      </c>
      <c r="AO863">
        <v>15</v>
      </c>
      <c r="AP863">
        <v>9</v>
      </c>
    </row>
    <row r="864" spans="1:42">
      <c r="A864">
        <v>44</v>
      </c>
      <c r="B864" t="str" cm="1">
        <f t="array" ref="B864">_xlfn.IFS(A864&lt;=25,"18-25",A864&lt;=35,"26-35",A864&lt;=45,"36-45",A864&lt;=55,"46-55",A864&gt;55,"56+")</f>
        <v>36-45</v>
      </c>
      <c r="C864" t="s">
        <v>39</v>
      </c>
      <c r="D864" t="s">
        <v>51</v>
      </c>
      <c r="E864" s="2">
        <v>111</v>
      </c>
      <c r="F864" t="s">
        <v>41</v>
      </c>
      <c r="G864">
        <v>17</v>
      </c>
      <c r="H864" t="str">
        <f t="shared" si="13"/>
        <v>11-20 km</v>
      </c>
      <c r="I864">
        <v>3</v>
      </c>
      <c r="J864" t="str" cm="1">
        <f t="array" ref="J864">_xlfn.IFS(I864=1,"Below College",I864=2,"College",I864=3,"Bachelor",I864=4,"Master",I864=5,"Doctor")</f>
        <v>Bachelor</v>
      </c>
      <c r="K864" t="s">
        <v>35</v>
      </c>
      <c r="L864">
        <v>1206</v>
      </c>
      <c r="M864">
        <v>4</v>
      </c>
      <c r="N864" t="str" cm="1">
        <f t="array" ref="N864">_xlfn.IFS(M864=1,"Low",M864=2,"Medium",M864=3,"High",M864=4,"Very High")</f>
        <v>Very High</v>
      </c>
      <c r="O864" t="s">
        <v>42</v>
      </c>
      <c r="P864" s="2">
        <v>74</v>
      </c>
      <c r="Q864">
        <v>1</v>
      </c>
      <c r="R864" t="str" cm="1">
        <f t="array" ref="R864">_xlfn.IFS(Q864=1,"Low",Q864=2,"Medium",Q864=3,"High",Q864=4,"Very High")</f>
        <v>Low</v>
      </c>
      <c r="S864">
        <v>1</v>
      </c>
      <c r="T864" t="str" cm="1">
        <f t="array" ref="T864">_xlfn.IFS(S864=1,"Entry Level",S864=2,"Junior",S864=3,"Mid-Level",S864=4,"Senior",S864=5,"Executive")</f>
        <v>Entry Level</v>
      </c>
      <c r="U864" t="s">
        <v>43</v>
      </c>
      <c r="V864">
        <v>3</v>
      </c>
      <c r="W864" t="str" cm="1">
        <f t="array" ref="W864">_xlfn.IFS(V864=1,"Low",V864=2,"Medium",V864=3,"High",V864=4,"Very High")</f>
        <v>High</v>
      </c>
      <c r="X864" t="s">
        <v>38</v>
      </c>
      <c r="Y864" s="2">
        <v>2290</v>
      </c>
      <c r="Z864" s="2">
        <v>4279</v>
      </c>
      <c r="AA864">
        <v>2</v>
      </c>
      <c r="AB864" t="s">
        <v>39</v>
      </c>
      <c r="AC864">
        <v>13</v>
      </c>
      <c r="AD864">
        <v>3</v>
      </c>
      <c r="AE864" t="str" cm="1">
        <f t="array" ref="AE864">_xlfn.IFS(AD864=1,"Low",AD864=2,"Good",AD864=3,"Excellent",AD864=4,"Outstanding")</f>
        <v>Excellent</v>
      </c>
      <c r="AF864">
        <v>4</v>
      </c>
      <c r="AG864" t="str" cm="1">
        <f t="array" ref="AG864">_xlfn.IFS(AF864=1,"Low",AF864=2,"Medium",AF864=3,"High",AF864=4,"Very High")</f>
        <v>Very High</v>
      </c>
      <c r="AH864">
        <v>0</v>
      </c>
      <c r="AI864">
        <v>6</v>
      </c>
      <c r="AJ864">
        <v>3</v>
      </c>
      <c r="AK864">
        <v>3</v>
      </c>
      <c r="AL864" t="str" cm="1">
        <f t="array" ref="AL864">_xlfn.IFS(AK864=1,"Low",AK864=2,"Medium",AK864=3,"High",AK864=4,"Very High")</f>
        <v>High</v>
      </c>
      <c r="AM864">
        <v>0</v>
      </c>
      <c r="AN864">
        <v>0</v>
      </c>
      <c r="AO864">
        <v>0</v>
      </c>
      <c r="AP864">
        <v>0</v>
      </c>
    </row>
    <row r="865" spans="1:42">
      <c r="A865">
        <v>33</v>
      </c>
      <c r="B865" t="str" cm="1">
        <f t="array" ref="B865">_xlfn.IFS(A865&lt;=25,"18-25",A865&lt;=35,"26-35",A865&lt;=45,"36-45",A865&lt;=55,"46-55",A865&gt;55,"56+")</f>
        <v>26-35</v>
      </c>
      <c r="C865" t="s">
        <v>39</v>
      </c>
      <c r="D865" t="s">
        <v>33</v>
      </c>
      <c r="E865" s="2">
        <v>147</v>
      </c>
      <c r="F865" t="s">
        <v>57</v>
      </c>
      <c r="G865">
        <v>2</v>
      </c>
      <c r="H865" t="str">
        <f t="shared" si="13"/>
        <v>1-10 km</v>
      </c>
      <c r="I865">
        <v>3</v>
      </c>
      <c r="J865" t="str" cm="1">
        <f t="array" ref="J865">_xlfn.IFS(I865=1,"Below College",I865=2,"College",I865=3,"Bachelor",I865=4,"Master",I865=5,"Doctor")</f>
        <v>Bachelor</v>
      </c>
      <c r="K865" t="s">
        <v>57</v>
      </c>
      <c r="L865">
        <v>1207</v>
      </c>
      <c r="M865">
        <v>2</v>
      </c>
      <c r="N865" t="str" cm="1">
        <f t="array" ref="N865">_xlfn.IFS(M865=1,"Low",M865=2,"Medium",M865=3,"High",M865=4,"Very High")</f>
        <v>Medium</v>
      </c>
      <c r="O865" t="s">
        <v>42</v>
      </c>
      <c r="P865" s="2">
        <v>99</v>
      </c>
      <c r="Q865">
        <v>3</v>
      </c>
      <c r="R865" t="str" cm="1">
        <f t="array" ref="R865">_xlfn.IFS(Q865=1,"Low",Q865=2,"Medium",Q865=3,"High",Q865=4,"Very High")</f>
        <v>High</v>
      </c>
      <c r="S865">
        <v>1</v>
      </c>
      <c r="T865" t="str" cm="1">
        <f t="array" ref="T865">_xlfn.IFS(S865=1,"Entry Level",S865=2,"Junior",S865=3,"Mid-Level",S865=4,"Senior",S865=5,"Executive")</f>
        <v>Entry Level</v>
      </c>
      <c r="U865" t="s">
        <v>57</v>
      </c>
      <c r="V865">
        <v>3</v>
      </c>
      <c r="W865" t="str" cm="1">
        <f t="array" ref="W865">_xlfn.IFS(V865=1,"Low",V865=2,"Medium",V865=3,"High",V865=4,"Very High")</f>
        <v>High</v>
      </c>
      <c r="X865" t="s">
        <v>44</v>
      </c>
      <c r="Y865" s="2">
        <v>3600</v>
      </c>
      <c r="Z865" s="2">
        <v>8429</v>
      </c>
      <c r="AA865">
        <v>1</v>
      </c>
      <c r="AB865" t="s">
        <v>39</v>
      </c>
      <c r="AC865">
        <v>13</v>
      </c>
      <c r="AD865">
        <v>3</v>
      </c>
      <c r="AE865" t="str" cm="1">
        <f t="array" ref="AE865">_xlfn.IFS(AD865=1,"Low",AD865=2,"Good",AD865=3,"Excellent",AD865=4,"Outstanding")</f>
        <v>Excellent</v>
      </c>
      <c r="AF865">
        <v>4</v>
      </c>
      <c r="AG865" t="str" cm="1">
        <f t="array" ref="AG865">_xlfn.IFS(AF865=1,"Low",AF865=2,"Medium",AF865=3,"High",AF865=4,"Very High")</f>
        <v>Very High</v>
      </c>
      <c r="AH865">
        <v>1</v>
      </c>
      <c r="AI865">
        <v>5</v>
      </c>
      <c r="AJ865">
        <v>2</v>
      </c>
      <c r="AK865">
        <v>3</v>
      </c>
      <c r="AL865" t="str" cm="1">
        <f t="array" ref="AL865">_xlfn.IFS(AK865=1,"Low",AK865=2,"Medium",AK865=3,"High",AK865=4,"Very High")</f>
        <v>High</v>
      </c>
      <c r="AM865">
        <v>5</v>
      </c>
      <c r="AN865">
        <v>4</v>
      </c>
      <c r="AO865">
        <v>1</v>
      </c>
      <c r="AP865">
        <v>4</v>
      </c>
    </row>
    <row r="866" spans="1:42">
      <c r="A866">
        <v>41</v>
      </c>
      <c r="B866" t="str" cm="1">
        <f t="array" ref="B866">_xlfn.IFS(A866&lt;=25,"18-25",A866&lt;=35,"26-35",A866&lt;=45,"36-45",A866&lt;=55,"46-55",A866&gt;55,"56+")</f>
        <v>36-45</v>
      </c>
      <c r="C866" t="s">
        <v>32</v>
      </c>
      <c r="D866" t="s">
        <v>51</v>
      </c>
      <c r="E866" s="2">
        <v>906</v>
      </c>
      <c r="F866" t="s">
        <v>41</v>
      </c>
      <c r="G866">
        <v>5</v>
      </c>
      <c r="H866" t="str">
        <f t="shared" si="13"/>
        <v>1-10 km</v>
      </c>
      <c r="I866">
        <v>2</v>
      </c>
      <c r="J866" t="str" cm="1">
        <f t="array" ref="J866">_xlfn.IFS(I866=1,"Below College",I866=2,"College",I866=3,"Bachelor",I866=4,"Master",I866=5,"Doctor")</f>
        <v>College</v>
      </c>
      <c r="K866" t="s">
        <v>35</v>
      </c>
      <c r="L866">
        <v>1210</v>
      </c>
      <c r="M866">
        <v>1</v>
      </c>
      <c r="N866" t="str" cm="1">
        <f t="array" ref="N866">_xlfn.IFS(M866=1,"Low",M866=2,"Medium",M866=3,"High",M866=4,"Very High")</f>
        <v>Low</v>
      </c>
      <c r="O866" t="s">
        <v>42</v>
      </c>
      <c r="P866" s="2">
        <v>95</v>
      </c>
      <c r="Q866">
        <v>2</v>
      </c>
      <c r="R866" t="str" cm="1">
        <f t="array" ref="R866">_xlfn.IFS(Q866=1,"Low",Q866=2,"Medium",Q866=3,"High",Q866=4,"Very High")</f>
        <v>Medium</v>
      </c>
      <c r="S866">
        <v>1</v>
      </c>
      <c r="T866" t="str" cm="1">
        <f t="array" ref="T866">_xlfn.IFS(S866=1,"Entry Level",S866=2,"Junior",S866=3,"Mid-Level",S866=4,"Senior",S866=5,"Executive")</f>
        <v>Entry Level</v>
      </c>
      <c r="U866" t="s">
        <v>43</v>
      </c>
      <c r="V866">
        <v>1</v>
      </c>
      <c r="W866" t="str" cm="1">
        <f t="array" ref="W866">_xlfn.IFS(V866=1,"Low",V866=2,"Medium",V866=3,"High",V866=4,"Very High")</f>
        <v>Low</v>
      </c>
      <c r="X866" t="s">
        <v>48</v>
      </c>
      <c r="Y866" s="2">
        <v>2107</v>
      </c>
      <c r="Z866" s="2">
        <v>20293</v>
      </c>
      <c r="AA866">
        <v>6</v>
      </c>
      <c r="AB866" t="s">
        <v>39</v>
      </c>
      <c r="AC866">
        <v>17</v>
      </c>
      <c r="AD866">
        <v>3</v>
      </c>
      <c r="AE866" t="str" cm="1">
        <f t="array" ref="AE866">_xlfn.IFS(AD866=1,"Low",AD866=2,"Good",AD866=3,"Excellent",AD866=4,"Outstanding")</f>
        <v>Excellent</v>
      </c>
      <c r="AF866">
        <v>1</v>
      </c>
      <c r="AG866" t="str" cm="1">
        <f t="array" ref="AG866">_xlfn.IFS(AF866=1,"Low",AF866=2,"Medium",AF866=3,"High",AF866=4,"Very High")</f>
        <v>Low</v>
      </c>
      <c r="AH866">
        <v>1</v>
      </c>
      <c r="AI866">
        <v>5</v>
      </c>
      <c r="AJ866">
        <v>2</v>
      </c>
      <c r="AK866">
        <v>1</v>
      </c>
      <c r="AL866" t="str" cm="1">
        <f t="array" ref="AL866">_xlfn.IFS(AK866=1,"Low",AK866=2,"Medium",AK866=3,"High",AK866=4,"Very High")</f>
        <v>Low</v>
      </c>
      <c r="AM866">
        <v>1</v>
      </c>
      <c r="AN866">
        <v>0</v>
      </c>
      <c r="AO866">
        <v>0</v>
      </c>
      <c r="AP866">
        <v>0</v>
      </c>
    </row>
    <row r="867" spans="1:42">
      <c r="A867">
        <v>30</v>
      </c>
      <c r="B867" t="str" cm="1">
        <f t="array" ref="B867">_xlfn.IFS(A867&lt;=25,"18-25",A867&lt;=35,"26-35",A867&lt;=45,"36-45",A867&lt;=55,"46-55",A867&gt;55,"56+")</f>
        <v>26-35</v>
      </c>
      <c r="C867" t="s">
        <v>39</v>
      </c>
      <c r="D867" t="s">
        <v>33</v>
      </c>
      <c r="E867" s="2">
        <v>1329</v>
      </c>
      <c r="F867" t="s">
        <v>34</v>
      </c>
      <c r="G867">
        <v>29</v>
      </c>
      <c r="H867" t="str">
        <f t="shared" si="13"/>
        <v>21-30 km</v>
      </c>
      <c r="I867">
        <v>4</v>
      </c>
      <c r="J867" t="str" cm="1">
        <f t="array" ref="J867">_xlfn.IFS(I867=1,"Below College",I867=2,"College",I867=3,"Bachelor",I867=4,"Master",I867=5,"Doctor")</f>
        <v>Master</v>
      </c>
      <c r="K867" t="s">
        <v>35</v>
      </c>
      <c r="L867">
        <v>1211</v>
      </c>
      <c r="M867">
        <v>3</v>
      </c>
      <c r="N867" t="str" cm="1">
        <f t="array" ref="N867">_xlfn.IFS(M867=1,"Low",M867=2,"Medium",M867=3,"High",M867=4,"Very High")</f>
        <v>High</v>
      </c>
      <c r="O867" t="s">
        <v>42</v>
      </c>
      <c r="P867" s="2">
        <v>61</v>
      </c>
      <c r="Q867">
        <v>3</v>
      </c>
      <c r="R867" t="str" cm="1">
        <f t="array" ref="R867">_xlfn.IFS(Q867=1,"Low",Q867=2,"Medium",Q867=3,"High",Q867=4,"Very High")</f>
        <v>High</v>
      </c>
      <c r="S867">
        <v>2</v>
      </c>
      <c r="T867" t="str" cm="1">
        <f t="array" ref="T867">_xlfn.IFS(S867=1,"Entry Level",S867=2,"Junior",S867=3,"Mid-Level",S867=4,"Senior",S867=5,"Executive")</f>
        <v>Junior</v>
      </c>
      <c r="U867" t="s">
        <v>37</v>
      </c>
      <c r="V867">
        <v>1</v>
      </c>
      <c r="W867" t="str" cm="1">
        <f t="array" ref="W867">_xlfn.IFS(V867=1,"Low",V867=2,"Medium",V867=3,"High",V867=4,"Very High")</f>
        <v>Low</v>
      </c>
      <c r="X867" t="s">
        <v>48</v>
      </c>
      <c r="Y867" s="2">
        <v>4115</v>
      </c>
      <c r="Z867" s="2">
        <v>13192</v>
      </c>
      <c r="AA867">
        <v>8</v>
      </c>
      <c r="AB867" t="s">
        <v>39</v>
      </c>
      <c r="AC867">
        <v>19</v>
      </c>
      <c r="AD867">
        <v>3</v>
      </c>
      <c r="AE867" t="str" cm="1">
        <f t="array" ref="AE867">_xlfn.IFS(AD867=1,"Low",AD867=2,"Good",AD867=3,"Excellent",AD867=4,"Outstanding")</f>
        <v>Excellent</v>
      </c>
      <c r="AF867">
        <v>3</v>
      </c>
      <c r="AG867" t="str" cm="1">
        <f t="array" ref="AG867">_xlfn.IFS(AF867=1,"Low",AF867=2,"Medium",AF867=3,"High",AF867=4,"Very High")</f>
        <v>High</v>
      </c>
      <c r="AH867">
        <v>3</v>
      </c>
      <c r="AI867">
        <v>8</v>
      </c>
      <c r="AJ867">
        <v>3</v>
      </c>
      <c r="AK867">
        <v>3</v>
      </c>
      <c r="AL867" t="str" cm="1">
        <f t="array" ref="AL867">_xlfn.IFS(AK867=1,"Low",AK867=2,"Medium",AK867=3,"High",AK867=4,"Very High")</f>
        <v>High</v>
      </c>
      <c r="AM867">
        <v>4</v>
      </c>
      <c r="AN867">
        <v>3</v>
      </c>
      <c r="AO867">
        <v>0</v>
      </c>
      <c r="AP867">
        <v>3</v>
      </c>
    </row>
    <row r="868" spans="1:42">
      <c r="A868">
        <v>40</v>
      </c>
      <c r="B868" t="str" cm="1">
        <f t="array" ref="B868">_xlfn.IFS(A868&lt;=25,"18-25",A868&lt;=35,"26-35",A868&lt;=45,"36-45",A868&lt;=55,"46-55",A868&gt;55,"56+")</f>
        <v>36-45</v>
      </c>
      <c r="C868" t="s">
        <v>39</v>
      </c>
      <c r="D868" t="s">
        <v>40</v>
      </c>
      <c r="E868" s="2">
        <v>1184</v>
      </c>
      <c r="F868" t="s">
        <v>34</v>
      </c>
      <c r="G868">
        <v>2</v>
      </c>
      <c r="H868" t="str">
        <f t="shared" si="13"/>
        <v>1-10 km</v>
      </c>
      <c r="I868">
        <v>4</v>
      </c>
      <c r="J868" t="str" cm="1">
        <f t="array" ref="J868">_xlfn.IFS(I868=1,"Below College",I868=2,"College",I868=3,"Bachelor",I868=4,"Master",I868=5,"Doctor")</f>
        <v>Master</v>
      </c>
      <c r="K868" t="s">
        <v>47</v>
      </c>
      <c r="L868">
        <v>1212</v>
      </c>
      <c r="M868">
        <v>2</v>
      </c>
      <c r="N868" t="str" cm="1">
        <f t="array" ref="N868">_xlfn.IFS(M868=1,"Low",M868=2,"Medium",M868=3,"High",M868=4,"Very High")</f>
        <v>Medium</v>
      </c>
      <c r="O868" t="s">
        <v>42</v>
      </c>
      <c r="P868" s="2">
        <v>62</v>
      </c>
      <c r="Q868">
        <v>3</v>
      </c>
      <c r="R868" t="str" cm="1">
        <f t="array" ref="R868">_xlfn.IFS(Q868=1,"Low",Q868=2,"Medium",Q868=3,"High",Q868=4,"Very High")</f>
        <v>High</v>
      </c>
      <c r="S868">
        <v>2</v>
      </c>
      <c r="T868" t="str" cm="1">
        <f t="array" ref="T868">_xlfn.IFS(S868=1,"Entry Level",S868=2,"Junior",S868=3,"Mid-Level",S868=4,"Senior",S868=5,"Executive")</f>
        <v>Junior</v>
      </c>
      <c r="U868" t="s">
        <v>37</v>
      </c>
      <c r="V868">
        <v>2</v>
      </c>
      <c r="W868" t="str" cm="1">
        <f t="array" ref="W868">_xlfn.IFS(V868=1,"Low",V868=2,"Medium",V868=3,"High",V868=4,"Very High")</f>
        <v>Medium</v>
      </c>
      <c r="X868" t="s">
        <v>44</v>
      </c>
      <c r="Y868" s="2">
        <v>4327</v>
      </c>
      <c r="Z868" s="2">
        <v>25440</v>
      </c>
      <c r="AA868">
        <v>5</v>
      </c>
      <c r="AB868" t="s">
        <v>39</v>
      </c>
      <c r="AC868">
        <v>12</v>
      </c>
      <c r="AD868">
        <v>3</v>
      </c>
      <c r="AE868" t="str" cm="1">
        <f t="array" ref="AE868">_xlfn.IFS(AD868=1,"Low",AD868=2,"Good",AD868=3,"Excellent",AD868=4,"Outstanding")</f>
        <v>Excellent</v>
      </c>
      <c r="AF868">
        <v>4</v>
      </c>
      <c r="AG868" t="str" cm="1">
        <f t="array" ref="AG868">_xlfn.IFS(AF868=1,"Low",AF868=2,"Medium",AF868=3,"High",AF868=4,"Very High")</f>
        <v>Very High</v>
      </c>
      <c r="AH868">
        <v>3</v>
      </c>
      <c r="AI868">
        <v>5</v>
      </c>
      <c r="AJ868">
        <v>2</v>
      </c>
      <c r="AK868">
        <v>3</v>
      </c>
      <c r="AL868" t="str" cm="1">
        <f t="array" ref="AL868">_xlfn.IFS(AK868=1,"Low",AK868=2,"Medium",AK868=3,"High",AK868=4,"Very High")</f>
        <v>High</v>
      </c>
      <c r="AM868">
        <v>0</v>
      </c>
      <c r="AN868">
        <v>0</v>
      </c>
      <c r="AO868">
        <v>0</v>
      </c>
      <c r="AP868">
        <v>0</v>
      </c>
    </row>
    <row r="869" spans="1:42">
      <c r="A869">
        <v>50</v>
      </c>
      <c r="B869" t="str" cm="1">
        <f t="array" ref="B869">_xlfn.IFS(A869&lt;=25,"18-25",A869&lt;=35,"26-35",A869&lt;=45,"36-45",A869&lt;=55,"46-55",A869&gt;55,"56+")</f>
        <v>46-55</v>
      </c>
      <c r="C869" t="s">
        <v>39</v>
      </c>
      <c r="D869" t="s">
        <v>40</v>
      </c>
      <c r="E869" s="2">
        <v>1421</v>
      </c>
      <c r="F869" t="s">
        <v>41</v>
      </c>
      <c r="G869">
        <v>2</v>
      </c>
      <c r="H869" t="str">
        <f t="shared" si="13"/>
        <v>1-10 km</v>
      </c>
      <c r="I869">
        <v>3</v>
      </c>
      <c r="J869" t="str" cm="1">
        <f t="array" ref="J869">_xlfn.IFS(I869=1,"Below College",I869=2,"College",I869=3,"Bachelor",I869=4,"Master",I869=5,"Doctor")</f>
        <v>Bachelor</v>
      </c>
      <c r="K869" t="s">
        <v>47</v>
      </c>
      <c r="L869">
        <v>1215</v>
      </c>
      <c r="M869">
        <v>4</v>
      </c>
      <c r="N869" t="str" cm="1">
        <f t="array" ref="N869">_xlfn.IFS(M869=1,"Low",M869=2,"Medium",M869=3,"High",M869=4,"Very High")</f>
        <v>Very High</v>
      </c>
      <c r="O869" t="s">
        <v>36</v>
      </c>
      <c r="P869" s="2">
        <v>30</v>
      </c>
      <c r="Q869">
        <v>3</v>
      </c>
      <c r="R869" t="str" cm="1">
        <f t="array" ref="R869">_xlfn.IFS(Q869=1,"Low",Q869=2,"Medium",Q869=3,"High",Q869=4,"Very High")</f>
        <v>High</v>
      </c>
      <c r="S869">
        <v>4</v>
      </c>
      <c r="T869" t="str" cm="1">
        <f t="array" ref="T869">_xlfn.IFS(S869=1,"Entry Level",S869=2,"Junior",S869=3,"Mid-Level",S869=4,"Senior",S869=5,"Executive")</f>
        <v>Senior</v>
      </c>
      <c r="U869" t="s">
        <v>52</v>
      </c>
      <c r="V869">
        <v>1</v>
      </c>
      <c r="W869" t="str" cm="1">
        <f t="array" ref="W869">_xlfn.IFS(V869=1,"Low",V869=2,"Medium",V869=3,"High",V869=4,"Very High")</f>
        <v>Low</v>
      </c>
      <c r="X869" t="s">
        <v>44</v>
      </c>
      <c r="Y869" s="2">
        <v>17856</v>
      </c>
      <c r="Z869" s="2">
        <v>9490</v>
      </c>
      <c r="AA869">
        <v>2</v>
      </c>
      <c r="AB869" t="s">
        <v>39</v>
      </c>
      <c r="AC869">
        <v>22</v>
      </c>
      <c r="AD869">
        <v>4</v>
      </c>
      <c r="AE869" t="str" cm="1">
        <f t="array" ref="AE869">_xlfn.IFS(AD869=1,"Low",AD869=2,"Good",AD869=3,"Excellent",AD869=4,"Outstanding")</f>
        <v>Outstanding</v>
      </c>
      <c r="AF869">
        <v>3</v>
      </c>
      <c r="AG869" t="str" cm="1">
        <f t="array" ref="AG869">_xlfn.IFS(AF869=1,"Low",AF869=2,"Medium",AF869=3,"High",AF869=4,"Very High")</f>
        <v>High</v>
      </c>
      <c r="AH869">
        <v>1</v>
      </c>
      <c r="AI869">
        <v>32</v>
      </c>
      <c r="AJ869">
        <v>3</v>
      </c>
      <c r="AK869">
        <v>3</v>
      </c>
      <c r="AL869" t="str" cm="1">
        <f t="array" ref="AL869">_xlfn.IFS(AK869=1,"Low",AK869=2,"Medium",AK869=3,"High",AK869=4,"Very High")</f>
        <v>High</v>
      </c>
      <c r="AM869">
        <v>2</v>
      </c>
      <c r="AN869">
        <v>2</v>
      </c>
      <c r="AO869">
        <v>2</v>
      </c>
      <c r="AP869">
        <v>2</v>
      </c>
    </row>
    <row r="870" spans="1:42">
      <c r="A870">
        <v>28</v>
      </c>
      <c r="B870" t="str" cm="1">
        <f t="array" ref="B870">_xlfn.IFS(A870&lt;=25,"18-25",A870&lt;=35,"26-35",A870&lt;=45,"36-45",A870&lt;=55,"46-55",A870&gt;55,"56+")</f>
        <v>26-35</v>
      </c>
      <c r="C870" t="s">
        <v>39</v>
      </c>
      <c r="D870" t="s">
        <v>33</v>
      </c>
      <c r="E870" s="2">
        <v>1179</v>
      </c>
      <c r="F870" t="s">
        <v>41</v>
      </c>
      <c r="G870">
        <v>19</v>
      </c>
      <c r="H870" t="str">
        <f t="shared" si="13"/>
        <v>11-20 km</v>
      </c>
      <c r="I870">
        <v>4</v>
      </c>
      <c r="J870" t="str" cm="1">
        <f t="array" ref="J870">_xlfn.IFS(I870=1,"Below College",I870=2,"College",I870=3,"Bachelor",I870=4,"Master",I870=5,"Doctor")</f>
        <v>Master</v>
      </c>
      <c r="K870" t="s">
        <v>47</v>
      </c>
      <c r="L870">
        <v>1216</v>
      </c>
      <c r="M870">
        <v>4</v>
      </c>
      <c r="N870" t="str" cm="1">
        <f t="array" ref="N870">_xlfn.IFS(M870=1,"Low",M870=2,"Medium",M870=3,"High",M870=4,"Very High")</f>
        <v>Very High</v>
      </c>
      <c r="O870" t="s">
        <v>42</v>
      </c>
      <c r="P870" s="2">
        <v>78</v>
      </c>
      <c r="Q870">
        <v>2</v>
      </c>
      <c r="R870" t="str" cm="1">
        <f t="array" ref="R870">_xlfn.IFS(Q870=1,"Low",Q870=2,"Medium",Q870=3,"High",Q870=4,"Very High")</f>
        <v>Medium</v>
      </c>
      <c r="S870">
        <v>1</v>
      </c>
      <c r="T870" t="str" cm="1">
        <f t="array" ref="T870">_xlfn.IFS(S870=1,"Entry Level",S870=2,"Junior",S870=3,"Mid-Level",S870=4,"Senior",S870=5,"Executive")</f>
        <v>Entry Level</v>
      </c>
      <c r="U870" t="s">
        <v>46</v>
      </c>
      <c r="V870">
        <v>1</v>
      </c>
      <c r="W870" t="str" cm="1">
        <f t="array" ref="W870">_xlfn.IFS(V870=1,"Low",V870=2,"Medium",V870=3,"High",V870=4,"Very High")</f>
        <v>Low</v>
      </c>
      <c r="X870" t="s">
        <v>44</v>
      </c>
      <c r="Y870" s="2">
        <v>3196</v>
      </c>
      <c r="Z870" s="2">
        <v>12449</v>
      </c>
      <c r="AA870">
        <v>1</v>
      </c>
      <c r="AB870" t="s">
        <v>39</v>
      </c>
      <c r="AC870">
        <v>12</v>
      </c>
      <c r="AD870">
        <v>3</v>
      </c>
      <c r="AE870" t="str" cm="1">
        <f t="array" ref="AE870">_xlfn.IFS(AD870=1,"Low",AD870=2,"Good",AD870=3,"Excellent",AD870=4,"Outstanding")</f>
        <v>Excellent</v>
      </c>
      <c r="AF870">
        <v>3</v>
      </c>
      <c r="AG870" t="str" cm="1">
        <f t="array" ref="AG870">_xlfn.IFS(AF870=1,"Low",AF870=2,"Medium",AF870=3,"High",AF870=4,"Very High")</f>
        <v>High</v>
      </c>
      <c r="AH870">
        <v>3</v>
      </c>
      <c r="AI870">
        <v>6</v>
      </c>
      <c r="AJ870">
        <v>2</v>
      </c>
      <c r="AK870">
        <v>3</v>
      </c>
      <c r="AL870" t="str" cm="1">
        <f t="array" ref="AL870">_xlfn.IFS(AK870=1,"Low",AK870=2,"Medium",AK870=3,"High",AK870=4,"Very High")</f>
        <v>High</v>
      </c>
      <c r="AM870">
        <v>6</v>
      </c>
      <c r="AN870">
        <v>5</v>
      </c>
      <c r="AO870">
        <v>3</v>
      </c>
      <c r="AP870">
        <v>3</v>
      </c>
    </row>
    <row r="871" spans="1:42">
      <c r="A871">
        <v>46</v>
      </c>
      <c r="B871" t="str" cm="1">
        <f t="array" ref="B871">_xlfn.IFS(A871&lt;=25,"18-25",A871&lt;=35,"26-35",A871&lt;=45,"36-45",A871&lt;=55,"46-55",A871&gt;55,"56+")</f>
        <v>46-55</v>
      </c>
      <c r="C871" t="s">
        <v>39</v>
      </c>
      <c r="D871" t="s">
        <v>33</v>
      </c>
      <c r="E871" s="2">
        <v>1450</v>
      </c>
      <c r="F871" t="s">
        <v>41</v>
      </c>
      <c r="G871">
        <v>15</v>
      </c>
      <c r="H871" t="str">
        <f t="shared" si="13"/>
        <v>11-20 km</v>
      </c>
      <c r="I871">
        <v>2</v>
      </c>
      <c r="J871" t="str" cm="1">
        <f t="array" ref="J871">_xlfn.IFS(I871=1,"Below College",I871=2,"College",I871=3,"Bachelor",I871=4,"Master",I871=5,"Doctor")</f>
        <v>College</v>
      </c>
      <c r="K871" t="s">
        <v>35</v>
      </c>
      <c r="L871">
        <v>1217</v>
      </c>
      <c r="M871">
        <v>4</v>
      </c>
      <c r="N871" t="str" cm="1">
        <f t="array" ref="N871">_xlfn.IFS(M871=1,"Low",M871=2,"Medium",M871=3,"High",M871=4,"Very High")</f>
        <v>Very High</v>
      </c>
      <c r="O871" t="s">
        <v>42</v>
      </c>
      <c r="P871" s="2">
        <v>52</v>
      </c>
      <c r="Q871">
        <v>3</v>
      </c>
      <c r="R871" t="str" cm="1">
        <f t="array" ref="R871">_xlfn.IFS(Q871=1,"Low",Q871=2,"Medium",Q871=3,"High",Q871=4,"Very High")</f>
        <v>High</v>
      </c>
      <c r="S871">
        <v>5</v>
      </c>
      <c r="T871" t="str" cm="1">
        <f t="array" ref="T871">_xlfn.IFS(S871=1,"Entry Level",S871=2,"Junior",S871=3,"Mid-Level",S871=4,"Senior",S871=5,"Executive")</f>
        <v>Executive</v>
      </c>
      <c r="U871" t="s">
        <v>54</v>
      </c>
      <c r="V871">
        <v>2</v>
      </c>
      <c r="W871" t="str" cm="1">
        <f t="array" ref="W871">_xlfn.IFS(V871=1,"Low",V871=2,"Medium",V871=3,"High",V871=4,"Very High")</f>
        <v>Medium</v>
      </c>
      <c r="X871" t="s">
        <v>44</v>
      </c>
      <c r="Y871" s="2">
        <v>19081</v>
      </c>
      <c r="Z871" s="2">
        <v>10849</v>
      </c>
      <c r="AA871">
        <v>5</v>
      </c>
      <c r="AB871" t="s">
        <v>39</v>
      </c>
      <c r="AC871">
        <v>11</v>
      </c>
      <c r="AD871">
        <v>3</v>
      </c>
      <c r="AE871" t="str" cm="1">
        <f t="array" ref="AE871">_xlfn.IFS(AD871=1,"Low",AD871=2,"Good",AD871=3,"Excellent",AD871=4,"Outstanding")</f>
        <v>Excellent</v>
      </c>
      <c r="AF871">
        <v>1</v>
      </c>
      <c r="AG871" t="str" cm="1">
        <f t="array" ref="AG871">_xlfn.IFS(AF871=1,"Low",AF871=2,"Medium",AF871=3,"High",AF871=4,"Very High")</f>
        <v>Low</v>
      </c>
      <c r="AH871">
        <v>1</v>
      </c>
      <c r="AI871">
        <v>25</v>
      </c>
      <c r="AJ871">
        <v>2</v>
      </c>
      <c r="AK871">
        <v>3</v>
      </c>
      <c r="AL871" t="str" cm="1">
        <f t="array" ref="AL871">_xlfn.IFS(AK871=1,"Low",AK871=2,"Medium",AK871=3,"High",AK871=4,"Very High")</f>
        <v>High</v>
      </c>
      <c r="AM871">
        <v>4</v>
      </c>
      <c r="AN871">
        <v>2</v>
      </c>
      <c r="AO871">
        <v>0</v>
      </c>
      <c r="AP871">
        <v>3</v>
      </c>
    </row>
    <row r="872" spans="1:42">
      <c r="A872">
        <v>35</v>
      </c>
      <c r="B872" t="str" cm="1">
        <f t="array" ref="B872">_xlfn.IFS(A872&lt;=25,"18-25",A872&lt;=35,"26-35",A872&lt;=45,"36-45",A872&lt;=55,"46-55",A872&gt;55,"56+")</f>
        <v>26-35</v>
      </c>
      <c r="C872" t="s">
        <v>39</v>
      </c>
      <c r="D872" t="s">
        <v>33</v>
      </c>
      <c r="E872" s="2">
        <v>1361</v>
      </c>
      <c r="F872" t="s">
        <v>34</v>
      </c>
      <c r="G872">
        <v>17</v>
      </c>
      <c r="H872" t="str">
        <f t="shared" si="13"/>
        <v>11-20 km</v>
      </c>
      <c r="I872">
        <v>4</v>
      </c>
      <c r="J872" t="str" cm="1">
        <f t="array" ref="J872">_xlfn.IFS(I872=1,"Below College",I872=2,"College",I872=3,"Bachelor",I872=4,"Master",I872=5,"Doctor")</f>
        <v>Master</v>
      </c>
      <c r="K872" t="s">
        <v>35</v>
      </c>
      <c r="L872">
        <v>1218</v>
      </c>
      <c r="M872">
        <v>3</v>
      </c>
      <c r="N872" t="str" cm="1">
        <f t="array" ref="N872">_xlfn.IFS(M872=1,"Low",M872=2,"Medium",M872=3,"High",M872=4,"Very High")</f>
        <v>High</v>
      </c>
      <c r="O872" t="s">
        <v>42</v>
      </c>
      <c r="P872" s="2">
        <v>94</v>
      </c>
      <c r="Q872">
        <v>3</v>
      </c>
      <c r="R872" t="str" cm="1">
        <f t="array" ref="R872">_xlfn.IFS(Q872=1,"Low",Q872=2,"Medium",Q872=3,"High",Q872=4,"Very High")</f>
        <v>High</v>
      </c>
      <c r="S872">
        <v>2</v>
      </c>
      <c r="T872" t="str" cm="1">
        <f t="array" ref="T872">_xlfn.IFS(S872=1,"Entry Level",S872=2,"Junior",S872=3,"Mid-Level",S872=4,"Senior",S872=5,"Executive")</f>
        <v>Junior</v>
      </c>
      <c r="U872" t="s">
        <v>37</v>
      </c>
      <c r="V872">
        <v>1</v>
      </c>
      <c r="W872" t="str" cm="1">
        <f t="array" ref="W872">_xlfn.IFS(V872=1,"Low",V872=2,"Medium",V872=3,"High",V872=4,"Very High")</f>
        <v>Low</v>
      </c>
      <c r="X872" t="s">
        <v>44</v>
      </c>
      <c r="Y872" s="2">
        <v>8966</v>
      </c>
      <c r="Z872" s="2">
        <v>21026</v>
      </c>
      <c r="AA872">
        <v>3</v>
      </c>
      <c r="AB872" t="s">
        <v>32</v>
      </c>
      <c r="AC872">
        <v>15</v>
      </c>
      <c r="AD872">
        <v>3</v>
      </c>
      <c r="AE872" t="str" cm="1">
        <f t="array" ref="AE872">_xlfn.IFS(AD872=1,"Low",AD872=2,"Good",AD872=3,"Excellent",AD872=4,"Outstanding")</f>
        <v>Excellent</v>
      </c>
      <c r="AF872">
        <v>4</v>
      </c>
      <c r="AG872" t="str" cm="1">
        <f t="array" ref="AG872">_xlfn.IFS(AF872=1,"Low",AF872=2,"Medium",AF872=3,"High",AF872=4,"Very High")</f>
        <v>Very High</v>
      </c>
      <c r="AH872">
        <v>3</v>
      </c>
      <c r="AI872">
        <v>15</v>
      </c>
      <c r="AJ872">
        <v>2</v>
      </c>
      <c r="AK872">
        <v>3</v>
      </c>
      <c r="AL872" t="str" cm="1">
        <f t="array" ref="AL872">_xlfn.IFS(AK872=1,"Low",AK872=2,"Medium",AK872=3,"High",AK872=4,"Very High")</f>
        <v>High</v>
      </c>
      <c r="AM872">
        <v>7</v>
      </c>
      <c r="AN872">
        <v>7</v>
      </c>
      <c r="AO872">
        <v>1</v>
      </c>
      <c r="AP872">
        <v>7</v>
      </c>
    </row>
    <row r="873" spans="1:42">
      <c r="A873">
        <v>24</v>
      </c>
      <c r="B873" t="str" cm="1">
        <f t="array" ref="B873">_xlfn.IFS(A873&lt;=25,"18-25",A873&lt;=35,"26-35",A873&lt;=45,"36-45",A873&lt;=55,"46-55",A873&gt;55,"56+")</f>
        <v>18-25</v>
      </c>
      <c r="C873" t="s">
        <v>32</v>
      </c>
      <c r="D873" t="s">
        <v>33</v>
      </c>
      <c r="E873" s="2">
        <v>984</v>
      </c>
      <c r="F873" t="s">
        <v>41</v>
      </c>
      <c r="G873">
        <v>17</v>
      </c>
      <c r="H873" t="str">
        <f t="shared" si="13"/>
        <v>11-20 km</v>
      </c>
      <c r="I873">
        <v>2</v>
      </c>
      <c r="J873" t="str" cm="1">
        <f t="array" ref="J873">_xlfn.IFS(I873=1,"Below College",I873=2,"College",I873=3,"Bachelor",I873=4,"Master",I873=5,"Doctor")</f>
        <v>College</v>
      </c>
      <c r="K873" t="s">
        <v>35</v>
      </c>
      <c r="L873">
        <v>1219</v>
      </c>
      <c r="M873">
        <v>4</v>
      </c>
      <c r="N873" t="str" cm="1">
        <f t="array" ref="N873">_xlfn.IFS(M873=1,"Low",M873=2,"Medium",M873=3,"High",M873=4,"Very High")</f>
        <v>Very High</v>
      </c>
      <c r="O873" t="s">
        <v>36</v>
      </c>
      <c r="P873" s="2">
        <v>97</v>
      </c>
      <c r="Q873">
        <v>3</v>
      </c>
      <c r="R873" t="str" cm="1">
        <f t="array" ref="R873">_xlfn.IFS(Q873=1,"Low",Q873=2,"Medium",Q873=3,"High",Q873=4,"Very High")</f>
        <v>High</v>
      </c>
      <c r="S873">
        <v>1</v>
      </c>
      <c r="T873" t="str" cm="1">
        <f t="array" ref="T873">_xlfn.IFS(S873=1,"Entry Level",S873=2,"Junior",S873=3,"Mid-Level",S873=4,"Senior",S873=5,"Executive")</f>
        <v>Entry Level</v>
      </c>
      <c r="U873" t="s">
        <v>46</v>
      </c>
      <c r="V873">
        <v>2</v>
      </c>
      <c r="W873" t="str" cm="1">
        <f t="array" ref="W873">_xlfn.IFS(V873=1,"Low",V873=2,"Medium",V873=3,"High",V873=4,"Very High")</f>
        <v>Medium</v>
      </c>
      <c r="X873" t="s">
        <v>44</v>
      </c>
      <c r="Y873" s="2">
        <v>2210</v>
      </c>
      <c r="Z873" s="2">
        <v>3372</v>
      </c>
      <c r="AA873">
        <v>1</v>
      </c>
      <c r="AB873" t="s">
        <v>39</v>
      </c>
      <c r="AC873">
        <v>13</v>
      </c>
      <c r="AD873">
        <v>3</v>
      </c>
      <c r="AE873" t="str" cm="1">
        <f t="array" ref="AE873">_xlfn.IFS(AD873=1,"Low",AD873=2,"Good",AD873=3,"Excellent",AD873=4,"Outstanding")</f>
        <v>Excellent</v>
      </c>
      <c r="AF873">
        <v>1</v>
      </c>
      <c r="AG873" t="str" cm="1">
        <f t="array" ref="AG873">_xlfn.IFS(AF873=1,"Low",AF873=2,"Medium",AF873=3,"High",AF873=4,"Very High")</f>
        <v>Low</v>
      </c>
      <c r="AH873">
        <v>1</v>
      </c>
      <c r="AI873">
        <v>1</v>
      </c>
      <c r="AJ873">
        <v>3</v>
      </c>
      <c r="AK873">
        <v>1</v>
      </c>
      <c r="AL873" t="str" cm="1">
        <f t="array" ref="AL873">_xlfn.IFS(AK873=1,"Low",AK873=2,"Medium",AK873=3,"High",AK873=4,"Very High")</f>
        <v>Low</v>
      </c>
      <c r="AM873">
        <v>1</v>
      </c>
      <c r="AN873">
        <v>0</v>
      </c>
      <c r="AO873">
        <v>0</v>
      </c>
      <c r="AP873">
        <v>0</v>
      </c>
    </row>
    <row r="874" spans="1:42">
      <c r="A874">
        <v>33</v>
      </c>
      <c r="B874" t="str" cm="1">
        <f t="array" ref="B874">_xlfn.IFS(A874&lt;=25,"18-25",A874&lt;=35,"26-35",A874&lt;=45,"36-45",A874&lt;=55,"46-55",A874&gt;55,"56+")</f>
        <v>26-35</v>
      </c>
      <c r="C874" t="s">
        <v>39</v>
      </c>
      <c r="D874" t="s">
        <v>40</v>
      </c>
      <c r="E874" s="2">
        <v>1146</v>
      </c>
      <c r="F874" t="s">
        <v>34</v>
      </c>
      <c r="G874">
        <v>25</v>
      </c>
      <c r="H874" t="str">
        <f t="shared" si="13"/>
        <v>21-30 km</v>
      </c>
      <c r="I874">
        <v>3</v>
      </c>
      <c r="J874" t="str" cm="1">
        <f t="array" ref="J874">_xlfn.IFS(I874=1,"Below College",I874=2,"College",I874=3,"Bachelor",I874=4,"Master",I874=5,"Doctor")</f>
        <v>Bachelor</v>
      </c>
      <c r="K874" t="s">
        <v>47</v>
      </c>
      <c r="L874">
        <v>1220</v>
      </c>
      <c r="M874">
        <v>2</v>
      </c>
      <c r="N874" t="str" cm="1">
        <f t="array" ref="N874">_xlfn.IFS(M874=1,"Low",M874=2,"Medium",M874=3,"High",M874=4,"Very High")</f>
        <v>Medium</v>
      </c>
      <c r="O874" t="s">
        <v>36</v>
      </c>
      <c r="P874" s="2">
        <v>82</v>
      </c>
      <c r="Q874">
        <v>3</v>
      </c>
      <c r="R874" t="str" cm="1">
        <f t="array" ref="R874">_xlfn.IFS(Q874=1,"Low",Q874=2,"Medium",Q874=3,"High",Q874=4,"Very High")</f>
        <v>High</v>
      </c>
      <c r="S874">
        <v>2</v>
      </c>
      <c r="T874" t="str" cm="1">
        <f t="array" ref="T874">_xlfn.IFS(S874=1,"Entry Level",S874=2,"Junior",S874=3,"Mid-Level",S874=4,"Senior",S874=5,"Executive")</f>
        <v>Junior</v>
      </c>
      <c r="U874" t="s">
        <v>37</v>
      </c>
      <c r="V874">
        <v>3</v>
      </c>
      <c r="W874" t="str" cm="1">
        <f t="array" ref="W874">_xlfn.IFS(V874=1,"Low",V874=2,"Medium",V874=3,"High",V874=4,"Very High")</f>
        <v>High</v>
      </c>
      <c r="X874" t="s">
        <v>44</v>
      </c>
      <c r="Y874" s="2">
        <v>4539</v>
      </c>
      <c r="Z874" s="2">
        <v>4905</v>
      </c>
      <c r="AA874">
        <v>1</v>
      </c>
      <c r="AB874" t="s">
        <v>39</v>
      </c>
      <c r="AC874">
        <v>12</v>
      </c>
      <c r="AD874">
        <v>3</v>
      </c>
      <c r="AE874" t="str" cm="1">
        <f t="array" ref="AE874">_xlfn.IFS(AD874=1,"Low",AD874=2,"Good",AD874=3,"Excellent",AD874=4,"Outstanding")</f>
        <v>Excellent</v>
      </c>
      <c r="AF874">
        <v>1</v>
      </c>
      <c r="AG874" t="str" cm="1">
        <f t="array" ref="AG874">_xlfn.IFS(AF874=1,"Low",AF874=2,"Medium",AF874=3,"High",AF874=4,"Very High")</f>
        <v>Low</v>
      </c>
      <c r="AH874">
        <v>1</v>
      </c>
      <c r="AI874">
        <v>10</v>
      </c>
      <c r="AJ874">
        <v>3</v>
      </c>
      <c r="AK874">
        <v>2</v>
      </c>
      <c r="AL874" t="str" cm="1">
        <f t="array" ref="AL874">_xlfn.IFS(AK874=1,"Low",AK874=2,"Medium",AK874=3,"High",AK874=4,"Very High")</f>
        <v>Medium</v>
      </c>
      <c r="AM874">
        <v>10</v>
      </c>
      <c r="AN874">
        <v>7</v>
      </c>
      <c r="AO874">
        <v>0</v>
      </c>
      <c r="AP874">
        <v>1</v>
      </c>
    </row>
    <row r="875" spans="1:42">
      <c r="A875">
        <v>36</v>
      </c>
      <c r="B875" t="str" cm="1">
        <f t="array" ref="B875">_xlfn.IFS(A875&lt;=25,"18-25",A875&lt;=35,"26-35",A875&lt;=45,"36-45",A875&lt;=55,"46-55",A875&gt;55,"56+")</f>
        <v>36-45</v>
      </c>
      <c r="C875" t="s">
        <v>39</v>
      </c>
      <c r="D875" t="s">
        <v>33</v>
      </c>
      <c r="E875" s="2">
        <v>917</v>
      </c>
      <c r="F875" t="s">
        <v>41</v>
      </c>
      <c r="G875">
        <v>6</v>
      </c>
      <c r="H875" t="str">
        <f t="shared" si="13"/>
        <v>1-10 km</v>
      </c>
      <c r="I875">
        <v>4</v>
      </c>
      <c r="J875" t="str" cm="1">
        <f t="array" ref="J875">_xlfn.IFS(I875=1,"Below College",I875=2,"College",I875=3,"Bachelor",I875=4,"Master",I875=5,"Doctor")</f>
        <v>Master</v>
      </c>
      <c r="K875" t="s">
        <v>35</v>
      </c>
      <c r="L875">
        <v>1221</v>
      </c>
      <c r="M875">
        <v>3</v>
      </c>
      <c r="N875" t="str" cm="1">
        <f t="array" ref="N875">_xlfn.IFS(M875=1,"Low",M875=2,"Medium",M875=3,"High",M875=4,"Very High")</f>
        <v>High</v>
      </c>
      <c r="O875" t="s">
        <v>42</v>
      </c>
      <c r="P875" s="2">
        <v>60</v>
      </c>
      <c r="Q875">
        <v>1</v>
      </c>
      <c r="R875" t="str" cm="1">
        <f t="array" ref="R875">_xlfn.IFS(Q875=1,"Low",Q875=2,"Medium",Q875=3,"High",Q875=4,"Very High")</f>
        <v>Low</v>
      </c>
      <c r="S875">
        <v>1</v>
      </c>
      <c r="T875" t="str" cm="1">
        <f t="array" ref="T875">_xlfn.IFS(S875=1,"Entry Level",S875=2,"Junior",S875=3,"Mid-Level",S875=4,"Senior",S875=5,"Executive")</f>
        <v>Entry Level</v>
      </c>
      <c r="U875" t="s">
        <v>46</v>
      </c>
      <c r="V875">
        <v>3</v>
      </c>
      <c r="W875" t="str" cm="1">
        <f t="array" ref="W875">_xlfn.IFS(V875=1,"Low",V875=2,"Medium",V875=3,"High",V875=4,"Very High")</f>
        <v>High</v>
      </c>
      <c r="X875" t="s">
        <v>48</v>
      </c>
      <c r="Y875" s="2">
        <v>2741</v>
      </c>
      <c r="Z875" s="2">
        <v>6865</v>
      </c>
      <c r="AA875">
        <v>1</v>
      </c>
      <c r="AB875" t="s">
        <v>39</v>
      </c>
      <c r="AC875">
        <v>14</v>
      </c>
      <c r="AD875">
        <v>3</v>
      </c>
      <c r="AE875" t="str" cm="1">
        <f t="array" ref="AE875">_xlfn.IFS(AD875=1,"Low",AD875=2,"Good",AD875=3,"Excellent",AD875=4,"Outstanding")</f>
        <v>Excellent</v>
      </c>
      <c r="AF875">
        <v>3</v>
      </c>
      <c r="AG875" t="str" cm="1">
        <f t="array" ref="AG875">_xlfn.IFS(AF875=1,"Low",AF875=2,"Medium",AF875=3,"High",AF875=4,"Very High")</f>
        <v>High</v>
      </c>
      <c r="AH875">
        <v>1</v>
      </c>
      <c r="AI875">
        <v>7</v>
      </c>
      <c r="AJ875">
        <v>4</v>
      </c>
      <c r="AK875">
        <v>3</v>
      </c>
      <c r="AL875" t="str" cm="1">
        <f t="array" ref="AL875">_xlfn.IFS(AK875=1,"Low",AK875=2,"Medium",AK875=3,"High",AK875=4,"Very High")</f>
        <v>High</v>
      </c>
      <c r="AM875">
        <v>7</v>
      </c>
      <c r="AN875">
        <v>7</v>
      </c>
      <c r="AO875">
        <v>1</v>
      </c>
      <c r="AP875">
        <v>7</v>
      </c>
    </row>
    <row r="876" spans="1:42">
      <c r="A876">
        <v>30</v>
      </c>
      <c r="B876" t="str" cm="1">
        <f t="array" ref="B876">_xlfn.IFS(A876&lt;=25,"18-25",A876&lt;=35,"26-35",A876&lt;=45,"36-45",A876&lt;=55,"46-55",A876&gt;55,"56+")</f>
        <v>26-35</v>
      </c>
      <c r="C876" t="s">
        <v>39</v>
      </c>
      <c r="D876" t="s">
        <v>33</v>
      </c>
      <c r="E876" s="2">
        <v>853</v>
      </c>
      <c r="F876" t="s">
        <v>41</v>
      </c>
      <c r="G876">
        <v>7</v>
      </c>
      <c r="H876" t="str">
        <f t="shared" si="13"/>
        <v>1-10 km</v>
      </c>
      <c r="I876">
        <v>4</v>
      </c>
      <c r="J876" t="str" cm="1">
        <f t="array" ref="J876">_xlfn.IFS(I876=1,"Below College",I876=2,"College",I876=3,"Bachelor",I876=4,"Master",I876=5,"Doctor")</f>
        <v>Master</v>
      </c>
      <c r="K876" t="s">
        <v>35</v>
      </c>
      <c r="L876">
        <v>1224</v>
      </c>
      <c r="M876">
        <v>3</v>
      </c>
      <c r="N876" t="str" cm="1">
        <f t="array" ref="N876">_xlfn.IFS(M876=1,"Low",M876=2,"Medium",M876=3,"High",M876=4,"Very High")</f>
        <v>High</v>
      </c>
      <c r="O876" t="s">
        <v>42</v>
      </c>
      <c r="P876" s="2">
        <v>49</v>
      </c>
      <c r="Q876">
        <v>3</v>
      </c>
      <c r="R876" t="str" cm="1">
        <f t="array" ref="R876">_xlfn.IFS(Q876=1,"Low",Q876=2,"Medium",Q876=3,"High",Q876=4,"Very High")</f>
        <v>High</v>
      </c>
      <c r="S876">
        <v>2</v>
      </c>
      <c r="T876" t="str" cm="1">
        <f t="array" ref="T876">_xlfn.IFS(S876=1,"Entry Level",S876=2,"Junior",S876=3,"Mid-Level",S876=4,"Senior",S876=5,"Executive")</f>
        <v>Junior</v>
      </c>
      <c r="U876" t="s">
        <v>46</v>
      </c>
      <c r="V876">
        <v>3</v>
      </c>
      <c r="W876" t="str" cm="1">
        <f t="array" ref="W876">_xlfn.IFS(V876=1,"Low",V876=2,"Medium",V876=3,"High",V876=4,"Very High")</f>
        <v>High</v>
      </c>
      <c r="X876" t="s">
        <v>48</v>
      </c>
      <c r="Y876" s="2">
        <v>3491</v>
      </c>
      <c r="Z876" s="2">
        <v>11309</v>
      </c>
      <c r="AA876">
        <v>1</v>
      </c>
      <c r="AB876" t="s">
        <v>39</v>
      </c>
      <c r="AC876">
        <v>13</v>
      </c>
      <c r="AD876">
        <v>3</v>
      </c>
      <c r="AE876" t="str" cm="1">
        <f t="array" ref="AE876">_xlfn.IFS(AD876=1,"Low",AD876=2,"Good",AD876=3,"Excellent",AD876=4,"Outstanding")</f>
        <v>Excellent</v>
      </c>
      <c r="AF876">
        <v>1</v>
      </c>
      <c r="AG876" t="str" cm="1">
        <f t="array" ref="AG876">_xlfn.IFS(AF876=1,"Low",AF876=2,"Medium",AF876=3,"High",AF876=4,"Very High")</f>
        <v>Low</v>
      </c>
      <c r="AH876">
        <v>3</v>
      </c>
      <c r="AI876">
        <v>10</v>
      </c>
      <c r="AJ876">
        <v>4</v>
      </c>
      <c r="AK876">
        <v>2</v>
      </c>
      <c r="AL876" t="str" cm="1">
        <f t="array" ref="AL876">_xlfn.IFS(AK876=1,"Low",AK876=2,"Medium",AK876=3,"High",AK876=4,"Very High")</f>
        <v>Medium</v>
      </c>
      <c r="AM876">
        <v>10</v>
      </c>
      <c r="AN876">
        <v>7</v>
      </c>
      <c r="AO876">
        <v>8</v>
      </c>
      <c r="AP876">
        <v>9</v>
      </c>
    </row>
    <row r="877" spans="1:42">
      <c r="A877">
        <v>44</v>
      </c>
      <c r="B877" t="str" cm="1">
        <f t="array" ref="B877">_xlfn.IFS(A877&lt;=25,"18-25",A877&lt;=35,"26-35",A877&lt;=45,"36-45",A877&lt;=55,"46-55",A877&gt;55,"56+")</f>
        <v>36-45</v>
      </c>
      <c r="C877" t="s">
        <v>39</v>
      </c>
      <c r="D877" t="s">
        <v>33</v>
      </c>
      <c r="E877" s="2">
        <v>200</v>
      </c>
      <c r="F877" t="s">
        <v>41</v>
      </c>
      <c r="G877">
        <v>29</v>
      </c>
      <c r="H877" t="str">
        <f t="shared" si="13"/>
        <v>21-30 km</v>
      </c>
      <c r="I877">
        <v>4</v>
      </c>
      <c r="J877" t="str" cm="1">
        <f t="array" ref="J877">_xlfn.IFS(I877=1,"Below College",I877=2,"College",I877=3,"Bachelor",I877=4,"Master",I877=5,"Doctor")</f>
        <v>Master</v>
      </c>
      <c r="K877" t="s">
        <v>45</v>
      </c>
      <c r="L877">
        <v>1225</v>
      </c>
      <c r="M877">
        <v>4</v>
      </c>
      <c r="N877" t="str" cm="1">
        <f t="array" ref="N877">_xlfn.IFS(M877=1,"Low",M877=2,"Medium",M877=3,"High",M877=4,"Very High")</f>
        <v>Very High</v>
      </c>
      <c r="O877" t="s">
        <v>42</v>
      </c>
      <c r="P877" s="2">
        <v>32</v>
      </c>
      <c r="Q877">
        <v>3</v>
      </c>
      <c r="R877" t="str" cm="1">
        <f t="array" ref="R877">_xlfn.IFS(Q877=1,"Low",Q877=2,"Medium",Q877=3,"High",Q877=4,"Very High")</f>
        <v>High</v>
      </c>
      <c r="S877">
        <v>2</v>
      </c>
      <c r="T877" t="str" cm="1">
        <f t="array" ref="T877">_xlfn.IFS(S877=1,"Entry Level",S877=2,"Junior",S877=3,"Mid-Level",S877=4,"Senior",S877=5,"Executive")</f>
        <v>Junior</v>
      </c>
      <c r="U877" t="s">
        <v>43</v>
      </c>
      <c r="V877">
        <v>4</v>
      </c>
      <c r="W877" t="str" cm="1">
        <f t="array" ref="W877">_xlfn.IFS(V877=1,"Low",V877=2,"Medium",V877=3,"High",V877=4,"Very High")</f>
        <v>Very High</v>
      </c>
      <c r="X877" t="s">
        <v>38</v>
      </c>
      <c r="Y877" s="2">
        <v>4541</v>
      </c>
      <c r="Z877" s="2">
        <v>7744</v>
      </c>
      <c r="AA877">
        <v>1</v>
      </c>
      <c r="AB877" t="s">
        <v>39</v>
      </c>
      <c r="AC877">
        <v>25</v>
      </c>
      <c r="AD877">
        <v>4</v>
      </c>
      <c r="AE877" t="str" cm="1">
        <f t="array" ref="AE877">_xlfn.IFS(AD877=1,"Low",AD877=2,"Good",AD877=3,"Excellent",AD877=4,"Outstanding")</f>
        <v>Outstanding</v>
      </c>
      <c r="AF877">
        <v>2</v>
      </c>
      <c r="AG877" t="str" cm="1">
        <f t="array" ref="AG877">_xlfn.IFS(AF877=1,"Low",AF877=2,"Medium",AF877=3,"High",AF877=4,"Very High")</f>
        <v>Medium</v>
      </c>
      <c r="AH877">
        <v>0</v>
      </c>
      <c r="AI877">
        <v>20</v>
      </c>
      <c r="AJ877">
        <v>3</v>
      </c>
      <c r="AK877">
        <v>3</v>
      </c>
      <c r="AL877" t="str" cm="1">
        <f t="array" ref="AL877">_xlfn.IFS(AK877=1,"Low",AK877=2,"Medium",AK877=3,"High",AK877=4,"Very High")</f>
        <v>High</v>
      </c>
      <c r="AM877">
        <v>20</v>
      </c>
      <c r="AN877">
        <v>11</v>
      </c>
      <c r="AO877">
        <v>13</v>
      </c>
      <c r="AP877">
        <v>17</v>
      </c>
    </row>
    <row r="878" spans="1:42">
      <c r="A878">
        <v>20</v>
      </c>
      <c r="B878" t="str" cm="1">
        <f t="array" ref="B878">_xlfn.IFS(A878&lt;=25,"18-25",A878&lt;=35,"26-35",A878&lt;=45,"36-45",A878&lt;=55,"46-55",A878&gt;55,"56+")</f>
        <v>18-25</v>
      </c>
      <c r="C878" t="s">
        <v>39</v>
      </c>
      <c r="D878" t="s">
        <v>33</v>
      </c>
      <c r="E878" s="2">
        <v>654</v>
      </c>
      <c r="F878" t="s">
        <v>34</v>
      </c>
      <c r="G878">
        <v>21</v>
      </c>
      <c r="H878" t="str">
        <f t="shared" si="13"/>
        <v>21-30 km</v>
      </c>
      <c r="I878">
        <v>3</v>
      </c>
      <c r="J878" t="str" cm="1">
        <f t="array" ref="J878">_xlfn.IFS(I878=1,"Below College",I878=2,"College",I878=3,"Bachelor",I878=4,"Master",I878=5,"Doctor")</f>
        <v>Bachelor</v>
      </c>
      <c r="K878" t="s">
        <v>55</v>
      </c>
      <c r="L878">
        <v>1226</v>
      </c>
      <c r="M878">
        <v>3</v>
      </c>
      <c r="N878" t="str" cm="1">
        <f t="array" ref="N878">_xlfn.IFS(M878=1,"Low",M878=2,"Medium",M878=3,"High",M878=4,"Very High")</f>
        <v>High</v>
      </c>
      <c r="O878" t="s">
        <v>42</v>
      </c>
      <c r="P878" s="2">
        <v>43</v>
      </c>
      <c r="Q878">
        <v>4</v>
      </c>
      <c r="R878" t="str" cm="1">
        <f t="array" ref="R878">_xlfn.IFS(Q878=1,"Low",Q878=2,"Medium",Q878=3,"High",Q878=4,"Very High")</f>
        <v>Very High</v>
      </c>
      <c r="S878">
        <v>1</v>
      </c>
      <c r="T878" t="str" cm="1">
        <f t="array" ref="T878">_xlfn.IFS(S878=1,"Entry Level",S878=2,"Junior",S878=3,"Mid-Level",S878=4,"Senior",S878=5,"Executive")</f>
        <v>Entry Level</v>
      </c>
      <c r="U878" t="s">
        <v>53</v>
      </c>
      <c r="V878">
        <v>4</v>
      </c>
      <c r="W878" t="str" cm="1">
        <f t="array" ref="W878">_xlfn.IFS(V878=1,"Low",V878=2,"Medium",V878=3,"High",V878=4,"Very High")</f>
        <v>Very High</v>
      </c>
      <c r="X878" t="s">
        <v>38</v>
      </c>
      <c r="Y878" s="2">
        <v>2678</v>
      </c>
      <c r="Z878" s="2">
        <v>5050</v>
      </c>
      <c r="AA878">
        <v>1</v>
      </c>
      <c r="AB878" t="s">
        <v>39</v>
      </c>
      <c r="AC878">
        <v>17</v>
      </c>
      <c r="AD878">
        <v>3</v>
      </c>
      <c r="AE878" t="str" cm="1">
        <f t="array" ref="AE878">_xlfn.IFS(AD878=1,"Low",AD878=2,"Good",AD878=3,"Excellent",AD878=4,"Outstanding")</f>
        <v>Excellent</v>
      </c>
      <c r="AF878">
        <v>4</v>
      </c>
      <c r="AG878" t="str" cm="1">
        <f t="array" ref="AG878">_xlfn.IFS(AF878=1,"Low",AF878=2,"Medium",AF878=3,"High",AF878=4,"Very High")</f>
        <v>Very High</v>
      </c>
      <c r="AH878">
        <v>0</v>
      </c>
      <c r="AI878">
        <v>2</v>
      </c>
      <c r="AJ878">
        <v>2</v>
      </c>
      <c r="AK878">
        <v>3</v>
      </c>
      <c r="AL878" t="str" cm="1">
        <f t="array" ref="AL878">_xlfn.IFS(AK878=1,"Low",AK878=2,"Medium",AK878=3,"High",AK878=4,"Very High")</f>
        <v>High</v>
      </c>
      <c r="AM878">
        <v>2</v>
      </c>
      <c r="AN878">
        <v>1</v>
      </c>
      <c r="AO878">
        <v>2</v>
      </c>
      <c r="AP878">
        <v>2</v>
      </c>
    </row>
    <row r="879" spans="1:42">
      <c r="A879">
        <v>46</v>
      </c>
      <c r="B879" t="str" cm="1">
        <f t="array" ref="B879">_xlfn.IFS(A879&lt;=25,"18-25",A879&lt;=35,"26-35",A879&lt;=45,"36-45",A879&lt;=55,"46-55",A879&gt;55,"56+")</f>
        <v>46-55</v>
      </c>
      <c r="C879" t="s">
        <v>39</v>
      </c>
      <c r="D879" t="s">
        <v>33</v>
      </c>
      <c r="E879" s="2">
        <v>150</v>
      </c>
      <c r="F879" t="s">
        <v>41</v>
      </c>
      <c r="G879">
        <v>2</v>
      </c>
      <c r="H879" t="str">
        <f t="shared" si="13"/>
        <v>1-10 km</v>
      </c>
      <c r="I879">
        <v>4</v>
      </c>
      <c r="J879" t="str" cm="1">
        <f t="array" ref="J879">_xlfn.IFS(I879=1,"Below College",I879=2,"College",I879=3,"Bachelor",I879=4,"Master",I879=5,"Doctor")</f>
        <v>Master</v>
      </c>
      <c r="K879" t="s">
        <v>56</v>
      </c>
      <c r="L879">
        <v>1228</v>
      </c>
      <c r="M879">
        <v>4</v>
      </c>
      <c r="N879" t="str" cm="1">
        <f t="array" ref="N879">_xlfn.IFS(M879=1,"Low",M879=2,"Medium",M879=3,"High",M879=4,"Very High")</f>
        <v>Very High</v>
      </c>
      <c r="O879" t="s">
        <v>42</v>
      </c>
      <c r="P879" s="2">
        <v>60</v>
      </c>
      <c r="Q879">
        <v>3</v>
      </c>
      <c r="R879" t="str" cm="1">
        <f t="array" ref="R879">_xlfn.IFS(Q879=1,"Low",Q879=2,"Medium",Q879=3,"High",Q879=4,"Very High")</f>
        <v>High</v>
      </c>
      <c r="S879">
        <v>2</v>
      </c>
      <c r="T879" t="str" cm="1">
        <f t="array" ref="T879">_xlfn.IFS(S879=1,"Entry Level",S879=2,"Junior",S879=3,"Mid-Level",S879=4,"Senior",S879=5,"Executive")</f>
        <v>Junior</v>
      </c>
      <c r="U879" t="s">
        <v>49</v>
      </c>
      <c r="V879">
        <v>4</v>
      </c>
      <c r="W879" t="str" cm="1">
        <f t="array" ref="W879">_xlfn.IFS(V879=1,"Low",V879=2,"Medium",V879=3,"High",V879=4,"Very High")</f>
        <v>Very High</v>
      </c>
      <c r="X879" t="s">
        <v>48</v>
      </c>
      <c r="Y879" s="2">
        <v>7379</v>
      </c>
      <c r="Z879" s="2">
        <v>17433</v>
      </c>
      <c r="AA879">
        <v>2</v>
      </c>
      <c r="AB879" t="s">
        <v>39</v>
      </c>
      <c r="AC879">
        <v>11</v>
      </c>
      <c r="AD879">
        <v>3</v>
      </c>
      <c r="AE879" t="str" cm="1">
        <f t="array" ref="AE879">_xlfn.IFS(AD879=1,"Low",AD879=2,"Good",AD879=3,"Excellent",AD879=4,"Outstanding")</f>
        <v>Excellent</v>
      </c>
      <c r="AF879">
        <v>3</v>
      </c>
      <c r="AG879" t="str" cm="1">
        <f t="array" ref="AG879">_xlfn.IFS(AF879=1,"Low",AF879=2,"Medium",AF879=3,"High",AF879=4,"Very High")</f>
        <v>High</v>
      </c>
      <c r="AH879">
        <v>1</v>
      </c>
      <c r="AI879">
        <v>12</v>
      </c>
      <c r="AJ879">
        <v>3</v>
      </c>
      <c r="AK879">
        <v>2</v>
      </c>
      <c r="AL879" t="str" cm="1">
        <f t="array" ref="AL879">_xlfn.IFS(AK879=1,"Low",AK879=2,"Medium",AK879=3,"High",AK879=4,"Very High")</f>
        <v>Medium</v>
      </c>
      <c r="AM879">
        <v>6</v>
      </c>
      <c r="AN879">
        <v>3</v>
      </c>
      <c r="AO879">
        <v>1</v>
      </c>
      <c r="AP879">
        <v>4</v>
      </c>
    </row>
    <row r="880" spans="1:42">
      <c r="A880">
        <v>42</v>
      </c>
      <c r="B880" t="str" cm="1">
        <f t="array" ref="B880">_xlfn.IFS(A880&lt;=25,"18-25",A880&lt;=35,"26-35",A880&lt;=45,"36-45",A880&lt;=55,"46-55",A880&gt;55,"56+")</f>
        <v>36-45</v>
      </c>
      <c r="C880" t="s">
        <v>39</v>
      </c>
      <c r="D880" t="s">
        <v>51</v>
      </c>
      <c r="E880" s="2">
        <v>179</v>
      </c>
      <c r="F880" t="s">
        <v>57</v>
      </c>
      <c r="G880">
        <v>2</v>
      </c>
      <c r="H880" t="str">
        <f t="shared" si="13"/>
        <v>1-10 km</v>
      </c>
      <c r="I880">
        <v>5</v>
      </c>
      <c r="J880" t="str" cm="1">
        <f t="array" ref="J880">_xlfn.IFS(I880=1,"Below College",I880=2,"College",I880=3,"Bachelor",I880=4,"Master",I880=5,"Doctor")</f>
        <v>Doctor</v>
      </c>
      <c r="K880" t="s">
        <v>47</v>
      </c>
      <c r="L880">
        <v>1231</v>
      </c>
      <c r="M880">
        <v>4</v>
      </c>
      <c r="N880" t="str" cm="1">
        <f t="array" ref="N880">_xlfn.IFS(M880=1,"Low",M880=2,"Medium",M880=3,"High",M880=4,"Very High")</f>
        <v>Very High</v>
      </c>
      <c r="O880" t="s">
        <v>42</v>
      </c>
      <c r="P880" s="2">
        <v>79</v>
      </c>
      <c r="Q880">
        <v>4</v>
      </c>
      <c r="R880" t="str" cm="1">
        <f t="array" ref="R880">_xlfn.IFS(Q880=1,"Low",Q880=2,"Medium",Q880=3,"High",Q880=4,"Very High")</f>
        <v>Very High</v>
      </c>
      <c r="S880">
        <v>2</v>
      </c>
      <c r="T880" t="str" cm="1">
        <f t="array" ref="T880">_xlfn.IFS(S880=1,"Entry Level",S880=2,"Junior",S880=3,"Mid-Level",S880=4,"Senior",S880=5,"Executive")</f>
        <v>Junior</v>
      </c>
      <c r="U880" t="s">
        <v>57</v>
      </c>
      <c r="V880">
        <v>1</v>
      </c>
      <c r="W880" t="str" cm="1">
        <f t="array" ref="W880">_xlfn.IFS(V880=1,"Low",V880=2,"Medium",V880=3,"High",V880=4,"Very High")</f>
        <v>Low</v>
      </c>
      <c r="X880" t="s">
        <v>44</v>
      </c>
      <c r="Y880" s="2">
        <v>6272</v>
      </c>
      <c r="Z880" s="2">
        <v>12858</v>
      </c>
      <c r="AA880">
        <v>7</v>
      </c>
      <c r="AB880" t="s">
        <v>39</v>
      </c>
      <c r="AC880">
        <v>16</v>
      </c>
      <c r="AD880">
        <v>3</v>
      </c>
      <c r="AE880" t="str" cm="1">
        <f t="array" ref="AE880">_xlfn.IFS(AD880=1,"Low",AD880=2,"Good",AD880=3,"Excellent",AD880=4,"Outstanding")</f>
        <v>Excellent</v>
      </c>
      <c r="AF880">
        <v>1</v>
      </c>
      <c r="AG880" t="str" cm="1">
        <f t="array" ref="AG880">_xlfn.IFS(AF880=1,"Low",AF880=2,"Medium",AF880=3,"High",AF880=4,"Very High")</f>
        <v>Low</v>
      </c>
      <c r="AH880">
        <v>1</v>
      </c>
      <c r="AI880">
        <v>10</v>
      </c>
      <c r="AJ880">
        <v>3</v>
      </c>
      <c r="AK880">
        <v>4</v>
      </c>
      <c r="AL880" t="str" cm="1">
        <f t="array" ref="AL880">_xlfn.IFS(AK880=1,"Low",AK880=2,"Medium",AK880=3,"High",AK880=4,"Very High")</f>
        <v>Very High</v>
      </c>
      <c r="AM880">
        <v>4</v>
      </c>
      <c r="AN880">
        <v>3</v>
      </c>
      <c r="AO880">
        <v>0</v>
      </c>
      <c r="AP880">
        <v>3</v>
      </c>
    </row>
    <row r="881" spans="1:42">
      <c r="A881">
        <v>60</v>
      </c>
      <c r="B881" t="str" cm="1">
        <f t="array" ref="B881">_xlfn.IFS(A881&lt;=25,"18-25",A881&lt;=35,"26-35",A881&lt;=45,"36-45",A881&lt;=55,"46-55",A881&gt;55,"56+")</f>
        <v>56+</v>
      </c>
      <c r="C881" t="s">
        <v>39</v>
      </c>
      <c r="D881" t="s">
        <v>33</v>
      </c>
      <c r="E881" s="2">
        <v>696</v>
      </c>
      <c r="F881" t="s">
        <v>34</v>
      </c>
      <c r="G881">
        <v>7</v>
      </c>
      <c r="H881" t="str">
        <f t="shared" si="13"/>
        <v>1-10 km</v>
      </c>
      <c r="I881">
        <v>4</v>
      </c>
      <c r="J881" t="str" cm="1">
        <f t="array" ref="J881">_xlfn.IFS(I881=1,"Below College",I881=2,"College",I881=3,"Bachelor",I881=4,"Master",I881=5,"Doctor")</f>
        <v>Master</v>
      </c>
      <c r="K881" t="s">
        <v>55</v>
      </c>
      <c r="L881">
        <v>1233</v>
      </c>
      <c r="M881">
        <v>2</v>
      </c>
      <c r="N881" t="str" cm="1">
        <f t="array" ref="N881">_xlfn.IFS(M881=1,"Low",M881=2,"Medium",M881=3,"High",M881=4,"Very High")</f>
        <v>Medium</v>
      </c>
      <c r="O881" t="s">
        <v>42</v>
      </c>
      <c r="P881" s="2">
        <v>52</v>
      </c>
      <c r="Q881">
        <v>4</v>
      </c>
      <c r="R881" t="str" cm="1">
        <f t="array" ref="R881">_xlfn.IFS(Q881=1,"Low",Q881=2,"Medium",Q881=3,"High",Q881=4,"Very High")</f>
        <v>Very High</v>
      </c>
      <c r="S881">
        <v>2</v>
      </c>
      <c r="T881" t="str" cm="1">
        <f t="array" ref="T881">_xlfn.IFS(S881=1,"Entry Level",S881=2,"Junior",S881=3,"Mid-Level",S881=4,"Senior",S881=5,"Executive")</f>
        <v>Junior</v>
      </c>
      <c r="U881" t="s">
        <v>37</v>
      </c>
      <c r="V881">
        <v>4</v>
      </c>
      <c r="W881" t="str" cm="1">
        <f t="array" ref="W881">_xlfn.IFS(V881=1,"Low",V881=2,"Medium",V881=3,"High",V881=4,"Very High")</f>
        <v>Very High</v>
      </c>
      <c r="X881" t="s">
        <v>48</v>
      </c>
      <c r="Y881" s="2">
        <v>5220</v>
      </c>
      <c r="Z881" s="2">
        <v>10893</v>
      </c>
      <c r="AA881">
        <v>0</v>
      </c>
      <c r="AB881" t="s">
        <v>32</v>
      </c>
      <c r="AC881">
        <v>18</v>
      </c>
      <c r="AD881">
        <v>3</v>
      </c>
      <c r="AE881" t="str" cm="1">
        <f t="array" ref="AE881">_xlfn.IFS(AD881=1,"Low",AD881=2,"Good",AD881=3,"Excellent",AD881=4,"Outstanding")</f>
        <v>Excellent</v>
      </c>
      <c r="AF881">
        <v>2</v>
      </c>
      <c r="AG881" t="str" cm="1">
        <f t="array" ref="AG881">_xlfn.IFS(AF881=1,"Low",AF881=2,"Medium",AF881=3,"High",AF881=4,"Very High")</f>
        <v>Medium</v>
      </c>
      <c r="AH881">
        <v>1</v>
      </c>
      <c r="AI881">
        <v>12</v>
      </c>
      <c r="AJ881">
        <v>3</v>
      </c>
      <c r="AK881">
        <v>3</v>
      </c>
      <c r="AL881" t="str" cm="1">
        <f t="array" ref="AL881">_xlfn.IFS(AK881=1,"Low",AK881=2,"Medium",AK881=3,"High",AK881=4,"Very High")</f>
        <v>High</v>
      </c>
      <c r="AM881">
        <v>11</v>
      </c>
      <c r="AN881">
        <v>7</v>
      </c>
      <c r="AO881">
        <v>1</v>
      </c>
      <c r="AP881">
        <v>9</v>
      </c>
    </row>
    <row r="882" spans="1:42">
      <c r="A882">
        <v>32</v>
      </c>
      <c r="B882" t="str" cm="1">
        <f t="array" ref="B882">_xlfn.IFS(A882&lt;=25,"18-25",A882&lt;=35,"26-35",A882&lt;=45,"36-45",A882&lt;=55,"46-55",A882&gt;55,"56+")</f>
        <v>26-35</v>
      </c>
      <c r="C882" t="s">
        <v>39</v>
      </c>
      <c r="D882" t="s">
        <v>40</v>
      </c>
      <c r="E882" s="2">
        <v>116</v>
      </c>
      <c r="F882" t="s">
        <v>41</v>
      </c>
      <c r="G882">
        <v>13</v>
      </c>
      <c r="H882" t="str">
        <f t="shared" si="13"/>
        <v>11-20 km</v>
      </c>
      <c r="I882">
        <v>3</v>
      </c>
      <c r="J882" t="str" cm="1">
        <f t="array" ref="J882">_xlfn.IFS(I882=1,"Below College",I882=2,"College",I882=3,"Bachelor",I882=4,"Master",I882=5,"Doctor")</f>
        <v>Bachelor</v>
      </c>
      <c r="K882" t="s">
        <v>45</v>
      </c>
      <c r="L882">
        <v>1234</v>
      </c>
      <c r="M882">
        <v>3</v>
      </c>
      <c r="N882" t="str" cm="1">
        <f t="array" ref="N882">_xlfn.IFS(M882=1,"Low",M882=2,"Medium",M882=3,"High",M882=4,"Very High")</f>
        <v>High</v>
      </c>
      <c r="O882" t="s">
        <v>36</v>
      </c>
      <c r="P882" s="2">
        <v>77</v>
      </c>
      <c r="Q882">
        <v>2</v>
      </c>
      <c r="R882" t="str" cm="1">
        <f t="array" ref="R882">_xlfn.IFS(Q882=1,"Low",Q882=2,"Medium",Q882=3,"High",Q882=4,"Very High")</f>
        <v>Medium</v>
      </c>
      <c r="S882">
        <v>1</v>
      </c>
      <c r="T882" t="str" cm="1">
        <f t="array" ref="T882">_xlfn.IFS(S882=1,"Entry Level",S882=2,"Junior",S882=3,"Mid-Level",S882=4,"Senior",S882=5,"Executive")</f>
        <v>Entry Level</v>
      </c>
      <c r="U882" t="s">
        <v>46</v>
      </c>
      <c r="V882">
        <v>2</v>
      </c>
      <c r="W882" t="str" cm="1">
        <f t="array" ref="W882">_xlfn.IFS(V882=1,"Low",V882=2,"Medium",V882=3,"High",V882=4,"Very High")</f>
        <v>Medium</v>
      </c>
      <c r="X882" t="s">
        <v>44</v>
      </c>
      <c r="Y882" s="2">
        <v>2743</v>
      </c>
      <c r="Z882" s="2">
        <v>7331</v>
      </c>
      <c r="AA882">
        <v>1</v>
      </c>
      <c r="AB882" t="s">
        <v>39</v>
      </c>
      <c r="AC882">
        <v>20</v>
      </c>
      <c r="AD882">
        <v>4</v>
      </c>
      <c r="AE882" t="str" cm="1">
        <f t="array" ref="AE882">_xlfn.IFS(AD882=1,"Low",AD882=2,"Good",AD882=3,"Excellent",AD882=4,"Outstanding")</f>
        <v>Outstanding</v>
      </c>
      <c r="AF882">
        <v>3</v>
      </c>
      <c r="AG882" t="str" cm="1">
        <f t="array" ref="AG882">_xlfn.IFS(AF882=1,"Low",AF882=2,"Medium",AF882=3,"High",AF882=4,"Very High")</f>
        <v>High</v>
      </c>
      <c r="AH882">
        <v>1</v>
      </c>
      <c r="AI882">
        <v>2</v>
      </c>
      <c r="AJ882">
        <v>2</v>
      </c>
      <c r="AK882">
        <v>3</v>
      </c>
      <c r="AL882" t="str" cm="1">
        <f t="array" ref="AL882">_xlfn.IFS(AK882=1,"Low",AK882=2,"Medium",AK882=3,"High",AK882=4,"Very High")</f>
        <v>High</v>
      </c>
      <c r="AM882">
        <v>2</v>
      </c>
      <c r="AN882">
        <v>2</v>
      </c>
      <c r="AO882">
        <v>2</v>
      </c>
      <c r="AP882">
        <v>2</v>
      </c>
    </row>
    <row r="883" spans="1:42">
      <c r="A883">
        <v>32</v>
      </c>
      <c r="B883" t="str" cm="1">
        <f t="array" ref="B883">_xlfn.IFS(A883&lt;=25,"18-25",A883&lt;=35,"26-35",A883&lt;=45,"36-45",A883&lt;=55,"46-55",A883&gt;55,"56+")</f>
        <v>26-35</v>
      </c>
      <c r="C883" t="s">
        <v>39</v>
      </c>
      <c r="D883" t="s">
        <v>40</v>
      </c>
      <c r="E883" s="2">
        <v>1316</v>
      </c>
      <c r="F883" t="s">
        <v>41</v>
      </c>
      <c r="G883">
        <v>2</v>
      </c>
      <c r="H883" t="str">
        <f t="shared" si="13"/>
        <v>1-10 km</v>
      </c>
      <c r="I883">
        <v>2</v>
      </c>
      <c r="J883" t="str" cm="1">
        <f t="array" ref="J883">_xlfn.IFS(I883=1,"Below College",I883=2,"College",I883=3,"Bachelor",I883=4,"Master",I883=5,"Doctor")</f>
        <v>College</v>
      </c>
      <c r="K883" t="s">
        <v>35</v>
      </c>
      <c r="L883">
        <v>1235</v>
      </c>
      <c r="M883">
        <v>4</v>
      </c>
      <c r="N883" t="str" cm="1">
        <f t="array" ref="N883">_xlfn.IFS(M883=1,"Low",M883=2,"Medium",M883=3,"High",M883=4,"Very High")</f>
        <v>Very High</v>
      </c>
      <c r="O883" t="s">
        <v>36</v>
      </c>
      <c r="P883" s="2">
        <v>38</v>
      </c>
      <c r="Q883">
        <v>3</v>
      </c>
      <c r="R883" t="str" cm="1">
        <f t="array" ref="R883">_xlfn.IFS(Q883=1,"Low",Q883=2,"Medium",Q883=3,"High",Q883=4,"Very High")</f>
        <v>High</v>
      </c>
      <c r="S883">
        <v>2</v>
      </c>
      <c r="T883" t="str" cm="1">
        <f t="array" ref="T883">_xlfn.IFS(S883=1,"Entry Level",S883=2,"Junior",S883=3,"Mid-Level",S883=4,"Senior",S883=5,"Executive")</f>
        <v>Junior</v>
      </c>
      <c r="U883" t="s">
        <v>43</v>
      </c>
      <c r="V883">
        <v>3</v>
      </c>
      <c r="W883" t="str" cm="1">
        <f t="array" ref="W883">_xlfn.IFS(V883=1,"Low",V883=2,"Medium",V883=3,"High",V883=4,"Very High")</f>
        <v>High</v>
      </c>
      <c r="X883" t="s">
        <v>38</v>
      </c>
      <c r="Y883" s="2">
        <v>4998</v>
      </c>
      <c r="Z883" s="2">
        <v>2338</v>
      </c>
      <c r="AA883">
        <v>4</v>
      </c>
      <c r="AB883" t="s">
        <v>32</v>
      </c>
      <c r="AC883">
        <v>14</v>
      </c>
      <c r="AD883">
        <v>3</v>
      </c>
      <c r="AE883" t="str" cm="1">
        <f t="array" ref="AE883">_xlfn.IFS(AD883=1,"Low",AD883=2,"Good",AD883=3,"Excellent",AD883=4,"Outstanding")</f>
        <v>Excellent</v>
      </c>
      <c r="AF883">
        <v>4</v>
      </c>
      <c r="AG883" t="str" cm="1">
        <f t="array" ref="AG883">_xlfn.IFS(AF883=1,"Low",AF883=2,"Medium",AF883=3,"High",AF883=4,"Very High")</f>
        <v>Very High</v>
      </c>
      <c r="AH883">
        <v>0</v>
      </c>
      <c r="AI883">
        <v>10</v>
      </c>
      <c r="AJ883">
        <v>2</v>
      </c>
      <c r="AK883">
        <v>3</v>
      </c>
      <c r="AL883" t="str" cm="1">
        <f t="array" ref="AL883">_xlfn.IFS(AK883=1,"Low",AK883=2,"Medium",AK883=3,"High",AK883=4,"Very High")</f>
        <v>High</v>
      </c>
      <c r="AM883">
        <v>8</v>
      </c>
      <c r="AN883">
        <v>7</v>
      </c>
      <c r="AO883">
        <v>0</v>
      </c>
      <c r="AP883">
        <v>7</v>
      </c>
    </row>
    <row r="884" spans="1:42">
      <c r="A884">
        <v>36</v>
      </c>
      <c r="B884" t="str" cm="1">
        <f t="array" ref="B884">_xlfn.IFS(A884&lt;=25,"18-25",A884&lt;=35,"26-35",A884&lt;=45,"36-45",A884&lt;=55,"46-55",A884&gt;55,"56+")</f>
        <v>36-45</v>
      </c>
      <c r="C884" t="s">
        <v>39</v>
      </c>
      <c r="D884" t="s">
        <v>33</v>
      </c>
      <c r="E884" s="2">
        <v>363</v>
      </c>
      <c r="F884" t="s">
        <v>41</v>
      </c>
      <c r="G884">
        <v>1</v>
      </c>
      <c r="H884" t="str">
        <f t="shared" si="13"/>
        <v>1-10 km</v>
      </c>
      <c r="I884">
        <v>3</v>
      </c>
      <c r="J884" t="str" cm="1">
        <f t="array" ref="J884">_xlfn.IFS(I884=1,"Below College",I884=2,"College",I884=3,"Bachelor",I884=4,"Master",I884=5,"Doctor")</f>
        <v>Bachelor</v>
      </c>
      <c r="K884" t="s">
        <v>56</v>
      </c>
      <c r="L884">
        <v>1237</v>
      </c>
      <c r="M884">
        <v>3</v>
      </c>
      <c r="N884" t="str" cm="1">
        <f t="array" ref="N884">_xlfn.IFS(M884=1,"Low",M884=2,"Medium",M884=3,"High",M884=4,"Very High")</f>
        <v>High</v>
      </c>
      <c r="O884" t="s">
        <v>36</v>
      </c>
      <c r="P884" s="2">
        <v>77</v>
      </c>
      <c r="Q884">
        <v>1</v>
      </c>
      <c r="R884" t="str" cm="1">
        <f t="array" ref="R884">_xlfn.IFS(Q884=1,"Low",Q884=2,"Medium",Q884=3,"High",Q884=4,"Very High")</f>
        <v>Low</v>
      </c>
      <c r="S884">
        <v>3</v>
      </c>
      <c r="T884" t="str" cm="1">
        <f t="array" ref="T884">_xlfn.IFS(S884=1,"Entry Level",S884=2,"Junior",S884=3,"Mid-Level",S884=4,"Senior",S884=5,"Executive")</f>
        <v>Mid-Level</v>
      </c>
      <c r="U884" t="s">
        <v>49</v>
      </c>
      <c r="V884">
        <v>1</v>
      </c>
      <c r="W884" t="str" cm="1">
        <f t="array" ref="W884">_xlfn.IFS(V884=1,"Low",V884=2,"Medium",V884=3,"High",V884=4,"Very High")</f>
        <v>Low</v>
      </c>
      <c r="X884" t="s">
        <v>48</v>
      </c>
      <c r="Y884" s="2">
        <v>10252</v>
      </c>
      <c r="Z884" s="2">
        <v>4235</v>
      </c>
      <c r="AA884">
        <v>2</v>
      </c>
      <c r="AB884" t="s">
        <v>32</v>
      </c>
      <c r="AC884">
        <v>21</v>
      </c>
      <c r="AD884">
        <v>4</v>
      </c>
      <c r="AE884" t="str" cm="1">
        <f t="array" ref="AE884">_xlfn.IFS(AD884=1,"Low",AD884=2,"Good",AD884=3,"Excellent",AD884=4,"Outstanding")</f>
        <v>Outstanding</v>
      </c>
      <c r="AF884">
        <v>3</v>
      </c>
      <c r="AG884" t="str" cm="1">
        <f t="array" ref="AG884">_xlfn.IFS(AF884=1,"Low",AF884=2,"Medium",AF884=3,"High",AF884=4,"Very High")</f>
        <v>High</v>
      </c>
      <c r="AH884">
        <v>1</v>
      </c>
      <c r="AI884">
        <v>17</v>
      </c>
      <c r="AJ884">
        <v>2</v>
      </c>
      <c r="AK884">
        <v>3</v>
      </c>
      <c r="AL884" t="str" cm="1">
        <f t="array" ref="AL884">_xlfn.IFS(AK884=1,"Low",AK884=2,"Medium",AK884=3,"High",AK884=4,"Very High")</f>
        <v>High</v>
      </c>
      <c r="AM884">
        <v>7</v>
      </c>
      <c r="AN884">
        <v>7</v>
      </c>
      <c r="AO884">
        <v>7</v>
      </c>
      <c r="AP884">
        <v>7</v>
      </c>
    </row>
    <row r="885" spans="1:42">
      <c r="A885">
        <v>33</v>
      </c>
      <c r="B885" t="str" cm="1">
        <f t="array" ref="B885">_xlfn.IFS(A885&lt;=25,"18-25",A885&lt;=35,"26-35",A885&lt;=45,"36-45",A885&lt;=55,"46-55",A885&gt;55,"56+")</f>
        <v>26-35</v>
      </c>
      <c r="C885" t="s">
        <v>39</v>
      </c>
      <c r="D885" t="s">
        <v>33</v>
      </c>
      <c r="E885" s="2">
        <v>117</v>
      </c>
      <c r="F885" t="s">
        <v>41</v>
      </c>
      <c r="G885">
        <v>9</v>
      </c>
      <c r="H885" t="str">
        <f t="shared" si="13"/>
        <v>1-10 km</v>
      </c>
      <c r="I885">
        <v>3</v>
      </c>
      <c r="J885" t="str" cm="1">
        <f t="array" ref="J885">_xlfn.IFS(I885=1,"Below College",I885=2,"College",I885=3,"Bachelor",I885=4,"Master",I885=5,"Doctor")</f>
        <v>Bachelor</v>
      </c>
      <c r="K885" t="s">
        <v>47</v>
      </c>
      <c r="L885">
        <v>1238</v>
      </c>
      <c r="M885">
        <v>1</v>
      </c>
      <c r="N885" t="str" cm="1">
        <f t="array" ref="N885">_xlfn.IFS(M885=1,"Low",M885=2,"Medium",M885=3,"High",M885=4,"Very High")</f>
        <v>Low</v>
      </c>
      <c r="O885" t="s">
        <v>42</v>
      </c>
      <c r="P885" s="2">
        <v>60</v>
      </c>
      <c r="Q885">
        <v>3</v>
      </c>
      <c r="R885" t="str" cm="1">
        <f t="array" ref="R885">_xlfn.IFS(Q885=1,"Low",Q885=2,"Medium",Q885=3,"High",Q885=4,"Very High")</f>
        <v>High</v>
      </c>
      <c r="S885">
        <v>1</v>
      </c>
      <c r="T885" t="str" cm="1">
        <f t="array" ref="T885">_xlfn.IFS(S885=1,"Entry Level",S885=2,"Junior",S885=3,"Mid-Level",S885=4,"Senior",S885=5,"Executive")</f>
        <v>Entry Level</v>
      </c>
      <c r="U885" t="s">
        <v>43</v>
      </c>
      <c r="V885">
        <v>4</v>
      </c>
      <c r="W885" t="str" cm="1">
        <f t="array" ref="W885">_xlfn.IFS(V885=1,"Low",V885=2,"Medium",V885=3,"High",V885=4,"Very High")</f>
        <v>Very High</v>
      </c>
      <c r="X885" t="s">
        <v>44</v>
      </c>
      <c r="Y885" s="2">
        <v>2781</v>
      </c>
      <c r="Z885" s="2">
        <v>6311</v>
      </c>
      <c r="AA885">
        <v>0</v>
      </c>
      <c r="AB885" t="s">
        <v>39</v>
      </c>
      <c r="AC885">
        <v>13</v>
      </c>
      <c r="AD885">
        <v>3</v>
      </c>
      <c r="AE885" t="str" cm="1">
        <f t="array" ref="AE885">_xlfn.IFS(AD885=1,"Low",AD885=2,"Good",AD885=3,"Excellent",AD885=4,"Outstanding")</f>
        <v>Excellent</v>
      </c>
      <c r="AF885">
        <v>2</v>
      </c>
      <c r="AG885" t="str" cm="1">
        <f t="array" ref="AG885">_xlfn.IFS(AF885=1,"Low",AF885=2,"Medium",AF885=3,"High",AF885=4,"Very High")</f>
        <v>Medium</v>
      </c>
      <c r="AH885">
        <v>1</v>
      </c>
      <c r="AI885">
        <v>15</v>
      </c>
      <c r="AJ885">
        <v>5</v>
      </c>
      <c r="AK885">
        <v>3</v>
      </c>
      <c r="AL885" t="str" cm="1">
        <f t="array" ref="AL885">_xlfn.IFS(AK885=1,"Low",AK885=2,"Medium",AK885=3,"High",AK885=4,"Very High")</f>
        <v>High</v>
      </c>
      <c r="AM885">
        <v>14</v>
      </c>
      <c r="AN885">
        <v>10</v>
      </c>
      <c r="AO885">
        <v>4</v>
      </c>
      <c r="AP885">
        <v>10</v>
      </c>
    </row>
    <row r="886" spans="1:42">
      <c r="A886">
        <v>40</v>
      </c>
      <c r="B886" t="str" cm="1">
        <f t="array" ref="B886">_xlfn.IFS(A886&lt;=25,"18-25",A886&lt;=35,"26-35",A886&lt;=45,"36-45",A886&lt;=55,"46-55",A886&gt;55,"56+")</f>
        <v>36-45</v>
      </c>
      <c r="C886" t="s">
        <v>39</v>
      </c>
      <c r="D886" t="s">
        <v>33</v>
      </c>
      <c r="E886" s="2">
        <v>107</v>
      </c>
      <c r="F886" t="s">
        <v>34</v>
      </c>
      <c r="G886">
        <v>10</v>
      </c>
      <c r="H886" t="str">
        <f t="shared" si="13"/>
        <v>1-10 km</v>
      </c>
      <c r="I886">
        <v>3</v>
      </c>
      <c r="J886" t="str" cm="1">
        <f t="array" ref="J886">_xlfn.IFS(I886=1,"Below College",I886=2,"College",I886=3,"Bachelor",I886=4,"Master",I886=5,"Doctor")</f>
        <v>Bachelor</v>
      </c>
      <c r="K886" t="s">
        <v>56</v>
      </c>
      <c r="L886">
        <v>1239</v>
      </c>
      <c r="M886">
        <v>2</v>
      </c>
      <c r="N886" t="str" cm="1">
        <f t="array" ref="N886">_xlfn.IFS(M886=1,"Low",M886=2,"Medium",M886=3,"High",M886=4,"Very High")</f>
        <v>Medium</v>
      </c>
      <c r="O886" t="s">
        <v>36</v>
      </c>
      <c r="P886" s="2">
        <v>84</v>
      </c>
      <c r="Q886">
        <v>2</v>
      </c>
      <c r="R886" t="str" cm="1">
        <f t="array" ref="R886">_xlfn.IFS(Q886=1,"Low",Q886=2,"Medium",Q886=3,"High",Q886=4,"Very High")</f>
        <v>Medium</v>
      </c>
      <c r="S886">
        <v>2</v>
      </c>
      <c r="T886" t="str" cm="1">
        <f t="array" ref="T886">_xlfn.IFS(S886=1,"Entry Level",S886=2,"Junior",S886=3,"Mid-Level",S886=4,"Senior",S886=5,"Executive")</f>
        <v>Junior</v>
      </c>
      <c r="U886" t="s">
        <v>37</v>
      </c>
      <c r="V886">
        <v>2</v>
      </c>
      <c r="W886" t="str" cm="1">
        <f t="array" ref="W886">_xlfn.IFS(V886=1,"Low",V886=2,"Medium",V886=3,"High",V886=4,"Very High")</f>
        <v>Medium</v>
      </c>
      <c r="X886" t="s">
        <v>48</v>
      </c>
      <c r="Y886" s="2">
        <v>6852</v>
      </c>
      <c r="Z886" s="2">
        <v>11591</v>
      </c>
      <c r="AA886">
        <v>7</v>
      </c>
      <c r="AB886" t="s">
        <v>39</v>
      </c>
      <c r="AC886">
        <v>12</v>
      </c>
      <c r="AD886">
        <v>3</v>
      </c>
      <c r="AE886" t="str" cm="1">
        <f t="array" ref="AE886">_xlfn.IFS(AD886=1,"Low",AD886=2,"Good",AD886=3,"Excellent",AD886=4,"Outstanding")</f>
        <v>Excellent</v>
      </c>
      <c r="AF886">
        <v>2</v>
      </c>
      <c r="AG886" t="str" cm="1">
        <f t="array" ref="AG886">_xlfn.IFS(AF886=1,"Low",AF886=2,"Medium",AF886=3,"High",AF886=4,"Very High")</f>
        <v>Medium</v>
      </c>
      <c r="AH886">
        <v>1</v>
      </c>
      <c r="AI886">
        <v>7</v>
      </c>
      <c r="AJ886">
        <v>2</v>
      </c>
      <c r="AK886">
        <v>4</v>
      </c>
      <c r="AL886" t="str" cm="1">
        <f t="array" ref="AL886">_xlfn.IFS(AK886=1,"Low",AK886=2,"Medium",AK886=3,"High",AK886=4,"Very High")</f>
        <v>Very High</v>
      </c>
      <c r="AM886">
        <v>5</v>
      </c>
      <c r="AN886">
        <v>1</v>
      </c>
      <c r="AO886">
        <v>1</v>
      </c>
      <c r="AP886">
        <v>3</v>
      </c>
    </row>
    <row r="887" spans="1:42">
      <c r="A887">
        <v>25</v>
      </c>
      <c r="B887" t="str" cm="1">
        <f t="array" ref="B887">_xlfn.IFS(A887&lt;=25,"18-25",A887&lt;=35,"26-35",A887&lt;=45,"36-45",A887&lt;=55,"46-55",A887&gt;55,"56+")</f>
        <v>18-25</v>
      </c>
      <c r="C887" t="s">
        <v>39</v>
      </c>
      <c r="D887" t="s">
        <v>33</v>
      </c>
      <c r="E887" s="2">
        <v>1356</v>
      </c>
      <c r="F887" t="s">
        <v>34</v>
      </c>
      <c r="G887">
        <v>10</v>
      </c>
      <c r="H887" t="str">
        <f t="shared" si="13"/>
        <v>1-10 km</v>
      </c>
      <c r="I887">
        <v>4</v>
      </c>
      <c r="J887" t="str" cm="1">
        <f t="array" ref="J887">_xlfn.IFS(I887=1,"Below College",I887=2,"College",I887=3,"Bachelor",I887=4,"Master",I887=5,"Doctor")</f>
        <v>Master</v>
      </c>
      <c r="K887" t="s">
        <v>35</v>
      </c>
      <c r="L887">
        <v>1240</v>
      </c>
      <c r="M887">
        <v>3</v>
      </c>
      <c r="N887" t="str" cm="1">
        <f t="array" ref="N887">_xlfn.IFS(M887=1,"Low",M887=2,"Medium",M887=3,"High",M887=4,"Very High")</f>
        <v>High</v>
      </c>
      <c r="O887" t="s">
        <v>42</v>
      </c>
      <c r="P887" s="2">
        <v>57</v>
      </c>
      <c r="Q887">
        <v>3</v>
      </c>
      <c r="R887" t="str" cm="1">
        <f t="array" ref="R887">_xlfn.IFS(Q887=1,"Low",Q887=2,"Medium",Q887=3,"High",Q887=4,"Very High")</f>
        <v>High</v>
      </c>
      <c r="S887">
        <v>2</v>
      </c>
      <c r="T887" t="str" cm="1">
        <f t="array" ref="T887">_xlfn.IFS(S887=1,"Entry Level",S887=2,"Junior",S887=3,"Mid-Level",S887=4,"Senior",S887=5,"Executive")</f>
        <v>Junior</v>
      </c>
      <c r="U887" t="s">
        <v>37</v>
      </c>
      <c r="V887">
        <v>4</v>
      </c>
      <c r="W887" t="str" cm="1">
        <f t="array" ref="W887">_xlfn.IFS(V887=1,"Low",V887=2,"Medium",V887=3,"High",V887=4,"Very High")</f>
        <v>Very High</v>
      </c>
      <c r="X887" t="s">
        <v>38</v>
      </c>
      <c r="Y887" s="2">
        <v>4950</v>
      </c>
      <c r="Z887" s="2">
        <v>20623</v>
      </c>
      <c r="AA887">
        <v>0</v>
      </c>
      <c r="AB887" t="s">
        <v>39</v>
      </c>
      <c r="AC887">
        <v>14</v>
      </c>
      <c r="AD887">
        <v>3</v>
      </c>
      <c r="AE887" t="str" cm="1">
        <f t="array" ref="AE887">_xlfn.IFS(AD887=1,"Low",AD887=2,"Good",AD887=3,"Excellent",AD887=4,"Outstanding")</f>
        <v>Excellent</v>
      </c>
      <c r="AF887">
        <v>2</v>
      </c>
      <c r="AG887" t="str" cm="1">
        <f t="array" ref="AG887">_xlfn.IFS(AF887=1,"Low",AF887=2,"Medium",AF887=3,"High",AF887=4,"Very High")</f>
        <v>Medium</v>
      </c>
      <c r="AH887">
        <v>0</v>
      </c>
      <c r="AI887">
        <v>5</v>
      </c>
      <c r="AJ887">
        <v>4</v>
      </c>
      <c r="AK887">
        <v>3</v>
      </c>
      <c r="AL887" t="str" cm="1">
        <f t="array" ref="AL887">_xlfn.IFS(AK887=1,"Low",AK887=2,"Medium",AK887=3,"High",AK887=4,"Very High")</f>
        <v>High</v>
      </c>
      <c r="AM887">
        <v>4</v>
      </c>
      <c r="AN887">
        <v>3</v>
      </c>
      <c r="AO887">
        <v>1</v>
      </c>
      <c r="AP887">
        <v>1</v>
      </c>
    </row>
    <row r="888" spans="1:42">
      <c r="A888">
        <v>30</v>
      </c>
      <c r="B888" t="str" cm="1">
        <f t="array" ref="B888">_xlfn.IFS(A888&lt;=25,"18-25",A888&lt;=35,"26-35",A888&lt;=45,"36-45",A888&lt;=55,"46-55",A888&gt;55,"56+")</f>
        <v>26-35</v>
      </c>
      <c r="C888" t="s">
        <v>39</v>
      </c>
      <c r="D888" t="s">
        <v>33</v>
      </c>
      <c r="E888" s="2">
        <v>1465</v>
      </c>
      <c r="F888" t="s">
        <v>41</v>
      </c>
      <c r="G888">
        <v>1</v>
      </c>
      <c r="H888" t="str">
        <f t="shared" si="13"/>
        <v>1-10 km</v>
      </c>
      <c r="I888">
        <v>3</v>
      </c>
      <c r="J888" t="str" cm="1">
        <f t="array" ref="J888">_xlfn.IFS(I888=1,"Below College",I888=2,"College",I888=3,"Bachelor",I888=4,"Master",I888=5,"Doctor")</f>
        <v>Bachelor</v>
      </c>
      <c r="K888" t="s">
        <v>47</v>
      </c>
      <c r="L888">
        <v>1241</v>
      </c>
      <c r="M888">
        <v>4</v>
      </c>
      <c r="N888" t="str" cm="1">
        <f t="array" ref="N888">_xlfn.IFS(M888=1,"Low",M888=2,"Medium",M888=3,"High",M888=4,"Very High")</f>
        <v>Very High</v>
      </c>
      <c r="O888" t="s">
        <v>42</v>
      </c>
      <c r="P888" s="2">
        <v>63</v>
      </c>
      <c r="Q888">
        <v>3</v>
      </c>
      <c r="R888" t="str" cm="1">
        <f t="array" ref="R888">_xlfn.IFS(Q888=1,"Low",Q888=2,"Medium",Q888=3,"High",Q888=4,"Very High")</f>
        <v>High</v>
      </c>
      <c r="S888">
        <v>1</v>
      </c>
      <c r="T888" t="str" cm="1">
        <f t="array" ref="T888">_xlfn.IFS(S888=1,"Entry Level",S888=2,"Junior",S888=3,"Mid-Level",S888=4,"Senior",S888=5,"Executive")</f>
        <v>Entry Level</v>
      </c>
      <c r="U888" t="s">
        <v>43</v>
      </c>
      <c r="V888">
        <v>2</v>
      </c>
      <c r="W888" t="str" cm="1">
        <f t="array" ref="W888">_xlfn.IFS(V888=1,"Low",V888=2,"Medium",V888=3,"High",V888=4,"Very High")</f>
        <v>Medium</v>
      </c>
      <c r="X888" t="s">
        <v>44</v>
      </c>
      <c r="Y888" s="2">
        <v>3579</v>
      </c>
      <c r="Z888" s="2">
        <v>9369</v>
      </c>
      <c r="AA888">
        <v>0</v>
      </c>
      <c r="AB888" t="s">
        <v>32</v>
      </c>
      <c r="AC888">
        <v>21</v>
      </c>
      <c r="AD888">
        <v>4</v>
      </c>
      <c r="AE888" t="str" cm="1">
        <f t="array" ref="AE888">_xlfn.IFS(AD888=1,"Low",AD888=2,"Good",AD888=3,"Excellent",AD888=4,"Outstanding")</f>
        <v>Outstanding</v>
      </c>
      <c r="AF888">
        <v>1</v>
      </c>
      <c r="AG888" t="str" cm="1">
        <f t="array" ref="AG888">_xlfn.IFS(AF888=1,"Low",AF888=2,"Medium",AF888=3,"High",AF888=4,"Very High")</f>
        <v>Low</v>
      </c>
      <c r="AH888">
        <v>1</v>
      </c>
      <c r="AI888">
        <v>12</v>
      </c>
      <c r="AJ888">
        <v>2</v>
      </c>
      <c r="AK888">
        <v>3</v>
      </c>
      <c r="AL888" t="str" cm="1">
        <f t="array" ref="AL888">_xlfn.IFS(AK888=1,"Low",AK888=2,"Medium",AK888=3,"High",AK888=4,"Very High")</f>
        <v>High</v>
      </c>
      <c r="AM888">
        <v>11</v>
      </c>
      <c r="AN888">
        <v>9</v>
      </c>
      <c r="AO888">
        <v>5</v>
      </c>
      <c r="AP888">
        <v>7</v>
      </c>
    </row>
    <row r="889" spans="1:42">
      <c r="A889">
        <v>42</v>
      </c>
      <c r="B889" t="str" cm="1">
        <f t="array" ref="B889">_xlfn.IFS(A889&lt;=25,"18-25",A889&lt;=35,"26-35",A889&lt;=45,"36-45",A889&lt;=55,"46-55",A889&gt;55,"56+")</f>
        <v>36-45</v>
      </c>
      <c r="C889" t="s">
        <v>39</v>
      </c>
      <c r="D889" t="s">
        <v>40</v>
      </c>
      <c r="E889" s="2">
        <v>458</v>
      </c>
      <c r="F889" t="s">
        <v>41</v>
      </c>
      <c r="G889">
        <v>26</v>
      </c>
      <c r="H889" t="str">
        <f t="shared" si="13"/>
        <v>21-30 km</v>
      </c>
      <c r="I889">
        <v>5</v>
      </c>
      <c r="J889" t="str" cm="1">
        <f t="array" ref="J889">_xlfn.IFS(I889=1,"Below College",I889=2,"College",I889=3,"Bachelor",I889=4,"Master",I889=5,"Doctor")</f>
        <v>Doctor</v>
      </c>
      <c r="K889" t="s">
        <v>47</v>
      </c>
      <c r="L889">
        <v>1242</v>
      </c>
      <c r="M889">
        <v>1</v>
      </c>
      <c r="N889" t="str" cm="1">
        <f t="array" ref="N889">_xlfn.IFS(M889=1,"Low",M889=2,"Medium",M889=3,"High",M889=4,"Very High")</f>
        <v>Low</v>
      </c>
      <c r="O889" t="s">
        <v>36</v>
      </c>
      <c r="P889" s="2">
        <v>60</v>
      </c>
      <c r="Q889">
        <v>3</v>
      </c>
      <c r="R889" t="str" cm="1">
        <f t="array" ref="R889">_xlfn.IFS(Q889=1,"Low",Q889=2,"Medium",Q889=3,"High",Q889=4,"Very High")</f>
        <v>High</v>
      </c>
      <c r="S889">
        <v>3</v>
      </c>
      <c r="T889" t="str" cm="1">
        <f t="array" ref="T889">_xlfn.IFS(S889=1,"Entry Level",S889=2,"Junior",S889=3,"Mid-Level",S889=4,"Senior",S889=5,"Executive")</f>
        <v>Mid-Level</v>
      </c>
      <c r="U889" t="s">
        <v>54</v>
      </c>
      <c r="V889">
        <v>1</v>
      </c>
      <c r="W889" t="str" cm="1">
        <f t="array" ref="W889">_xlfn.IFS(V889=1,"Low",V889=2,"Medium",V889=3,"High",V889=4,"Very High")</f>
        <v>Low</v>
      </c>
      <c r="X889" t="s">
        <v>44</v>
      </c>
      <c r="Y889" s="2">
        <v>13191</v>
      </c>
      <c r="Z889" s="2">
        <v>23281</v>
      </c>
      <c r="AA889">
        <v>3</v>
      </c>
      <c r="AB889" t="s">
        <v>32</v>
      </c>
      <c r="AC889">
        <v>17</v>
      </c>
      <c r="AD889">
        <v>3</v>
      </c>
      <c r="AE889" t="str" cm="1">
        <f t="array" ref="AE889">_xlfn.IFS(AD889=1,"Low",AD889=2,"Good",AD889=3,"Excellent",AD889=4,"Outstanding")</f>
        <v>Excellent</v>
      </c>
      <c r="AF889">
        <v>3</v>
      </c>
      <c r="AG889" t="str" cm="1">
        <f t="array" ref="AG889">_xlfn.IFS(AF889=1,"Low",AF889=2,"Medium",AF889=3,"High",AF889=4,"Very High")</f>
        <v>High</v>
      </c>
      <c r="AH889">
        <v>0</v>
      </c>
      <c r="AI889">
        <v>20</v>
      </c>
      <c r="AJ889">
        <v>6</v>
      </c>
      <c r="AK889">
        <v>3</v>
      </c>
      <c r="AL889" t="str" cm="1">
        <f t="array" ref="AL889">_xlfn.IFS(AK889=1,"Low",AK889=2,"Medium",AK889=3,"High",AK889=4,"Very High")</f>
        <v>High</v>
      </c>
      <c r="AM889">
        <v>1</v>
      </c>
      <c r="AN889">
        <v>0</v>
      </c>
      <c r="AO889">
        <v>0</v>
      </c>
      <c r="AP889">
        <v>0</v>
      </c>
    </row>
    <row r="890" spans="1:42">
      <c r="A890">
        <v>35</v>
      </c>
      <c r="B890" t="str" cm="1">
        <f t="array" ref="B890">_xlfn.IFS(A890&lt;=25,"18-25",A890&lt;=35,"26-35",A890&lt;=45,"36-45",A890&lt;=55,"46-55",A890&gt;55,"56+")</f>
        <v>26-35</v>
      </c>
      <c r="C890" t="s">
        <v>39</v>
      </c>
      <c r="D890" t="s">
        <v>51</v>
      </c>
      <c r="E890" s="2">
        <v>1212</v>
      </c>
      <c r="F890" t="s">
        <v>34</v>
      </c>
      <c r="G890">
        <v>8</v>
      </c>
      <c r="H890" t="str">
        <f t="shared" si="13"/>
        <v>1-10 km</v>
      </c>
      <c r="I890">
        <v>2</v>
      </c>
      <c r="J890" t="str" cm="1">
        <f t="array" ref="J890">_xlfn.IFS(I890=1,"Below College",I890=2,"College",I890=3,"Bachelor",I890=4,"Master",I890=5,"Doctor")</f>
        <v>College</v>
      </c>
      <c r="K890" t="s">
        <v>55</v>
      </c>
      <c r="L890">
        <v>1243</v>
      </c>
      <c r="M890">
        <v>3</v>
      </c>
      <c r="N890" t="str" cm="1">
        <f t="array" ref="N890">_xlfn.IFS(M890=1,"Low",M890=2,"Medium",M890=3,"High",M890=4,"Very High")</f>
        <v>High</v>
      </c>
      <c r="O890" t="s">
        <v>36</v>
      </c>
      <c r="P890" s="2">
        <v>78</v>
      </c>
      <c r="Q890">
        <v>2</v>
      </c>
      <c r="R890" t="str" cm="1">
        <f t="array" ref="R890">_xlfn.IFS(Q890=1,"Low",Q890=2,"Medium",Q890=3,"High",Q890=4,"Very High")</f>
        <v>Medium</v>
      </c>
      <c r="S890">
        <v>3</v>
      </c>
      <c r="T890" t="str" cm="1">
        <f t="array" ref="T890">_xlfn.IFS(S890=1,"Entry Level",S890=2,"Junior",S890=3,"Mid-Level",S890=4,"Senior",S890=5,"Executive")</f>
        <v>Mid-Level</v>
      </c>
      <c r="U890" t="s">
        <v>37</v>
      </c>
      <c r="V890">
        <v>4</v>
      </c>
      <c r="W890" t="str" cm="1">
        <f t="array" ref="W890">_xlfn.IFS(V890=1,"Low",V890=2,"Medium",V890=3,"High",V890=4,"Very High")</f>
        <v>Very High</v>
      </c>
      <c r="X890" t="s">
        <v>44</v>
      </c>
      <c r="Y890" s="2">
        <v>10377</v>
      </c>
      <c r="Z890" s="2">
        <v>13755</v>
      </c>
      <c r="AA890">
        <v>4</v>
      </c>
      <c r="AB890" t="s">
        <v>32</v>
      </c>
      <c r="AC890">
        <v>11</v>
      </c>
      <c r="AD890">
        <v>3</v>
      </c>
      <c r="AE890" t="str" cm="1">
        <f t="array" ref="AE890">_xlfn.IFS(AD890=1,"Low",AD890=2,"Good",AD890=3,"Excellent",AD890=4,"Outstanding")</f>
        <v>Excellent</v>
      </c>
      <c r="AF890">
        <v>2</v>
      </c>
      <c r="AG890" t="str" cm="1">
        <f t="array" ref="AG890">_xlfn.IFS(AF890=1,"Low",AF890=2,"Medium",AF890=3,"High",AF890=4,"Very High")</f>
        <v>Medium</v>
      </c>
      <c r="AH890">
        <v>1</v>
      </c>
      <c r="AI890">
        <v>16</v>
      </c>
      <c r="AJ890">
        <v>6</v>
      </c>
      <c r="AK890">
        <v>2</v>
      </c>
      <c r="AL890" t="str" cm="1">
        <f t="array" ref="AL890">_xlfn.IFS(AK890=1,"Low",AK890=2,"Medium",AK890=3,"High",AK890=4,"Very High")</f>
        <v>Medium</v>
      </c>
      <c r="AM890">
        <v>13</v>
      </c>
      <c r="AN890">
        <v>2</v>
      </c>
      <c r="AO890">
        <v>4</v>
      </c>
      <c r="AP890">
        <v>12</v>
      </c>
    </row>
    <row r="891" spans="1:42">
      <c r="A891">
        <v>27</v>
      </c>
      <c r="B891" t="str" cm="1">
        <f t="array" ref="B891">_xlfn.IFS(A891&lt;=25,"18-25",A891&lt;=35,"26-35",A891&lt;=45,"36-45",A891&lt;=55,"46-55",A891&gt;55,"56+")</f>
        <v>26-35</v>
      </c>
      <c r="C891" t="s">
        <v>39</v>
      </c>
      <c r="D891" t="s">
        <v>33</v>
      </c>
      <c r="E891" s="2">
        <v>1103</v>
      </c>
      <c r="F891" t="s">
        <v>41</v>
      </c>
      <c r="G891">
        <v>14</v>
      </c>
      <c r="H891" t="str">
        <f t="shared" si="13"/>
        <v>11-20 km</v>
      </c>
      <c r="I891">
        <v>3</v>
      </c>
      <c r="J891" t="str" cm="1">
        <f t="array" ref="J891">_xlfn.IFS(I891=1,"Below College",I891=2,"College",I891=3,"Bachelor",I891=4,"Master",I891=5,"Doctor")</f>
        <v>Bachelor</v>
      </c>
      <c r="K891" t="s">
        <v>35</v>
      </c>
      <c r="L891">
        <v>1244</v>
      </c>
      <c r="M891">
        <v>1</v>
      </c>
      <c r="N891" t="str" cm="1">
        <f t="array" ref="N891">_xlfn.IFS(M891=1,"Low",M891=2,"Medium",M891=3,"High",M891=4,"Very High")</f>
        <v>Low</v>
      </c>
      <c r="O891" t="s">
        <v>42</v>
      </c>
      <c r="P891" s="2">
        <v>42</v>
      </c>
      <c r="Q891">
        <v>3</v>
      </c>
      <c r="R891" t="str" cm="1">
        <f t="array" ref="R891">_xlfn.IFS(Q891=1,"Low",Q891=2,"Medium",Q891=3,"High",Q891=4,"Very High")</f>
        <v>High</v>
      </c>
      <c r="S891">
        <v>1</v>
      </c>
      <c r="T891" t="str" cm="1">
        <f t="array" ref="T891">_xlfn.IFS(S891=1,"Entry Level",S891=2,"Junior",S891=3,"Mid-Level",S891=4,"Senior",S891=5,"Executive")</f>
        <v>Entry Level</v>
      </c>
      <c r="U891" t="s">
        <v>43</v>
      </c>
      <c r="V891">
        <v>1</v>
      </c>
      <c r="W891" t="str" cm="1">
        <f t="array" ref="W891">_xlfn.IFS(V891=1,"Low",V891=2,"Medium",V891=3,"High",V891=4,"Very High")</f>
        <v>Low</v>
      </c>
      <c r="X891" t="s">
        <v>44</v>
      </c>
      <c r="Y891" s="2">
        <v>2235</v>
      </c>
      <c r="Z891" s="2">
        <v>14377</v>
      </c>
      <c r="AA891">
        <v>1</v>
      </c>
      <c r="AB891" t="s">
        <v>32</v>
      </c>
      <c r="AC891">
        <v>14</v>
      </c>
      <c r="AD891">
        <v>3</v>
      </c>
      <c r="AE891" t="str" cm="1">
        <f t="array" ref="AE891">_xlfn.IFS(AD891=1,"Low",AD891=2,"Good",AD891=3,"Excellent",AD891=4,"Outstanding")</f>
        <v>Excellent</v>
      </c>
      <c r="AF891">
        <v>4</v>
      </c>
      <c r="AG891" t="str" cm="1">
        <f t="array" ref="AG891">_xlfn.IFS(AF891=1,"Low",AF891=2,"Medium",AF891=3,"High",AF891=4,"Very High")</f>
        <v>Very High</v>
      </c>
      <c r="AH891">
        <v>2</v>
      </c>
      <c r="AI891">
        <v>9</v>
      </c>
      <c r="AJ891">
        <v>3</v>
      </c>
      <c r="AK891">
        <v>2</v>
      </c>
      <c r="AL891" t="str" cm="1">
        <f t="array" ref="AL891">_xlfn.IFS(AK891=1,"Low",AK891=2,"Medium",AK891=3,"High",AK891=4,"Very High")</f>
        <v>Medium</v>
      </c>
      <c r="AM891">
        <v>9</v>
      </c>
      <c r="AN891">
        <v>7</v>
      </c>
      <c r="AO891">
        <v>6</v>
      </c>
      <c r="AP891">
        <v>8</v>
      </c>
    </row>
    <row r="892" spans="1:42">
      <c r="A892">
        <v>54</v>
      </c>
      <c r="B892" t="str" cm="1">
        <f t="array" ref="B892">_xlfn.IFS(A892&lt;=25,"18-25",A892&lt;=35,"26-35",A892&lt;=45,"36-45",A892&lt;=55,"46-55",A892&gt;55,"56+")</f>
        <v>46-55</v>
      </c>
      <c r="C892" t="s">
        <v>39</v>
      </c>
      <c r="D892" t="s">
        <v>40</v>
      </c>
      <c r="E892" s="2">
        <v>966</v>
      </c>
      <c r="F892" t="s">
        <v>41</v>
      </c>
      <c r="G892">
        <v>1</v>
      </c>
      <c r="H892" t="str">
        <f t="shared" si="13"/>
        <v>1-10 km</v>
      </c>
      <c r="I892">
        <v>4</v>
      </c>
      <c r="J892" t="str" cm="1">
        <f t="array" ref="J892">_xlfn.IFS(I892=1,"Below College",I892=2,"College",I892=3,"Bachelor",I892=4,"Master",I892=5,"Doctor")</f>
        <v>Master</v>
      </c>
      <c r="K892" t="s">
        <v>35</v>
      </c>
      <c r="L892">
        <v>1245</v>
      </c>
      <c r="M892">
        <v>4</v>
      </c>
      <c r="N892" t="str" cm="1">
        <f t="array" ref="N892">_xlfn.IFS(M892=1,"Low",M892=2,"Medium",M892=3,"High",M892=4,"Very High")</f>
        <v>Very High</v>
      </c>
      <c r="O892" t="s">
        <v>36</v>
      </c>
      <c r="P892" s="2">
        <v>53</v>
      </c>
      <c r="Q892">
        <v>3</v>
      </c>
      <c r="R892" t="str" cm="1">
        <f t="array" ref="R892">_xlfn.IFS(Q892=1,"Low",Q892=2,"Medium",Q892=3,"High",Q892=4,"Very High")</f>
        <v>High</v>
      </c>
      <c r="S892">
        <v>3</v>
      </c>
      <c r="T892" t="str" cm="1">
        <f t="array" ref="T892">_xlfn.IFS(S892=1,"Entry Level",S892=2,"Junior",S892=3,"Mid-Level",S892=4,"Senior",S892=5,"Executive")</f>
        <v>Mid-Level</v>
      </c>
      <c r="U892" t="s">
        <v>49</v>
      </c>
      <c r="V892">
        <v>3</v>
      </c>
      <c r="W892" t="str" cm="1">
        <f t="array" ref="W892">_xlfn.IFS(V892=1,"Low",V892=2,"Medium",V892=3,"High",V892=4,"Very High")</f>
        <v>High</v>
      </c>
      <c r="X892" t="s">
        <v>48</v>
      </c>
      <c r="Y892" s="2">
        <v>10502</v>
      </c>
      <c r="Z892" s="2">
        <v>9659</v>
      </c>
      <c r="AA892">
        <v>7</v>
      </c>
      <c r="AB892" t="s">
        <v>39</v>
      </c>
      <c r="AC892">
        <v>17</v>
      </c>
      <c r="AD892">
        <v>3</v>
      </c>
      <c r="AE892" t="str" cm="1">
        <f t="array" ref="AE892">_xlfn.IFS(AD892=1,"Low",AD892=2,"Good",AD892=3,"Excellent",AD892=4,"Outstanding")</f>
        <v>Excellent</v>
      </c>
      <c r="AF892">
        <v>1</v>
      </c>
      <c r="AG892" t="str" cm="1">
        <f t="array" ref="AG892">_xlfn.IFS(AF892=1,"Low",AF892=2,"Medium",AF892=3,"High",AF892=4,"Very High")</f>
        <v>Low</v>
      </c>
      <c r="AH892">
        <v>1</v>
      </c>
      <c r="AI892">
        <v>33</v>
      </c>
      <c r="AJ892">
        <v>2</v>
      </c>
      <c r="AK892">
        <v>1</v>
      </c>
      <c r="AL892" t="str" cm="1">
        <f t="array" ref="AL892">_xlfn.IFS(AK892=1,"Low",AK892=2,"Medium",AK892=3,"High",AK892=4,"Very High")</f>
        <v>Low</v>
      </c>
      <c r="AM892">
        <v>5</v>
      </c>
      <c r="AN892">
        <v>4</v>
      </c>
      <c r="AO892">
        <v>1</v>
      </c>
      <c r="AP892">
        <v>4</v>
      </c>
    </row>
    <row r="893" spans="1:42">
      <c r="A893">
        <v>44</v>
      </c>
      <c r="B893" t="str" cm="1">
        <f t="array" ref="B893">_xlfn.IFS(A893&lt;=25,"18-25",A893&lt;=35,"26-35",A893&lt;=45,"36-45",A893&lt;=55,"46-55",A893&gt;55,"56+")</f>
        <v>36-45</v>
      </c>
      <c r="C893" t="s">
        <v>39</v>
      </c>
      <c r="D893" t="s">
        <v>33</v>
      </c>
      <c r="E893" s="2">
        <v>1117</v>
      </c>
      <c r="F893" t="s">
        <v>41</v>
      </c>
      <c r="G893">
        <v>2</v>
      </c>
      <c r="H893" t="str">
        <f t="shared" si="13"/>
        <v>1-10 km</v>
      </c>
      <c r="I893">
        <v>1</v>
      </c>
      <c r="J893" t="str" cm="1">
        <f t="array" ref="J893">_xlfn.IFS(I893=1,"Below College",I893=2,"College",I893=3,"Bachelor",I893=4,"Master",I893=5,"Doctor")</f>
        <v>Below College</v>
      </c>
      <c r="K893" t="s">
        <v>35</v>
      </c>
      <c r="L893">
        <v>1246</v>
      </c>
      <c r="M893">
        <v>1</v>
      </c>
      <c r="N893" t="str" cm="1">
        <f t="array" ref="N893">_xlfn.IFS(M893=1,"Low",M893=2,"Medium",M893=3,"High",M893=4,"Very High")</f>
        <v>Low</v>
      </c>
      <c r="O893" t="s">
        <v>36</v>
      </c>
      <c r="P893" s="2">
        <v>72</v>
      </c>
      <c r="Q893">
        <v>4</v>
      </c>
      <c r="R893" t="str" cm="1">
        <f t="array" ref="R893">_xlfn.IFS(Q893=1,"Low",Q893=2,"Medium",Q893=3,"High",Q893=4,"Very High")</f>
        <v>Very High</v>
      </c>
      <c r="S893">
        <v>1</v>
      </c>
      <c r="T893" t="str" cm="1">
        <f t="array" ref="T893">_xlfn.IFS(S893=1,"Entry Level",S893=2,"Junior",S893=3,"Mid-Level",S893=4,"Senior",S893=5,"Executive")</f>
        <v>Entry Level</v>
      </c>
      <c r="U893" t="s">
        <v>43</v>
      </c>
      <c r="V893">
        <v>4</v>
      </c>
      <c r="W893" t="str" cm="1">
        <f t="array" ref="W893">_xlfn.IFS(V893=1,"Low",V893=2,"Medium",V893=3,"High",V893=4,"Very High")</f>
        <v>Very High</v>
      </c>
      <c r="X893" t="s">
        <v>44</v>
      </c>
      <c r="Y893" s="2">
        <v>2011</v>
      </c>
      <c r="Z893" s="2">
        <v>19982</v>
      </c>
      <c r="AA893">
        <v>1</v>
      </c>
      <c r="AB893" t="s">
        <v>39</v>
      </c>
      <c r="AC893">
        <v>13</v>
      </c>
      <c r="AD893">
        <v>3</v>
      </c>
      <c r="AE893" t="str" cm="1">
        <f t="array" ref="AE893">_xlfn.IFS(AD893=1,"Low",AD893=2,"Good",AD893=3,"Excellent",AD893=4,"Outstanding")</f>
        <v>Excellent</v>
      </c>
      <c r="AF893">
        <v>4</v>
      </c>
      <c r="AG893" t="str" cm="1">
        <f t="array" ref="AG893">_xlfn.IFS(AF893=1,"Low",AF893=2,"Medium",AF893=3,"High",AF893=4,"Very High")</f>
        <v>Very High</v>
      </c>
      <c r="AH893">
        <v>1</v>
      </c>
      <c r="AI893">
        <v>10</v>
      </c>
      <c r="AJ893">
        <v>5</v>
      </c>
      <c r="AK893">
        <v>3</v>
      </c>
      <c r="AL893" t="str" cm="1">
        <f t="array" ref="AL893">_xlfn.IFS(AK893=1,"Low",AK893=2,"Medium",AK893=3,"High",AK893=4,"Very High")</f>
        <v>High</v>
      </c>
      <c r="AM893">
        <v>10</v>
      </c>
      <c r="AN893">
        <v>5</v>
      </c>
      <c r="AO893">
        <v>7</v>
      </c>
      <c r="AP893">
        <v>7</v>
      </c>
    </row>
    <row r="894" spans="1:42">
      <c r="A894">
        <v>19</v>
      </c>
      <c r="B894" t="str" cm="1">
        <f t="array" ref="B894">_xlfn.IFS(A894&lt;=25,"18-25",A894&lt;=35,"26-35",A894&lt;=45,"36-45",A894&lt;=55,"46-55",A894&gt;55,"56+")</f>
        <v>18-25</v>
      </c>
      <c r="C894" t="s">
        <v>32</v>
      </c>
      <c r="D894" t="s">
        <v>51</v>
      </c>
      <c r="E894" s="2">
        <v>504</v>
      </c>
      <c r="F894" t="s">
        <v>41</v>
      </c>
      <c r="G894">
        <v>10</v>
      </c>
      <c r="H894" t="str">
        <f t="shared" si="13"/>
        <v>1-10 km</v>
      </c>
      <c r="I894">
        <v>3</v>
      </c>
      <c r="J894" t="str" cm="1">
        <f t="array" ref="J894">_xlfn.IFS(I894=1,"Below College",I894=2,"College",I894=3,"Bachelor",I894=4,"Master",I894=5,"Doctor")</f>
        <v>Bachelor</v>
      </c>
      <c r="K894" t="s">
        <v>47</v>
      </c>
      <c r="L894">
        <v>1248</v>
      </c>
      <c r="M894">
        <v>1</v>
      </c>
      <c r="N894" t="str" cm="1">
        <f t="array" ref="N894">_xlfn.IFS(M894=1,"Low",M894=2,"Medium",M894=3,"High",M894=4,"Very High")</f>
        <v>Low</v>
      </c>
      <c r="O894" t="s">
        <v>36</v>
      </c>
      <c r="P894" s="2">
        <v>96</v>
      </c>
      <c r="Q894">
        <v>2</v>
      </c>
      <c r="R894" t="str" cm="1">
        <f t="array" ref="R894">_xlfn.IFS(Q894=1,"Low",Q894=2,"Medium",Q894=3,"High",Q894=4,"Very High")</f>
        <v>Medium</v>
      </c>
      <c r="S894">
        <v>1</v>
      </c>
      <c r="T894" t="str" cm="1">
        <f t="array" ref="T894">_xlfn.IFS(S894=1,"Entry Level",S894=2,"Junior",S894=3,"Mid-Level",S894=4,"Senior",S894=5,"Executive")</f>
        <v>Entry Level</v>
      </c>
      <c r="U894" t="s">
        <v>43</v>
      </c>
      <c r="V894">
        <v>2</v>
      </c>
      <c r="W894" t="str" cm="1">
        <f t="array" ref="W894">_xlfn.IFS(V894=1,"Low",V894=2,"Medium",V894=3,"High",V894=4,"Very High")</f>
        <v>Medium</v>
      </c>
      <c r="X894" t="s">
        <v>38</v>
      </c>
      <c r="Y894" s="2">
        <v>1859</v>
      </c>
      <c r="Z894" s="2">
        <v>6148</v>
      </c>
      <c r="AA894">
        <v>1</v>
      </c>
      <c r="AB894" t="s">
        <v>32</v>
      </c>
      <c r="AC894">
        <v>25</v>
      </c>
      <c r="AD894">
        <v>4</v>
      </c>
      <c r="AE894" t="str" cm="1">
        <f t="array" ref="AE894">_xlfn.IFS(AD894=1,"Low",AD894=2,"Good",AD894=3,"Excellent",AD894=4,"Outstanding")</f>
        <v>Outstanding</v>
      </c>
      <c r="AF894">
        <v>2</v>
      </c>
      <c r="AG894" t="str" cm="1">
        <f t="array" ref="AG894">_xlfn.IFS(AF894=1,"Low",AF894=2,"Medium",AF894=3,"High",AF894=4,"Very High")</f>
        <v>Medium</v>
      </c>
      <c r="AH894">
        <v>0</v>
      </c>
      <c r="AI894">
        <v>1</v>
      </c>
      <c r="AJ894">
        <v>2</v>
      </c>
      <c r="AK894">
        <v>4</v>
      </c>
      <c r="AL894" t="str" cm="1">
        <f t="array" ref="AL894">_xlfn.IFS(AK894=1,"Low",AK894=2,"Medium",AK894=3,"High",AK894=4,"Very High")</f>
        <v>Very High</v>
      </c>
      <c r="AM894">
        <v>1</v>
      </c>
      <c r="AN894">
        <v>1</v>
      </c>
      <c r="AO894">
        <v>0</v>
      </c>
      <c r="AP894">
        <v>0</v>
      </c>
    </row>
    <row r="895" spans="1:42">
      <c r="A895">
        <v>29</v>
      </c>
      <c r="B895" t="str" cm="1">
        <f t="array" ref="B895">_xlfn.IFS(A895&lt;=25,"18-25",A895&lt;=35,"26-35",A895&lt;=45,"36-45",A895&lt;=55,"46-55",A895&gt;55,"56+")</f>
        <v>26-35</v>
      </c>
      <c r="C895" t="s">
        <v>39</v>
      </c>
      <c r="D895" t="s">
        <v>33</v>
      </c>
      <c r="E895" s="2">
        <v>1010</v>
      </c>
      <c r="F895" t="s">
        <v>41</v>
      </c>
      <c r="G895">
        <v>1</v>
      </c>
      <c r="H895" t="str">
        <f t="shared" si="13"/>
        <v>1-10 km</v>
      </c>
      <c r="I895">
        <v>3</v>
      </c>
      <c r="J895" t="str" cm="1">
        <f t="array" ref="J895">_xlfn.IFS(I895=1,"Below College",I895=2,"College",I895=3,"Bachelor",I895=4,"Master",I895=5,"Doctor")</f>
        <v>Bachelor</v>
      </c>
      <c r="K895" t="s">
        <v>35</v>
      </c>
      <c r="L895">
        <v>1249</v>
      </c>
      <c r="M895">
        <v>1</v>
      </c>
      <c r="N895" t="str" cm="1">
        <f t="array" ref="N895">_xlfn.IFS(M895=1,"Low",M895=2,"Medium",M895=3,"High",M895=4,"Very High")</f>
        <v>Low</v>
      </c>
      <c r="O895" t="s">
        <v>36</v>
      </c>
      <c r="P895" s="2">
        <v>97</v>
      </c>
      <c r="Q895">
        <v>3</v>
      </c>
      <c r="R895" t="str" cm="1">
        <f t="array" ref="R895">_xlfn.IFS(Q895=1,"Low",Q895=2,"Medium",Q895=3,"High",Q895=4,"Very High")</f>
        <v>High</v>
      </c>
      <c r="S895">
        <v>1</v>
      </c>
      <c r="T895" t="str" cm="1">
        <f t="array" ref="T895">_xlfn.IFS(S895=1,"Entry Level",S895=2,"Junior",S895=3,"Mid-Level",S895=4,"Senior",S895=5,"Executive")</f>
        <v>Entry Level</v>
      </c>
      <c r="U895" t="s">
        <v>43</v>
      </c>
      <c r="V895">
        <v>4</v>
      </c>
      <c r="W895" t="str" cm="1">
        <f t="array" ref="W895">_xlfn.IFS(V895=1,"Low",V895=2,"Medium",V895=3,"High",V895=4,"Very High")</f>
        <v>Very High</v>
      </c>
      <c r="X895" t="s">
        <v>48</v>
      </c>
      <c r="Y895" s="2">
        <v>3760</v>
      </c>
      <c r="Z895" s="2">
        <v>5598</v>
      </c>
      <c r="AA895">
        <v>1</v>
      </c>
      <c r="AB895" t="s">
        <v>39</v>
      </c>
      <c r="AC895">
        <v>15</v>
      </c>
      <c r="AD895">
        <v>3</v>
      </c>
      <c r="AE895" t="str" cm="1">
        <f t="array" ref="AE895">_xlfn.IFS(AD895=1,"Low",AD895=2,"Good",AD895=3,"Excellent",AD895=4,"Outstanding")</f>
        <v>Excellent</v>
      </c>
      <c r="AF895">
        <v>1</v>
      </c>
      <c r="AG895" t="str" cm="1">
        <f t="array" ref="AG895">_xlfn.IFS(AF895=1,"Low",AF895=2,"Medium",AF895=3,"High",AF895=4,"Very High")</f>
        <v>Low</v>
      </c>
      <c r="AH895">
        <v>3</v>
      </c>
      <c r="AI895">
        <v>3</v>
      </c>
      <c r="AJ895">
        <v>5</v>
      </c>
      <c r="AK895">
        <v>3</v>
      </c>
      <c r="AL895" t="str" cm="1">
        <f t="array" ref="AL895">_xlfn.IFS(AK895=1,"Low",AK895=2,"Medium",AK895=3,"High",AK895=4,"Very High")</f>
        <v>High</v>
      </c>
      <c r="AM895">
        <v>3</v>
      </c>
      <c r="AN895">
        <v>2</v>
      </c>
      <c r="AO895">
        <v>1</v>
      </c>
      <c r="AP895">
        <v>2</v>
      </c>
    </row>
    <row r="896" spans="1:42">
      <c r="A896">
        <v>54</v>
      </c>
      <c r="B896" t="str" cm="1">
        <f t="array" ref="B896">_xlfn.IFS(A896&lt;=25,"18-25",A896&lt;=35,"26-35",A896&lt;=45,"36-45",A896&lt;=55,"46-55",A896&gt;55,"56+")</f>
        <v>46-55</v>
      </c>
      <c r="C896" t="s">
        <v>39</v>
      </c>
      <c r="D896" t="s">
        <v>33</v>
      </c>
      <c r="E896" s="2">
        <v>685</v>
      </c>
      <c r="F896" t="s">
        <v>41</v>
      </c>
      <c r="G896">
        <v>3</v>
      </c>
      <c r="H896" t="str">
        <f t="shared" si="13"/>
        <v>1-10 km</v>
      </c>
      <c r="I896">
        <v>3</v>
      </c>
      <c r="J896" t="str" cm="1">
        <f t="array" ref="J896">_xlfn.IFS(I896=1,"Below College",I896=2,"College",I896=3,"Bachelor",I896=4,"Master",I896=5,"Doctor")</f>
        <v>Bachelor</v>
      </c>
      <c r="K896" t="s">
        <v>35</v>
      </c>
      <c r="L896">
        <v>1250</v>
      </c>
      <c r="M896">
        <v>4</v>
      </c>
      <c r="N896" t="str" cm="1">
        <f t="array" ref="N896">_xlfn.IFS(M896=1,"Low",M896=2,"Medium",M896=3,"High",M896=4,"Very High")</f>
        <v>Very High</v>
      </c>
      <c r="O896" t="s">
        <v>42</v>
      </c>
      <c r="P896" s="2">
        <v>85</v>
      </c>
      <c r="Q896">
        <v>3</v>
      </c>
      <c r="R896" t="str" cm="1">
        <f t="array" ref="R896">_xlfn.IFS(Q896=1,"Low",Q896=2,"Medium",Q896=3,"High",Q896=4,"Very High")</f>
        <v>High</v>
      </c>
      <c r="S896">
        <v>4</v>
      </c>
      <c r="T896" t="str" cm="1">
        <f t="array" ref="T896">_xlfn.IFS(S896=1,"Entry Level",S896=2,"Junior",S896=3,"Mid-Level",S896=4,"Senior",S896=5,"Executive")</f>
        <v>Senior</v>
      </c>
      <c r="U896" t="s">
        <v>54</v>
      </c>
      <c r="V896">
        <v>4</v>
      </c>
      <c r="W896" t="str" cm="1">
        <f t="array" ref="W896">_xlfn.IFS(V896=1,"Low",V896=2,"Medium",V896=3,"High",V896=4,"Very High")</f>
        <v>Very High</v>
      </c>
      <c r="X896" t="s">
        <v>44</v>
      </c>
      <c r="Y896" s="2">
        <v>17779</v>
      </c>
      <c r="Z896" s="2">
        <v>23474</v>
      </c>
      <c r="AA896">
        <v>3</v>
      </c>
      <c r="AB896" t="s">
        <v>39</v>
      </c>
      <c r="AC896">
        <v>14</v>
      </c>
      <c r="AD896">
        <v>3</v>
      </c>
      <c r="AE896" t="str" cm="1">
        <f t="array" ref="AE896">_xlfn.IFS(AD896=1,"Low",AD896=2,"Good",AD896=3,"Excellent",AD896=4,"Outstanding")</f>
        <v>Excellent</v>
      </c>
      <c r="AF896">
        <v>1</v>
      </c>
      <c r="AG896" t="str" cm="1">
        <f t="array" ref="AG896">_xlfn.IFS(AF896=1,"Low",AF896=2,"Medium",AF896=3,"High",AF896=4,"Very High")</f>
        <v>Low</v>
      </c>
      <c r="AH896">
        <v>0</v>
      </c>
      <c r="AI896">
        <v>36</v>
      </c>
      <c r="AJ896">
        <v>2</v>
      </c>
      <c r="AK896">
        <v>3</v>
      </c>
      <c r="AL896" t="str" cm="1">
        <f t="array" ref="AL896">_xlfn.IFS(AK896=1,"Low",AK896=2,"Medium",AK896=3,"High",AK896=4,"Very High")</f>
        <v>High</v>
      </c>
      <c r="AM896">
        <v>10</v>
      </c>
      <c r="AN896">
        <v>9</v>
      </c>
      <c r="AO896">
        <v>0</v>
      </c>
      <c r="AP896">
        <v>9</v>
      </c>
    </row>
    <row r="897" spans="1:42">
      <c r="A897">
        <v>31</v>
      </c>
      <c r="B897" t="str" cm="1">
        <f t="array" ref="B897">_xlfn.IFS(A897&lt;=25,"18-25",A897&lt;=35,"26-35",A897&lt;=45,"36-45",A897&lt;=55,"46-55",A897&gt;55,"56+")</f>
        <v>26-35</v>
      </c>
      <c r="C897" t="s">
        <v>39</v>
      </c>
      <c r="D897" t="s">
        <v>33</v>
      </c>
      <c r="E897" s="2">
        <v>1332</v>
      </c>
      <c r="F897" t="s">
        <v>41</v>
      </c>
      <c r="G897">
        <v>11</v>
      </c>
      <c r="H897" t="str">
        <f t="shared" si="13"/>
        <v>11-20 km</v>
      </c>
      <c r="I897">
        <v>2</v>
      </c>
      <c r="J897" t="str" cm="1">
        <f t="array" ref="J897">_xlfn.IFS(I897=1,"Below College",I897=2,"College",I897=3,"Bachelor",I897=4,"Master",I897=5,"Doctor")</f>
        <v>College</v>
      </c>
      <c r="K897" t="s">
        <v>47</v>
      </c>
      <c r="L897">
        <v>1251</v>
      </c>
      <c r="M897">
        <v>3</v>
      </c>
      <c r="N897" t="str" cm="1">
        <f t="array" ref="N897">_xlfn.IFS(M897=1,"Low",M897=2,"Medium",M897=3,"High",M897=4,"Very High")</f>
        <v>High</v>
      </c>
      <c r="O897" t="s">
        <v>42</v>
      </c>
      <c r="P897" s="2">
        <v>80</v>
      </c>
      <c r="Q897">
        <v>3</v>
      </c>
      <c r="R897" t="str" cm="1">
        <f t="array" ref="R897">_xlfn.IFS(Q897=1,"Low",Q897=2,"Medium",Q897=3,"High",Q897=4,"Very High")</f>
        <v>High</v>
      </c>
      <c r="S897">
        <v>2</v>
      </c>
      <c r="T897" t="str" cm="1">
        <f t="array" ref="T897">_xlfn.IFS(S897=1,"Entry Level",S897=2,"Junior",S897=3,"Mid-Level",S897=4,"Senior",S897=5,"Executive")</f>
        <v>Junior</v>
      </c>
      <c r="U897" t="s">
        <v>50</v>
      </c>
      <c r="V897">
        <v>1</v>
      </c>
      <c r="W897" t="str" cm="1">
        <f t="array" ref="W897">_xlfn.IFS(V897=1,"Low",V897=2,"Medium",V897=3,"High",V897=4,"Very High")</f>
        <v>Low</v>
      </c>
      <c r="X897" t="s">
        <v>44</v>
      </c>
      <c r="Y897" s="2">
        <v>6833</v>
      </c>
      <c r="Z897" s="2">
        <v>17089</v>
      </c>
      <c r="AA897">
        <v>1</v>
      </c>
      <c r="AB897" t="s">
        <v>32</v>
      </c>
      <c r="AC897">
        <v>12</v>
      </c>
      <c r="AD897">
        <v>3</v>
      </c>
      <c r="AE897" t="str" cm="1">
        <f t="array" ref="AE897">_xlfn.IFS(AD897=1,"Low",AD897=2,"Good",AD897=3,"Excellent",AD897=4,"Outstanding")</f>
        <v>Excellent</v>
      </c>
      <c r="AF897">
        <v>4</v>
      </c>
      <c r="AG897" t="str" cm="1">
        <f t="array" ref="AG897">_xlfn.IFS(AF897=1,"Low",AF897=2,"Medium",AF897=3,"High",AF897=4,"Very High")</f>
        <v>Very High</v>
      </c>
      <c r="AH897">
        <v>0</v>
      </c>
      <c r="AI897">
        <v>6</v>
      </c>
      <c r="AJ897">
        <v>2</v>
      </c>
      <c r="AK897">
        <v>2</v>
      </c>
      <c r="AL897" t="str" cm="1">
        <f t="array" ref="AL897">_xlfn.IFS(AK897=1,"Low",AK897=2,"Medium",AK897=3,"High",AK897=4,"Very High")</f>
        <v>Medium</v>
      </c>
      <c r="AM897">
        <v>6</v>
      </c>
      <c r="AN897">
        <v>5</v>
      </c>
      <c r="AO897">
        <v>0</v>
      </c>
      <c r="AP897">
        <v>1</v>
      </c>
    </row>
    <row r="898" spans="1:42">
      <c r="A898">
        <v>31</v>
      </c>
      <c r="B898" t="str" cm="1">
        <f t="array" ref="B898">_xlfn.IFS(A898&lt;=25,"18-25",A898&lt;=35,"26-35",A898&lt;=45,"36-45",A898&lt;=55,"46-55",A898&gt;55,"56+")</f>
        <v>26-35</v>
      </c>
      <c r="C898" t="s">
        <v>39</v>
      </c>
      <c r="D898" t="s">
        <v>33</v>
      </c>
      <c r="E898" s="2">
        <v>1062</v>
      </c>
      <c r="F898" t="s">
        <v>41</v>
      </c>
      <c r="G898">
        <v>24</v>
      </c>
      <c r="H898" t="str">
        <f t="shared" si="13"/>
        <v>21-30 km</v>
      </c>
      <c r="I898">
        <v>3</v>
      </c>
      <c r="J898" t="str" cm="1">
        <f t="array" ref="J898">_xlfn.IFS(I898=1,"Below College",I898=2,"College",I898=3,"Bachelor",I898=4,"Master",I898=5,"Doctor")</f>
        <v>Bachelor</v>
      </c>
      <c r="K898" t="s">
        <v>47</v>
      </c>
      <c r="L898">
        <v>1252</v>
      </c>
      <c r="M898">
        <v>3</v>
      </c>
      <c r="N898" t="str" cm="1">
        <f t="array" ref="N898">_xlfn.IFS(M898=1,"Low",M898=2,"Medium",M898=3,"High",M898=4,"Very High")</f>
        <v>High</v>
      </c>
      <c r="O898" t="s">
        <v>36</v>
      </c>
      <c r="P898" s="2">
        <v>96</v>
      </c>
      <c r="Q898">
        <v>2</v>
      </c>
      <c r="R898" t="str" cm="1">
        <f t="array" ref="R898">_xlfn.IFS(Q898=1,"Low",Q898=2,"Medium",Q898=3,"High",Q898=4,"Very High")</f>
        <v>Medium</v>
      </c>
      <c r="S898">
        <v>2</v>
      </c>
      <c r="T898" t="str" cm="1">
        <f t="array" ref="T898">_xlfn.IFS(S898=1,"Entry Level",S898=2,"Junior",S898=3,"Mid-Level",S898=4,"Senior",S898=5,"Executive")</f>
        <v>Junior</v>
      </c>
      <c r="U898" t="s">
        <v>50</v>
      </c>
      <c r="V898">
        <v>1</v>
      </c>
      <c r="W898" t="str" cm="1">
        <f t="array" ref="W898">_xlfn.IFS(V898=1,"Low",V898=2,"Medium",V898=3,"High",V898=4,"Very High")</f>
        <v>Low</v>
      </c>
      <c r="X898" t="s">
        <v>38</v>
      </c>
      <c r="Y898" s="2">
        <v>6812</v>
      </c>
      <c r="Z898" s="2">
        <v>17198</v>
      </c>
      <c r="AA898">
        <v>1</v>
      </c>
      <c r="AB898" t="s">
        <v>39</v>
      </c>
      <c r="AC898">
        <v>19</v>
      </c>
      <c r="AD898">
        <v>3</v>
      </c>
      <c r="AE898" t="str" cm="1">
        <f t="array" ref="AE898">_xlfn.IFS(AD898=1,"Low",AD898=2,"Good",AD898=3,"Excellent",AD898=4,"Outstanding")</f>
        <v>Excellent</v>
      </c>
      <c r="AF898">
        <v>2</v>
      </c>
      <c r="AG898" t="str" cm="1">
        <f t="array" ref="AG898">_xlfn.IFS(AF898=1,"Low",AF898=2,"Medium",AF898=3,"High",AF898=4,"Very High")</f>
        <v>Medium</v>
      </c>
      <c r="AH898">
        <v>0</v>
      </c>
      <c r="AI898">
        <v>10</v>
      </c>
      <c r="AJ898">
        <v>2</v>
      </c>
      <c r="AK898">
        <v>3</v>
      </c>
      <c r="AL898" t="str" cm="1">
        <f t="array" ref="AL898">_xlfn.IFS(AK898=1,"Low",AK898=2,"Medium",AK898=3,"High",AK898=4,"Very High")</f>
        <v>High</v>
      </c>
      <c r="AM898">
        <v>10</v>
      </c>
      <c r="AN898">
        <v>9</v>
      </c>
      <c r="AO898">
        <v>1</v>
      </c>
      <c r="AP898">
        <v>8</v>
      </c>
    </row>
    <row r="899" spans="1:42">
      <c r="A899">
        <v>59</v>
      </c>
      <c r="B899" t="str" cm="1">
        <f t="array" ref="B899">_xlfn.IFS(A899&lt;=25,"18-25",A899&lt;=35,"26-35",A899&lt;=45,"36-45",A899&lt;=55,"46-55",A899&gt;55,"56+")</f>
        <v>56+</v>
      </c>
      <c r="C899" t="s">
        <v>39</v>
      </c>
      <c r="D899" t="s">
        <v>33</v>
      </c>
      <c r="E899" s="2">
        <v>326</v>
      </c>
      <c r="F899" t="s">
        <v>34</v>
      </c>
      <c r="G899">
        <v>3</v>
      </c>
      <c r="H899" t="str">
        <f t="shared" ref="H899:H962" si="14">IF(G899&lt;=10,"1-10 km",IF(G899&lt;=20,"11-20 km",IF(G899&lt;=30,"21-30 km","31+ km")))</f>
        <v>1-10 km</v>
      </c>
      <c r="I899">
        <v>3</v>
      </c>
      <c r="J899" t="str" cm="1">
        <f t="array" ref="J899">_xlfn.IFS(I899=1,"Below College",I899=2,"College",I899=3,"Bachelor",I899=4,"Master",I899=5,"Doctor")</f>
        <v>Bachelor</v>
      </c>
      <c r="K899" t="s">
        <v>35</v>
      </c>
      <c r="L899">
        <v>1254</v>
      </c>
      <c r="M899">
        <v>3</v>
      </c>
      <c r="N899" t="str" cm="1">
        <f t="array" ref="N899">_xlfn.IFS(M899=1,"Low",M899=2,"Medium",M899=3,"High",M899=4,"Very High")</f>
        <v>High</v>
      </c>
      <c r="O899" t="s">
        <v>36</v>
      </c>
      <c r="P899" s="2">
        <v>48</v>
      </c>
      <c r="Q899">
        <v>2</v>
      </c>
      <c r="R899" t="str" cm="1">
        <f t="array" ref="R899">_xlfn.IFS(Q899=1,"Low",Q899=2,"Medium",Q899=3,"High",Q899=4,"Very High")</f>
        <v>Medium</v>
      </c>
      <c r="S899">
        <v>2</v>
      </c>
      <c r="T899" t="str" cm="1">
        <f t="array" ref="T899">_xlfn.IFS(S899=1,"Entry Level",S899=2,"Junior",S899=3,"Mid-Level",S899=4,"Senior",S899=5,"Executive")</f>
        <v>Junior</v>
      </c>
      <c r="U899" t="s">
        <v>37</v>
      </c>
      <c r="V899">
        <v>4</v>
      </c>
      <c r="W899" t="str" cm="1">
        <f t="array" ref="W899">_xlfn.IFS(V899=1,"Low",V899=2,"Medium",V899=3,"High",V899=4,"Very High")</f>
        <v>Very High</v>
      </c>
      <c r="X899" t="s">
        <v>38</v>
      </c>
      <c r="Y899" s="2">
        <v>5171</v>
      </c>
      <c r="Z899" s="2">
        <v>16490</v>
      </c>
      <c r="AA899">
        <v>5</v>
      </c>
      <c r="AB899" t="s">
        <v>39</v>
      </c>
      <c r="AC899">
        <v>17</v>
      </c>
      <c r="AD899">
        <v>3</v>
      </c>
      <c r="AE899" t="str" cm="1">
        <f t="array" ref="AE899">_xlfn.IFS(AD899=1,"Low",AD899=2,"Good",AD899=3,"Excellent",AD899=4,"Outstanding")</f>
        <v>Excellent</v>
      </c>
      <c r="AF899">
        <v>4</v>
      </c>
      <c r="AG899" t="str" cm="1">
        <f t="array" ref="AG899">_xlfn.IFS(AF899=1,"Low",AF899=2,"Medium",AF899=3,"High",AF899=4,"Very High")</f>
        <v>Very High</v>
      </c>
      <c r="AH899">
        <v>0</v>
      </c>
      <c r="AI899">
        <v>13</v>
      </c>
      <c r="AJ899">
        <v>2</v>
      </c>
      <c r="AK899">
        <v>3</v>
      </c>
      <c r="AL899" t="str" cm="1">
        <f t="array" ref="AL899">_xlfn.IFS(AK899=1,"Low",AK899=2,"Medium",AK899=3,"High",AK899=4,"Very High")</f>
        <v>High</v>
      </c>
      <c r="AM899">
        <v>6</v>
      </c>
      <c r="AN899">
        <v>1</v>
      </c>
      <c r="AO899">
        <v>0</v>
      </c>
      <c r="AP899">
        <v>5</v>
      </c>
    </row>
    <row r="900" spans="1:42">
      <c r="A900">
        <v>43</v>
      </c>
      <c r="B900" t="str" cm="1">
        <f t="array" ref="B900">_xlfn.IFS(A900&lt;=25,"18-25",A900&lt;=35,"26-35",A900&lt;=45,"36-45",A900&lt;=55,"46-55",A900&gt;55,"56+")</f>
        <v>36-45</v>
      </c>
      <c r="C900" t="s">
        <v>39</v>
      </c>
      <c r="D900" t="s">
        <v>33</v>
      </c>
      <c r="E900" s="2">
        <v>920</v>
      </c>
      <c r="F900" t="s">
        <v>41</v>
      </c>
      <c r="G900">
        <v>3</v>
      </c>
      <c r="H900" t="str">
        <f t="shared" si="14"/>
        <v>1-10 km</v>
      </c>
      <c r="I900">
        <v>3</v>
      </c>
      <c r="J900" t="str" cm="1">
        <f t="array" ref="J900">_xlfn.IFS(I900=1,"Below College",I900=2,"College",I900=3,"Bachelor",I900=4,"Master",I900=5,"Doctor")</f>
        <v>Bachelor</v>
      </c>
      <c r="K900" t="s">
        <v>35</v>
      </c>
      <c r="L900">
        <v>1255</v>
      </c>
      <c r="M900">
        <v>3</v>
      </c>
      <c r="N900" t="str" cm="1">
        <f t="array" ref="N900">_xlfn.IFS(M900=1,"Low",M900=2,"Medium",M900=3,"High",M900=4,"Very High")</f>
        <v>High</v>
      </c>
      <c r="O900" t="s">
        <v>42</v>
      </c>
      <c r="P900" s="2">
        <v>96</v>
      </c>
      <c r="Q900">
        <v>1</v>
      </c>
      <c r="R900" t="str" cm="1">
        <f t="array" ref="R900">_xlfn.IFS(Q900=1,"Low",Q900=2,"Medium",Q900=3,"High",Q900=4,"Very High")</f>
        <v>Low</v>
      </c>
      <c r="S900">
        <v>5</v>
      </c>
      <c r="T900" t="str" cm="1">
        <f t="array" ref="T900">_xlfn.IFS(S900=1,"Entry Level",S900=2,"Junior",S900=3,"Mid-Level",S900=4,"Senior",S900=5,"Executive")</f>
        <v>Executive</v>
      </c>
      <c r="U900" t="s">
        <v>54</v>
      </c>
      <c r="V900">
        <v>4</v>
      </c>
      <c r="W900" t="str" cm="1">
        <f t="array" ref="W900">_xlfn.IFS(V900=1,"Low",V900=2,"Medium",V900=3,"High",V900=4,"Very High")</f>
        <v>Very High</v>
      </c>
      <c r="X900" t="s">
        <v>44</v>
      </c>
      <c r="Y900" s="2">
        <v>19740</v>
      </c>
      <c r="Z900" s="2">
        <v>18625</v>
      </c>
      <c r="AA900">
        <v>3</v>
      </c>
      <c r="AB900" t="s">
        <v>39</v>
      </c>
      <c r="AC900">
        <v>14</v>
      </c>
      <c r="AD900">
        <v>3</v>
      </c>
      <c r="AE900" t="str" cm="1">
        <f t="array" ref="AE900">_xlfn.IFS(AD900=1,"Low",AD900=2,"Good",AD900=3,"Excellent",AD900=4,"Outstanding")</f>
        <v>Excellent</v>
      </c>
      <c r="AF900">
        <v>2</v>
      </c>
      <c r="AG900" t="str" cm="1">
        <f t="array" ref="AG900">_xlfn.IFS(AF900=1,"Low",AF900=2,"Medium",AF900=3,"High",AF900=4,"Very High")</f>
        <v>Medium</v>
      </c>
      <c r="AH900">
        <v>1</v>
      </c>
      <c r="AI900">
        <v>25</v>
      </c>
      <c r="AJ900">
        <v>2</v>
      </c>
      <c r="AK900">
        <v>3</v>
      </c>
      <c r="AL900" t="str" cm="1">
        <f t="array" ref="AL900">_xlfn.IFS(AK900=1,"Low",AK900=2,"Medium",AK900=3,"High",AK900=4,"Very High")</f>
        <v>High</v>
      </c>
      <c r="AM900">
        <v>8</v>
      </c>
      <c r="AN900">
        <v>7</v>
      </c>
      <c r="AO900">
        <v>0</v>
      </c>
      <c r="AP900">
        <v>7</v>
      </c>
    </row>
    <row r="901" spans="1:42">
      <c r="A901">
        <v>49</v>
      </c>
      <c r="B901" t="str" cm="1">
        <f t="array" ref="B901">_xlfn.IFS(A901&lt;=25,"18-25",A901&lt;=35,"26-35",A901&lt;=45,"36-45",A901&lt;=55,"46-55",A901&gt;55,"56+")</f>
        <v>46-55</v>
      </c>
      <c r="C901" t="s">
        <v>39</v>
      </c>
      <c r="D901" t="s">
        <v>33</v>
      </c>
      <c r="E901" s="2">
        <v>1098</v>
      </c>
      <c r="F901" t="s">
        <v>41</v>
      </c>
      <c r="G901">
        <v>4</v>
      </c>
      <c r="H901" t="str">
        <f t="shared" si="14"/>
        <v>1-10 km</v>
      </c>
      <c r="I901">
        <v>2</v>
      </c>
      <c r="J901" t="str" cm="1">
        <f t="array" ref="J901">_xlfn.IFS(I901=1,"Below College",I901=2,"College",I901=3,"Bachelor",I901=4,"Master",I901=5,"Doctor")</f>
        <v>College</v>
      </c>
      <c r="K901" t="s">
        <v>47</v>
      </c>
      <c r="L901">
        <v>1256</v>
      </c>
      <c r="M901">
        <v>1</v>
      </c>
      <c r="N901" t="str" cm="1">
        <f t="array" ref="N901">_xlfn.IFS(M901=1,"Low",M901=2,"Medium",M901=3,"High",M901=4,"Very High")</f>
        <v>Low</v>
      </c>
      <c r="O901" t="s">
        <v>42</v>
      </c>
      <c r="P901" s="2">
        <v>85</v>
      </c>
      <c r="Q901">
        <v>2</v>
      </c>
      <c r="R901" t="str" cm="1">
        <f t="array" ref="R901">_xlfn.IFS(Q901=1,"Low",Q901=2,"Medium",Q901=3,"High",Q901=4,"Very High")</f>
        <v>Medium</v>
      </c>
      <c r="S901">
        <v>5</v>
      </c>
      <c r="T901" t="str" cm="1">
        <f t="array" ref="T901">_xlfn.IFS(S901=1,"Entry Level",S901=2,"Junior",S901=3,"Mid-Level",S901=4,"Senior",S901=5,"Executive")</f>
        <v>Executive</v>
      </c>
      <c r="U901" t="s">
        <v>52</v>
      </c>
      <c r="V901">
        <v>3</v>
      </c>
      <c r="W901" t="str" cm="1">
        <f t="array" ref="W901">_xlfn.IFS(V901=1,"Low",V901=2,"Medium",V901=3,"High",V901=4,"Very High")</f>
        <v>High</v>
      </c>
      <c r="X901" t="s">
        <v>44</v>
      </c>
      <c r="Y901" s="2">
        <v>18711</v>
      </c>
      <c r="Z901" s="2">
        <v>12124</v>
      </c>
      <c r="AA901">
        <v>2</v>
      </c>
      <c r="AB901" t="s">
        <v>39</v>
      </c>
      <c r="AC901">
        <v>13</v>
      </c>
      <c r="AD901">
        <v>3</v>
      </c>
      <c r="AE901" t="str" cm="1">
        <f t="array" ref="AE901">_xlfn.IFS(AD901=1,"Low",AD901=2,"Good",AD901=3,"Excellent",AD901=4,"Outstanding")</f>
        <v>Excellent</v>
      </c>
      <c r="AF901">
        <v>3</v>
      </c>
      <c r="AG901" t="str" cm="1">
        <f t="array" ref="AG901">_xlfn.IFS(AF901=1,"Low",AF901=2,"Medium",AF901=3,"High",AF901=4,"Very High")</f>
        <v>High</v>
      </c>
      <c r="AH901">
        <v>1</v>
      </c>
      <c r="AI901">
        <v>23</v>
      </c>
      <c r="AJ901">
        <v>2</v>
      </c>
      <c r="AK901">
        <v>4</v>
      </c>
      <c r="AL901" t="str" cm="1">
        <f t="array" ref="AL901">_xlfn.IFS(AK901=1,"Low",AK901=2,"Medium",AK901=3,"High",AK901=4,"Very High")</f>
        <v>Very High</v>
      </c>
      <c r="AM901">
        <v>1</v>
      </c>
      <c r="AN901">
        <v>0</v>
      </c>
      <c r="AO901">
        <v>0</v>
      </c>
      <c r="AP901">
        <v>0</v>
      </c>
    </row>
    <row r="902" spans="1:42">
      <c r="A902">
        <v>36</v>
      </c>
      <c r="B902" t="str" cm="1">
        <f t="array" ref="B902">_xlfn.IFS(A902&lt;=25,"18-25",A902&lt;=35,"26-35",A902&lt;=45,"36-45",A902&lt;=55,"46-55",A902&gt;55,"56+")</f>
        <v>36-45</v>
      </c>
      <c r="C902" t="s">
        <v>39</v>
      </c>
      <c r="D902" t="s">
        <v>40</v>
      </c>
      <c r="E902" s="2">
        <v>469</v>
      </c>
      <c r="F902" t="s">
        <v>41</v>
      </c>
      <c r="G902">
        <v>3</v>
      </c>
      <c r="H902" t="str">
        <f t="shared" si="14"/>
        <v>1-10 km</v>
      </c>
      <c r="I902">
        <v>3</v>
      </c>
      <c r="J902" t="str" cm="1">
        <f t="array" ref="J902">_xlfn.IFS(I902=1,"Below College",I902=2,"College",I902=3,"Bachelor",I902=4,"Master",I902=5,"Doctor")</f>
        <v>Bachelor</v>
      </c>
      <c r="K902" t="s">
        <v>56</v>
      </c>
      <c r="L902">
        <v>1257</v>
      </c>
      <c r="M902">
        <v>3</v>
      </c>
      <c r="N902" t="str" cm="1">
        <f t="array" ref="N902">_xlfn.IFS(M902=1,"Low",M902=2,"Medium",M902=3,"High",M902=4,"Very High")</f>
        <v>High</v>
      </c>
      <c r="O902" t="s">
        <v>42</v>
      </c>
      <c r="P902" s="2">
        <v>46</v>
      </c>
      <c r="Q902">
        <v>3</v>
      </c>
      <c r="R902" t="str" cm="1">
        <f t="array" ref="R902">_xlfn.IFS(Q902=1,"Low",Q902=2,"Medium",Q902=3,"High",Q902=4,"Very High")</f>
        <v>High</v>
      </c>
      <c r="S902">
        <v>1</v>
      </c>
      <c r="T902" t="str" cm="1">
        <f t="array" ref="T902">_xlfn.IFS(S902=1,"Entry Level",S902=2,"Junior",S902=3,"Mid-Level",S902=4,"Senior",S902=5,"Executive")</f>
        <v>Entry Level</v>
      </c>
      <c r="U902" t="s">
        <v>43</v>
      </c>
      <c r="V902">
        <v>2</v>
      </c>
      <c r="W902" t="str" cm="1">
        <f t="array" ref="W902">_xlfn.IFS(V902=1,"Low",V902=2,"Medium",V902=3,"High",V902=4,"Very High")</f>
        <v>Medium</v>
      </c>
      <c r="X902" t="s">
        <v>44</v>
      </c>
      <c r="Y902" s="2">
        <v>3692</v>
      </c>
      <c r="Z902" s="2">
        <v>9256</v>
      </c>
      <c r="AA902">
        <v>1</v>
      </c>
      <c r="AB902" t="s">
        <v>39</v>
      </c>
      <c r="AC902">
        <v>12</v>
      </c>
      <c r="AD902">
        <v>3</v>
      </c>
      <c r="AE902" t="str" cm="1">
        <f t="array" ref="AE902">_xlfn.IFS(AD902=1,"Low",AD902=2,"Good",AD902=3,"Excellent",AD902=4,"Outstanding")</f>
        <v>Excellent</v>
      </c>
      <c r="AF902">
        <v>3</v>
      </c>
      <c r="AG902" t="str" cm="1">
        <f t="array" ref="AG902">_xlfn.IFS(AF902=1,"Low",AF902=2,"Medium",AF902=3,"High",AF902=4,"Very High")</f>
        <v>High</v>
      </c>
      <c r="AH902">
        <v>0</v>
      </c>
      <c r="AI902">
        <v>12</v>
      </c>
      <c r="AJ902">
        <v>2</v>
      </c>
      <c r="AK902">
        <v>2</v>
      </c>
      <c r="AL902" t="str" cm="1">
        <f t="array" ref="AL902">_xlfn.IFS(AK902=1,"Low",AK902=2,"Medium",AK902=3,"High",AK902=4,"Very High")</f>
        <v>Medium</v>
      </c>
      <c r="AM902">
        <v>11</v>
      </c>
      <c r="AN902">
        <v>10</v>
      </c>
      <c r="AO902">
        <v>0</v>
      </c>
      <c r="AP902">
        <v>7</v>
      </c>
    </row>
    <row r="903" spans="1:42">
      <c r="A903">
        <v>48</v>
      </c>
      <c r="B903" t="str" cm="1">
        <f t="array" ref="B903">_xlfn.IFS(A903&lt;=25,"18-25",A903&lt;=35,"26-35",A903&lt;=45,"36-45",A903&lt;=55,"46-55",A903&gt;55,"56+")</f>
        <v>46-55</v>
      </c>
      <c r="C903" t="s">
        <v>39</v>
      </c>
      <c r="D903" t="s">
        <v>33</v>
      </c>
      <c r="E903" s="2">
        <v>969</v>
      </c>
      <c r="F903" t="s">
        <v>41</v>
      </c>
      <c r="G903">
        <v>2</v>
      </c>
      <c r="H903" t="str">
        <f t="shared" si="14"/>
        <v>1-10 km</v>
      </c>
      <c r="I903">
        <v>2</v>
      </c>
      <c r="J903" t="str" cm="1">
        <f t="array" ref="J903">_xlfn.IFS(I903=1,"Below College",I903=2,"College",I903=3,"Bachelor",I903=4,"Master",I903=5,"Doctor")</f>
        <v>College</v>
      </c>
      <c r="K903" t="s">
        <v>56</v>
      </c>
      <c r="L903">
        <v>1258</v>
      </c>
      <c r="M903">
        <v>4</v>
      </c>
      <c r="N903" t="str" cm="1">
        <f t="array" ref="N903">_xlfn.IFS(M903=1,"Low",M903=2,"Medium",M903=3,"High",M903=4,"Very High")</f>
        <v>Very High</v>
      </c>
      <c r="O903" t="s">
        <v>42</v>
      </c>
      <c r="P903" s="2">
        <v>76</v>
      </c>
      <c r="Q903">
        <v>4</v>
      </c>
      <c r="R903" t="str" cm="1">
        <f t="array" ref="R903">_xlfn.IFS(Q903=1,"Low",Q903=2,"Medium",Q903=3,"High",Q903=4,"Very High")</f>
        <v>Very High</v>
      </c>
      <c r="S903">
        <v>1</v>
      </c>
      <c r="T903" t="str" cm="1">
        <f t="array" ref="T903">_xlfn.IFS(S903=1,"Entry Level",S903=2,"Junior",S903=3,"Mid-Level",S903=4,"Senior",S903=5,"Executive")</f>
        <v>Entry Level</v>
      </c>
      <c r="U903" t="s">
        <v>46</v>
      </c>
      <c r="V903">
        <v>2</v>
      </c>
      <c r="W903" t="str" cm="1">
        <f t="array" ref="W903">_xlfn.IFS(V903=1,"Low",V903=2,"Medium",V903=3,"High",V903=4,"Very High")</f>
        <v>Medium</v>
      </c>
      <c r="X903" t="s">
        <v>38</v>
      </c>
      <c r="Y903" s="2">
        <v>2559</v>
      </c>
      <c r="Z903" s="2">
        <v>16620</v>
      </c>
      <c r="AA903">
        <v>5</v>
      </c>
      <c r="AB903" t="s">
        <v>39</v>
      </c>
      <c r="AC903">
        <v>11</v>
      </c>
      <c r="AD903">
        <v>3</v>
      </c>
      <c r="AE903" t="str" cm="1">
        <f t="array" ref="AE903">_xlfn.IFS(AD903=1,"Low",AD903=2,"Good",AD903=3,"Excellent",AD903=4,"Outstanding")</f>
        <v>Excellent</v>
      </c>
      <c r="AF903">
        <v>3</v>
      </c>
      <c r="AG903" t="str" cm="1">
        <f t="array" ref="AG903">_xlfn.IFS(AF903=1,"Low",AF903=2,"Medium",AF903=3,"High",AF903=4,"Very High")</f>
        <v>High</v>
      </c>
      <c r="AH903">
        <v>0</v>
      </c>
      <c r="AI903">
        <v>7</v>
      </c>
      <c r="AJ903">
        <v>4</v>
      </c>
      <c r="AK903">
        <v>2</v>
      </c>
      <c r="AL903" t="str" cm="1">
        <f t="array" ref="AL903">_xlfn.IFS(AK903=1,"Low",AK903=2,"Medium",AK903=3,"High",AK903=4,"Very High")</f>
        <v>Medium</v>
      </c>
      <c r="AM903">
        <v>1</v>
      </c>
      <c r="AN903">
        <v>0</v>
      </c>
      <c r="AO903">
        <v>0</v>
      </c>
      <c r="AP903">
        <v>0</v>
      </c>
    </row>
    <row r="904" spans="1:42">
      <c r="A904">
        <v>27</v>
      </c>
      <c r="B904" t="str" cm="1">
        <f t="array" ref="B904">_xlfn.IFS(A904&lt;=25,"18-25",A904&lt;=35,"26-35",A904&lt;=45,"36-45",A904&lt;=55,"46-55",A904&gt;55,"56+")</f>
        <v>26-35</v>
      </c>
      <c r="C904" t="s">
        <v>39</v>
      </c>
      <c r="D904" t="s">
        <v>33</v>
      </c>
      <c r="E904" s="2">
        <v>1167</v>
      </c>
      <c r="F904" t="s">
        <v>41</v>
      </c>
      <c r="G904">
        <v>4</v>
      </c>
      <c r="H904" t="str">
        <f t="shared" si="14"/>
        <v>1-10 km</v>
      </c>
      <c r="I904">
        <v>2</v>
      </c>
      <c r="J904" t="str" cm="1">
        <f t="array" ref="J904">_xlfn.IFS(I904=1,"Below College",I904=2,"College",I904=3,"Bachelor",I904=4,"Master",I904=5,"Doctor")</f>
        <v>College</v>
      </c>
      <c r="K904" t="s">
        <v>35</v>
      </c>
      <c r="L904">
        <v>1259</v>
      </c>
      <c r="M904">
        <v>1</v>
      </c>
      <c r="N904" t="str" cm="1">
        <f t="array" ref="N904">_xlfn.IFS(M904=1,"Low",M904=2,"Medium",M904=3,"High",M904=4,"Very High")</f>
        <v>Low</v>
      </c>
      <c r="O904" t="s">
        <v>42</v>
      </c>
      <c r="P904" s="2">
        <v>76</v>
      </c>
      <c r="Q904">
        <v>3</v>
      </c>
      <c r="R904" t="str" cm="1">
        <f t="array" ref="R904">_xlfn.IFS(Q904=1,"Low",Q904=2,"Medium",Q904=3,"High",Q904=4,"Very High")</f>
        <v>High</v>
      </c>
      <c r="S904">
        <v>1</v>
      </c>
      <c r="T904" t="str" cm="1">
        <f t="array" ref="T904">_xlfn.IFS(S904=1,"Entry Level",S904=2,"Junior",S904=3,"Mid-Level",S904=4,"Senior",S904=5,"Executive")</f>
        <v>Entry Level</v>
      </c>
      <c r="U904" t="s">
        <v>43</v>
      </c>
      <c r="V904">
        <v>3</v>
      </c>
      <c r="W904" t="str" cm="1">
        <f t="array" ref="W904">_xlfn.IFS(V904=1,"Low",V904=2,"Medium",V904=3,"High",V904=4,"Very High")</f>
        <v>High</v>
      </c>
      <c r="X904" t="s">
        <v>48</v>
      </c>
      <c r="Y904" s="2">
        <v>2517</v>
      </c>
      <c r="Z904" s="2">
        <v>3208</v>
      </c>
      <c r="AA904">
        <v>1</v>
      </c>
      <c r="AB904" t="s">
        <v>39</v>
      </c>
      <c r="AC904">
        <v>11</v>
      </c>
      <c r="AD904">
        <v>3</v>
      </c>
      <c r="AE904" t="str" cm="1">
        <f t="array" ref="AE904">_xlfn.IFS(AD904=1,"Low",AD904=2,"Good",AD904=3,"Excellent",AD904=4,"Outstanding")</f>
        <v>Excellent</v>
      </c>
      <c r="AF904">
        <v>2</v>
      </c>
      <c r="AG904" t="str" cm="1">
        <f t="array" ref="AG904">_xlfn.IFS(AF904=1,"Low",AF904=2,"Medium",AF904=3,"High",AF904=4,"Very High")</f>
        <v>Medium</v>
      </c>
      <c r="AH904">
        <v>3</v>
      </c>
      <c r="AI904">
        <v>5</v>
      </c>
      <c r="AJ904">
        <v>2</v>
      </c>
      <c r="AK904">
        <v>3</v>
      </c>
      <c r="AL904" t="str" cm="1">
        <f t="array" ref="AL904">_xlfn.IFS(AK904=1,"Low",AK904=2,"Medium",AK904=3,"High",AK904=4,"Very High")</f>
        <v>High</v>
      </c>
      <c r="AM904">
        <v>5</v>
      </c>
      <c r="AN904">
        <v>3</v>
      </c>
      <c r="AO904">
        <v>0</v>
      </c>
      <c r="AP904">
        <v>3</v>
      </c>
    </row>
    <row r="905" spans="1:42">
      <c r="A905">
        <v>29</v>
      </c>
      <c r="B905" t="str" cm="1">
        <f t="array" ref="B905">_xlfn.IFS(A905&lt;=25,"18-25",A905&lt;=35,"26-35",A905&lt;=45,"36-45",A905&lt;=55,"46-55",A905&gt;55,"56+")</f>
        <v>26-35</v>
      </c>
      <c r="C905" t="s">
        <v>39</v>
      </c>
      <c r="D905" t="s">
        <v>33</v>
      </c>
      <c r="E905" s="2">
        <v>1329</v>
      </c>
      <c r="F905" t="s">
        <v>41</v>
      </c>
      <c r="G905">
        <v>7</v>
      </c>
      <c r="H905" t="str">
        <f t="shared" si="14"/>
        <v>1-10 km</v>
      </c>
      <c r="I905">
        <v>3</v>
      </c>
      <c r="J905" t="str" cm="1">
        <f t="array" ref="J905">_xlfn.IFS(I905=1,"Below College",I905=2,"College",I905=3,"Bachelor",I905=4,"Master",I905=5,"Doctor")</f>
        <v>Bachelor</v>
      </c>
      <c r="K905" t="s">
        <v>35</v>
      </c>
      <c r="L905">
        <v>1260</v>
      </c>
      <c r="M905">
        <v>3</v>
      </c>
      <c r="N905" t="str" cm="1">
        <f t="array" ref="N905">_xlfn.IFS(M905=1,"Low",M905=2,"Medium",M905=3,"High",M905=4,"Very High")</f>
        <v>High</v>
      </c>
      <c r="O905" t="s">
        <v>42</v>
      </c>
      <c r="P905" s="2">
        <v>82</v>
      </c>
      <c r="Q905">
        <v>3</v>
      </c>
      <c r="R905" t="str" cm="1">
        <f t="array" ref="R905">_xlfn.IFS(Q905=1,"Low",Q905=2,"Medium",Q905=3,"High",Q905=4,"Very High")</f>
        <v>High</v>
      </c>
      <c r="S905">
        <v>2</v>
      </c>
      <c r="T905" t="str" cm="1">
        <f t="array" ref="T905">_xlfn.IFS(S905=1,"Entry Level",S905=2,"Junior",S905=3,"Mid-Level",S905=4,"Senior",S905=5,"Executive")</f>
        <v>Junior</v>
      </c>
      <c r="U905" t="s">
        <v>50</v>
      </c>
      <c r="V905">
        <v>4</v>
      </c>
      <c r="W905" t="str" cm="1">
        <f t="array" ref="W905">_xlfn.IFS(V905=1,"Low",V905=2,"Medium",V905=3,"High",V905=4,"Very High")</f>
        <v>Very High</v>
      </c>
      <c r="X905" t="s">
        <v>48</v>
      </c>
      <c r="Y905" s="2">
        <v>6623</v>
      </c>
      <c r="Z905" s="2">
        <v>4204</v>
      </c>
      <c r="AA905">
        <v>1</v>
      </c>
      <c r="AB905" t="s">
        <v>32</v>
      </c>
      <c r="AC905">
        <v>11</v>
      </c>
      <c r="AD905">
        <v>3</v>
      </c>
      <c r="AE905" t="str" cm="1">
        <f t="array" ref="AE905">_xlfn.IFS(AD905=1,"Low",AD905=2,"Good",AD905=3,"Excellent",AD905=4,"Outstanding")</f>
        <v>Excellent</v>
      </c>
      <c r="AF905">
        <v>2</v>
      </c>
      <c r="AG905" t="str" cm="1">
        <f t="array" ref="AG905">_xlfn.IFS(AF905=1,"Low",AF905=2,"Medium",AF905=3,"High",AF905=4,"Very High")</f>
        <v>Medium</v>
      </c>
      <c r="AH905">
        <v>2</v>
      </c>
      <c r="AI905">
        <v>6</v>
      </c>
      <c r="AJ905">
        <v>2</v>
      </c>
      <c r="AK905">
        <v>3</v>
      </c>
      <c r="AL905" t="str" cm="1">
        <f t="array" ref="AL905">_xlfn.IFS(AK905=1,"Low",AK905=2,"Medium",AK905=3,"High",AK905=4,"Very High")</f>
        <v>High</v>
      </c>
      <c r="AM905">
        <v>6</v>
      </c>
      <c r="AN905">
        <v>0</v>
      </c>
      <c r="AO905">
        <v>1</v>
      </c>
      <c r="AP905">
        <v>0</v>
      </c>
    </row>
    <row r="906" spans="1:42">
      <c r="A906">
        <v>48</v>
      </c>
      <c r="B906" t="str" cm="1">
        <f t="array" ref="B906">_xlfn.IFS(A906&lt;=25,"18-25",A906&lt;=35,"26-35",A906&lt;=45,"36-45",A906&lt;=55,"46-55",A906&gt;55,"56+")</f>
        <v>46-55</v>
      </c>
      <c r="C906" t="s">
        <v>39</v>
      </c>
      <c r="D906" t="s">
        <v>33</v>
      </c>
      <c r="E906" s="2">
        <v>715</v>
      </c>
      <c r="F906" t="s">
        <v>41</v>
      </c>
      <c r="G906">
        <v>1</v>
      </c>
      <c r="H906" t="str">
        <f t="shared" si="14"/>
        <v>1-10 km</v>
      </c>
      <c r="I906">
        <v>3</v>
      </c>
      <c r="J906" t="str" cm="1">
        <f t="array" ref="J906">_xlfn.IFS(I906=1,"Below College",I906=2,"College",I906=3,"Bachelor",I906=4,"Master",I906=5,"Doctor")</f>
        <v>Bachelor</v>
      </c>
      <c r="K906" t="s">
        <v>35</v>
      </c>
      <c r="L906">
        <v>1263</v>
      </c>
      <c r="M906">
        <v>4</v>
      </c>
      <c r="N906" t="str" cm="1">
        <f t="array" ref="N906">_xlfn.IFS(M906=1,"Low",M906=2,"Medium",M906=3,"High",M906=4,"Very High")</f>
        <v>Very High</v>
      </c>
      <c r="O906" t="s">
        <v>42</v>
      </c>
      <c r="P906" s="2">
        <v>76</v>
      </c>
      <c r="Q906">
        <v>2</v>
      </c>
      <c r="R906" t="str" cm="1">
        <f t="array" ref="R906">_xlfn.IFS(Q906=1,"Low",Q906=2,"Medium",Q906=3,"High",Q906=4,"Very High")</f>
        <v>Medium</v>
      </c>
      <c r="S906">
        <v>5</v>
      </c>
      <c r="T906" t="str" cm="1">
        <f t="array" ref="T906">_xlfn.IFS(S906=1,"Entry Level",S906=2,"Junior",S906=3,"Mid-Level",S906=4,"Senior",S906=5,"Executive")</f>
        <v>Executive</v>
      </c>
      <c r="U906" t="s">
        <v>54</v>
      </c>
      <c r="V906">
        <v>4</v>
      </c>
      <c r="W906" t="str" cm="1">
        <f t="array" ref="W906">_xlfn.IFS(V906=1,"Low",V906=2,"Medium",V906=3,"High",V906=4,"Very High")</f>
        <v>Very High</v>
      </c>
      <c r="X906" t="s">
        <v>38</v>
      </c>
      <c r="Y906" s="2">
        <v>18265</v>
      </c>
      <c r="Z906" s="2">
        <v>8733</v>
      </c>
      <c r="AA906">
        <v>6</v>
      </c>
      <c r="AB906" t="s">
        <v>39</v>
      </c>
      <c r="AC906">
        <v>12</v>
      </c>
      <c r="AD906">
        <v>3</v>
      </c>
      <c r="AE906" t="str" cm="1">
        <f t="array" ref="AE906">_xlfn.IFS(AD906=1,"Low",AD906=2,"Good",AD906=3,"Excellent",AD906=4,"Outstanding")</f>
        <v>Excellent</v>
      </c>
      <c r="AF906">
        <v>3</v>
      </c>
      <c r="AG906" t="str" cm="1">
        <f t="array" ref="AG906">_xlfn.IFS(AF906=1,"Low",AF906=2,"Medium",AF906=3,"High",AF906=4,"Very High")</f>
        <v>High</v>
      </c>
      <c r="AH906">
        <v>0</v>
      </c>
      <c r="AI906">
        <v>25</v>
      </c>
      <c r="AJ906">
        <v>3</v>
      </c>
      <c r="AK906">
        <v>4</v>
      </c>
      <c r="AL906" t="str" cm="1">
        <f t="array" ref="AL906">_xlfn.IFS(AK906=1,"Low",AK906=2,"Medium",AK906=3,"High",AK906=4,"Very High")</f>
        <v>Very High</v>
      </c>
      <c r="AM906">
        <v>1</v>
      </c>
      <c r="AN906">
        <v>0</v>
      </c>
      <c r="AO906">
        <v>0</v>
      </c>
      <c r="AP906">
        <v>0</v>
      </c>
    </row>
    <row r="907" spans="1:42">
      <c r="A907">
        <v>29</v>
      </c>
      <c r="B907" t="str" cm="1">
        <f t="array" ref="B907">_xlfn.IFS(A907&lt;=25,"18-25",A907&lt;=35,"26-35",A907&lt;=45,"36-45",A907&lt;=55,"46-55",A907&gt;55,"56+")</f>
        <v>26-35</v>
      </c>
      <c r="C907" t="s">
        <v>39</v>
      </c>
      <c r="D907" t="s">
        <v>33</v>
      </c>
      <c r="E907" s="2">
        <v>694</v>
      </c>
      <c r="F907" t="s">
        <v>41</v>
      </c>
      <c r="G907">
        <v>1</v>
      </c>
      <c r="H907" t="str">
        <f t="shared" si="14"/>
        <v>1-10 km</v>
      </c>
      <c r="I907">
        <v>3</v>
      </c>
      <c r="J907" t="str" cm="1">
        <f t="array" ref="J907">_xlfn.IFS(I907=1,"Below College",I907=2,"College",I907=3,"Bachelor",I907=4,"Master",I907=5,"Doctor")</f>
        <v>Bachelor</v>
      </c>
      <c r="K907" t="s">
        <v>35</v>
      </c>
      <c r="L907">
        <v>1264</v>
      </c>
      <c r="M907">
        <v>4</v>
      </c>
      <c r="N907" t="str" cm="1">
        <f t="array" ref="N907">_xlfn.IFS(M907=1,"Low",M907=2,"Medium",M907=3,"High",M907=4,"Very High")</f>
        <v>Very High</v>
      </c>
      <c r="O907" t="s">
        <v>36</v>
      </c>
      <c r="P907" s="2">
        <v>87</v>
      </c>
      <c r="Q907">
        <v>2</v>
      </c>
      <c r="R907" t="str" cm="1">
        <f t="array" ref="R907">_xlfn.IFS(Q907=1,"Low",Q907=2,"Medium",Q907=3,"High",Q907=4,"Very High")</f>
        <v>Medium</v>
      </c>
      <c r="S907">
        <v>4</v>
      </c>
      <c r="T907" t="str" cm="1">
        <f t="array" ref="T907">_xlfn.IFS(S907=1,"Entry Level",S907=2,"Junior",S907=3,"Mid-Level",S907=4,"Senior",S907=5,"Executive")</f>
        <v>Senior</v>
      </c>
      <c r="U907" t="s">
        <v>54</v>
      </c>
      <c r="V907">
        <v>4</v>
      </c>
      <c r="W907" t="str" cm="1">
        <f t="array" ref="W907">_xlfn.IFS(V907=1,"Low",V907=2,"Medium",V907=3,"High",V907=4,"Very High")</f>
        <v>Very High</v>
      </c>
      <c r="X907" t="s">
        <v>48</v>
      </c>
      <c r="Y907" s="2">
        <v>16124</v>
      </c>
      <c r="Z907" s="2">
        <v>3423</v>
      </c>
      <c r="AA907">
        <v>3</v>
      </c>
      <c r="AB907" t="s">
        <v>39</v>
      </c>
      <c r="AC907">
        <v>14</v>
      </c>
      <c r="AD907">
        <v>3</v>
      </c>
      <c r="AE907" t="str" cm="1">
        <f t="array" ref="AE907">_xlfn.IFS(AD907=1,"Low",AD907=2,"Good",AD907=3,"Excellent",AD907=4,"Outstanding")</f>
        <v>Excellent</v>
      </c>
      <c r="AF907">
        <v>2</v>
      </c>
      <c r="AG907" t="str" cm="1">
        <f t="array" ref="AG907">_xlfn.IFS(AF907=1,"Low",AF907=2,"Medium",AF907=3,"High",AF907=4,"Very High")</f>
        <v>Medium</v>
      </c>
      <c r="AH907">
        <v>2</v>
      </c>
      <c r="AI907">
        <v>9</v>
      </c>
      <c r="AJ907">
        <v>2</v>
      </c>
      <c r="AK907">
        <v>2</v>
      </c>
      <c r="AL907" t="str" cm="1">
        <f t="array" ref="AL907">_xlfn.IFS(AK907=1,"Low",AK907=2,"Medium",AK907=3,"High",AK907=4,"Very High")</f>
        <v>Medium</v>
      </c>
      <c r="AM907">
        <v>7</v>
      </c>
      <c r="AN907">
        <v>7</v>
      </c>
      <c r="AO907">
        <v>1</v>
      </c>
      <c r="AP907">
        <v>7</v>
      </c>
    </row>
    <row r="908" spans="1:42">
      <c r="A908">
        <v>34</v>
      </c>
      <c r="B908" t="str" cm="1">
        <f t="array" ref="B908">_xlfn.IFS(A908&lt;=25,"18-25",A908&lt;=35,"26-35",A908&lt;=45,"36-45",A908&lt;=55,"46-55",A908&gt;55,"56+")</f>
        <v>26-35</v>
      </c>
      <c r="C908" t="s">
        <v>39</v>
      </c>
      <c r="D908" t="s">
        <v>33</v>
      </c>
      <c r="E908" s="2">
        <v>1320</v>
      </c>
      <c r="F908" t="s">
        <v>41</v>
      </c>
      <c r="G908">
        <v>20</v>
      </c>
      <c r="H908" t="str">
        <f t="shared" si="14"/>
        <v>11-20 km</v>
      </c>
      <c r="I908">
        <v>3</v>
      </c>
      <c r="J908" t="str" cm="1">
        <f t="array" ref="J908">_xlfn.IFS(I908=1,"Below College",I908=2,"College",I908=3,"Bachelor",I908=4,"Master",I908=5,"Doctor")</f>
        <v>Bachelor</v>
      </c>
      <c r="K908" t="s">
        <v>56</v>
      </c>
      <c r="L908">
        <v>1265</v>
      </c>
      <c r="M908">
        <v>3</v>
      </c>
      <c r="N908" t="str" cm="1">
        <f t="array" ref="N908">_xlfn.IFS(M908=1,"Low",M908=2,"Medium",M908=3,"High",M908=4,"Very High")</f>
        <v>High</v>
      </c>
      <c r="O908" t="s">
        <v>36</v>
      </c>
      <c r="P908" s="2">
        <v>89</v>
      </c>
      <c r="Q908">
        <v>4</v>
      </c>
      <c r="R908" t="str" cm="1">
        <f t="array" ref="R908">_xlfn.IFS(Q908=1,"Low",Q908=2,"Medium",Q908=3,"High",Q908=4,"Very High")</f>
        <v>Very High</v>
      </c>
      <c r="S908">
        <v>1</v>
      </c>
      <c r="T908" t="str" cm="1">
        <f t="array" ref="T908">_xlfn.IFS(S908=1,"Entry Level",S908=2,"Junior",S908=3,"Mid-Level",S908=4,"Senior",S908=5,"Executive")</f>
        <v>Entry Level</v>
      </c>
      <c r="U908" t="s">
        <v>43</v>
      </c>
      <c r="V908">
        <v>3</v>
      </c>
      <c r="W908" t="str" cm="1">
        <f t="array" ref="W908">_xlfn.IFS(V908=1,"Low",V908=2,"Medium",V908=3,"High",V908=4,"Very High")</f>
        <v>High</v>
      </c>
      <c r="X908" t="s">
        <v>44</v>
      </c>
      <c r="Y908" s="2">
        <v>2585</v>
      </c>
      <c r="Z908" s="2">
        <v>21643</v>
      </c>
      <c r="AA908">
        <v>0</v>
      </c>
      <c r="AB908" t="s">
        <v>39</v>
      </c>
      <c r="AC908">
        <v>17</v>
      </c>
      <c r="AD908">
        <v>3</v>
      </c>
      <c r="AE908" t="str" cm="1">
        <f t="array" ref="AE908">_xlfn.IFS(AD908=1,"Low",AD908=2,"Good",AD908=3,"Excellent",AD908=4,"Outstanding")</f>
        <v>Excellent</v>
      </c>
      <c r="AF908">
        <v>4</v>
      </c>
      <c r="AG908" t="str" cm="1">
        <f t="array" ref="AG908">_xlfn.IFS(AF908=1,"Low",AF908=2,"Medium",AF908=3,"High",AF908=4,"Very High")</f>
        <v>Very High</v>
      </c>
      <c r="AH908">
        <v>0</v>
      </c>
      <c r="AI908">
        <v>2</v>
      </c>
      <c r="AJ908">
        <v>5</v>
      </c>
      <c r="AK908">
        <v>2</v>
      </c>
      <c r="AL908" t="str" cm="1">
        <f t="array" ref="AL908">_xlfn.IFS(AK908=1,"Low",AK908=2,"Medium",AK908=3,"High",AK908=4,"Very High")</f>
        <v>Medium</v>
      </c>
      <c r="AM908">
        <v>1</v>
      </c>
      <c r="AN908">
        <v>0</v>
      </c>
      <c r="AO908">
        <v>0</v>
      </c>
      <c r="AP908">
        <v>0</v>
      </c>
    </row>
    <row r="909" spans="1:42">
      <c r="A909">
        <v>44</v>
      </c>
      <c r="B909" t="str" cm="1">
        <f t="array" ref="B909">_xlfn.IFS(A909&lt;=25,"18-25",A909&lt;=35,"26-35",A909&lt;=45,"36-45",A909&lt;=55,"46-55",A909&gt;55,"56+")</f>
        <v>36-45</v>
      </c>
      <c r="C909" t="s">
        <v>39</v>
      </c>
      <c r="D909" t="s">
        <v>33</v>
      </c>
      <c r="E909" s="2">
        <v>1099</v>
      </c>
      <c r="F909" t="s">
        <v>34</v>
      </c>
      <c r="G909">
        <v>5</v>
      </c>
      <c r="H909" t="str">
        <f t="shared" si="14"/>
        <v>1-10 km</v>
      </c>
      <c r="I909">
        <v>3</v>
      </c>
      <c r="J909" t="str" cm="1">
        <f t="array" ref="J909">_xlfn.IFS(I909=1,"Below College",I909=2,"College",I909=3,"Bachelor",I909=4,"Master",I909=5,"Doctor")</f>
        <v>Bachelor</v>
      </c>
      <c r="K909" t="s">
        <v>55</v>
      </c>
      <c r="L909">
        <v>1267</v>
      </c>
      <c r="M909">
        <v>2</v>
      </c>
      <c r="N909" t="str" cm="1">
        <f t="array" ref="N909">_xlfn.IFS(M909=1,"Low",M909=2,"Medium",M909=3,"High",M909=4,"Very High")</f>
        <v>Medium</v>
      </c>
      <c r="O909" t="s">
        <v>42</v>
      </c>
      <c r="P909" s="2">
        <v>88</v>
      </c>
      <c r="Q909">
        <v>3</v>
      </c>
      <c r="R909" t="str" cm="1">
        <f t="array" ref="R909">_xlfn.IFS(Q909=1,"Low",Q909=2,"Medium",Q909=3,"High",Q909=4,"Very High")</f>
        <v>High</v>
      </c>
      <c r="S909">
        <v>5</v>
      </c>
      <c r="T909" t="str" cm="1">
        <f t="array" ref="T909">_xlfn.IFS(S909=1,"Entry Level",S909=2,"Junior",S909=3,"Mid-Level",S909=4,"Senior",S909=5,"Executive")</f>
        <v>Executive</v>
      </c>
      <c r="U909" t="s">
        <v>52</v>
      </c>
      <c r="V909">
        <v>2</v>
      </c>
      <c r="W909" t="str" cm="1">
        <f t="array" ref="W909">_xlfn.IFS(V909=1,"Low",V909=2,"Medium",V909=3,"High",V909=4,"Very High")</f>
        <v>Medium</v>
      </c>
      <c r="X909" t="s">
        <v>44</v>
      </c>
      <c r="Y909" s="2">
        <v>18213</v>
      </c>
      <c r="Z909" s="2">
        <v>8751</v>
      </c>
      <c r="AA909">
        <v>7</v>
      </c>
      <c r="AB909" t="s">
        <v>39</v>
      </c>
      <c r="AC909">
        <v>11</v>
      </c>
      <c r="AD909">
        <v>3</v>
      </c>
      <c r="AE909" t="str" cm="1">
        <f t="array" ref="AE909">_xlfn.IFS(AD909=1,"Low",AD909=2,"Good",AD909=3,"Excellent",AD909=4,"Outstanding")</f>
        <v>Excellent</v>
      </c>
      <c r="AF909">
        <v>3</v>
      </c>
      <c r="AG909" t="str" cm="1">
        <f t="array" ref="AG909">_xlfn.IFS(AF909=1,"Low",AF909=2,"Medium",AF909=3,"High",AF909=4,"Very High")</f>
        <v>High</v>
      </c>
      <c r="AH909">
        <v>1</v>
      </c>
      <c r="AI909">
        <v>26</v>
      </c>
      <c r="AJ909">
        <v>5</v>
      </c>
      <c r="AK909">
        <v>3</v>
      </c>
      <c r="AL909" t="str" cm="1">
        <f t="array" ref="AL909">_xlfn.IFS(AK909=1,"Low",AK909=2,"Medium",AK909=3,"High",AK909=4,"Very High")</f>
        <v>High</v>
      </c>
      <c r="AM909">
        <v>22</v>
      </c>
      <c r="AN909">
        <v>9</v>
      </c>
      <c r="AO909">
        <v>3</v>
      </c>
      <c r="AP909">
        <v>10</v>
      </c>
    </row>
    <row r="910" spans="1:42">
      <c r="A910">
        <v>33</v>
      </c>
      <c r="B910" t="str" cm="1">
        <f t="array" ref="B910">_xlfn.IFS(A910&lt;=25,"18-25",A910&lt;=35,"26-35",A910&lt;=45,"36-45",A910&lt;=55,"46-55",A910&gt;55,"56+")</f>
        <v>26-35</v>
      </c>
      <c r="C910" t="s">
        <v>39</v>
      </c>
      <c r="D910" t="s">
        <v>33</v>
      </c>
      <c r="E910" s="2">
        <v>536</v>
      </c>
      <c r="F910" t="s">
        <v>34</v>
      </c>
      <c r="G910">
        <v>10</v>
      </c>
      <c r="H910" t="str">
        <f t="shared" si="14"/>
        <v>1-10 km</v>
      </c>
      <c r="I910">
        <v>5</v>
      </c>
      <c r="J910" t="str" cm="1">
        <f t="array" ref="J910">_xlfn.IFS(I910=1,"Below College",I910=2,"College",I910=3,"Bachelor",I910=4,"Master",I910=5,"Doctor")</f>
        <v>Doctor</v>
      </c>
      <c r="K910" t="s">
        <v>55</v>
      </c>
      <c r="L910">
        <v>1268</v>
      </c>
      <c r="M910">
        <v>4</v>
      </c>
      <c r="N910" t="str" cm="1">
        <f t="array" ref="N910">_xlfn.IFS(M910=1,"Low",M910=2,"Medium",M910=3,"High",M910=4,"Very High")</f>
        <v>Very High</v>
      </c>
      <c r="O910" t="s">
        <v>42</v>
      </c>
      <c r="P910" s="2">
        <v>82</v>
      </c>
      <c r="Q910">
        <v>4</v>
      </c>
      <c r="R910" t="str" cm="1">
        <f t="array" ref="R910">_xlfn.IFS(Q910=1,"Low",Q910=2,"Medium",Q910=3,"High",Q910=4,"Very High")</f>
        <v>Very High</v>
      </c>
      <c r="S910">
        <v>3</v>
      </c>
      <c r="T910" t="str" cm="1">
        <f t="array" ref="T910">_xlfn.IFS(S910=1,"Entry Level",S910=2,"Junior",S910=3,"Mid-Level",S910=4,"Senior",S910=5,"Executive")</f>
        <v>Mid-Level</v>
      </c>
      <c r="U910" t="s">
        <v>37</v>
      </c>
      <c r="V910">
        <v>3</v>
      </c>
      <c r="W910" t="str" cm="1">
        <f t="array" ref="W910">_xlfn.IFS(V910=1,"Low",V910=2,"Medium",V910=3,"High",V910=4,"Very High")</f>
        <v>High</v>
      </c>
      <c r="X910" t="s">
        <v>48</v>
      </c>
      <c r="Y910" s="2">
        <v>8380</v>
      </c>
      <c r="Z910" s="2">
        <v>21708</v>
      </c>
      <c r="AA910">
        <v>0</v>
      </c>
      <c r="AB910" t="s">
        <v>32</v>
      </c>
      <c r="AC910">
        <v>14</v>
      </c>
      <c r="AD910">
        <v>3</v>
      </c>
      <c r="AE910" t="str" cm="1">
        <f t="array" ref="AE910">_xlfn.IFS(AD910=1,"Low",AD910=2,"Good",AD910=3,"Excellent",AD910=4,"Outstanding")</f>
        <v>Excellent</v>
      </c>
      <c r="AF910">
        <v>4</v>
      </c>
      <c r="AG910" t="str" cm="1">
        <f t="array" ref="AG910">_xlfn.IFS(AF910=1,"Low",AF910=2,"Medium",AF910=3,"High",AF910=4,"Very High")</f>
        <v>Very High</v>
      </c>
      <c r="AH910">
        <v>2</v>
      </c>
      <c r="AI910">
        <v>10</v>
      </c>
      <c r="AJ910">
        <v>3</v>
      </c>
      <c r="AK910">
        <v>3</v>
      </c>
      <c r="AL910" t="str" cm="1">
        <f t="array" ref="AL910">_xlfn.IFS(AK910=1,"Low",AK910=2,"Medium",AK910=3,"High",AK910=4,"Very High")</f>
        <v>High</v>
      </c>
      <c r="AM910">
        <v>9</v>
      </c>
      <c r="AN910">
        <v>8</v>
      </c>
      <c r="AO910">
        <v>0</v>
      </c>
      <c r="AP910">
        <v>8</v>
      </c>
    </row>
    <row r="911" spans="1:42">
      <c r="A911">
        <v>19</v>
      </c>
      <c r="B911" t="str" cm="1">
        <f t="array" ref="B911">_xlfn.IFS(A911&lt;=25,"18-25",A911&lt;=35,"26-35",A911&lt;=45,"36-45",A911&lt;=55,"46-55",A911&gt;55,"56+")</f>
        <v>18-25</v>
      </c>
      <c r="C911" t="s">
        <v>39</v>
      </c>
      <c r="D911" t="s">
        <v>33</v>
      </c>
      <c r="E911" s="2">
        <v>265</v>
      </c>
      <c r="F911" t="s">
        <v>41</v>
      </c>
      <c r="G911">
        <v>25</v>
      </c>
      <c r="H911" t="str">
        <f t="shared" si="14"/>
        <v>21-30 km</v>
      </c>
      <c r="I911">
        <v>3</v>
      </c>
      <c r="J911" t="str" cm="1">
        <f t="array" ref="J911">_xlfn.IFS(I911=1,"Below College",I911=2,"College",I911=3,"Bachelor",I911=4,"Master",I911=5,"Doctor")</f>
        <v>Bachelor</v>
      </c>
      <c r="K911" t="s">
        <v>35</v>
      </c>
      <c r="L911">
        <v>1269</v>
      </c>
      <c r="M911">
        <v>2</v>
      </c>
      <c r="N911" t="str" cm="1">
        <f t="array" ref="N911">_xlfn.IFS(M911=1,"Low",M911=2,"Medium",M911=3,"High",M911=4,"Very High")</f>
        <v>Medium</v>
      </c>
      <c r="O911" t="s">
        <v>36</v>
      </c>
      <c r="P911" s="2">
        <v>57</v>
      </c>
      <c r="Q911">
        <v>4</v>
      </c>
      <c r="R911" t="str" cm="1">
        <f t="array" ref="R911">_xlfn.IFS(Q911=1,"Low",Q911=2,"Medium",Q911=3,"High",Q911=4,"Very High")</f>
        <v>Very High</v>
      </c>
      <c r="S911">
        <v>1</v>
      </c>
      <c r="T911" t="str" cm="1">
        <f t="array" ref="T911">_xlfn.IFS(S911=1,"Entry Level",S911=2,"Junior",S911=3,"Mid-Level",S911=4,"Senior",S911=5,"Executive")</f>
        <v>Entry Level</v>
      </c>
      <c r="U911" t="s">
        <v>43</v>
      </c>
      <c r="V911">
        <v>4</v>
      </c>
      <c r="W911" t="str" cm="1">
        <f t="array" ref="W911">_xlfn.IFS(V911=1,"Low",V911=2,"Medium",V911=3,"High",V911=4,"Very High")</f>
        <v>Very High</v>
      </c>
      <c r="X911" t="s">
        <v>38</v>
      </c>
      <c r="Y911" s="2">
        <v>2994</v>
      </c>
      <c r="Z911" s="2">
        <v>21221</v>
      </c>
      <c r="AA911">
        <v>1</v>
      </c>
      <c r="AB911" t="s">
        <v>32</v>
      </c>
      <c r="AC911">
        <v>12</v>
      </c>
      <c r="AD911">
        <v>3</v>
      </c>
      <c r="AE911" t="str" cm="1">
        <f t="array" ref="AE911">_xlfn.IFS(AD911=1,"Low",AD911=2,"Good",AD911=3,"Excellent",AD911=4,"Outstanding")</f>
        <v>Excellent</v>
      </c>
      <c r="AF911">
        <v>4</v>
      </c>
      <c r="AG911" t="str" cm="1">
        <f t="array" ref="AG911">_xlfn.IFS(AF911=1,"Low",AF911=2,"Medium",AF911=3,"High",AF911=4,"Very High")</f>
        <v>Very High</v>
      </c>
      <c r="AH911">
        <v>0</v>
      </c>
      <c r="AI911">
        <v>1</v>
      </c>
      <c r="AJ911">
        <v>2</v>
      </c>
      <c r="AK911">
        <v>3</v>
      </c>
      <c r="AL911" t="str" cm="1">
        <f t="array" ref="AL911">_xlfn.IFS(AK911=1,"Low",AK911=2,"Medium",AK911=3,"High",AK911=4,"Very High")</f>
        <v>High</v>
      </c>
      <c r="AM911">
        <v>1</v>
      </c>
      <c r="AN911">
        <v>0</v>
      </c>
      <c r="AO911">
        <v>0</v>
      </c>
      <c r="AP911">
        <v>1</v>
      </c>
    </row>
    <row r="912" spans="1:42">
      <c r="A912">
        <v>23</v>
      </c>
      <c r="B912" t="str" cm="1">
        <f t="array" ref="B912">_xlfn.IFS(A912&lt;=25,"18-25",A912&lt;=35,"26-35",A912&lt;=45,"36-45",A912&lt;=55,"46-55",A912&gt;55,"56+")</f>
        <v>18-25</v>
      </c>
      <c r="C912" t="s">
        <v>39</v>
      </c>
      <c r="D912" t="s">
        <v>33</v>
      </c>
      <c r="E912" s="2">
        <v>373</v>
      </c>
      <c r="F912" t="s">
        <v>41</v>
      </c>
      <c r="G912">
        <v>1</v>
      </c>
      <c r="H912" t="str">
        <f t="shared" si="14"/>
        <v>1-10 km</v>
      </c>
      <c r="I912">
        <v>2</v>
      </c>
      <c r="J912" t="str" cm="1">
        <f t="array" ref="J912">_xlfn.IFS(I912=1,"Below College",I912=2,"College",I912=3,"Bachelor",I912=4,"Master",I912=5,"Doctor")</f>
        <v>College</v>
      </c>
      <c r="K912" t="s">
        <v>35</v>
      </c>
      <c r="L912">
        <v>1270</v>
      </c>
      <c r="M912">
        <v>4</v>
      </c>
      <c r="N912" t="str" cm="1">
        <f t="array" ref="N912">_xlfn.IFS(M912=1,"Low",M912=2,"Medium",M912=3,"High",M912=4,"Very High")</f>
        <v>Very High</v>
      </c>
      <c r="O912" t="s">
        <v>42</v>
      </c>
      <c r="P912" s="2">
        <v>47</v>
      </c>
      <c r="Q912">
        <v>3</v>
      </c>
      <c r="R912" t="str" cm="1">
        <f t="array" ref="R912">_xlfn.IFS(Q912=1,"Low",Q912=2,"Medium",Q912=3,"High",Q912=4,"Very High")</f>
        <v>High</v>
      </c>
      <c r="S912">
        <v>1</v>
      </c>
      <c r="T912" t="str" cm="1">
        <f t="array" ref="T912">_xlfn.IFS(S912=1,"Entry Level",S912=2,"Junior",S912=3,"Mid-Level",S912=4,"Senior",S912=5,"Executive")</f>
        <v>Entry Level</v>
      </c>
      <c r="U912" t="s">
        <v>43</v>
      </c>
      <c r="V912">
        <v>3</v>
      </c>
      <c r="W912" t="str" cm="1">
        <f t="array" ref="W912">_xlfn.IFS(V912=1,"Low",V912=2,"Medium",V912=3,"High",V912=4,"Very High")</f>
        <v>High</v>
      </c>
      <c r="X912" t="s">
        <v>44</v>
      </c>
      <c r="Y912" s="2">
        <v>1223</v>
      </c>
      <c r="Z912" s="2">
        <v>16901</v>
      </c>
      <c r="AA912">
        <v>1</v>
      </c>
      <c r="AB912" t="s">
        <v>39</v>
      </c>
      <c r="AC912">
        <v>22</v>
      </c>
      <c r="AD912">
        <v>4</v>
      </c>
      <c r="AE912" t="str" cm="1">
        <f t="array" ref="AE912">_xlfn.IFS(AD912=1,"Low",AD912=2,"Good",AD912=3,"Excellent",AD912=4,"Outstanding")</f>
        <v>Outstanding</v>
      </c>
      <c r="AF912">
        <v>4</v>
      </c>
      <c r="AG912" t="str" cm="1">
        <f t="array" ref="AG912">_xlfn.IFS(AF912=1,"Low",AF912=2,"Medium",AF912=3,"High",AF912=4,"Very High")</f>
        <v>Very High</v>
      </c>
      <c r="AH912">
        <v>1</v>
      </c>
      <c r="AI912">
        <v>1</v>
      </c>
      <c r="AJ912">
        <v>2</v>
      </c>
      <c r="AK912">
        <v>3</v>
      </c>
      <c r="AL912" t="str" cm="1">
        <f t="array" ref="AL912">_xlfn.IFS(AK912=1,"Low",AK912=2,"Medium",AK912=3,"High",AK912=4,"Very High")</f>
        <v>High</v>
      </c>
      <c r="AM912">
        <v>1</v>
      </c>
      <c r="AN912">
        <v>0</v>
      </c>
      <c r="AO912">
        <v>0</v>
      </c>
      <c r="AP912">
        <v>1</v>
      </c>
    </row>
    <row r="913" spans="1:42">
      <c r="A913">
        <v>25</v>
      </c>
      <c r="B913" t="str" cm="1">
        <f t="array" ref="B913">_xlfn.IFS(A913&lt;=25,"18-25",A913&lt;=35,"26-35",A913&lt;=45,"36-45",A913&lt;=55,"46-55",A913&gt;55,"56+")</f>
        <v>18-25</v>
      </c>
      <c r="C913" t="s">
        <v>32</v>
      </c>
      <c r="D913" t="s">
        <v>40</v>
      </c>
      <c r="E913" s="2">
        <v>599</v>
      </c>
      <c r="F913" t="s">
        <v>34</v>
      </c>
      <c r="G913">
        <v>24</v>
      </c>
      <c r="H913" t="str">
        <f t="shared" si="14"/>
        <v>21-30 km</v>
      </c>
      <c r="I913">
        <v>1</v>
      </c>
      <c r="J913" t="str" cm="1">
        <f t="array" ref="J913">_xlfn.IFS(I913=1,"Below College",I913=2,"College",I913=3,"Bachelor",I913=4,"Master",I913=5,"Doctor")</f>
        <v>Below College</v>
      </c>
      <c r="K913" t="s">
        <v>35</v>
      </c>
      <c r="L913">
        <v>1273</v>
      </c>
      <c r="M913">
        <v>3</v>
      </c>
      <c r="N913" t="str" cm="1">
        <f t="array" ref="N913">_xlfn.IFS(M913=1,"Low",M913=2,"Medium",M913=3,"High",M913=4,"Very High")</f>
        <v>High</v>
      </c>
      <c r="O913" t="s">
        <v>42</v>
      </c>
      <c r="P913" s="2">
        <v>73</v>
      </c>
      <c r="Q913">
        <v>1</v>
      </c>
      <c r="R913" t="str" cm="1">
        <f t="array" ref="R913">_xlfn.IFS(Q913=1,"Low",Q913=2,"Medium",Q913=3,"High",Q913=4,"Very High")</f>
        <v>Low</v>
      </c>
      <c r="S913">
        <v>1</v>
      </c>
      <c r="T913" t="str" cm="1">
        <f t="array" ref="T913">_xlfn.IFS(S913=1,"Entry Level",S913=2,"Junior",S913=3,"Mid-Level",S913=4,"Senior",S913=5,"Executive")</f>
        <v>Entry Level</v>
      </c>
      <c r="U913" t="s">
        <v>53</v>
      </c>
      <c r="V913">
        <v>4</v>
      </c>
      <c r="W913" t="str" cm="1">
        <f t="array" ref="W913">_xlfn.IFS(V913=1,"Low",V913=2,"Medium",V913=3,"High",V913=4,"Very High")</f>
        <v>Very High</v>
      </c>
      <c r="X913" t="s">
        <v>38</v>
      </c>
      <c r="Y913" s="2">
        <v>1118</v>
      </c>
      <c r="Z913" s="2">
        <v>8040</v>
      </c>
      <c r="AA913">
        <v>1</v>
      </c>
      <c r="AB913" t="s">
        <v>32</v>
      </c>
      <c r="AC913">
        <v>14</v>
      </c>
      <c r="AD913">
        <v>3</v>
      </c>
      <c r="AE913" t="str" cm="1">
        <f t="array" ref="AE913">_xlfn.IFS(AD913=1,"Low",AD913=2,"Good",AD913=3,"Excellent",AD913=4,"Outstanding")</f>
        <v>Excellent</v>
      </c>
      <c r="AF913">
        <v>4</v>
      </c>
      <c r="AG913" t="str" cm="1">
        <f t="array" ref="AG913">_xlfn.IFS(AF913=1,"Low",AF913=2,"Medium",AF913=3,"High",AF913=4,"Very High")</f>
        <v>Very High</v>
      </c>
      <c r="AH913">
        <v>0</v>
      </c>
      <c r="AI913">
        <v>1</v>
      </c>
      <c r="AJ913">
        <v>4</v>
      </c>
      <c r="AK913">
        <v>3</v>
      </c>
      <c r="AL913" t="str" cm="1">
        <f t="array" ref="AL913">_xlfn.IFS(AK913=1,"Low",AK913=2,"Medium",AK913=3,"High",AK913=4,"Very High")</f>
        <v>High</v>
      </c>
      <c r="AM913">
        <v>1</v>
      </c>
      <c r="AN913">
        <v>0</v>
      </c>
      <c r="AO913">
        <v>1</v>
      </c>
      <c r="AP913">
        <v>0</v>
      </c>
    </row>
    <row r="914" spans="1:42">
      <c r="A914">
        <v>26</v>
      </c>
      <c r="B914" t="str" cm="1">
        <f t="array" ref="B914">_xlfn.IFS(A914&lt;=25,"18-25",A914&lt;=35,"26-35",A914&lt;=45,"36-45",A914&lt;=55,"46-55",A914&gt;55,"56+")</f>
        <v>26-35</v>
      </c>
      <c r="C914" t="s">
        <v>39</v>
      </c>
      <c r="D914" t="s">
        <v>33</v>
      </c>
      <c r="E914" s="2">
        <v>583</v>
      </c>
      <c r="F914" t="s">
        <v>41</v>
      </c>
      <c r="G914">
        <v>4</v>
      </c>
      <c r="H914" t="str">
        <f t="shared" si="14"/>
        <v>1-10 km</v>
      </c>
      <c r="I914">
        <v>2</v>
      </c>
      <c r="J914" t="str" cm="1">
        <f t="array" ref="J914">_xlfn.IFS(I914=1,"Below College",I914=2,"College",I914=3,"Bachelor",I914=4,"Master",I914=5,"Doctor")</f>
        <v>College</v>
      </c>
      <c r="K914" t="s">
        <v>35</v>
      </c>
      <c r="L914">
        <v>1275</v>
      </c>
      <c r="M914">
        <v>3</v>
      </c>
      <c r="N914" t="str" cm="1">
        <f t="array" ref="N914">_xlfn.IFS(M914=1,"Low",M914=2,"Medium",M914=3,"High",M914=4,"Very High")</f>
        <v>High</v>
      </c>
      <c r="O914" t="s">
        <v>42</v>
      </c>
      <c r="P914" s="2">
        <v>53</v>
      </c>
      <c r="Q914">
        <v>3</v>
      </c>
      <c r="R914" t="str" cm="1">
        <f t="array" ref="R914">_xlfn.IFS(Q914=1,"Low",Q914=2,"Medium",Q914=3,"High",Q914=4,"Very High")</f>
        <v>High</v>
      </c>
      <c r="S914">
        <v>1</v>
      </c>
      <c r="T914" t="str" cm="1">
        <f t="array" ref="T914">_xlfn.IFS(S914=1,"Entry Level",S914=2,"Junior",S914=3,"Mid-Level",S914=4,"Senior",S914=5,"Executive")</f>
        <v>Entry Level</v>
      </c>
      <c r="U914" t="s">
        <v>43</v>
      </c>
      <c r="V914">
        <v>4</v>
      </c>
      <c r="W914" t="str" cm="1">
        <f t="array" ref="W914">_xlfn.IFS(V914=1,"Low",V914=2,"Medium",V914=3,"High",V914=4,"Very High")</f>
        <v>Very High</v>
      </c>
      <c r="X914" t="s">
        <v>38</v>
      </c>
      <c r="Y914" s="2">
        <v>2875</v>
      </c>
      <c r="Z914" s="2">
        <v>9973</v>
      </c>
      <c r="AA914">
        <v>1</v>
      </c>
      <c r="AB914" t="s">
        <v>32</v>
      </c>
      <c r="AC914">
        <v>20</v>
      </c>
      <c r="AD914">
        <v>4</v>
      </c>
      <c r="AE914" t="str" cm="1">
        <f t="array" ref="AE914">_xlfn.IFS(AD914=1,"Low",AD914=2,"Good",AD914=3,"Excellent",AD914=4,"Outstanding")</f>
        <v>Outstanding</v>
      </c>
      <c r="AF914">
        <v>2</v>
      </c>
      <c r="AG914" t="str" cm="1">
        <f t="array" ref="AG914">_xlfn.IFS(AF914=1,"Low",AF914=2,"Medium",AF914=3,"High",AF914=4,"Very High")</f>
        <v>Medium</v>
      </c>
      <c r="AH914">
        <v>0</v>
      </c>
      <c r="AI914">
        <v>8</v>
      </c>
      <c r="AJ914">
        <v>2</v>
      </c>
      <c r="AK914">
        <v>2</v>
      </c>
      <c r="AL914" t="str" cm="1">
        <f t="array" ref="AL914">_xlfn.IFS(AK914=1,"Low",AK914=2,"Medium",AK914=3,"High",AK914=4,"Very High")</f>
        <v>Medium</v>
      </c>
      <c r="AM914">
        <v>8</v>
      </c>
      <c r="AN914">
        <v>5</v>
      </c>
      <c r="AO914">
        <v>2</v>
      </c>
      <c r="AP914">
        <v>2</v>
      </c>
    </row>
    <row r="915" spans="1:42">
      <c r="A915">
        <v>45</v>
      </c>
      <c r="B915" t="str" cm="1">
        <f t="array" ref="B915">_xlfn.IFS(A915&lt;=25,"18-25",A915&lt;=35,"26-35",A915&lt;=45,"36-45",A915&lt;=55,"46-55",A915&gt;55,"56+")</f>
        <v>36-45</v>
      </c>
      <c r="C915" t="s">
        <v>32</v>
      </c>
      <c r="D915" t="s">
        <v>33</v>
      </c>
      <c r="E915" s="2">
        <v>1449</v>
      </c>
      <c r="F915" t="s">
        <v>34</v>
      </c>
      <c r="G915">
        <v>2</v>
      </c>
      <c r="H915" t="str">
        <f t="shared" si="14"/>
        <v>1-10 km</v>
      </c>
      <c r="I915">
        <v>3</v>
      </c>
      <c r="J915" t="str" cm="1">
        <f t="array" ref="J915">_xlfn.IFS(I915=1,"Below College",I915=2,"College",I915=3,"Bachelor",I915=4,"Master",I915=5,"Doctor")</f>
        <v>Bachelor</v>
      </c>
      <c r="K915" t="s">
        <v>55</v>
      </c>
      <c r="L915">
        <v>1277</v>
      </c>
      <c r="M915">
        <v>1</v>
      </c>
      <c r="N915" t="str" cm="1">
        <f t="array" ref="N915">_xlfn.IFS(M915=1,"Low",M915=2,"Medium",M915=3,"High",M915=4,"Very High")</f>
        <v>Low</v>
      </c>
      <c r="O915" t="s">
        <v>36</v>
      </c>
      <c r="P915" s="2">
        <v>94</v>
      </c>
      <c r="Q915">
        <v>1</v>
      </c>
      <c r="R915" t="str" cm="1">
        <f t="array" ref="R915">_xlfn.IFS(Q915=1,"Low",Q915=2,"Medium",Q915=3,"High",Q915=4,"Very High")</f>
        <v>Low</v>
      </c>
      <c r="S915">
        <v>5</v>
      </c>
      <c r="T915" t="str" cm="1">
        <f t="array" ref="T915">_xlfn.IFS(S915=1,"Entry Level",S915=2,"Junior",S915=3,"Mid-Level",S915=4,"Senior",S915=5,"Executive")</f>
        <v>Executive</v>
      </c>
      <c r="U915" t="s">
        <v>52</v>
      </c>
      <c r="V915">
        <v>2</v>
      </c>
      <c r="W915" t="str" cm="1">
        <f t="array" ref="W915">_xlfn.IFS(V915=1,"Low",V915=2,"Medium",V915=3,"High",V915=4,"Very High")</f>
        <v>Medium</v>
      </c>
      <c r="X915" t="s">
        <v>38</v>
      </c>
      <c r="Y915" s="2">
        <v>18824</v>
      </c>
      <c r="Z915" s="2">
        <v>2493</v>
      </c>
      <c r="AA915">
        <v>2</v>
      </c>
      <c r="AB915" t="s">
        <v>32</v>
      </c>
      <c r="AC915">
        <v>16</v>
      </c>
      <c r="AD915">
        <v>3</v>
      </c>
      <c r="AE915" t="str" cm="1">
        <f t="array" ref="AE915">_xlfn.IFS(AD915=1,"Low",AD915=2,"Good",AD915=3,"Excellent",AD915=4,"Outstanding")</f>
        <v>Excellent</v>
      </c>
      <c r="AF915">
        <v>1</v>
      </c>
      <c r="AG915" t="str" cm="1">
        <f t="array" ref="AG915">_xlfn.IFS(AF915=1,"Low",AF915=2,"Medium",AF915=3,"High",AF915=4,"Very High")</f>
        <v>Low</v>
      </c>
      <c r="AH915">
        <v>0</v>
      </c>
      <c r="AI915">
        <v>26</v>
      </c>
      <c r="AJ915">
        <v>2</v>
      </c>
      <c r="AK915">
        <v>3</v>
      </c>
      <c r="AL915" t="str" cm="1">
        <f t="array" ref="AL915">_xlfn.IFS(AK915=1,"Low",AK915=2,"Medium",AK915=3,"High",AK915=4,"Very High")</f>
        <v>High</v>
      </c>
      <c r="AM915">
        <v>24</v>
      </c>
      <c r="AN915">
        <v>10</v>
      </c>
      <c r="AO915">
        <v>1</v>
      </c>
      <c r="AP915">
        <v>11</v>
      </c>
    </row>
    <row r="916" spans="1:42">
      <c r="A916">
        <v>55</v>
      </c>
      <c r="B916" t="str" cm="1">
        <f t="array" ref="B916">_xlfn.IFS(A916&lt;=25,"18-25",A916&lt;=35,"26-35",A916&lt;=45,"36-45",A916&lt;=55,"46-55",A916&gt;55,"56+")</f>
        <v>46-55</v>
      </c>
      <c r="C916" t="s">
        <v>39</v>
      </c>
      <c r="D916" t="s">
        <v>51</v>
      </c>
      <c r="E916" s="2">
        <v>177</v>
      </c>
      <c r="F916" t="s">
        <v>41</v>
      </c>
      <c r="G916">
        <v>8</v>
      </c>
      <c r="H916" t="str">
        <f t="shared" si="14"/>
        <v>1-10 km</v>
      </c>
      <c r="I916">
        <v>1</v>
      </c>
      <c r="J916" t="str" cm="1">
        <f t="array" ref="J916">_xlfn.IFS(I916=1,"Below College",I916=2,"College",I916=3,"Bachelor",I916=4,"Master",I916=5,"Doctor")</f>
        <v>Below College</v>
      </c>
      <c r="K916" t="s">
        <v>47</v>
      </c>
      <c r="L916">
        <v>1278</v>
      </c>
      <c r="M916">
        <v>4</v>
      </c>
      <c r="N916" t="str" cm="1">
        <f t="array" ref="N916">_xlfn.IFS(M916=1,"Low",M916=2,"Medium",M916=3,"High",M916=4,"Very High")</f>
        <v>Very High</v>
      </c>
      <c r="O916" t="s">
        <v>42</v>
      </c>
      <c r="P916" s="2">
        <v>37</v>
      </c>
      <c r="Q916">
        <v>2</v>
      </c>
      <c r="R916" t="str" cm="1">
        <f t="array" ref="R916">_xlfn.IFS(Q916=1,"Low",Q916=2,"Medium",Q916=3,"High",Q916=4,"Very High")</f>
        <v>Medium</v>
      </c>
      <c r="S916">
        <v>4</v>
      </c>
      <c r="T916" t="str" cm="1">
        <f t="array" ref="T916">_xlfn.IFS(S916=1,"Entry Level",S916=2,"Junior",S916=3,"Mid-Level",S916=4,"Senior",S916=5,"Executive")</f>
        <v>Senior</v>
      </c>
      <c r="U916" t="s">
        <v>50</v>
      </c>
      <c r="V916">
        <v>2</v>
      </c>
      <c r="W916" t="str" cm="1">
        <f t="array" ref="W916">_xlfn.IFS(V916=1,"Low",V916=2,"Medium",V916=3,"High",V916=4,"Very High")</f>
        <v>Medium</v>
      </c>
      <c r="X916" t="s">
        <v>48</v>
      </c>
      <c r="Y916" s="2">
        <v>13577</v>
      </c>
      <c r="Z916" s="2">
        <v>25592</v>
      </c>
      <c r="AA916">
        <v>1</v>
      </c>
      <c r="AB916" t="s">
        <v>32</v>
      </c>
      <c r="AC916">
        <v>15</v>
      </c>
      <c r="AD916">
        <v>3</v>
      </c>
      <c r="AE916" t="str" cm="1">
        <f t="array" ref="AE916">_xlfn.IFS(AD916=1,"Low",AD916=2,"Good",AD916=3,"Excellent",AD916=4,"Outstanding")</f>
        <v>Excellent</v>
      </c>
      <c r="AF916">
        <v>4</v>
      </c>
      <c r="AG916" t="str" cm="1">
        <f t="array" ref="AG916">_xlfn.IFS(AF916=1,"Low",AF916=2,"Medium",AF916=3,"High",AF916=4,"Very High")</f>
        <v>Very High</v>
      </c>
      <c r="AH916">
        <v>1</v>
      </c>
      <c r="AI916">
        <v>34</v>
      </c>
      <c r="AJ916">
        <v>3</v>
      </c>
      <c r="AK916">
        <v>3</v>
      </c>
      <c r="AL916" t="str" cm="1">
        <f t="array" ref="AL916">_xlfn.IFS(AK916=1,"Low",AK916=2,"Medium",AK916=3,"High",AK916=4,"Very High")</f>
        <v>High</v>
      </c>
      <c r="AM916">
        <v>33</v>
      </c>
      <c r="AN916">
        <v>9</v>
      </c>
      <c r="AO916">
        <v>15</v>
      </c>
      <c r="AP916">
        <v>0</v>
      </c>
    </row>
    <row r="917" spans="1:42">
      <c r="A917">
        <v>21</v>
      </c>
      <c r="B917" t="str" cm="1">
        <f t="array" ref="B917">_xlfn.IFS(A917&lt;=25,"18-25",A917&lt;=35,"26-35",A917&lt;=45,"36-45",A917&lt;=55,"46-55",A917&gt;55,"56+")</f>
        <v>18-25</v>
      </c>
      <c r="C917" t="s">
        <v>32</v>
      </c>
      <c r="D917" t="s">
        <v>40</v>
      </c>
      <c r="E917" s="2">
        <v>251</v>
      </c>
      <c r="F917" t="s">
        <v>41</v>
      </c>
      <c r="G917">
        <v>10</v>
      </c>
      <c r="H917" t="str">
        <f t="shared" si="14"/>
        <v>1-10 km</v>
      </c>
      <c r="I917">
        <v>2</v>
      </c>
      <c r="J917" t="str" cm="1">
        <f t="array" ref="J917">_xlfn.IFS(I917=1,"Below College",I917=2,"College",I917=3,"Bachelor",I917=4,"Master",I917=5,"Doctor")</f>
        <v>College</v>
      </c>
      <c r="K917" t="s">
        <v>35</v>
      </c>
      <c r="L917">
        <v>1279</v>
      </c>
      <c r="M917">
        <v>1</v>
      </c>
      <c r="N917" t="str" cm="1">
        <f t="array" ref="N917">_xlfn.IFS(M917=1,"Low",M917=2,"Medium",M917=3,"High",M917=4,"Very High")</f>
        <v>Low</v>
      </c>
      <c r="O917" t="s">
        <v>36</v>
      </c>
      <c r="P917" s="2">
        <v>45</v>
      </c>
      <c r="Q917">
        <v>2</v>
      </c>
      <c r="R917" t="str" cm="1">
        <f t="array" ref="R917">_xlfn.IFS(Q917=1,"Low",Q917=2,"Medium",Q917=3,"High",Q917=4,"Very High")</f>
        <v>Medium</v>
      </c>
      <c r="S917">
        <v>1</v>
      </c>
      <c r="T917" t="str" cm="1">
        <f t="array" ref="T917">_xlfn.IFS(S917=1,"Entry Level",S917=2,"Junior",S917=3,"Mid-Level",S917=4,"Senior",S917=5,"Executive")</f>
        <v>Entry Level</v>
      </c>
      <c r="U917" t="s">
        <v>46</v>
      </c>
      <c r="V917">
        <v>3</v>
      </c>
      <c r="W917" t="str" cm="1">
        <f t="array" ref="W917">_xlfn.IFS(V917=1,"Low",V917=2,"Medium",V917=3,"High",V917=4,"Very High")</f>
        <v>High</v>
      </c>
      <c r="X917" t="s">
        <v>38</v>
      </c>
      <c r="Y917" s="2">
        <v>2625</v>
      </c>
      <c r="Z917" s="2">
        <v>25308</v>
      </c>
      <c r="AA917">
        <v>1</v>
      </c>
      <c r="AB917" t="s">
        <v>39</v>
      </c>
      <c r="AC917">
        <v>20</v>
      </c>
      <c r="AD917">
        <v>4</v>
      </c>
      <c r="AE917" t="str" cm="1">
        <f t="array" ref="AE917">_xlfn.IFS(AD917=1,"Low",AD917=2,"Good",AD917=3,"Excellent",AD917=4,"Outstanding")</f>
        <v>Outstanding</v>
      </c>
      <c r="AF917">
        <v>3</v>
      </c>
      <c r="AG917" t="str" cm="1">
        <f t="array" ref="AG917">_xlfn.IFS(AF917=1,"Low",AF917=2,"Medium",AF917=3,"High",AF917=4,"Very High")</f>
        <v>High</v>
      </c>
      <c r="AH917">
        <v>0</v>
      </c>
      <c r="AI917">
        <v>2</v>
      </c>
      <c r="AJ917">
        <v>2</v>
      </c>
      <c r="AK917">
        <v>1</v>
      </c>
      <c r="AL917" t="str" cm="1">
        <f t="array" ref="AL917">_xlfn.IFS(AK917=1,"Low",AK917=2,"Medium",AK917=3,"High",AK917=4,"Very High")</f>
        <v>Low</v>
      </c>
      <c r="AM917">
        <v>2</v>
      </c>
      <c r="AN917">
        <v>2</v>
      </c>
      <c r="AO917">
        <v>2</v>
      </c>
      <c r="AP917">
        <v>2</v>
      </c>
    </row>
    <row r="918" spans="1:42">
      <c r="A918">
        <v>46</v>
      </c>
      <c r="B918" t="str" cm="1">
        <f t="array" ref="B918">_xlfn.IFS(A918&lt;=25,"18-25",A918&lt;=35,"26-35",A918&lt;=45,"36-45",A918&lt;=55,"46-55",A918&gt;55,"56+")</f>
        <v>46-55</v>
      </c>
      <c r="C918" t="s">
        <v>39</v>
      </c>
      <c r="D918" t="s">
        <v>33</v>
      </c>
      <c r="E918" s="2">
        <v>168</v>
      </c>
      <c r="F918" t="s">
        <v>34</v>
      </c>
      <c r="G918">
        <v>4</v>
      </c>
      <c r="H918" t="str">
        <f t="shared" si="14"/>
        <v>1-10 km</v>
      </c>
      <c r="I918">
        <v>2</v>
      </c>
      <c r="J918" t="str" cm="1">
        <f t="array" ref="J918">_xlfn.IFS(I918=1,"Below College",I918=2,"College",I918=3,"Bachelor",I918=4,"Master",I918=5,"Doctor")</f>
        <v>College</v>
      </c>
      <c r="K918" t="s">
        <v>55</v>
      </c>
      <c r="L918">
        <v>1280</v>
      </c>
      <c r="M918">
        <v>4</v>
      </c>
      <c r="N918" t="str" cm="1">
        <f t="array" ref="N918">_xlfn.IFS(M918=1,"Low",M918=2,"Medium",M918=3,"High",M918=4,"Very High")</f>
        <v>Very High</v>
      </c>
      <c r="O918" t="s">
        <v>36</v>
      </c>
      <c r="P918" s="2">
        <v>33</v>
      </c>
      <c r="Q918">
        <v>2</v>
      </c>
      <c r="R918" t="str" cm="1">
        <f t="array" ref="R918">_xlfn.IFS(Q918=1,"Low",Q918=2,"Medium",Q918=3,"High",Q918=4,"Very High")</f>
        <v>Medium</v>
      </c>
      <c r="S918">
        <v>5</v>
      </c>
      <c r="T918" t="str" cm="1">
        <f t="array" ref="T918">_xlfn.IFS(S918=1,"Entry Level",S918=2,"Junior",S918=3,"Mid-Level",S918=4,"Senior",S918=5,"Executive")</f>
        <v>Executive</v>
      </c>
      <c r="U918" t="s">
        <v>52</v>
      </c>
      <c r="V918">
        <v>2</v>
      </c>
      <c r="W918" t="str" cm="1">
        <f t="array" ref="W918">_xlfn.IFS(V918=1,"Low",V918=2,"Medium",V918=3,"High",V918=4,"Very High")</f>
        <v>Medium</v>
      </c>
      <c r="X918" t="s">
        <v>44</v>
      </c>
      <c r="Y918" s="2">
        <v>18789</v>
      </c>
      <c r="Z918" s="2">
        <v>9946</v>
      </c>
      <c r="AA918">
        <v>2</v>
      </c>
      <c r="AB918" t="s">
        <v>39</v>
      </c>
      <c r="AC918">
        <v>14</v>
      </c>
      <c r="AD918">
        <v>3</v>
      </c>
      <c r="AE918" t="str" cm="1">
        <f t="array" ref="AE918">_xlfn.IFS(AD918=1,"Low",AD918=2,"Good",AD918=3,"Excellent",AD918=4,"Outstanding")</f>
        <v>Excellent</v>
      </c>
      <c r="AF918">
        <v>3</v>
      </c>
      <c r="AG918" t="str" cm="1">
        <f t="array" ref="AG918">_xlfn.IFS(AF918=1,"Low",AF918=2,"Medium",AF918=3,"High",AF918=4,"Very High")</f>
        <v>High</v>
      </c>
      <c r="AH918">
        <v>1</v>
      </c>
      <c r="AI918">
        <v>26</v>
      </c>
      <c r="AJ918">
        <v>2</v>
      </c>
      <c r="AK918">
        <v>3</v>
      </c>
      <c r="AL918" t="str" cm="1">
        <f t="array" ref="AL918">_xlfn.IFS(AK918=1,"Low",AK918=2,"Medium",AK918=3,"High",AK918=4,"Very High")</f>
        <v>High</v>
      </c>
      <c r="AM918">
        <v>11</v>
      </c>
      <c r="AN918">
        <v>4</v>
      </c>
      <c r="AO918">
        <v>0</v>
      </c>
      <c r="AP918">
        <v>8</v>
      </c>
    </row>
    <row r="919" spans="1:42">
      <c r="A919">
        <v>34</v>
      </c>
      <c r="B919" t="str" cm="1">
        <f t="array" ref="B919">_xlfn.IFS(A919&lt;=25,"18-25",A919&lt;=35,"26-35",A919&lt;=45,"36-45",A919&lt;=55,"46-55",A919&gt;55,"56+")</f>
        <v>26-35</v>
      </c>
      <c r="C919" t="s">
        <v>39</v>
      </c>
      <c r="D919" t="s">
        <v>33</v>
      </c>
      <c r="E919" s="2">
        <v>131</v>
      </c>
      <c r="F919" t="s">
        <v>34</v>
      </c>
      <c r="G919">
        <v>2</v>
      </c>
      <c r="H919" t="str">
        <f t="shared" si="14"/>
        <v>1-10 km</v>
      </c>
      <c r="I919">
        <v>3</v>
      </c>
      <c r="J919" t="str" cm="1">
        <f t="array" ref="J919">_xlfn.IFS(I919=1,"Below College",I919=2,"College",I919=3,"Bachelor",I919=4,"Master",I919=5,"Doctor")</f>
        <v>Bachelor</v>
      </c>
      <c r="K919" t="s">
        <v>55</v>
      </c>
      <c r="L919">
        <v>1281</v>
      </c>
      <c r="M919">
        <v>3</v>
      </c>
      <c r="N919" t="str" cm="1">
        <f t="array" ref="N919">_xlfn.IFS(M919=1,"Low",M919=2,"Medium",M919=3,"High",M919=4,"Very High")</f>
        <v>High</v>
      </c>
      <c r="O919" t="s">
        <v>36</v>
      </c>
      <c r="P919" s="2">
        <v>86</v>
      </c>
      <c r="Q919">
        <v>3</v>
      </c>
      <c r="R919" t="str" cm="1">
        <f t="array" ref="R919">_xlfn.IFS(Q919=1,"Low",Q919=2,"Medium",Q919=3,"High",Q919=4,"Very High")</f>
        <v>High</v>
      </c>
      <c r="S919">
        <v>2</v>
      </c>
      <c r="T919" t="str" cm="1">
        <f t="array" ref="T919">_xlfn.IFS(S919=1,"Entry Level",S919=2,"Junior",S919=3,"Mid-Level",S919=4,"Senior",S919=5,"Executive")</f>
        <v>Junior</v>
      </c>
      <c r="U919" t="s">
        <v>37</v>
      </c>
      <c r="V919">
        <v>1</v>
      </c>
      <c r="W919" t="str" cm="1">
        <f t="array" ref="W919">_xlfn.IFS(V919=1,"Low",V919=2,"Medium",V919=3,"High",V919=4,"Very High")</f>
        <v>Low</v>
      </c>
      <c r="X919" t="s">
        <v>38</v>
      </c>
      <c r="Y919" s="2">
        <v>4538</v>
      </c>
      <c r="Z919" s="2">
        <v>6039</v>
      </c>
      <c r="AA919">
        <v>0</v>
      </c>
      <c r="AB919" t="s">
        <v>32</v>
      </c>
      <c r="AC919">
        <v>12</v>
      </c>
      <c r="AD919">
        <v>3</v>
      </c>
      <c r="AE919" t="str" cm="1">
        <f t="array" ref="AE919">_xlfn.IFS(AD919=1,"Low",AD919=2,"Good",AD919=3,"Excellent",AD919=4,"Outstanding")</f>
        <v>Excellent</v>
      </c>
      <c r="AF919">
        <v>4</v>
      </c>
      <c r="AG919" t="str" cm="1">
        <f t="array" ref="AG919">_xlfn.IFS(AF919=1,"Low",AF919=2,"Medium",AF919=3,"High",AF919=4,"Very High")</f>
        <v>Very High</v>
      </c>
      <c r="AH919">
        <v>0</v>
      </c>
      <c r="AI919">
        <v>4</v>
      </c>
      <c r="AJ919">
        <v>3</v>
      </c>
      <c r="AK919">
        <v>3</v>
      </c>
      <c r="AL919" t="str" cm="1">
        <f t="array" ref="AL919">_xlfn.IFS(AK919=1,"Low",AK919=2,"Medium",AK919=3,"High",AK919=4,"Very High")</f>
        <v>High</v>
      </c>
      <c r="AM919">
        <v>3</v>
      </c>
      <c r="AN919">
        <v>2</v>
      </c>
      <c r="AO919">
        <v>0</v>
      </c>
      <c r="AP919">
        <v>2</v>
      </c>
    </row>
    <row r="920" spans="1:42">
      <c r="A920">
        <v>51</v>
      </c>
      <c r="B920" t="str" cm="1">
        <f t="array" ref="B920">_xlfn.IFS(A920&lt;=25,"18-25",A920&lt;=35,"26-35",A920&lt;=45,"36-45",A920&lt;=55,"46-55",A920&gt;55,"56+")</f>
        <v>46-55</v>
      </c>
      <c r="C920" t="s">
        <v>39</v>
      </c>
      <c r="D920" t="s">
        <v>40</v>
      </c>
      <c r="E920" s="2">
        <v>237</v>
      </c>
      <c r="F920" t="s">
        <v>34</v>
      </c>
      <c r="G920">
        <v>9</v>
      </c>
      <c r="H920" t="str">
        <f t="shared" si="14"/>
        <v>1-10 km</v>
      </c>
      <c r="I920">
        <v>3</v>
      </c>
      <c r="J920" t="str" cm="1">
        <f t="array" ref="J920">_xlfn.IFS(I920=1,"Below College",I920=2,"College",I920=3,"Bachelor",I920=4,"Master",I920=5,"Doctor")</f>
        <v>Bachelor</v>
      </c>
      <c r="K920" t="s">
        <v>35</v>
      </c>
      <c r="L920">
        <v>1282</v>
      </c>
      <c r="M920">
        <v>4</v>
      </c>
      <c r="N920" t="str" cm="1">
        <f t="array" ref="N920">_xlfn.IFS(M920=1,"Low",M920=2,"Medium",M920=3,"High",M920=4,"Very High")</f>
        <v>Very High</v>
      </c>
      <c r="O920" t="s">
        <v>42</v>
      </c>
      <c r="P920" s="2">
        <v>83</v>
      </c>
      <c r="Q920">
        <v>3</v>
      </c>
      <c r="R920" t="str" cm="1">
        <f t="array" ref="R920">_xlfn.IFS(Q920=1,"Low",Q920=2,"Medium",Q920=3,"High",Q920=4,"Very High")</f>
        <v>High</v>
      </c>
      <c r="S920">
        <v>5</v>
      </c>
      <c r="T920" t="str" cm="1">
        <f t="array" ref="T920">_xlfn.IFS(S920=1,"Entry Level",S920=2,"Junior",S920=3,"Mid-Level",S920=4,"Senior",S920=5,"Executive")</f>
        <v>Executive</v>
      </c>
      <c r="U920" t="s">
        <v>52</v>
      </c>
      <c r="V920">
        <v>2</v>
      </c>
      <c r="W920" t="str" cm="1">
        <f t="array" ref="W920">_xlfn.IFS(V920=1,"Low",V920=2,"Medium",V920=3,"High",V920=4,"Very High")</f>
        <v>Medium</v>
      </c>
      <c r="X920" t="s">
        <v>48</v>
      </c>
      <c r="Y920" s="2">
        <v>19847</v>
      </c>
      <c r="Z920" s="2">
        <v>19196</v>
      </c>
      <c r="AA920">
        <v>4</v>
      </c>
      <c r="AB920" t="s">
        <v>32</v>
      </c>
      <c r="AC920">
        <v>24</v>
      </c>
      <c r="AD920">
        <v>4</v>
      </c>
      <c r="AE920" t="str" cm="1">
        <f t="array" ref="AE920">_xlfn.IFS(AD920=1,"Low",AD920=2,"Good",AD920=3,"Excellent",AD920=4,"Outstanding")</f>
        <v>Outstanding</v>
      </c>
      <c r="AF920">
        <v>1</v>
      </c>
      <c r="AG920" t="str" cm="1">
        <f t="array" ref="AG920">_xlfn.IFS(AF920=1,"Low",AF920=2,"Medium",AF920=3,"High",AF920=4,"Very High")</f>
        <v>Low</v>
      </c>
      <c r="AH920">
        <v>1</v>
      </c>
      <c r="AI920">
        <v>31</v>
      </c>
      <c r="AJ920">
        <v>5</v>
      </c>
      <c r="AK920">
        <v>2</v>
      </c>
      <c r="AL920" t="str" cm="1">
        <f t="array" ref="AL920">_xlfn.IFS(AK920=1,"Low",AK920=2,"Medium",AK920=3,"High",AK920=4,"Very High")</f>
        <v>Medium</v>
      </c>
      <c r="AM920">
        <v>29</v>
      </c>
      <c r="AN920">
        <v>10</v>
      </c>
      <c r="AO920">
        <v>11</v>
      </c>
      <c r="AP920">
        <v>10</v>
      </c>
    </row>
    <row r="921" spans="1:42">
      <c r="A921">
        <v>59</v>
      </c>
      <c r="B921" t="str" cm="1">
        <f t="array" ref="B921">_xlfn.IFS(A921&lt;=25,"18-25",A921&lt;=35,"26-35",A921&lt;=45,"36-45",A921&lt;=55,"46-55",A921&gt;55,"56+")</f>
        <v>56+</v>
      </c>
      <c r="C921" t="s">
        <v>39</v>
      </c>
      <c r="D921" t="s">
        <v>33</v>
      </c>
      <c r="E921" s="2">
        <v>1429</v>
      </c>
      <c r="F921" t="s">
        <v>41</v>
      </c>
      <c r="G921">
        <v>18</v>
      </c>
      <c r="H921" t="str">
        <f t="shared" si="14"/>
        <v>11-20 km</v>
      </c>
      <c r="I921">
        <v>4</v>
      </c>
      <c r="J921" t="str" cm="1">
        <f t="array" ref="J921">_xlfn.IFS(I921=1,"Below College",I921=2,"College",I921=3,"Bachelor",I921=4,"Master",I921=5,"Doctor")</f>
        <v>Master</v>
      </c>
      <c r="K921" t="s">
        <v>47</v>
      </c>
      <c r="L921">
        <v>1283</v>
      </c>
      <c r="M921">
        <v>4</v>
      </c>
      <c r="N921" t="str" cm="1">
        <f t="array" ref="N921">_xlfn.IFS(M921=1,"Low",M921=2,"Medium",M921=3,"High",M921=4,"Very High")</f>
        <v>Very High</v>
      </c>
      <c r="O921" t="s">
        <v>42</v>
      </c>
      <c r="P921" s="2">
        <v>67</v>
      </c>
      <c r="Q921">
        <v>3</v>
      </c>
      <c r="R921" t="str" cm="1">
        <f t="array" ref="R921">_xlfn.IFS(Q921=1,"Low",Q921=2,"Medium",Q921=3,"High",Q921=4,"Very High")</f>
        <v>High</v>
      </c>
      <c r="S921">
        <v>3</v>
      </c>
      <c r="T921" t="str" cm="1">
        <f t="array" ref="T921">_xlfn.IFS(S921=1,"Entry Level",S921=2,"Junior",S921=3,"Mid-Level",S921=4,"Senior",S921=5,"Executive")</f>
        <v>Mid-Level</v>
      </c>
      <c r="U921" t="s">
        <v>49</v>
      </c>
      <c r="V921">
        <v>4</v>
      </c>
      <c r="W921" t="str" cm="1">
        <f t="array" ref="W921">_xlfn.IFS(V921=1,"Low",V921=2,"Medium",V921=3,"High",V921=4,"Very High")</f>
        <v>Very High</v>
      </c>
      <c r="X921" t="s">
        <v>38</v>
      </c>
      <c r="Y921" s="2">
        <v>10512</v>
      </c>
      <c r="Z921" s="2">
        <v>20002</v>
      </c>
      <c r="AA921">
        <v>6</v>
      </c>
      <c r="AB921" t="s">
        <v>39</v>
      </c>
      <c r="AC921">
        <v>12</v>
      </c>
      <c r="AD921">
        <v>3</v>
      </c>
      <c r="AE921" t="str" cm="1">
        <f t="array" ref="AE921">_xlfn.IFS(AD921=1,"Low",AD921=2,"Good",AD921=3,"Excellent",AD921=4,"Outstanding")</f>
        <v>Excellent</v>
      </c>
      <c r="AF921">
        <v>4</v>
      </c>
      <c r="AG921" t="str" cm="1">
        <f t="array" ref="AG921">_xlfn.IFS(AF921=1,"Low",AF921=2,"Medium",AF921=3,"High",AF921=4,"Very High")</f>
        <v>Very High</v>
      </c>
      <c r="AH921">
        <v>0</v>
      </c>
      <c r="AI921">
        <v>25</v>
      </c>
      <c r="AJ921">
        <v>6</v>
      </c>
      <c r="AK921">
        <v>2</v>
      </c>
      <c r="AL921" t="str" cm="1">
        <f t="array" ref="AL921">_xlfn.IFS(AK921=1,"Low",AK921=2,"Medium",AK921=3,"High",AK921=4,"Very High")</f>
        <v>Medium</v>
      </c>
      <c r="AM921">
        <v>9</v>
      </c>
      <c r="AN921">
        <v>7</v>
      </c>
      <c r="AO921">
        <v>5</v>
      </c>
      <c r="AP921">
        <v>4</v>
      </c>
    </row>
    <row r="922" spans="1:42">
      <c r="A922">
        <v>34</v>
      </c>
      <c r="B922" t="str" cm="1">
        <f t="array" ref="B922">_xlfn.IFS(A922&lt;=25,"18-25",A922&lt;=35,"26-35",A922&lt;=45,"36-45",A922&lt;=55,"46-55",A922&gt;55,"56+")</f>
        <v>26-35</v>
      </c>
      <c r="C922" t="s">
        <v>39</v>
      </c>
      <c r="D922" t="s">
        <v>40</v>
      </c>
      <c r="E922" s="2">
        <v>135</v>
      </c>
      <c r="F922" t="s">
        <v>41</v>
      </c>
      <c r="G922">
        <v>19</v>
      </c>
      <c r="H922" t="str">
        <f t="shared" si="14"/>
        <v>11-20 km</v>
      </c>
      <c r="I922">
        <v>3</v>
      </c>
      <c r="J922" t="str" cm="1">
        <f t="array" ref="J922">_xlfn.IFS(I922=1,"Below College",I922=2,"College",I922=3,"Bachelor",I922=4,"Master",I922=5,"Doctor")</f>
        <v>Bachelor</v>
      </c>
      <c r="K922" t="s">
        <v>47</v>
      </c>
      <c r="L922">
        <v>1285</v>
      </c>
      <c r="M922">
        <v>3</v>
      </c>
      <c r="N922" t="str" cm="1">
        <f t="array" ref="N922">_xlfn.IFS(M922=1,"Low",M922=2,"Medium",M922=3,"High",M922=4,"Very High")</f>
        <v>High</v>
      </c>
      <c r="O922" t="s">
        <v>36</v>
      </c>
      <c r="P922" s="2">
        <v>46</v>
      </c>
      <c r="Q922">
        <v>3</v>
      </c>
      <c r="R922" t="str" cm="1">
        <f t="array" ref="R922">_xlfn.IFS(Q922=1,"Low",Q922=2,"Medium",Q922=3,"High",Q922=4,"Very High")</f>
        <v>High</v>
      </c>
      <c r="S922">
        <v>2</v>
      </c>
      <c r="T922" t="str" cm="1">
        <f t="array" ref="T922">_xlfn.IFS(S922=1,"Entry Level",S922=2,"Junior",S922=3,"Mid-Level",S922=4,"Senior",S922=5,"Executive")</f>
        <v>Junior</v>
      </c>
      <c r="U922" t="s">
        <v>46</v>
      </c>
      <c r="V922">
        <v>2</v>
      </c>
      <c r="W922" t="str" cm="1">
        <f t="array" ref="W922">_xlfn.IFS(V922=1,"Low",V922=2,"Medium",V922=3,"High",V922=4,"Very High")</f>
        <v>Medium</v>
      </c>
      <c r="X922" t="s">
        <v>48</v>
      </c>
      <c r="Y922" s="2">
        <v>4444</v>
      </c>
      <c r="Z922" s="2">
        <v>22534</v>
      </c>
      <c r="AA922">
        <v>4</v>
      </c>
      <c r="AB922" t="s">
        <v>39</v>
      </c>
      <c r="AC922">
        <v>13</v>
      </c>
      <c r="AD922">
        <v>3</v>
      </c>
      <c r="AE922" t="str" cm="1">
        <f t="array" ref="AE922">_xlfn.IFS(AD922=1,"Low",AD922=2,"Good",AD922=3,"Excellent",AD922=4,"Outstanding")</f>
        <v>Excellent</v>
      </c>
      <c r="AF922">
        <v>3</v>
      </c>
      <c r="AG922" t="str" cm="1">
        <f t="array" ref="AG922">_xlfn.IFS(AF922=1,"Low",AF922=2,"Medium",AF922=3,"High",AF922=4,"Very High")</f>
        <v>High</v>
      </c>
      <c r="AH922">
        <v>2</v>
      </c>
      <c r="AI922">
        <v>15</v>
      </c>
      <c r="AJ922">
        <v>2</v>
      </c>
      <c r="AK922">
        <v>4</v>
      </c>
      <c r="AL922" t="str" cm="1">
        <f t="array" ref="AL922">_xlfn.IFS(AK922=1,"Low",AK922=2,"Medium",AK922=3,"High",AK922=4,"Very High")</f>
        <v>Very High</v>
      </c>
      <c r="AM922">
        <v>11</v>
      </c>
      <c r="AN922">
        <v>8</v>
      </c>
      <c r="AO922">
        <v>5</v>
      </c>
      <c r="AP922">
        <v>10</v>
      </c>
    </row>
    <row r="923" spans="1:42">
      <c r="A923">
        <v>28</v>
      </c>
      <c r="B923" t="str" cm="1">
        <f t="array" ref="B923">_xlfn.IFS(A923&lt;=25,"18-25",A923&lt;=35,"26-35",A923&lt;=45,"36-45",A923&lt;=55,"46-55",A923&gt;55,"56+")</f>
        <v>26-35</v>
      </c>
      <c r="C923" t="s">
        <v>39</v>
      </c>
      <c r="D923" t="s">
        <v>40</v>
      </c>
      <c r="E923" s="2">
        <v>791</v>
      </c>
      <c r="F923" t="s">
        <v>41</v>
      </c>
      <c r="G923">
        <v>1</v>
      </c>
      <c r="H923" t="str">
        <f t="shared" si="14"/>
        <v>1-10 km</v>
      </c>
      <c r="I923">
        <v>4</v>
      </c>
      <c r="J923" t="str" cm="1">
        <f t="array" ref="J923">_xlfn.IFS(I923=1,"Below College",I923=2,"College",I923=3,"Bachelor",I923=4,"Master",I923=5,"Doctor")</f>
        <v>Master</v>
      </c>
      <c r="K923" t="s">
        <v>47</v>
      </c>
      <c r="L923">
        <v>1286</v>
      </c>
      <c r="M923">
        <v>4</v>
      </c>
      <c r="N923" t="str" cm="1">
        <f t="array" ref="N923">_xlfn.IFS(M923=1,"Low",M923=2,"Medium",M923=3,"High",M923=4,"Very High")</f>
        <v>Very High</v>
      </c>
      <c r="O923" t="s">
        <v>42</v>
      </c>
      <c r="P923" s="2">
        <v>44</v>
      </c>
      <c r="Q923">
        <v>3</v>
      </c>
      <c r="R923" t="str" cm="1">
        <f t="array" ref="R923">_xlfn.IFS(Q923=1,"Low",Q923=2,"Medium",Q923=3,"High",Q923=4,"Very High")</f>
        <v>High</v>
      </c>
      <c r="S923">
        <v>1</v>
      </c>
      <c r="T923" t="str" cm="1">
        <f t="array" ref="T923">_xlfn.IFS(S923=1,"Entry Level",S923=2,"Junior",S923=3,"Mid-Level",S923=4,"Senior",S923=5,"Executive")</f>
        <v>Entry Level</v>
      </c>
      <c r="U923" t="s">
        <v>46</v>
      </c>
      <c r="V923">
        <v>3</v>
      </c>
      <c r="W923" t="str" cm="1">
        <f t="array" ref="W923">_xlfn.IFS(V923=1,"Low",V923=2,"Medium",V923=3,"High",V923=4,"Very High")</f>
        <v>High</v>
      </c>
      <c r="X923" t="s">
        <v>38</v>
      </c>
      <c r="Y923" s="2">
        <v>2154</v>
      </c>
      <c r="Z923" s="2">
        <v>6842</v>
      </c>
      <c r="AA923">
        <v>0</v>
      </c>
      <c r="AB923" t="s">
        <v>32</v>
      </c>
      <c r="AC923">
        <v>11</v>
      </c>
      <c r="AD923">
        <v>3</v>
      </c>
      <c r="AE923" t="str" cm="1">
        <f t="array" ref="AE923">_xlfn.IFS(AD923=1,"Low",AD923=2,"Good",AD923=3,"Excellent",AD923=4,"Outstanding")</f>
        <v>Excellent</v>
      </c>
      <c r="AF923">
        <v>3</v>
      </c>
      <c r="AG923" t="str" cm="1">
        <f t="array" ref="AG923">_xlfn.IFS(AF923=1,"Low",AF923=2,"Medium",AF923=3,"High",AF923=4,"Very High")</f>
        <v>High</v>
      </c>
      <c r="AH923">
        <v>0</v>
      </c>
      <c r="AI923">
        <v>5</v>
      </c>
      <c r="AJ923">
        <v>2</v>
      </c>
      <c r="AK923">
        <v>2</v>
      </c>
      <c r="AL923" t="str" cm="1">
        <f t="array" ref="AL923">_xlfn.IFS(AK923=1,"Low",AK923=2,"Medium",AK923=3,"High",AK923=4,"Very High")</f>
        <v>Medium</v>
      </c>
      <c r="AM923">
        <v>4</v>
      </c>
      <c r="AN923">
        <v>2</v>
      </c>
      <c r="AO923">
        <v>0</v>
      </c>
      <c r="AP923">
        <v>2</v>
      </c>
    </row>
    <row r="924" spans="1:42">
      <c r="A924">
        <v>44</v>
      </c>
      <c r="B924" t="str" cm="1">
        <f t="array" ref="B924">_xlfn.IFS(A924&lt;=25,"18-25",A924&lt;=35,"26-35",A924&lt;=45,"36-45",A924&lt;=55,"46-55",A924&gt;55,"56+")</f>
        <v>36-45</v>
      </c>
      <c r="C924" t="s">
        <v>39</v>
      </c>
      <c r="D924" t="s">
        <v>33</v>
      </c>
      <c r="E924" s="2">
        <v>1199</v>
      </c>
      <c r="F924" t="s">
        <v>41</v>
      </c>
      <c r="G924">
        <v>4</v>
      </c>
      <c r="H924" t="str">
        <f t="shared" si="14"/>
        <v>1-10 km</v>
      </c>
      <c r="I924">
        <v>2</v>
      </c>
      <c r="J924" t="str" cm="1">
        <f t="array" ref="J924">_xlfn.IFS(I924=1,"Below College",I924=2,"College",I924=3,"Bachelor",I924=4,"Master",I924=5,"Doctor")</f>
        <v>College</v>
      </c>
      <c r="K924" t="s">
        <v>35</v>
      </c>
      <c r="L924">
        <v>1288</v>
      </c>
      <c r="M924">
        <v>3</v>
      </c>
      <c r="N924" t="str" cm="1">
        <f t="array" ref="N924">_xlfn.IFS(M924=1,"Low",M924=2,"Medium",M924=3,"High",M924=4,"Very High")</f>
        <v>High</v>
      </c>
      <c r="O924" t="s">
        <v>42</v>
      </c>
      <c r="P924" s="2">
        <v>92</v>
      </c>
      <c r="Q924">
        <v>4</v>
      </c>
      <c r="R924" t="str" cm="1">
        <f t="array" ref="R924">_xlfn.IFS(Q924=1,"Low",Q924=2,"Medium",Q924=3,"High",Q924=4,"Very High")</f>
        <v>Very High</v>
      </c>
      <c r="S924">
        <v>5</v>
      </c>
      <c r="T924" t="str" cm="1">
        <f t="array" ref="T924">_xlfn.IFS(S924=1,"Entry Level",S924=2,"Junior",S924=3,"Mid-Level",S924=4,"Senior",S924=5,"Executive")</f>
        <v>Executive</v>
      </c>
      <c r="U924" t="s">
        <v>52</v>
      </c>
      <c r="V924">
        <v>1</v>
      </c>
      <c r="W924" t="str" cm="1">
        <f t="array" ref="W924">_xlfn.IFS(V924=1,"Low",V924=2,"Medium",V924=3,"High",V924=4,"Very High")</f>
        <v>Low</v>
      </c>
      <c r="X924" t="s">
        <v>48</v>
      </c>
      <c r="Y924" s="2">
        <v>19190</v>
      </c>
      <c r="Z924" s="2">
        <v>17477</v>
      </c>
      <c r="AA924">
        <v>1</v>
      </c>
      <c r="AB924" t="s">
        <v>39</v>
      </c>
      <c r="AC924">
        <v>14</v>
      </c>
      <c r="AD924">
        <v>3</v>
      </c>
      <c r="AE924" t="str" cm="1">
        <f t="array" ref="AE924">_xlfn.IFS(AD924=1,"Low",AD924=2,"Good",AD924=3,"Excellent",AD924=4,"Outstanding")</f>
        <v>Excellent</v>
      </c>
      <c r="AF924">
        <v>4</v>
      </c>
      <c r="AG924" t="str" cm="1">
        <f t="array" ref="AG924">_xlfn.IFS(AF924=1,"Low",AF924=2,"Medium",AF924=3,"High",AF924=4,"Very High")</f>
        <v>Very High</v>
      </c>
      <c r="AH924">
        <v>2</v>
      </c>
      <c r="AI924">
        <v>26</v>
      </c>
      <c r="AJ924">
        <v>4</v>
      </c>
      <c r="AK924">
        <v>2</v>
      </c>
      <c r="AL924" t="str" cm="1">
        <f t="array" ref="AL924">_xlfn.IFS(AK924=1,"Low",AK924=2,"Medium",AK924=3,"High",AK924=4,"Very High")</f>
        <v>Medium</v>
      </c>
      <c r="AM924">
        <v>25</v>
      </c>
      <c r="AN924">
        <v>9</v>
      </c>
      <c r="AO924">
        <v>14</v>
      </c>
      <c r="AP924">
        <v>13</v>
      </c>
    </row>
    <row r="925" spans="1:42">
      <c r="A925">
        <v>34</v>
      </c>
      <c r="B925" t="str" cm="1">
        <f t="array" ref="B925">_xlfn.IFS(A925&lt;=25,"18-25",A925&lt;=35,"26-35",A925&lt;=45,"36-45",A925&lt;=55,"46-55",A925&gt;55,"56+")</f>
        <v>26-35</v>
      </c>
      <c r="C925" t="s">
        <v>39</v>
      </c>
      <c r="D925" t="s">
        <v>40</v>
      </c>
      <c r="E925" s="2">
        <v>648</v>
      </c>
      <c r="F925" t="s">
        <v>57</v>
      </c>
      <c r="G925">
        <v>11</v>
      </c>
      <c r="H925" t="str">
        <f t="shared" si="14"/>
        <v>11-20 km</v>
      </c>
      <c r="I925">
        <v>3</v>
      </c>
      <c r="J925" t="str" cm="1">
        <f t="array" ref="J925">_xlfn.IFS(I925=1,"Below College",I925=2,"College",I925=3,"Bachelor",I925=4,"Master",I925=5,"Doctor")</f>
        <v>Bachelor</v>
      </c>
      <c r="K925" t="s">
        <v>35</v>
      </c>
      <c r="L925">
        <v>1289</v>
      </c>
      <c r="M925">
        <v>3</v>
      </c>
      <c r="N925" t="str" cm="1">
        <f t="array" ref="N925">_xlfn.IFS(M925=1,"Low",M925=2,"Medium",M925=3,"High",M925=4,"Very High")</f>
        <v>High</v>
      </c>
      <c r="O925" t="s">
        <v>42</v>
      </c>
      <c r="P925" s="2">
        <v>56</v>
      </c>
      <c r="Q925">
        <v>2</v>
      </c>
      <c r="R925" t="str" cm="1">
        <f t="array" ref="R925">_xlfn.IFS(Q925=1,"Low",Q925=2,"Medium",Q925=3,"High",Q925=4,"Very High")</f>
        <v>Medium</v>
      </c>
      <c r="S925">
        <v>2</v>
      </c>
      <c r="T925" t="str" cm="1">
        <f t="array" ref="T925">_xlfn.IFS(S925=1,"Entry Level",S925=2,"Junior",S925=3,"Mid-Level",S925=4,"Senior",S925=5,"Executive")</f>
        <v>Junior</v>
      </c>
      <c r="U925" t="s">
        <v>57</v>
      </c>
      <c r="V925">
        <v>2</v>
      </c>
      <c r="W925" t="str" cm="1">
        <f t="array" ref="W925">_xlfn.IFS(V925=1,"Low",V925=2,"Medium",V925=3,"High",V925=4,"Very High")</f>
        <v>Medium</v>
      </c>
      <c r="X925" t="s">
        <v>44</v>
      </c>
      <c r="Y925" s="2">
        <v>4490</v>
      </c>
      <c r="Z925" s="2">
        <v>21833</v>
      </c>
      <c r="AA925">
        <v>4</v>
      </c>
      <c r="AB925" t="s">
        <v>39</v>
      </c>
      <c r="AC925">
        <v>11</v>
      </c>
      <c r="AD925">
        <v>3</v>
      </c>
      <c r="AE925" t="str" cm="1">
        <f t="array" ref="AE925">_xlfn.IFS(AD925=1,"Low",AD925=2,"Good",AD925=3,"Excellent",AD925=4,"Outstanding")</f>
        <v>Excellent</v>
      </c>
      <c r="AF925">
        <v>4</v>
      </c>
      <c r="AG925" t="str" cm="1">
        <f t="array" ref="AG925">_xlfn.IFS(AF925=1,"Low",AF925=2,"Medium",AF925=3,"High",AF925=4,"Very High")</f>
        <v>Very High</v>
      </c>
      <c r="AH925">
        <v>2</v>
      </c>
      <c r="AI925">
        <v>14</v>
      </c>
      <c r="AJ925">
        <v>5</v>
      </c>
      <c r="AK925">
        <v>4</v>
      </c>
      <c r="AL925" t="str" cm="1">
        <f t="array" ref="AL925">_xlfn.IFS(AK925=1,"Low",AK925=2,"Medium",AK925=3,"High",AK925=4,"Very High")</f>
        <v>Very High</v>
      </c>
      <c r="AM925">
        <v>10</v>
      </c>
      <c r="AN925">
        <v>9</v>
      </c>
      <c r="AO925">
        <v>1</v>
      </c>
      <c r="AP925">
        <v>8</v>
      </c>
    </row>
    <row r="926" spans="1:42">
      <c r="A926">
        <v>35</v>
      </c>
      <c r="B926" t="str" cm="1">
        <f t="array" ref="B926">_xlfn.IFS(A926&lt;=25,"18-25",A926&lt;=35,"26-35",A926&lt;=45,"36-45",A926&lt;=55,"46-55",A926&gt;55,"56+")</f>
        <v>26-35</v>
      </c>
      <c r="C926" t="s">
        <v>39</v>
      </c>
      <c r="D926" t="s">
        <v>33</v>
      </c>
      <c r="E926" s="2">
        <v>735</v>
      </c>
      <c r="F926" t="s">
        <v>41</v>
      </c>
      <c r="G926">
        <v>6</v>
      </c>
      <c r="H926" t="str">
        <f t="shared" si="14"/>
        <v>1-10 km</v>
      </c>
      <c r="I926">
        <v>1</v>
      </c>
      <c r="J926" t="str" cm="1">
        <f t="array" ref="J926">_xlfn.IFS(I926=1,"Below College",I926=2,"College",I926=3,"Bachelor",I926=4,"Master",I926=5,"Doctor")</f>
        <v>Below College</v>
      </c>
      <c r="K926" t="s">
        <v>35</v>
      </c>
      <c r="L926">
        <v>1291</v>
      </c>
      <c r="M926">
        <v>3</v>
      </c>
      <c r="N926" t="str" cm="1">
        <f t="array" ref="N926">_xlfn.IFS(M926=1,"Low",M926=2,"Medium",M926=3,"High",M926=4,"Very High")</f>
        <v>High</v>
      </c>
      <c r="O926" t="s">
        <v>42</v>
      </c>
      <c r="P926" s="2">
        <v>66</v>
      </c>
      <c r="Q926">
        <v>3</v>
      </c>
      <c r="R926" t="str" cm="1">
        <f t="array" ref="R926">_xlfn.IFS(Q926=1,"Low",Q926=2,"Medium",Q926=3,"High",Q926=4,"Very High")</f>
        <v>High</v>
      </c>
      <c r="S926">
        <v>1</v>
      </c>
      <c r="T926" t="str" cm="1">
        <f t="array" ref="T926">_xlfn.IFS(S926=1,"Entry Level",S926=2,"Junior",S926=3,"Mid-Level",S926=4,"Senior",S926=5,"Executive")</f>
        <v>Entry Level</v>
      </c>
      <c r="U926" t="s">
        <v>43</v>
      </c>
      <c r="V926">
        <v>3</v>
      </c>
      <c r="W926" t="str" cm="1">
        <f t="array" ref="W926">_xlfn.IFS(V926=1,"Low",V926=2,"Medium",V926=3,"High",V926=4,"Very High")</f>
        <v>High</v>
      </c>
      <c r="X926" t="s">
        <v>44</v>
      </c>
      <c r="Y926" s="2">
        <v>3506</v>
      </c>
      <c r="Z926" s="2">
        <v>6020</v>
      </c>
      <c r="AA926">
        <v>0</v>
      </c>
      <c r="AB926" t="s">
        <v>32</v>
      </c>
      <c r="AC926">
        <v>14</v>
      </c>
      <c r="AD926">
        <v>3</v>
      </c>
      <c r="AE926" t="str" cm="1">
        <f t="array" ref="AE926">_xlfn.IFS(AD926=1,"Low",AD926=2,"Good",AD926=3,"Excellent",AD926=4,"Outstanding")</f>
        <v>Excellent</v>
      </c>
      <c r="AF926">
        <v>4</v>
      </c>
      <c r="AG926" t="str" cm="1">
        <f t="array" ref="AG926">_xlfn.IFS(AF926=1,"Low",AF926=2,"Medium",AF926=3,"High",AF926=4,"Very High")</f>
        <v>Very High</v>
      </c>
      <c r="AH926">
        <v>0</v>
      </c>
      <c r="AI926">
        <v>4</v>
      </c>
      <c r="AJ926">
        <v>3</v>
      </c>
      <c r="AK926">
        <v>3</v>
      </c>
      <c r="AL926" t="str" cm="1">
        <f t="array" ref="AL926">_xlfn.IFS(AK926=1,"Low",AK926=2,"Medium",AK926=3,"High",AK926=4,"Very High")</f>
        <v>High</v>
      </c>
      <c r="AM926">
        <v>3</v>
      </c>
      <c r="AN926">
        <v>2</v>
      </c>
      <c r="AO926">
        <v>2</v>
      </c>
      <c r="AP926">
        <v>2</v>
      </c>
    </row>
    <row r="927" spans="1:42">
      <c r="A927">
        <v>42</v>
      </c>
      <c r="B927" t="str" cm="1">
        <f t="array" ref="B927">_xlfn.IFS(A927&lt;=25,"18-25",A927&lt;=35,"26-35",A927&lt;=45,"36-45",A927&lt;=55,"46-55",A927&gt;55,"56+")</f>
        <v>36-45</v>
      </c>
      <c r="C927" t="s">
        <v>39</v>
      </c>
      <c r="D927" t="s">
        <v>33</v>
      </c>
      <c r="E927" s="2">
        <v>603</v>
      </c>
      <c r="F927" t="s">
        <v>41</v>
      </c>
      <c r="G927">
        <v>7</v>
      </c>
      <c r="H927" t="str">
        <f t="shared" si="14"/>
        <v>1-10 km</v>
      </c>
      <c r="I927">
        <v>4</v>
      </c>
      <c r="J927" t="str" cm="1">
        <f t="array" ref="J927">_xlfn.IFS(I927=1,"Below College",I927=2,"College",I927=3,"Bachelor",I927=4,"Master",I927=5,"Doctor")</f>
        <v>Master</v>
      </c>
      <c r="K927" t="s">
        <v>47</v>
      </c>
      <c r="L927">
        <v>1292</v>
      </c>
      <c r="M927">
        <v>2</v>
      </c>
      <c r="N927" t="str" cm="1">
        <f t="array" ref="N927">_xlfn.IFS(M927=1,"Low",M927=2,"Medium",M927=3,"High",M927=4,"Very High")</f>
        <v>Medium</v>
      </c>
      <c r="O927" t="s">
        <v>36</v>
      </c>
      <c r="P927" s="2">
        <v>78</v>
      </c>
      <c r="Q927">
        <v>4</v>
      </c>
      <c r="R927" t="str" cm="1">
        <f t="array" ref="R927">_xlfn.IFS(Q927=1,"Low",Q927=2,"Medium",Q927=3,"High",Q927=4,"Very High")</f>
        <v>Very High</v>
      </c>
      <c r="S927">
        <v>2</v>
      </c>
      <c r="T927" t="str" cm="1">
        <f t="array" ref="T927">_xlfn.IFS(S927=1,"Entry Level",S927=2,"Junior",S927=3,"Mid-Level",S927=4,"Senior",S927=5,"Executive")</f>
        <v>Junior</v>
      </c>
      <c r="U927" t="s">
        <v>43</v>
      </c>
      <c r="V927">
        <v>2</v>
      </c>
      <c r="W927" t="str" cm="1">
        <f t="array" ref="W927">_xlfn.IFS(V927=1,"Low",V927=2,"Medium",V927=3,"High",V927=4,"Very High")</f>
        <v>Medium</v>
      </c>
      <c r="X927" t="s">
        <v>44</v>
      </c>
      <c r="Y927" s="2">
        <v>2372</v>
      </c>
      <c r="Z927" s="2">
        <v>5628</v>
      </c>
      <c r="AA927">
        <v>6</v>
      </c>
      <c r="AB927" t="s">
        <v>32</v>
      </c>
      <c r="AC927">
        <v>16</v>
      </c>
      <c r="AD927">
        <v>3</v>
      </c>
      <c r="AE927" t="str" cm="1">
        <f t="array" ref="AE927">_xlfn.IFS(AD927=1,"Low",AD927=2,"Good",AD927=3,"Excellent",AD927=4,"Outstanding")</f>
        <v>Excellent</v>
      </c>
      <c r="AF927">
        <v>4</v>
      </c>
      <c r="AG927" t="str" cm="1">
        <f t="array" ref="AG927">_xlfn.IFS(AF927=1,"Low",AF927=2,"Medium",AF927=3,"High",AF927=4,"Very High")</f>
        <v>Very High</v>
      </c>
      <c r="AH927">
        <v>0</v>
      </c>
      <c r="AI927">
        <v>18</v>
      </c>
      <c r="AJ927">
        <v>2</v>
      </c>
      <c r="AK927">
        <v>3</v>
      </c>
      <c r="AL927" t="str" cm="1">
        <f t="array" ref="AL927">_xlfn.IFS(AK927=1,"Low",AK927=2,"Medium",AK927=3,"High",AK927=4,"Very High")</f>
        <v>High</v>
      </c>
      <c r="AM927">
        <v>1</v>
      </c>
      <c r="AN927">
        <v>0</v>
      </c>
      <c r="AO927">
        <v>0</v>
      </c>
      <c r="AP927">
        <v>0</v>
      </c>
    </row>
    <row r="928" spans="1:42">
      <c r="A928">
        <v>43</v>
      </c>
      <c r="B928" t="str" cm="1">
        <f t="array" ref="B928">_xlfn.IFS(A928&lt;=25,"18-25",A928&lt;=35,"26-35",A928&lt;=45,"36-45",A928&lt;=55,"46-55",A928&gt;55,"56+")</f>
        <v>36-45</v>
      </c>
      <c r="C928" t="s">
        <v>39</v>
      </c>
      <c r="D928" t="s">
        <v>33</v>
      </c>
      <c r="E928" s="2">
        <v>531</v>
      </c>
      <c r="F928" t="s">
        <v>34</v>
      </c>
      <c r="G928">
        <v>4</v>
      </c>
      <c r="H928" t="str">
        <f t="shared" si="14"/>
        <v>1-10 km</v>
      </c>
      <c r="I928">
        <v>4</v>
      </c>
      <c r="J928" t="str" cm="1">
        <f t="array" ref="J928">_xlfn.IFS(I928=1,"Below College",I928=2,"College",I928=3,"Bachelor",I928=4,"Master",I928=5,"Doctor")</f>
        <v>Master</v>
      </c>
      <c r="K928" t="s">
        <v>55</v>
      </c>
      <c r="L928">
        <v>1293</v>
      </c>
      <c r="M928">
        <v>4</v>
      </c>
      <c r="N928" t="str" cm="1">
        <f t="array" ref="N928">_xlfn.IFS(M928=1,"Low",M928=2,"Medium",M928=3,"High",M928=4,"Very High")</f>
        <v>Very High</v>
      </c>
      <c r="O928" t="s">
        <v>36</v>
      </c>
      <c r="P928" s="2">
        <v>56</v>
      </c>
      <c r="Q928">
        <v>2</v>
      </c>
      <c r="R928" t="str" cm="1">
        <f t="array" ref="R928">_xlfn.IFS(Q928=1,"Low",Q928=2,"Medium",Q928=3,"High",Q928=4,"Very High")</f>
        <v>Medium</v>
      </c>
      <c r="S928">
        <v>3</v>
      </c>
      <c r="T928" t="str" cm="1">
        <f t="array" ref="T928">_xlfn.IFS(S928=1,"Entry Level",S928=2,"Junior",S928=3,"Mid-Level",S928=4,"Senior",S928=5,"Executive")</f>
        <v>Mid-Level</v>
      </c>
      <c r="U928" t="s">
        <v>37</v>
      </c>
      <c r="V928">
        <v>4</v>
      </c>
      <c r="W928" t="str" cm="1">
        <f t="array" ref="W928">_xlfn.IFS(V928=1,"Low",V928=2,"Medium",V928=3,"High",V928=4,"Very High")</f>
        <v>Very High</v>
      </c>
      <c r="X928" t="s">
        <v>38</v>
      </c>
      <c r="Y928" s="2">
        <v>10231</v>
      </c>
      <c r="Z928" s="2">
        <v>20364</v>
      </c>
      <c r="AA928">
        <v>3</v>
      </c>
      <c r="AB928" t="s">
        <v>39</v>
      </c>
      <c r="AC928">
        <v>14</v>
      </c>
      <c r="AD928">
        <v>3</v>
      </c>
      <c r="AE928" t="str" cm="1">
        <f t="array" ref="AE928">_xlfn.IFS(AD928=1,"Low",AD928=2,"Good",AD928=3,"Excellent",AD928=4,"Outstanding")</f>
        <v>Excellent</v>
      </c>
      <c r="AF928">
        <v>4</v>
      </c>
      <c r="AG928" t="str" cm="1">
        <f t="array" ref="AG928">_xlfn.IFS(AF928=1,"Low",AF928=2,"Medium",AF928=3,"High",AF928=4,"Very High")</f>
        <v>Very High</v>
      </c>
      <c r="AH928">
        <v>0</v>
      </c>
      <c r="AI928">
        <v>23</v>
      </c>
      <c r="AJ928">
        <v>3</v>
      </c>
      <c r="AK928">
        <v>4</v>
      </c>
      <c r="AL928" t="str" cm="1">
        <f t="array" ref="AL928">_xlfn.IFS(AK928=1,"Low",AK928=2,"Medium",AK928=3,"High",AK928=4,"Very High")</f>
        <v>Very High</v>
      </c>
      <c r="AM928">
        <v>21</v>
      </c>
      <c r="AN928">
        <v>7</v>
      </c>
      <c r="AO928">
        <v>15</v>
      </c>
      <c r="AP928">
        <v>17</v>
      </c>
    </row>
    <row r="929" spans="1:42">
      <c r="A929">
        <v>36</v>
      </c>
      <c r="B929" t="str" cm="1">
        <f t="array" ref="B929">_xlfn.IFS(A929&lt;=25,"18-25",A929&lt;=35,"26-35",A929&lt;=45,"36-45",A929&lt;=55,"46-55",A929&gt;55,"56+")</f>
        <v>36-45</v>
      </c>
      <c r="C929" t="s">
        <v>39</v>
      </c>
      <c r="D929" t="s">
        <v>33</v>
      </c>
      <c r="E929" s="2">
        <v>429</v>
      </c>
      <c r="F929" t="s">
        <v>41</v>
      </c>
      <c r="G929">
        <v>2</v>
      </c>
      <c r="H929" t="str">
        <f t="shared" si="14"/>
        <v>1-10 km</v>
      </c>
      <c r="I929">
        <v>4</v>
      </c>
      <c r="J929" t="str" cm="1">
        <f t="array" ref="J929">_xlfn.IFS(I929=1,"Below College",I929=2,"College",I929=3,"Bachelor",I929=4,"Master",I929=5,"Doctor")</f>
        <v>Master</v>
      </c>
      <c r="K929" t="s">
        <v>35</v>
      </c>
      <c r="L929">
        <v>1294</v>
      </c>
      <c r="M929">
        <v>3</v>
      </c>
      <c r="N929" t="str" cm="1">
        <f t="array" ref="N929">_xlfn.IFS(M929=1,"Low",M929=2,"Medium",M929=3,"High",M929=4,"Very High")</f>
        <v>High</v>
      </c>
      <c r="O929" t="s">
        <v>36</v>
      </c>
      <c r="P929" s="2">
        <v>53</v>
      </c>
      <c r="Q929">
        <v>3</v>
      </c>
      <c r="R929" t="str" cm="1">
        <f t="array" ref="R929">_xlfn.IFS(Q929=1,"Low",Q929=2,"Medium",Q929=3,"High",Q929=4,"Very High")</f>
        <v>High</v>
      </c>
      <c r="S929">
        <v>2</v>
      </c>
      <c r="T929" t="str" cm="1">
        <f t="array" ref="T929">_xlfn.IFS(S929=1,"Entry Level",S929=2,"Junior",S929=3,"Mid-Level",S929=4,"Senior",S929=5,"Executive")</f>
        <v>Junior</v>
      </c>
      <c r="U929" t="s">
        <v>49</v>
      </c>
      <c r="V929">
        <v>2</v>
      </c>
      <c r="W929" t="str" cm="1">
        <f t="array" ref="W929">_xlfn.IFS(V929=1,"Low",V929=2,"Medium",V929=3,"High",V929=4,"Very High")</f>
        <v>Medium</v>
      </c>
      <c r="X929" t="s">
        <v>38</v>
      </c>
      <c r="Y929" s="2">
        <v>5410</v>
      </c>
      <c r="Z929" s="2">
        <v>2323</v>
      </c>
      <c r="AA929">
        <v>9</v>
      </c>
      <c r="AB929" t="s">
        <v>32</v>
      </c>
      <c r="AC929">
        <v>11</v>
      </c>
      <c r="AD929">
        <v>3</v>
      </c>
      <c r="AE929" t="str" cm="1">
        <f t="array" ref="AE929">_xlfn.IFS(AD929=1,"Low",AD929=2,"Good",AD929=3,"Excellent",AD929=4,"Outstanding")</f>
        <v>Excellent</v>
      </c>
      <c r="AF929">
        <v>4</v>
      </c>
      <c r="AG929" t="str" cm="1">
        <f t="array" ref="AG929">_xlfn.IFS(AF929=1,"Low",AF929=2,"Medium",AF929=3,"High",AF929=4,"Very High")</f>
        <v>Very High</v>
      </c>
      <c r="AH929">
        <v>0</v>
      </c>
      <c r="AI929">
        <v>18</v>
      </c>
      <c r="AJ929">
        <v>2</v>
      </c>
      <c r="AK929">
        <v>3</v>
      </c>
      <c r="AL929" t="str" cm="1">
        <f t="array" ref="AL929">_xlfn.IFS(AK929=1,"Low",AK929=2,"Medium",AK929=3,"High",AK929=4,"Very High")</f>
        <v>High</v>
      </c>
      <c r="AM929">
        <v>16</v>
      </c>
      <c r="AN929">
        <v>14</v>
      </c>
      <c r="AO929">
        <v>5</v>
      </c>
      <c r="AP929">
        <v>12</v>
      </c>
    </row>
    <row r="930" spans="1:42">
      <c r="A930">
        <v>44</v>
      </c>
      <c r="B930" t="str" cm="1">
        <f t="array" ref="B930">_xlfn.IFS(A930&lt;=25,"18-25",A930&lt;=35,"26-35",A930&lt;=45,"36-45",A930&lt;=55,"46-55",A930&gt;55,"56+")</f>
        <v>36-45</v>
      </c>
      <c r="C930" t="s">
        <v>32</v>
      </c>
      <c r="D930" t="s">
        <v>33</v>
      </c>
      <c r="E930" s="2">
        <v>621</v>
      </c>
      <c r="F930" t="s">
        <v>41</v>
      </c>
      <c r="G930">
        <v>15</v>
      </c>
      <c r="H930" t="str">
        <f t="shared" si="14"/>
        <v>11-20 km</v>
      </c>
      <c r="I930">
        <v>3</v>
      </c>
      <c r="J930" t="str" cm="1">
        <f t="array" ref="J930">_xlfn.IFS(I930=1,"Below College",I930=2,"College",I930=3,"Bachelor",I930=4,"Master",I930=5,"Doctor")</f>
        <v>Bachelor</v>
      </c>
      <c r="K930" t="s">
        <v>47</v>
      </c>
      <c r="L930">
        <v>1295</v>
      </c>
      <c r="M930">
        <v>1</v>
      </c>
      <c r="N930" t="str" cm="1">
        <f t="array" ref="N930">_xlfn.IFS(M930=1,"Low",M930=2,"Medium",M930=3,"High",M930=4,"Very High")</f>
        <v>Low</v>
      </c>
      <c r="O930" t="s">
        <v>36</v>
      </c>
      <c r="P930" s="2">
        <v>73</v>
      </c>
      <c r="Q930">
        <v>3</v>
      </c>
      <c r="R930" t="str" cm="1">
        <f t="array" ref="R930">_xlfn.IFS(Q930=1,"Low",Q930=2,"Medium",Q930=3,"High",Q930=4,"Very High")</f>
        <v>High</v>
      </c>
      <c r="S930">
        <v>3</v>
      </c>
      <c r="T930" t="str" cm="1">
        <f t="array" ref="T930">_xlfn.IFS(S930=1,"Entry Level",S930=2,"Junior",S930=3,"Mid-Level",S930=4,"Senior",S930=5,"Executive")</f>
        <v>Mid-Level</v>
      </c>
      <c r="U930" t="s">
        <v>50</v>
      </c>
      <c r="V930">
        <v>4</v>
      </c>
      <c r="W930" t="str" cm="1">
        <f t="array" ref="W930">_xlfn.IFS(V930=1,"Low",V930=2,"Medium",V930=3,"High",V930=4,"Very High")</f>
        <v>Very High</v>
      </c>
      <c r="X930" t="s">
        <v>44</v>
      </c>
      <c r="Y930" s="2">
        <v>7978</v>
      </c>
      <c r="Z930" s="2">
        <v>14075</v>
      </c>
      <c r="AA930">
        <v>1</v>
      </c>
      <c r="AB930" t="s">
        <v>39</v>
      </c>
      <c r="AC930">
        <v>11</v>
      </c>
      <c r="AD930">
        <v>3</v>
      </c>
      <c r="AE930" t="str" cm="1">
        <f t="array" ref="AE930">_xlfn.IFS(AD930=1,"Low",AD930=2,"Good",AD930=3,"Excellent",AD930=4,"Outstanding")</f>
        <v>Excellent</v>
      </c>
      <c r="AF930">
        <v>4</v>
      </c>
      <c r="AG930" t="str" cm="1">
        <f t="array" ref="AG930">_xlfn.IFS(AF930=1,"Low",AF930=2,"Medium",AF930=3,"High",AF930=4,"Very High")</f>
        <v>Very High</v>
      </c>
      <c r="AH930">
        <v>1</v>
      </c>
      <c r="AI930">
        <v>10</v>
      </c>
      <c r="AJ930">
        <v>2</v>
      </c>
      <c r="AK930">
        <v>3</v>
      </c>
      <c r="AL930" t="str" cm="1">
        <f t="array" ref="AL930">_xlfn.IFS(AK930=1,"Low",AK930=2,"Medium",AK930=3,"High",AK930=4,"Very High")</f>
        <v>High</v>
      </c>
      <c r="AM930">
        <v>10</v>
      </c>
      <c r="AN930">
        <v>7</v>
      </c>
      <c r="AO930">
        <v>0</v>
      </c>
      <c r="AP930">
        <v>5</v>
      </c>
    </row>
    <row r="931" spans="1:42">
      <c r="A931">
        <v>28</v>
      </c>
      <c r="B931" t="str" cm="1">
        <f t="array" ref="B931">_xlfn.IFS(A931&lt;=25,"18-25",A931&lt;=35,"26-35",A931&lt;=45,"36-45",A931&lt;=55,"46-55",A931&gt;55,"56+")</f>
        <v>26-35</v>
      </c>
      <c r="C931" t="s">
        <v>39</v>
      </c>
      <c r="D931" t="s">
        <v>40</v>
      </c>
      <c r="E931" s="2">
        <v>193</v>
      </c>
      <c r="F931" t="s">
        <v>41</v>
      </c>
      <c r="G931">
        <v>2</v>
      </c>
      <c r="H931" t="str">
        <f t="shared" si="14"/>
        <v>1-10 km</v>
      </c>
      <c r="I931">
        <v>3</v>
      </c>
      <c r="J931" t="str" cm="1">
        <f t="array" ref="J931">_xlfn.IFS(I931=1,"Below College",I931=2,"College",I931=3,"Bachelor",I931=4,"Master",I931=5,"Doctor")</f>
        <v>Bachelor</v>
      </c>
      <c r="K931" t="s">
        <v>35</v>
      </c>
      <c r="L931">
        <v>1296</v>
      </c>
      <c r="M931">
        <v>4</v>
      </c>
      <c r="N931" t="str" cm="1">
        <f t="array" ref="N931">_xlfn.IFS(M931=1,"Low",M931=2,"Medium",M931=3,"High",M931=4,"Very High")</f>
        <v>Very High</v>
      </c>
      <c r="O931" t="s">
        <v>42</v>
      </c>
      <c r="P931" s="2">
        <v>52</v>
      </c>
      <c r="Q931">
        <v>2</v>
      </c>
      <c r="R931" t="str" cm="1">
        <f t="array" ref="R931">_xlfn.IFS(Q931=1,"Low",Q931=2,"Medium",Q931=3,"High",Q931=4,"Very High")</f>
        <v>Medium</v>
      </c>
      <c r="S931">
        <v>1</v>
      </c>
      <c r="T931" t="str" cm="1">
        <f t="array" ref="T931">_xlfn.IFS(S931=1,"Entry Level",S931=2,"Junior",S931=3,"Mid-Level",S931=4,"Senior",S931=5,"Executive")</f>
        <v>Entry Level</v>
      </c>
      <c r="U931" t="s">
        <v>46</v>
      </c>
      <c r="V931">
        <v>4</v>
      </c>
      <c r="W931" t="str" cm="1">
        <f t="array" ref="W931">_xlfn.IFS(V931=1,"Low",V931=2,"Medium",V931=3,"High",V931=4,"Very High")</f>
        <v>Very High</v>
      </c>
      <c r="X931" t="s">
        <v>44</v>
      </c>
      <c r="Y931" s="2">
        <v>3867</v>
      </c>
      <c r="Z931" s="2">
        <v>14222</v>
      </c>
      <c r="AA931">
        <v>1</v>
      </c>
      <c r="AB931" t="s">
        <v>32</v>
      </c>
      <c r="AC931">
        <v>12</v>
      </c>
      <c r="AD931">
        <v>3</v>
      </c>
      <c r="AE931" t="str" cm="1">
        <f t="array" ref="AE931">_xlfn.IFS(AD931=1,"Low",AD931=2,"Good",AD931=3,"Excellent",AD931=4,"Outstanding")</f>
        <v>Excellent</v>
      </c>
      <c r="AF931">
        <v>2</v>
      </c>
      <c r="AG931" t="str" cm="1">
        <f t="array" ref="AG931">_xlfn.IFS(AF931=1,"Low",AF931=2,"Medium",AF931=3,"High",AF931=4,"Very High")</f>
        <v>Medium</v>
      </c>
      <c r="AH931">
        <v>1</v>
      </c>
      <c r="AI931">
        <v>2</v>
      </c>
      <c r="AJ931">
        <v>2</v>
      </c>
      <c r="AK931">
        <v>3</v>
      </c>
      <c r="AL931" t="str" cm="1">
        <f t="array" ref="AL931">_xlfn.IFS(AK931=1,"Low",AK931=2,"Medium",AK931=3,"High",AK931=4,"Very High")</f>
        <v>High</v>
      </c>
      <c r="AM931">
        <v>2</v>
      </c>
      <c r="AN931">
        <v>2</v>
      </c>
      <c r="AO931">
        <v>2</v>
      </c>
      <c r="AP931">
        <v>2</v>
      </c>
    </row>
    <row r="932" spans="1:42">
      <c r="A932">
        <v>51</v>
      </c>
      <c r="B932" t="str" cm="1">
        <f t="array" ref="B932">_xlfn.IFS(A932&lt;=25,"18-25",A932&lt;=35,"26-35",A932&lt;=45,"36-45",A932&lt;=55,"46-55",A932&gt;55,"56+")</f>
        <v>46-55</v>
      </c>
      <c r="C932" t="s">
        <v>39</v>
      </c>
      <c r="D932" t="s">
        <v>40</v>
      </c>
      <c r="E932" s="2">
        <v>968</v>
      </c>
      <c r="F932" t="s">
        <v>41</v>
      </c>
      <c r="G932">
        <v>6</v>
      </c>
      <c r="H932" t="str">
        <f t="shared" si="14"/>
        <v>1-10 km</v>
      </c>
      <c r="I932">
        <v>2</v>
      </c>
      <c r="J932" t="str" cm="1">
        <f t="array" ref="J932">_xlfn.IFS(I932=1,"Below College",I932=2,"College",I932=3,"Bachelor",I932=4,"Master",I932=5,"Doctor")</f>
        <v>College</v>
      </c>
      <c r="K932" t="s">
        <v>47</v>
      </c>
      <c r="L932">
        <v>1297</v>
      </c>
      <c r="M932">
        <v>2</v>
      </c>
      <c r="N932" t="str" cm="1">
        <f t="array" ref="N932">_xlfn.IFS(M932=1,"Low",M932=2,"Medium",M932=3,"High",M932=4,"Very High")</f>
        <v>Medium</v>
      </c>
      <c r="O932" t="s">
        <v>36</v>
      </c>
      <c r="P932" s="2">
        <v>40</v>
      </c>
      <c r="Q932">
        <v>2</v>
      </c>
      <c r="R932" t="str" cm="1">
        <f t="array" ref="R932">_xlfn.IFS(Q932=1,"Low",Q932=2,"Medium",Q932=3,"High",Q932=4,"Very High")</f>
        <v>Medium</v>
      </c>
      <c r="S932">
        <v>1</v>
      </c>
      <c r="T932" t="str" cm="1">
        <f t="array" ref="T932">_xlfn.IFS(S932=1,"Entry Level",S932=2,"Junior",S932=3,"Mid-Level",S932=4,"Senior",S932=5,"Executive")</f>
        <v>Entry Level</v>
      </c>
      <c r="U932" t="s">
        <v>46</v>
      </c>
      <c r="V932">
        <v>3</v>
      </c>
      <c r="W932" t="str" cm="1">
        <f t="array" ref="W932">_xlfn.IFS(V932=1,"Low",V932=2,"Medium",V932=3,"High",V932=4,"Very High")</f>
        <v>High</v>
      </c>
      <c r="X932" t="s">
        <v>38</v>
      </c>
      <c r="Y932" s="2">
        <v>2838</v>
      </c>
      <c r="Z932" s="2">
        <v>4257</v>
      </c>
      <c r="AA932">
        <v>0</v>
      </c>
      <c r="AB932" t="s">
        <v>39</v>
      </c>
      <c r="AC932">
        <v>14</v>
      </c>
      <c r="AD932">
        <v>3</v>
      </c>
      <c r="AE932" t="str" cm="1">
        <f t="array" ref="AE932">_xlfn.IFS(AD932=1,"Low",AD932=2,"Good",AD932=3,"Excellent",AD932=4,"Outstanding")</f>
        <v>Excellent</v>
      </c>
      <c r="AF932">
        <v>2</v>
      </c>
      <c r="AG932" t="str" cm="1">
        <f t="array" ref="AG932">_xlfn.IFS(AF932=1,"Low",AF932=2,"Medium",AF932=3,"High",AF932=4,"Very High")</f>
        <v>Medium</v>
      </c>
      <c r="AH932">
        <v>0</v>
      </c>
      <c r="AI932">
        <v>8</v>
      </c>
      <c r="AJ932">
        <v>6</v>
      </c>
      <c r="AK932">
        <v>2</v>
      </c>
      <c r="AL932" t="str" cm="1">
        <f t="array" ref="AL932">_xlfn.IFS(AK932=1,"Low",AK932=2,"Medium",AK932=3,"High",AK932=4,"Very High")</f>
        <v>Medium</v>
      </c>
      <c r="AM932">
        <v>7</v>
      </c>
      <c r="AN932">
        <v>0</v>
      </c>
      <c r="AO932">
        <v>7</v>
      </c>
      <c r="AP932">
        <v>7</v>
      </c>
    </row>
    <row r="933" spans="1:42">
      <c r="A933">
        <v>30</v>
      </c>
      <c r="B933" t="str" cm="1">
        <f t="array" ref="B933">_xlfn.IFS(A933&lt;=25,"18-25",A933&lt;=35,"26-35",A933&lt;=45,"36-45",A933&lt;=55,"46-55",A933&gt;55,"56+")</f>
        <v>26-35</v>
      </c>
      <c r="C933" t="s">
        <v>39</v>
      </c>
      <c r="D933" t="s">
        <v>51</v>
      </c>
      <c r="E933" s="2">
        <v>879</v>
      </c>
      <c r="F933" t="s">
        <v>41</v>
      </c>
      <c r="G933">
        <v>9</v>
      </c>
      <c r="H933" t="str">
        <f t="shared" si="14"/>
        <v>1-10 km</v>
      </c>
      <c r="I933">
        <v>2</v>
      </c>
      <c r="J933" t="str" cm="1">
        <f t="array" ref="J933">_xlfn.IFS(I933=1,"Below College",I933=2,"College",I933=3,"Bachelor",I933=4,"Master",I933=5,"Doctor")</f>
        <v>College</v>
      </c>
      <c r="K933" t="s">
        <v>47</v>
      </c>
      <c r="L933">
        <v>1298</v>
      </c>
      <c r="M933">
        <v>3</v>
      </c>
      <c r="N933" t="str" cm="1">
        <f t="array" ref="N933">_xlfn.IFS(M933=1,"Low",M933=2,"Medium",M933=3,"High",M933=4,"Very High")</f>
        <v>High</v>
      </c>
      <c r="O933" t="s">
        <v>36</v>
      </c>
      <c r="P933" s="2">
        <v>72</v>
      </c>
      <c r="Q933">
        <v>3</v>
      </c>
      <c r="R933" t="str" cm="1">
        <f t="array" ref="R933">_xlfn.IFS(Q933=1,"Low",Q933=2,"Medium",Q933=3,"High",Q933=4,"Very High")</f>
        <v>High</v>
      </c>
      <c r="S933">
        <v>2</v>
      </c>
      <c r="T933" t="str" cm="1">
        <f t="array" ref="T933">_xlfn.IFS(S933=1,"Entry Level",S933=2,"Junior",S933=3,"Mid-Level",S933=4,"Senior",S933=5,"Executive")</f>
        <v>Junior</v>
      </c>
      <c r="U933" t="s">
        <v>49</v>
      </c>
      <c r="V933">
        <v>3</v>
      </c>
      <c r="W933" t="str" cm="1">
        <f t="array" ref="W933">_xlfn.IFS(V933=1,"Low",V933=2,"Medium",V933=3,"High",V933=4,"Very High")</f>
        <v>High</v>
      </c>
      <c r="X933" t="s">
        <v>38</v>
      </c>
      <c r="Y933" s="2">
        <v>4695</v>
      </c>
      <c r="Z933" s="2">
        <v>12858</v>
      </c>
      <c r="AA933">
        <v>7</v>
      </c>
      <c r="AB933" t="s">
        <v>32</v>
      </c>
      <c r="AC933">
        <v>18</v>
      </c>
      <c r="AD933">
        <v>3</v>
      </c>
      <c r="AE933" t="str" cm="1">
        <f t="array" ref="AE933">_xlfn.IFS(AD933=1,"Low",AD933=2,"Good",AD933=3,"Excellent",AD933=4,"Outstanding")</f>
        <v>Excellent</v>
      </c>
      <c r="AF933">
        <v>3</v>
      </c>
      <c r="AG933" t="str" cm="1">
        <f t="array" ref="AG933">_xlfn.IFS(AF933=1,"Low",AF933=2,"Medium",AF933=3,"High",AF933=4,"Very High")</f>
        <v>High</v>
      </c>
      <c r="AH933">
        <v>0</v>
      </c>
      <c r="AI933">
        <v>10</v>
      </c>
      <c r="AJ933">
        <v>3</v>
      </c>
      <c r="AK933">
        <v>3</v>
      </c>
      <c r="AL933" t="str" cm="1">
        <f t="array" ref="AL933">_xlfn.IFS(AK933=1,"Low",AK933=2,"Medium",AK933=3,"High",AK933=4,"Very High")</f>
        <v>High</v>
      </c>
      <c r="AM933">
        <v>8</v>
      </c>
      <c r="AN933">
        <v>4</v>
      </c>
      <c r="AO933">
        <v>1</v>
      </c>
      <c r="AP933">
        <v>7</v>
      </c>
    </row>
    <row r="934" spans="1:42">
      <c r="A934">
        <v>29</v>
      </c>
      <c r="B934" t="str" cm="1">
        <f t="array" ref="B934">_xlfn.IFS(A934&lt;=25,"18-25",A934&lt;=35,"26-35",A934&lt;=45,"36-45",A934&lt;=55,"46-55",A934&gt;55,"56+")</f>
        <v>26-35</v>
      </c>
      <c r="C934" t="s">
        <v>32</v>
      </c>
      <c r="D934" t="s">
        <v>33</v>
      </c>
      <c r="E934" s="2">
        <v>806</v>
      </c>
      <c r="F934" t="s">
        <v>41</v>
      </c>
      <c r="G934">
        <v>7</v>
      </c>
      <c r="H934" t="str">
        <f t="shared" si="14"/>
        <v>1-10 km</v>
      </c>
      <c r="I934">
        <v>3</v>
      </c>
      <c r="J934" t="str" cm="1">
        <f t="array" ref="J934">_xlfn.IFS(I934=1,"Below College",I934=2,"College",I934=3,"Bachelor",I934=4,"Master",I934=5,"Doctor")</f>
        <v>Bachelor</v>
      </c>
      <c r="K934" t="s">
        <v>56</v>
      </c>
      <c r="L934">
        <v>1299</v>
      </c>
      <c r="M934">
        <v>2</v>
      </c>
      <c r="N934" t="str" cm="1">
        <f t="array" ref="N934">_xlfn.IFS(M934=1,"Low",M934=2,"Medium",M934=3,"High",M934=4,"Very High")</f>
        <v>Medium</v>
      </c>
      <c r="O934" t="s">
        <v>36</v>
      </c>
      <c r="P934" s="2">
        <v>39</v>
      </c>
      <c r="Q934">
        <v>3</v>
      </c>
      <c r="R934" t="str" cm="1">
        <f t="array" ref="R934">_xlfn.IFS(Q934=1,"Low",Q934=2,"Medium",Q934=3,"High",Q934=4,"Very High")</f>
        <v>High</v>
      </c>
      <c r="S934">
        <v>1</v>
      </c>
      <c r="T934" t="str" cm="1">
        <f t="array" ref="T934">_xlfn.IFS(S934=1,"Entry Level",S934=2,"Junior",S934=3,"Mid-Level",S934=4,"Senior",S934=5,"Executive")</f>
        <v>Entry Level</v>
      </c>
      <c r="U934" t="s">
        <v>46</v>
      </c>
      <c r="V934">
        <v>3</v>
      </c>
      <c r="W934" t="str" cm="1">
        <f t="array" ref="W934">_xlfn.IFS(V934=1,"Low",V934=2,"Medium",V934=3,"High",V934=4,"Very High")</f>
        <v>High</v>
      </c>
      <c r="X934" t="s">
        <v>48</v>
      </c>
      <c r="Y934" s="2">
        <v>3339</v>
      </c>
      <c r="Z934" s="2">
        <v>17285</v>
      </c>
      <c r="AA934">
        <v>3</v>
      </c>
      <c r="AB934" t="s">
        <v>32</v>
      </c>
      <c r="AC934">
        <v>13</v>
      </c>
      <c r="AD934">
        <v>3</v>
      </c>
      <c r="AE934" t="str" cm="1">
        <f t="array" ref="AE934">_xlfn.IFS(AD934=1,"Low",AD934=2,"Good",AD934=3,"Excellent",AD934=4,"Outstanding")</f>
        <v>Excellent</v>
      </c>
      <c r="AF934">
        <v>1</v>
      </c>
      <c r="AG934" t="str" cm="1">
        <f t="array" ref="AG934">_xlfn.IFS(AF934=1,"Low",AF934=2,"Medium",AF934=3,"High",AF934=4,"Very High")</f>
        <v>Low</v>
      </c>
      <c r="AH934">
        <v>2</v>
      </c>
      <c r="AI934">
        <v>10</v>
      </c>
      <c r="AJ934">
        <v>2</v>
      </c>
      <c r="AK934">
        <v>3</v>
      </c>
      <c r="AL934" t="str" cm="1">
        <f t="array" ref="AL934">_xlfn.IFS(AK934=1,"Low",AK934=2,"Medium",AK934=3,"High",AK934=4,"Very High")</f>
        <v>High</v>
      </c>
      <c r="AM934">
        <v>7</v>
      </c>
      <c r="AN934">
        <v>7</v>
      </c>
      <c r="AO934">
        <v>7</v>
      </c>
      <c r="AP934">
        <v>7</v>
      </c>
    </row>
    <row r="935" spans="1:42">
      <c r="A935">
        <v>28</v>
      </c>
      <c r="B935" t="str" cm="1">
        <f t="array" ref="B935">_xlfn.IFS(A935&lt;=25,"18-25",A935&lt;=35,"26-35",A935&lt;=45,"36-45",A935&lt;=55,"46-55",A935&gt;55,"56+")</f>
        <v>26-35</v>
      </c>
      <c r="C935" t="s">
        <v>39</v>
      </c>
      <c r="D935" t="s">
        <v>33</v>
      </c>
      <c r="E935" s="2">
        <v>640</v>
      </c>
      <c r="F935" t="s">
        <v>41</v>
      </c>
      <c r="G935">
        <v>1</v>
      </c>
      <c r="H935" t="str">
        <f t="shared" si="14"/>
        <v>1-10 km</v>
      </c>
      <c r="I935">
        <v>3</v>
      </c>
      <c r="J935" t="str" cm="1">
        <f t="array" ref="J935">_xlfn.IFS(I935=1,"Below College",I935=2,"College",I935=3,"Bachelor",I935=4,"Master",I935=5,"Doctor")</f>
        <v>Bachelor</v>
      </c>
      <c r="K935" t="s">
        <v>56</v>
      </c>
      <c r="L935">
        <v>1301</v>
      </c>
      <c r="M935">
        <v>4</v>
      </c>
      <c r="N935" t="str" cm="1">
        <f t="array" ref="N935">_xlfn.IFS(M935=1,"Low",M935=2,"Medium",M935=3,"High",M935=4,"Very High")</f>
        <v>Very High</v>
      </c>
      <c r="O935" t="s">
        <v>42</v>
      </c>
      <c r="P935" s="2">
        <v>84</v>
      </c>
      <c r="Q935">
        <v>3</v>
      </c>
      <c r="R935" t="str" cm="1">
        <f t="array" ref="R935">_xlfn.IFS(Q935=1,"Low",Q935=2,"Medium",Q935=3,"High",Q935=4,"Very High")</f>
        <v>High</v>
      </c>
      <c r="S935">
        <v>1</v>
      </c>
      <c r="T935" t="str" cm="1">
        <f t="array" ref="T935">_xlfn.IFS(S935=1,"Entry Level",S935=2,"Junior",S935=3,"Mid-Level",S935=4,"Senior",S935=5,"Executive")</f>
        <v>Entry Level</v>
      </c>
      <c r="U935" t="s">
        <v>43</v>
      </c>
      <c r="V935">
        <v>1</v>
      </c>
      <c r="W935" t="str" cm="1">
        <f t="array" ref="W935">_xlfn.IFS(V935=1,"Low",V935=2,"Medium",V935=3,"High",V935=4,"Very High")</f>
        <v>Low</v>
      </c>
      <c r="X935" t="s">
        <v>38</v>
      </c>
      <c r="Y935" s="2">
        <v>2080</v>
      </c>
      <c r="Z935" s="2">
        <v>4732</v>
      </c>
      <c r="AA935">
        <v>2</v>
      </c>
      <c r="AB935" t="s">
        <v>39</v>
      </c>
      <c r="AC935">
        <v>11</v>
      </c>
      <c r="AD935">
        <v>3</v>
      </c>
      <c r="AE935" t="str" cm="1">
        <f t="array" ref="AE935">_xlfn.IFS(AD935=1,"Low",AD935=2,"Good",AD935=3,"Excellent",AD935=4,"Outstanding")</f>
        <v>Excellent</v>
      </c>
      <c r="AF935">
        <v>2</v>
      </c>
      <c r="AG935" t="str" cm="1">
        <f t="array" ref="AG935">_xlfn.IFS(AF935=1,"Low",AF935=2,"Medium",AF935=3,"High",AF935=4,"Very High")</f>
        <v>Medium</v>
      </c>
      <c r="AH935">
        <v>0</v>
      </c>
      <c r="AI935">
        <v>5</v>
      </c>
      <c r="AJ935">
        <v>2</v>
      </c>
      <c r="AK935">
        <v>2</v>
      </c>
      <c r="AL935" t="str" cm="1">
        <f t="array" ref="AL935">_xlfn.IFS(AK935=1,"Low",AK935=2,"Medium",AK935=3,"High",AK935=4,"Very High")</f>
        <v>Medium</v>
      </c>
      <c r="AM935">
        <v>3</v>
      </c>
      <c r="AN935">
        <v>2</v>
      </c>
      <c r="AO935">
        <v>1</v>
      </c>
      <c r="AP935">
        <v>2</v>
      </c>
    </row>
    <row r="936" spans="1:42">
      <c r="A936">
        <v>25</v>
      </c>
      <c r="B936" t="str" cm="1">
        <f t="array" ref="B936">_xlfn.IFS(A936&lt;=25,"18-25",A936&lt;=35,"26-35",A936&lt;=45,"36-45",A936&lt;=55,"46-55",A936&gt;55,"56+")</f>
        <v>18-25</v>
      </c>
      <c r="C936" t="s">
        <v>39</v>
      </c>
      <c r="D936" t="s">
        <v>33</v>
      </c>
      <c r="E936" s="2">
        <v>266</v>
      </c>
      <c r="F936" t="s">
        <v>41</v>
      </c>
      <c r="G936">
        <v>1</v>
      </c>
      <c r="H936" t="str">
        <f t="shared" si="14"/>
        <v>1-10 km</v>
      </c>
      <c r="I936">
        <v>3</v>
      </c>
      <c r="J936" t="str" cm="1">
        <f t="array" ref="J936">_xlfn.IFS(I936=1,"Below College",I936=2,"College",I936=3,"Bachelor",I936=4,"Master",I936=5,"Doctor")</f>
        <v>Bachelor</v>
      </c>
      <c r="K936" t="s">
        <v>47</v>
      </c>
      <c r="L936">
        <v>1303</v>
      </c>
      <c r="M936">
        <v>4</v>
      </c>
      <c r="N936" t="str" cm="1">
        <f t="array" ref="N936">_xlfn.IFS(M936=1,"Low",M936=2,"Medium",M936=3,"High",M936=4,"Very High")</f>
        <v>Very High</v>
      </c>
      <c r="O936" t="s">
        <v>36</v>
      </c>
      <c r="P936" s="2">
        <v>40</v>
      </c>
      <c r="Q936">
        <v>3</v>
      </c>
      <c r="R936" t="str" cm="1">
        <f t="array" ref="R936">_xlfn.IFS(Q936=1,"Low",Q936=2,"Medium",Q936=3,"High",Q936=4,"Very High")</f>
        <v>High</v>
      </c>
      <c r="S936">
        <v>1</v>
      </c>
      <c r="T936" t="str" cm="1">
        <f t="array" ref="T936">_xlfn.IFS(S936=1,"Entry Level",S936=2,"Junior",S936=3,"Mid-Level",S936=4,"Senior",S936=5,"Executive")</f>
        <v>Entry Level</v>
      </c>
      <c r="U936" t="s">
        <v>43</v>
      </c>
      <c r="V936">
        <v>2</v>
      </c>
      <c r="W936" t="str" cm="1">
        <f t="array" ref="W936">_xlfn.IFS(V936=1,"Low",V936=2,"Medium",V936=3,"High",V936=4,"Very High")</f>
        <v>Medium</v>
      </c>
      <c r="X936" t="s">
        <v>38</v>
      </c>
      <c r="Y936" s="2">
        <v>2096</v>
      </c>
      <c r="Z936" s="2">
        <v>18830</v>
      </c>
      <c r="AA936">
        <v>1</v>
      </c>
      <c r="AB936" t="s">
        <v>39</v>
      </c>
      <c r="AC936">
        <v>18</v>
      </c>
      <c r="AD936">
        <v>3</v>
      </c>
      <c r="AE936" t="str" cm="1">
        <f t="array" ref="AE936">_xlfn.IFS(AD936=1,"Low",AD936=2,"Good",AD936=3,"Excellent",AD936=4,"Outstanding")</f>
        <v>Excellent</v>
      </c>
      <c r="AF936">
        <v>4</v>
      </c>
      <c r="AG936" t="str" cm="1">
        <f t="array" ref="AG936">_xlfn.IFS(AF936=1,"Low",AF936=2,"Medium",AF936=3,"High",AF936=4,"Very High")</f>
        <v>Very High</v>
      </c>
      <c r="AH936">
        <v>0</v>
      </c>
      <c r="AI936">
        <v>2</v>
      </c>
      <c r="AJ936">
        <v>3</v>
      </c>
      <c r="AK936">
        <v>2</v>
      </c>
      <c r="AL936" t="str" cm="1">
        <f t="array" ref="AL936">_xlfn.IFS(AK936=1,"Low",AK936=2,"Medium",AK936=3,"High",AK936=4,"Very High")</f>
        <v>Medium</v>
      </c>
      <c r="AM936">
        <v>2</v>
      </c>
      <c r="AN936">
        <v>2</v>
      </c>
      <c r="AO936">
        <v>2</v>
      </c>
      <c r="AP936">
        <v>1</v>
      </c>
    </row>
    <row r="937" spans="1:42">
      <c r="A937">
        <v>32</v>
      </c>
      <c r="B937" t="str" cm="1">
        <f t="array" ref="B937">_xlfn.IFS(A937&lt;=25,"18-25",A937&lt;=35,"26-35",A937&lt;=45,"36-45",A937&lt;=55,"46-55",A937&gt;55,"56+")</f>
        <v>26-35</v>
      </c>
      <c r="C937" t="s">
        <v>39</v>
      </c>
      <c r="D937" t="s">
        <v>33</v>
      </c>
      <c r="E937" s="2">
        <v>604</v>
      </c>
      <c r="F937" t="s">
        <v>34</v>
      </c>
      <c r="G937">
        <v>8</v>
      </c>
      <c r="H937" t="str">
        <f t="shared" si="14"/>
        <v>1-10 km</v>
      </c>
      <c r="I937">
        <v>3</v>
      </c>
      <c r="J937" t="str" cm="1">
        <f t="array" ref="J937">_xlfn.IFS(I937=1,"Below College",I937=2,"College",I937=3,"Bachelor",I937=4,"Master",I937=5,"Doctor")</f>
        <v>Bachelor</v>
      </c>
      <c r="K937" t="s">
        <v>47</v>
      </c>
      <c r="L937">
        <v>1304</v>
      </c>
      <c r="M937">
        <v>3</v>
      </c>
      <c r="N937" t="str" cm="1">
        <f t="array" ref="N937">_xlfn.IFS(M937=1,"Low",M937=2,"Medium",M937=3,"High",M937=4,"Very High")</f>
        <v>High</v>
      </c>
      <c r="O937" t="s">
        <v>42</v>
      </c>
      <c r="P937" s="2">
        <v>56</v>
      </c>
      <c r="Q937">
        <v>4</v>
      </c>
      <c r="R937" t="str" cm="1">
        <f t="array" ref="R937">_xlfn.IFS(Q937=1,"Low",Q937=2,"Medium",Q937=3,"High",Q937=4,"Very High")</f>
        <v>Very High</v>
      </c>
      <c r="S937">
        <v>2</v>
      </c>
      <c r="T937" t="str" cm="1">
        <f t="array" ref="T937">_xlfn.IFS(S937=1,"Entry Level",S937=2,"Junior",S937=3,"Mid-Level",S937=4,"Senior",S937=5,"Executive")</f>
        <v>Junior</v>
      </c>
      <c r="U937" t="s">
        <v>37</v>
      </c>
      <c r="V937">
        <v>4</v>
      </c>
      <c r="W937" t="str" cm="1">
        <f t="array" ref="W937">_xlfn.IFS(V937=1,"Low",V937=2,"Medium",V937=3,"High",V937=4,"Very High")</f>
        <v>Very High</v>
      </c>
      <c r="X937" t="s">
        <v>44</v>
      </c>
      <c r="Y937" s="2">
        <v>6209</v>
      </c>
      <c r="Z937" s="2">
        <v>11693</v>
      </c>
      <c r="AA937">
        <v>1</v>
      </c>
      <c r="AB937" t="s">
        <v>39</v>
      </c>
      <c r="AC937">
        <v>15</v>
      </c>
      <c r="AD937">
        <v>3</v>
      </c>
      <c r="AE937" t="str" cm="1">
        <f t="array" ref="AE937">_xlfn.IFS(AD937=1,"Low",AD937=2,"Good",AD937=3,"Excellent",AD937=4,"Outstanding")</f>
        <v>Excellent</v>
      </c>
      <c r="AF937">
        <v>3</v>
      </c>
      <c r="AG937" t="str" cm="1">
        <f t="array" ref="AG937">_xlfn.IFS(AF937=1,"Low",AF937=2,"Medium",AF937=3,"High",AF937=4,"Very High")</f>
        <v>High</v>
      </c>
      <c r="AH937">
        <v>2</v>
      </c>
      <c r="AI937">
        <v>10</v>
      </c>
      <c r="AJ937">
        <v>4</v>
      </c>
      <c r="AK937">
        <v>4</v>
      </c>
      <c r="AL937" t="str" cm="1">
        <f t="array" ref="AL937">_xlfn.IFS(AK937=1,"Low",AK937=2,"Medium",AK937=3,"High",AK937=4,"Very High")</f>
        <v>Very High</v>
      </c>
      <c r="AM937">
        <v>10</v>
      </c>
      <c r="AN937">
        <v>7</v>
      </c>
      <c r="AO937">
        <v>0</v>
      </c>
      <c r="AP937">
        <v>8</v>
      </c>
    </row>
    <row r="938" spans="1:42">
      <c r="A938">
        <v>45</v>
      </c>
      <c r="B938" t="str" cm="1">
        <f t="array" ref="B938">_xlfn.IFS(A938&lt;=25,"18-25",A938&lt;=35,"26-35",A938&lt;=45,"36-45",A938&lt;=55,"46-55",A938&gt;55,"56+")</f>
        <v>36-45</v>
      </c>
      <c r="C938" t="s">
        <v>39</v>
      </c>
      <c r="D938" t="s">
        <v>40</v>
      </c>
      <c r="E938" s="2">
        <v>364</v>
      </c>
      <c r="F938" t="s">
        <v>41</v>
      </c>
      <c r="G938">
        <v>25</v>
      </c>
      <c r="H938" t="str">
        <f t="shared" si="14"/>
        <v>21-30 km</v>
      </c>
      <c r="I938">
        <v>3</v>
      </c>
      <c r="J938" t="str" cm="1">
        <f t="array" ref="J938">_xlfn.IFS(I938=1,"Below College",I938=2,"College",I938=3,"Bachelor",I938=4,"Master",I938=5,"Doctor")</f>
        <v>Bachelor</v>
      </c>
      <c r="K938" t="s">
        <v>47</v>
      </c>
      <c r="L938">
        <v>1306</v>
      </c>
      <c r="M938">
        <v>2</v>
      </c>
      <c r="N938" t="str" cm="1">
        <f t="array" ref="N938">_xlfn.IFS(M938=1,"Low",M938=2,"Medium",M938=3,"High",M938=4,"Very High")</f>
        <v>Medium</v>
      </c>
      <c r="O938" t="s">
        <v>36</v>
      </c>
      <c r="P938" s="2">
        <v>83</v>
      </c>
      <c r="Q938">
        <v>3</v>
      </c>
      <c r="R938" t="str" cm="1">
        <f t="array" ref="R938">_xlfn.IFS(Q938=1,"Low",Q938=2,"Medium",Q938=3,"High",Q938=4,"Very High")</f>
        <v>High</v>
      </c>
      <c r="S938">
        <v>5</v>
      </c>
      <c r="T938" t="str" cm="1">
        <f t="array" ref="T938">_xlfn.IFS(S938=1,"Entry Level",S938=2,"Junior",S938=3,"Mid-Level",S938=4,"Senior",S938=5,"Executive")</f>
        <v>Executive</v>
      </c>
      <c r="U938" t="s">
        <v>52</v>
      </c>
      <c r="V938">
        <v>2</v>
      </c>
      <c r="W938" t="str" cm="1">
        <f t="array" ref="W938">_xlfn.IFS(V938=1,"Low",V938=2,"Medium",V938=3,"High",V938=4,"Very High")</f>
        <v>Medium</v>
      </c>
      <c r="X938" t="s">
        <v>38</v>
      </c>
      <c r="Y938" s="2">
        <v>18061</v>
      </c>
      <c r="Z938" s="2">
        <v>13035</v>
      </c>
      <c r="AA938">
        <v>3</v>
      </c>
      <c r="AB938" t="s">
        <v>39</v>
      </c>
      <c r="AC938">
        <v>22</v>
      </c>
      <c r="AD938">
        <v>4</v>
      </c>
      <c r="AE938" t="str" cm="1">
        <f t="array" ref="AE938">_xlfn.IFS(AD938=1,"Low",AD938=2,"Good",AD938=3,"Excellent",AD938=4,"Outstanding")</f>
        <v>Outstanding</v>
      </c>
      <c r="AF938">
        <v>3</v>
      </c>
      <c r="AG938" t="str" cm="1">
        <f t="array" ref="AG938">_xlfn.IFS(AF938=1,"Low",AF938=2,"Medium",AF938=3,"High",AF938=4,"Very High")</f>
        <v>High</v>
      </c>
      <c r="AH938">
        <v>0</v>
      </c>
      <c r="AI938">
        <v>22</v>
      </c>
      <c r="AJ938">
        <v>4</v>
      </c>
      <c r="AK938">
        <v>3</v>
      </c>
      <c r="AL938" t="str" cm="1">
        <f t="array" ref="AL938">_xlfn.IFS(AK938=1,"Low",AK938=2,"Medium",AK938=3,"High",AK938=4,"Very High")</f>
        <v>High</v>
      </c>
      <c r="AM938">
        <v>0</v>
      </c>
      <c r="AN938">
        <v>0</v>
      </c>
      <c r="AO938">
        <v>0</v>
      </c>
      <c r="AP938">
        <v>0</v>
      </c>
    </row>
    <row r="939" spans="1:42">
      <c r="A939">
        <v>39</v>
      </c>
      <c r="B939" t="str" cm="1">
        <f t="array" ref="B939">_xlfn.IFS(A939&lt;=25,"18-25",A939&lt;=35,"26-35",A939&lt;=45,"36-45",A939&lt;=55,"46-55",A939&gt;55,"56+")</f>
        <v>36-45</v>
      </c>
      <c r="C939" t="s">
        <v>39</v>
      </c>
      <c r="D939" t="s">
        <v>33</v>
      </c>
      <c r="E939" s="2">
        <v>412</v>
      </c>
      <c r="F939" t="s">
        <v>41</v>
      </c>
      <c r="G939">
        <v>13</v>
      </c>
      <c r="H939" t="str">
        <f t="shared" si="14"/>
        <v>11-20 km</v>
      </c>
      <c r="I939">
        <v>4</v>
      </c>
      <c r="J939" t="str" cm="1">
        <f t="array" ref="J939">_xlfn.IFS(I939=1,"Below College",I939=2,"College",I939=3,"Bachelor",I939=4,"Master",I939=5,"Doctor")</f>
        <v>Master</v>
      </c>
      <c r="K939" t="s">
        <v>47</v>
      </c>
      <c r="L939">
        <v>1307</v>
      </c>
      <c r="M939">
        <v>3</v>
      </c>
      <c r="N939" t="str" cm="1">
        <f t="array" ref="N939">_xlfn.IFS(M939=1,"Low",M939=2,"Medium",M939=3,"High",M939=4,"Very High")</f>
        <v>High</v>
      </c>
      <c r="O939" t="s">
        <v>36</v>
      </c>
      <c r="P939" s="2">
        <v>94</v>
      </c>
      <c r="Q939">
        <v>2</v>
      </c>
      <c r="R939" t="str" cm="1">
        <f t="array" ref="R939">_xlfn.IFS(Q939=1,"Low",Q939=2,"Medium",Q939=3,"High",Q939=4,"Very High")</f>
        <v>Medium</v>
      </c>
      <c r="S939">
        <v>4</v>
      </c>
      <c r="T939" t="str" cm="1">
        <f t="array" ref="T939">_xlfn.IFS(S939=1,"Entry Level",S939=2,"Junior",S939=3,"Mid-Level",S939=4,"Senior",S939=5,"Executive")</f>
        <v>Senior</v>
      </c>
      <c r="U939" t="s">
        <v>52</v>
      </c>
      <c r="V939">
        <v>2</v>
      </c>
      <c r="W939" t="str" cm="1">
        <f t="array" ref="W939">_xlfn.IFS(V939=1,"Low",V939=2,"Medium",V939=3,"High",V939=4,"Very High")</f>
        <v>Medium</v>
      </c>
      <c r="X939" t="s">
        <v>48</v>
      </c>
      <c r="Y939" s="2">
        <v>17123</v>
      </c>
      <c r="Z939" s="2">
        <v>17334</v>
      </c>
      <c r="AA939">
        <v>6</v>
      </c>
      <c r="AB939" t="s">
        <v>32</v>
      </c>
      <c r="AC939">
        <v>13</v>
      </c>
      <c r="AD939">
        <v>3</v>
      </c>
      <c r="AE939" t="str" cm="1">
        <f t="array" ref="AE939">_xlfn.IFS(AD939=1,"Low",AD939=2,"Good",AD939=3,"Excellent",AD939=4,"Outstanding")</f>
        <v>Excellent</v>
      </c>
      <c r="AF939">
        <v>4</v>
      </c>
      <c r="AG939" t="str" cm="1">
        <f t="array" ref="AG939">_xlfn.IFS(AF939=1,"Low",AF939=2,"Medium",AF939=3,"High",AF939=4,"Very High")</f>
        <v>Very High</v>
      </c>
      <c r="AH939">
        <v>2</v>
      </c>
      <c r="AI939">
        <v>21</v>
      </c>
      <c r="AJ939">
        <v>4</v>
      </c>
      <c r="AK939">
        <v>3</v>
      </c>
      <c r="AL939" t="str" cm="1">
        <f t="array" ref="AL939">_xlfn.IFS(AK939=1,"Low",AK939=2,"Medium",AK939=3,"High",AK939=4,"Very High")</f>
        <v>High</v>
      </c>
      <c r="AM939">
        <v>19</v>
      </c>
      <c r="AN939">
        <v>9</v>
      </c>
      <c r="AO939">
        <v>15</v>
      </c>
      <c r="AP939">
        <v>2</v>
      </c>
    </row>
    <row r="940" spans="1:42">
      <c r="A940">
        <v>58</v>
      </c>
      <c r="B940" t="str" cm="1">
        <f t="array" ref="B940">_xlfn.IFS(A940&lt;=25,"18-25",A940&lt;=35,"26-35",A940&lt;=45,"36-45",A940&lt;=55,"46-55",A940&gt;55,"56+")</f>
        <v>56+</v>
      </c>
      <c r="C940" t="s">
        <v>39</v>
      </c>
      <c r="D940" t="s">
        <v>33</v>
      </c>
      <c r="E940" s="2">
        <v>848</v>
      </c>
      <c r="F940" t="s">
        <v>41</v>
      </c>
      <c r="G940">
        <v>23</v>
      </c>
      <c r="H940" t="str">
        <f t="shared" si="14"/>
        <v>21-30 km</v>
      </c>
      <c r="I940">
        <v>4</v>
      </c>
      <c r="J940" t="str" cm="1">
        <f t="array" ref="J940">_xlfn.IFS(I940=1,"Below College",I940=2,"College",I940=3,"Bachelor",I940=4,"Master",I940=5,"Doctor")</f>
        <v>Master</v>
      </c>
      <c r="K940" t="s">
        <v>35</v>
      </c>
      <c r="L940">
        <v>1308</v>
      </c>
      <c r="M940">
        <v>1</v>
      </c>
      <c r="N940" t="str" cm="1">
        <f t="array" ref="N940">_xlfn.IFS(M940=1,"Low",M940=2,"Medium",M940=3,"High",M940=4,"Very High")</f>
        <v>Low</v>
      </c>
      <c r="O940" t="s">
        <v>42</v>
      </c>
      <c r="P940" s="2">
        <v>88</v>
      </c>
      <c r="Q940">
        <v>3</v>
      </c>
      <c r="R940" t="str" cm="1">
        <f t="array" ref="R940">_xlfn.IFS(Q940=1,"Low",Q940=2,"Medium",Q940=3,"High",Q940=4,"Very High")</f>
        <v>High</v>
      </c>
      <c r="S940">
        <v>1</v>
      </c>
      <c r="T940" t="str" cm="1">
        <f t="array" ref="T940">_xlfn.IFS(S940=1,"Entry Level",S940=2,"Junior",S940=3,"Mid-Level",S940=4,"Senior",S940=5,"Executive")</f>
        <v>Entry Level</v>
      </c>
      <c r="U940" t="s">
        <v>43</v>
      </c>
      <c r="V940">
        <v>3</v>
      </c>
      <c r="W940" t="str" cm="1">
        <f t="array" ref="W940">_xlfn.IFS(V940=1,"Low",V940=2,"Medium",V940=3,"High",V940=4,"Very High")</f>
        <v>High</v>
      </c>
      <c r="X940" t="s">
        <v>48</v>
      </c>
      <c r="Y940" s="2">
        <v>2372</v>
      </c>
      <c r="Z940" s="2">
        <v>26076</v>
      </c>
      <c r="AA940">
        <v>1</v>
      </c>
      <c r="AB940" t="s">
        <v>39</v>
      </c>
      <c r="AC940">
        <v>12</v>
      </c>
      <c r="AD940">
        <v>3</v>
      </c>
      <c r="AE940" t="str" cm="1">
        <f t="array" ref="AE940">_xlfn.IFS(AD940=1,"Low",AD940=2,"Good",AD940=3,"Excellent",AD940=4,"Outstanding")</f>
        <v>Excellent</v>
      </c>
      <c r="AF940">
        <v>4</v>
      </c>
      <c r="AG940" t="str" cm="1">
        <f t="array" ref="AG940">_xlfn.IFS(AF940=1,"Low",AF940=2,"Medium",AF940=3,"High",AF940=4,"Very High")</f>
        <v>Very High</v>
      </c>
      <c r="AH940">
        <v>2</v>
      </c>
      <c r="AI940">
        <v>2</v>
      </c>
      <c r="AJ940">
        <v>3</v>
      </c>
      <c r="AK940">
        <v>3</v>
      </c>
      <c r="AL940" t="str" cm="1">
        <f t="array" ref="AL940">_xlfn.IFS(AK940=1,"Low",AK940=2,"Medium",AK940=3,"High",AK940=4,"Very High")</f>
        <v>High</v>
      </c>
      <c r="AM940">
        <v>2</v>
      </c>
      <c r="AN940">
        <v>2</v>
      </c>
      <c r="AO940">
        <v>2</v>
      </c>
      <c r="AP940">
        <v>2</v>
      </c>
    </row>
    <row r="941" spans="1:42">
      <c r="A941">
        <v>32</v>
      </c>
      <c r="B941" t="str" cm="1">
        <f t="array" ref="B941">_xlfn.IFS(A941&lt;=25,"18-25",A941&lt;=35,"26-35",A941&lt;=45,"36-45",A941&lt;=55,"46-55",A941&gt;55,"56+")</f>
        <v>26-35</v>
      </c>
      <c r="C941" t="s">
        <v>32</v>
      </c>
      <c r="D941" t="s">
        <v>33</v>
      </c>
      <c r="E941" s="2">
        <v>1089</v>
      </c>
      <c r="F941" t="s">
        <v>41</v>
      </c>
      <c r="G941">
        <v>7</v>
      </c>
      <c r="H941" t="str">
        <f t="shared" si="14"/>
        <v>1-10 km</v>
      </c>
      <c r="I941">
        <v>2</v>
      </c>
      <c r="J941" t="str" cm="1">
        <f t="array" ref="J941">_xlfn.IFS(I941=1,"Below College",I941=2,"College",I941=3,"Bachelor",I941=4,"Master",I941=5,"Doctor")</f>
        <v>College</v>
      </c>
      <c r="K941" t="s">
        <v>35</v>
      </c>
      <c r="L941">
        <v>1309</v>
      </c>
      <c r="M941">
        <v>4</v>
      </c>
      <c r="N941" t="str" cm="1">
        <f t="array" ref="N941">_xlfn.IFS(M941=1,"Low",M941=2,"Medium",M941=3,"High",M941=4,"Very High")</f>
        <v>Very High</v>
      </c>
      <c r="O941" t="s">
        <v>42</v>
      </c>
      <c r="P941" s="2">
        <v>79</v>
      </c>
      <c r="Q941">
        <v>3</v>
      </c>
      <c r="R941" t="str" cm="1">
        <f t="array" ref="R941">_xlfn.IFS(Q941=1,"Low",Q941=2,"Medium",Q941=3,"High",Q941=4,"Very High")</f>
        <v>High</v>
      </c>
      <c r="S941">
        <v>2</v>
      </c>
      <c r="T941" t="str" cm="1">
        <f t="array" ref="T941">_xlfn.IFS(S941=1,"Entry Level",S941=2,"Junior",S941=3,"Mid-Level",S941=4,"Senior",S941=5,"Executive")</f>
        <v>Junior</v>
      </c>
      <c r="U941" t="s">
        <v>46</v>
      </c>
      <c r="V941">
        <v>3</v>
      </c>
      <c r="W941" t="str" cm="1">
        <f t="array" ref="W941">_xlfn.IFS(V941=1,"Low",V941=2,"Medium",V941=3,"High",V941=4,"Very High")</f>
        <v>High</v>
      </c>
      <c r="X941" t="s">
        <v>44</v>
      </c>
      <c r="Y941" s="2">
        <v>4883</v>
      </c>
      <c r="Z941" s="2">
        <v>22845</v>
      </c>
      <c r="AA941">
        <v>1</v>
      </c>
      <c r="AB941" t="s">
        <v>39</v>
      </c>
      <c r="AC941">
        <v>18</v>
      </c>
      <c r="AD941">
        <v>3</v>
      </c>
      <c r="AE941" t="str" cm="1">
        <f t="array" ref="AE941">_xlfn.IFS(AD941=1,"Low",AD941=2,"Good",AD941=3,"Excellent",AD941=4,"Outstanding")</f>
        <v>Excellent</v>
      </c>
      <c r="AF941">
        <v>1</v>
      </c>
      <c r="AG941" t="str" cm="1">
        <f t="array" ref="AG941">_xlfn.IFS(AF941=1,"Low",AF941=2,"Medium",AF941=3,"High",AF941=4,"Very High")</f>
        <v>Low</v>
      </c>
      <c r="AH941">
        <v>1</v>
      </c>
      <c r="AI941">
        <v>10</v>
      </c>
      <c r="AJ941">
        <v>3</v>
      </c>
      <c r="AK941">
        <v>3</v>
      </c>
      <c r="AL941" t="str" cm="1">
        <f t="array" ref="AL941">_xlfn.IFS(AK941=1,"Low",AK941=2,"Medium",AK941=3,"High",AK941=4,"Very High")</f>
        <v>High</v>
      </c>
      <c r="AM941">
        <v>10</v>
      </c>
      <c r="AN941">
        <v>4</v>
      </c>
      <c r="AO941">
        <v>1</v>
      </c>
      <c r="AP941">
        <v>1</v>
      </c>
    </row>
    <row r="942" spans="1:42">
      <c r="A942">
        <v>39</v>
      </c>
      <c r="B942" t="str" cm="1">
        <f t="array" ref="B942">_xlfn.IFS(A942&lt;=25,"18-25",A942&lt;=35,"26-35",A942&lt;=45,"36-45",A942&lt;=55,"46-55",A942&gt;55,"56+")</f>
        <v>36-45</v>
      </c>
      <c r="C942" t="s">
        <v>32</v>
      </c>
      <c r="D942" t="s">
        <v>33</v>
      </c>
      <c r="E942" s="2">
        <v>360</v>
      </c>
      <c r="F942" t="s">
        <v>41</v>
      </c>
      <c r="G942">
        <v>23</v>
      </c>
      <c r="H942" t="str">
        <f t="shared" si="14"/>
        <v>21-30 km</v>
      </c>
      <c r="I942">
        <v>3</v>
      </c>
      <c r="J942" t="str" cm="1">
        <f t="array" ref="J942">_xlfn.IFS(I942=1,"Below College",I942=2,"College",I942=3,"Bachelor",I942=4,"Master",I942=5,"Doctor")</f>
        <v>Bachelor</v>
      </c>
      <c r="K942" t="s">
        <v>47</v>
      </c>
      <c r="L942">
        <v>1310</v>
      </c>
      <c r="M942">
        <v>3</v>
      </c>
      <c r="N942" t="str" cm="1">
        <f t="array" ref="N942">_xlfn.IFS(M942=1,"Low",M942=2,"Medium",M942=3,"High",M942=4,"Very High")</f>
        <v>High</v>
      </c>
      <c r="O942" t="s">
        <v>42</v>
      </c>
      <c r="P942" s="2">
        <v>93</v>
      </c>
      <c r="Q942">
        <v>3</v>
      </c>
      <c r="R942" t="str" cm="1">
        <f t="array" ref="R942">_xlfn.IFS(Q942=1,"Low",Q942=2,"Medium",Q942=3,"High",Q942=4,"Very High")</f>
        <v>High</v>
      </c>
      <c r="S942">
        <v>1</v>
      </c>
      <c r="T942" t="str" cm="1">
        <f t="array" ref="T942">_xlfn.IFS(S942=1,"Entry Level",S942=2,"Junior",S942=3,"Mid-Level",S942=4,"Senior",S942=5,"Executive")</f>
        <v>Entry Level</v>
      </c>
      <c r="U942" t="s">
        <v>43</v>
      </c>
      <c r="V942">
        <v>1</v>
      </c>
      <c r="W942" t="str" cm="1">
        <f t="array" ref="W942">_xlfn.IFS(V942=1,"Low",V942=2,"Medium",V942=3,"High",V942=4,"Very High")</f>
        <v>Low</v>
      </c>
      <c r="X942" t="s">
        <v>38</v>
      </c>
      <c r="Y942" s="2">
        <v>3904</v>
      </c>
      <c r="Z942" s="2">
        <v>22154</v>
      </c>
      <c r="AA942">
        <v>0</v>
      </c>
      <c r="AB942" t="s">
        <v>39</v>
      </c>
      <c r="AC942">
        <v>13</v>
      </c>
      <c r="AD942">
        <v>3</v>
      </c>
      <c r="AE942" t="str" cm="1">
        <f t="array" ref="AE942">_xlfn.IFS(AD942=1,"Low",AD942=2,"Good",AD942=3,"Excellent",AD942=4,"Outstanding")</f>
        <v>Excellent</v>
      </c>
      <c r="AF942">
        <v>1</v>
      </c>
      <c r="AG942" t="str" cm="1">
        <f t="array" ref="AG942">_xlfn.IFS(AF942=1,"Low",AF942=2,"Medium",AF942=3,"High",AF942=4,"Very High")</f>
        <v>Low</v>
      </c>
      <c r="AH942">
        <v>0</v>
      </c>
      <c r="AI942">
        <v>6</v>
      </c>
      <c r="AJ942">
        <v>2</v>
      </c>
      <c r="AK942">
        <v>3</v>
      </c>
      <c r="AL942" t="str" cm="1">
        <f t="array" ref="AL942">_xlfn.IFS(AK942=1,"Low",AK942=2,"Medium",AK942=3,"High",AK942=4,"Very High")</f>
        <v>High</v>
      </c>
      <c r="AM942">
        <v>5</v>
      </c>
      <c r="AN942">
        <v>2</v>
      </c>
      <c r="AO942">
        <v>0</v>
      </c>
      <c r="AP942">
        <v>3</v>
      </c>
    </row>
    <row r="943" spans="1:42">
      <c r="A943">
        <v>30</v>
      </c>
      <c r="B943" t="str" cm="1">
        <f t="array" ref="B943">_xlfn.IFS(A943&lt;=25,"18-25",A943&lt;=35,"26-35",A943&lt;=45,"36-45",A943&lt;=55,"46-55",A943&gt;55,"56+")</f>
        <v>26-35</v>
      </c>
      <c r="C943" t="s">
        <v>39</v>
      </c>
      <c r="D943" t="s">
        <v>33</v>
      </c>
      <c r="E943" s="2">
        <v>1138</v>
      </c>
      <c r="F943" t="s">
        <v>41</v>
      </c>
      <c r="G943">
        <v>6</v>
      </c>
      <c r="H943" t="str">
        <f t="shared" si="14"/>
        <v>1-10 km</v>
      </c>
      <c r="I943">
        <v>3</v>
      </c>
      <c r="J943" t="str" cm="1">
        <f t="array" ref="J943">_xlfn.IFS(I943=1,"Below College",I943=2,"College",I943=3,"Bachelor",I943=4,"Master",I943=5,"Doctor")</f>
        <v>Bachelor</v>
      </c>
      <c r="K943" t="s">
        <v>56</v>
      </c>
      <c r="L943">
        <v>1311</v>
      </c>
      <c r="M943">
        <v>1</v>
      </c>
      <c r="N943" t="str" cm="1">
        <f t="array" ref="N943">_xlfn.IFS(M943=1,"Low",M943=2,"Medium",M943=3,"High",M943=4,"Very High")</f>
        <v>Low</v>
      </c>
      <c r="O943" t="s">
        <v>36</v>
      </c>
      <c r="P943" s="2">
        <v>48</v>
      </c>
      <c r="Q943">
        <v>2</v>
      </c>
      <c r="R943" t="str" cm="1">
        <f t="array" ref="R943">_xlfn.IFS(Q943=1,"Low",Q943=2,"Medium",Q943=3,"High",Q943=4,"Very High")</f>
        <v>Medium</v>
      </c>
      <c r="S943">
        <v>2</v>
      </c>
      <c r="T943" t="str" cm="1">
        <f t="array" ref="T943">_xlfn.IFS(S943=1,"Entry Level",S943=2,"Junior",S943=3,"Mid-Level",S943=4,"Senior",S943=5,"Executive")</f>
        <v>Junior</v>
      </c>
      <c r="U943" t="s">
        <v>46</v>
      </c>
      <c r="V943">
        <v>4</v>
      </c>
      <c r="W943" t="str" cm="1">
        <f t="array" ref="W943">_xlfn.IFS(V943=1,"Low",V943=2,"Medium",V943=3,"High",V943=4,"Very High")</f>
        <v>Very High</v>
      </c>
      <c r="X943" t="s">
        <v>44</v>
      </c>
      <c r="Y943" s="2">
        <v>4627</v>
      </c>
      <c r="Z943" s="2">
        <v>23631</v>
      </c>
      <c r="AA943">
        <v>0</v>
      </c>
      <c r="AB943" t="s">
        <v>39</v>
      </c>
      <c r="AC943">
        <v>12</v>
      </c>
      <c r="AD943">
        <v>3</v>
      </c>
      <c r="AE943" t="str" cm="1">
        <f t="array" ref="AE943">_xlfn.IFS(AD943=1,"Low",AD943=2,"Good",AD943=3,"Excellent",AD943=4,"Outstanding")</f>
        <v>Excellent</v>
      </c>
      <c r="AF943">
        <v>1</v>
      </c>
      <c r="AG943" t="str" cm="1">
        <f t="array" ref="AG943">_xlfn.IFS(AF943=1,"Low",AF943=2,"Medium",AF943=3,"High",AF943=4,"Very High")</f>
        <v>Low</v>
      </c>
      <c r="AH943">
        <v>1</v>
      </c>
      <c r="AI943">
        <v>10</v>
      </c>
      <c r="AJ943">
        <v>6</v>
      </c>
      <c r="AK943">
        <v>3</v>
      </c>
      <c r="AL943" t="str" cm="1">
        <f t="array" ref="AL943">_xlfn.IFS(AK943=1,"Low",AK943=2,"Medium",AK943=3,"High",AK943=4,"Very High")</f>
        <v>High</v>
      </c>
      <c r="AM943">
        <v>9</v>
      </c>
      <c r="AN943">
        <v>2</v>
      </c>
      <c r="AO943">
        <v>6</v>
      </c>
      <c r="AP943">
        <v>7</v>
      </c>
    </row>
    <row r="944" spans="1:42">
      <c r="A944">
        <v>36</v>
      </c>
      <c r="B944" t="str" cm="1">
        <f t="array" ref="B944">_xlfn.IFS(A944&lt;=25,"18-25",A944&lt;=35,"26-35",A944&lt;=45,"36-45",A944&lt;=55,"46-55",A944&gt;55,"56+")</f>
        <v>36-45</v>
      </c>
      <c r="C944" t="s">
        <v>39</v>
      </c>
      <c r="D944" t="s">
        <v>33</v>
      </c>
      <c r="E944" s="2">
        <v>325</v>
      </c>
      <c r="F944" t="s">
        <v>41</v>
      </c>
      <c r="G944">
        <v>10</v>
      </c>
      <c r="H944" t="str">
        <f t="shared" si="14"/>
        <v>1-10 km</v>
      </c>
      <c r="I944">
        <v>4</v>
      </c>
      <c r="J944" t="str" cm="1">
        <f t="array" ref="J944">_xlfn.IFS(I944=1,"Below College",I944=2,"College",I944=3,"Bachelor",I944=4,"Master",I944=5,"Doctor")</f>
        <v>Master</v>
      </c>
      <c r="K944" t="s">
        <v>56</v>
      </c>
      <c r="L944">
        <v>1312</v>
      </c>
      <c r="M944">
        <v>4</v>
      </c>
      <c r="N944" t="str" cm="1">
        <f t="array" ref="N944">_xlfn.IFS(M944=1,"Low",M944=2,"Medium",M944=3,"High",M944=4,"Very High")</f>
        <v>Very High</v>
      </c>
      <c r="O944" t="s">
        <v>36</v>
      </c>
      <c r="P944" s="2">
        <v>63</v>
      </c>
      <c r="Q944">
        <v>3</v>
      </c>
      <c r="R944" t="str" cm="1">
        <f t="array" ref="R944">_xlfn.IFS(Q944=1,"Low",Q944=2,"Medium",Q944=3,"High",Q944=4,"Very High")</f>
        <v>High</v>
      </c>
      <c r="S944">
        <v>3</v>
      </c>
      <c r="T944" t="str" cm="1">
        <f t="array" ref="T944">_xlfn.IFS(S944=1,"Entry Level",S944=2,"Junior",S944=3,"Mid-Level",S944=4,"Senior",S944=5,"Executive")</f>
        <v>Mid-Level</v>
      </c>
      <c r="U944" t="s">
        <v>50</v>
      </c>
      <c r="V944">
        <v>3</v>
      </c>
      <c r="W944" t="str" cm="1">
        <f t="array" ref="W944">_xlfn.IFS(V944=1,"Low",V944=2,"Medium",V944=3,"High",V944=4,"Very High")</f>
        <v>High</v>
      </c>
      <c r="X944" t="s">
        <v>44</v>
      </c>
      <c r="Y944" s="2">
        <v>7094</v>
      </c>
      <c r="Z944" s="2">
        <v>5747</v>
      </c>
      <c r="AA944">
        <v>3</v>
      </c>
      <c r="AB944" t="s">
        <v>39</v>
      </c>
      <c r="AC944">
        <v>12</v>
      </c>
      <c r="AD944">
        <v>3</v>
      </c>
      <c r="AE944" t="str" cm="1">
        <f t="array" ref="AE944">_xlfn.IFS(AD944=1,"Low",AD944=2,"Good",AD944=3,"Excellent",AD944=4,"Outstanding")</f>
        <v>Excellent</v>
      </c>
      <c r="AF944">
        <v>1</v>
      </c>
      <c r="AG944" t="str" cm="1">
        <f t="array" ref="AG944">_xlfn.IFS(AF944=1,"Low",AF944=2,"Medium",AF944=3,"High",AF944=4,"Very High")</f>
        <v>Low</v>
      </c>
      <c r="AH944">
        <v>0</v>
      </c>
      <c r="AI944">
        <v>10</v>
      </c>
      <c r="AJ944">
        <v>0</v>
      </c>
      <c r="AK944">
        <v>3</v>
      </c>
      <c r="AL944" t="str" cm="1">
        <f t="array" ref="AL944">_xlfn.IFS(AK944=1,"Low",AK944=2,"Medium",AK944=3,"High",AK944=4,"Very High")</f>
        <v>High</v>
      </c>
      <c r="AM944">
        <v>7</v>
      </c>
      <c r="AN944">
        <v>7</v>
      </c>
      <c r="AO944">
        <v>1</v>
      </c>
      <c r="AP944">
        <v>7</v>
      </c>
    </row>
    <row r="945" spans="1:42">
      <c r="A945">
        <v>46</v>
      </c>
      <c r="B945" t="str" cm="1">
        <f t="array" ref="B945">_xlfn.IFS(A945&lt;=25,"18-25",A945&lt;=35,"26-35",A945&lt;=45,"36-45",A945&lt;=55,"46-55",A945&gt;55,"56+")</f>
        <v>46-55</v>
      </c>
      <c r="C945" t="s">
        <v>39</v>
      </c>
      <c r="D945" t="s">
        <v>33</v>
      </c>
      <c r="E945" s="2">
        <v>991</v>
      </c>
      <c r="F945" t="s">
        <v>57</v>
      </c>
      <c r="G945">
        <v>1</v>
      </c>
      <c r="H945" t="str">
        <f t="shared" si="14"/>
        <v>1-10 km</v>
      </c>
      <c r="I945">
        <v>2</v>
      </c>
      <c r="J945" t="str" cm="1">
        <f t="array" ref="J945">_xlfn.IFS(I945=1,"Below College",I945=2,"College",I945=3,"Bachelor",I945=4,"Master",I945=5,"Doctor")</f>
        <v>College</v>
      </c>
      <c r="K945" t="s">
        <v>35</v>
      </c>
      <c r="L945">
        <v>1314</v>
      </c>
      <c r="M945">
        <v>4</v>
      </c>
      <c r="N945" t="str" cm="1">
        <f t="array" ref="N945">_xlfn.IFS(M945=1,"Low",M945=2,"Medium",M945=3,"High",M945=4,"Very High")</f>
        <v>Very High</v>
      </c>
      <c r="O945" t="s">
        <v>36</v>
      </c>
      <c r="P945" s="2">
        <v>44</v>
      </c>
      <c r="Q945">
        <v>3</v>
      </c>
      <c r="R945" t="str" cm="1">
        <f t="array" ref="R945">_xlfn.IFS(Q945=1,"Low",Q945=2,"Medium",Q945=3,"High",Q945=4,"Very High")</f>
        <v>High</v>
      </c>
      <c r="S945">
        <v>1</v>
      </c>
      <c r="T945" t="str" cm="1">
        <f t="array" ref="T945">_xlfn.IFS(S945=1,"Entry Level",S945=2,"Junior",S945=3,"Mid-Level",S945=4,"Senior",S945=5,"Executive")</f>
        <v>Entry Level</v>
      </c>
      <c r="U945" t="s">
        <v>57</v>
      </c>
      <c r="V945">
        <v>1</v>
      </c>
      <c r="W945" t="str" cm="1">
        <f t="array" ref="W945">_xlfn.IFS(V945=1,"Low",V945=2,"Medium",V945=3,"High",V945=4,"Very High")</f>
        <v>Low</v>
      </c>
      <c r="X945" t="s">
        <v>38</v>
      </c>
      <c r="Y945" s="2">
        <v>3423</v>
      </c>
      <c r="Z945" s="2">
        <v>22957</v>
      </c>
      <c r="AA945">
        <v>6</v>
      </c>
      <c r="AB945" t="s">
        <v>39</v>
      </c>
      <c r="AC945">
        <v>12</v>
      </c>
      <c r="AD945">
        <v>3</v>
      </c>
      <c r="AE945" t="str" cm="1">
        <f t="array" ref="AE945">_xlfn.IFS(AD945=1,"Low",AD945=2,"Good",AD945=3,"Excellent",AD945=4,"Outstanding")</f>
        <v>Excellent</v>
      </c>
      <c r="AF945">
        <v>3</v>
      </c>
      <c r="AG945" t="str" cm="1">
        <f t="array" ref="AG945">_xlfn.IFS(AF945=1,"Low",AF945=2,"Medium",AF945=3,"High",AF945=4,"Very High")</f>
        <v>High</v>
      </c>
      <c r="AH945">
        <v>0</v>
      </c>
      <c r="AI945">
        <v>10</v>
      </c>
      <c r="AJ945">
        <v>3</v>
      </c>
      <c r="AK945">
        <v>4</v>
      </c>
      <c r="AL945" t="str" cm="1">
        <f t="array" ref="AL945">_xlfn.IFS(AK945=1,"Low",AK945=2,"Medium",AK945=3,"High",AK945=4,"Very High")</f>
        <v>Very High</v>
      </c>
      <c r="AM945">
        <v>7</v>
      </c>
      <c r="AN945">
        <v>6</v>
      </c>
      <c r="AO945">
        <v>5</v>
      </c>
      <c r="AP945">
        <v>7</v>
      </c>
    </row>
    <row r="946" spans="1:42">
      <c r="A946">
        <v>28</v>
      </c>
      <c r="B946" t="str" cm="1">
        <f t="array" ref="B946">_xlfn.IFS(A946&lt;=25,"18-25",A946&lt;=35,"26-35",A946&lt;=45,"36-45",A946&lt;=55,"46-55",A946&gt;55,"56+")</f>
        <v>26-35</v>
      </c>
      <c r="C946" t="s">
        <v>39</v>
      </c>
      <c r="D946" t="s">
        <v>51</v>
      </c>
      <c r="E946" s="2">
        <v>1476</v>
      </c>
      <c r="F946" t="s">
        <v>41</v>
      </c>
      <c r="G946">
        <v>1</v>
      </c>
      <c r="H946" t="str">
        <f t="shared" si="14"/>
        <v>1-10 km</v>
      </c>
      <c r="I946">
        <v>3</v>
      </c>
      <c r="J946" t="str" cm="1">
        <f t="array" ref="J946">_xlfn.IFS(I946=1,"Below College",I946=2,"College",I946=3,"Bachelor",I946=4,"Master",I946=5,"Doctor")</f>
        <v>Bachelor</v>
      </c>
      <c r="K946" t="s">
        <v>35</v>
      </c>
      <c r="L946">
        <v>1315</v>
      </c>
      <c r="M946">
        <v>3</v>
      </c>
      <c r="N946" t="str" cm="1">
        <f t="array" ref="N946">_xlfn.IFS(M946=1,"Low",M946=2,"Medium",M946=3,"High",M946=4,"Very High")</f>
        <v>High</v>
      </c>
      <c r="O946" t="s">
        <v>36</v>
      </c>
      <c r="P946" s="2">
        <v>55</v>
      </c>
      <c r="Q946">
        <v>1</v>
      </c>
      <c r="R946" t="str" cm="1">
        <f t="array" ref="R946">_xlfn.IFS(Q946=1,"Low",Q946=2,"Medium",Q946=3,"High",Q946=4,"Very High")</f>
        <v>Low</v>
      </c>
      <c r="S946">
        <v>2</v>
      </c>
      <c r="T946" t="str" cm="1">
        <f t="array" ref="T946">_xlfn.IFS(S946=1,"Entry Level",S946=2,"Junior",S946=3,"Mid-Level",S946=4,"Senior",S946=5,"Executive")</f>
        <v>Junior</v>
      </c>
      <c r="U946" t="s">
        <v>46</v>
      </c>
      <c r="V946">
        <v>4</v>
      </c>
      <c r="W946" t="str" cm="1">
        <f t="array" ref="W946">_xlfn.IFS(V946=1,"Low",V946=2,"Medium",V946=3,"High",V946=4,"Very High")</f>
        <v>Very High</v>
      </c>
      <c r="X946" t="s">
        <v>44</v>
      </c>
      <c r="Y946" s="2">
        <v>6674</v>
      </c>
      <c r="Z946" s="2">
        <v>16392</v>
      </c>
      <c r="AA946">
        <v>0</v>
      </c>
      <c r="AB946" t="s">
        <v>39</v>
      </c>
      <c r="AC946">
        <v>11</v>
      </c>
      <c r="AD946">
        <v>3</v>
      </c>
      <c r="AE946" t="str" cm="1">
        <f t="array" ref="AE946">_xlfn.IFS(AD946=1,"Low",AD946=2,"Good",AD946=3,"Excellent",AD946=4,"Outstanding")</f>
        <v>Excellent</v>
      </c>
      <c r="AF946">
        <v>1</v>
      </c>
      <c r="AG946" t="str" cm="1">
        <f t="array" ref="AG946">_xlfn.IFS(AF946=1,"Low",AF946=2,"Medium",AF946=3,"High",AF946=4,"Very High")</f>
        <v>Low</v>
      </c>
      <c r="AH946">
        <v>3</v>
      </c>
      <c r="AI946">
        <v>10</v>
      </c>
      <c r="AJ946">
        <v>6</v>
      </c>
      <c r="AK946">
        <v>3</v>
      </c>
      <c r="AL946" t="str" cm="1">
        <f t="array" ref="AL946">_xlfn.IFS(AK946=1,"Low",AK946=2,"Medium",AK946=3,"High",AK946=4,"Very High")</f>
        <v>High</v>
      </c>
      <c r="AM946">
        <v>9</v>
      </c>
      <c r="AN946">
        <v>8</v>
      </c>
      <c r="AO946">
        <v>7</v>
      </c>
      <c r="AP946">
        <v>5</v>
      </c>
    </row>
    <row r="947" spans="1:42">
      <c r="A947">
        <v>50</v>
      </c>
      <c r="B947" t="str" cm="1">
        <f t="array" ref="B947">_xlfn.IFS(A947&lt;=25,"18-25",A947&lt;=35,"26-35",A947&lt;=45,"36-45",A947&lt;=55,"46-55",A947&gt;55,"56+")</f>
        <v>46-55</v>
      </c>
      <c r="C947" t="s">
        <v>39</v>
      </c>
      <c r="D947" t="s">
        <v>33</v>
      </c>
      <c r="E947" s="2">
        <v>1322</v>
      </c>
      <c r="F947" t="s">
        <v>41</v>
      </c>
      <c r="G947">
        <v>28</v>
      </c>
      <c r="H947" t="str">
        <f t="shared" si="14"/>
        <v>21-30 km</v>
      </c>
      <c r="I947">
        <v>3</v>
      </c>
      <c r="J947" t="str" cm="1">
        <f t="array" ref="J947">_xlfn.IFS(I947=1,"Below College",I947=2,"College",I947=3,"Bachelor",I947=4,"Master",I947=5,"Doctor")</f>
        <v>Bachelor</v>
      </c>
      <c r="K947" t="s">
        <v>35</v>
      </c>
      <c r="L947">
        <v>1317</v>
      </c>
      <c r="M947">
        <v>4</v>
      </c>
      <c r="N947" t="str" cm="1">
        <f t="array" ref="N947">_xlfn.IFS(M947=1,"Low",M947=2,"Medium",M947=3,"High",M947=4,"Very High")</f>
        <v>Very High</v>
      </c>
      <c r="O947" t="s">
        <v>36</v>
      </c>
      <c r="P947" s="2">
        <v>43</v>
      </c>
      <c r="Q947">
        <v>3</v>
      </c>
      <c r="R947" t="str" cm="1">
        <f t="array" ref="R947">_xlfn.IFS(Q947=1,"Low",Q947=2,"Medium",Q947=3,"High",Q947=4,"Very High")</f>
        <v>High</v>
      </c>
      <c r="S947">
        <v>4</v>
      </c>
      <c r="T947" t="str" cm="1">
        <f t="array" ref="T947">_xlfn.IFS(S947=1,"Entry Level",S947=2,"Junior",S947=3,"Mid-Level",S947=4,"Senior",S947=5,"Executive")</f>
        <v>Senior</v>
      </c>
      <c r="U947" t="s">
        <v>54</v>
      </c>
      <c r="V947">
        <v>1</v>
      </c>
      <c r="W947" t="str" cm="1">
        <f t="array" ref="W947">_xlfn.IFS(V947=1,"Low",V947=2,"Medium",V947=3,"High",V947=4,"Very High")</f>
        <v>Low</v>
      </c>
      <c r="X947" t="s">
        <v>44</v>
      </c>
      <c r="Y947" s="2">
        <v>16880</v>
      </c>
      <c r="Z947" s="2">
        <v>22422</v>
      </c>
      <c r="AA947">
        <v>4</v>
      </c>
      <c r="AB947" t="s">
        <v>32</v>
      </c>
      <c r="AC947">
        <v>11</v>
      </c>
      <c r="AD947">
        <v>3</v>
      </c>
      <c r="AE947" t="str" cm="1">
        <f t="array" ref="AE947">_xlfn.IFS(AD947=1,"Low",AD947=2,"Good",AD947=3,"Excellent",AD947=4,"Outstanding")</f>
        <v>Excellent</v>
      </c>
      <c r="AF947">
        <v>2</v>
      </c>
      <c r="AG947" t="str" cm="1">
        <f t="array" ref="AG947">_xlfn.IFS(AF947=1,"Low",AF947=2,"Medium",AF947=3,"High",AF947=4,"Very High")</f>
        <v>Medium</v>
      </c>
      <c r="AH947">
        <v>0</v>
      </c>
      <c r="AI947">
        <v>25</v>
      </c>
      <c r="AJ947">
        <v>2</v>
      </c>
      <c r="AK947">
        <v>3</v>
      </c>
      <c r="AL947" t="str" cm="1">
        <f t="array" ref="AL947">_xlfn.IFS(AK947=1,"Low",AK947=2,"Medium",AK947=3,"High",AK947=4,"Very High")</f>
        <v>High</v>
      </c>
      <c r="AM947">
        <v>3</v>
      </c>
      <c r="AN947">
        <v>2</v>
      </c>
      <c r="AO947">
        <v>1</v>
      </c>
      <c r="AP947">
        <v>2</v>
      </c>
    </row>
    <row r="948" spans="1:42">
      <c r="A948">
        <v>40</v>
      </c>
      <c r="B948" t="str" cm="1">
        <f t="array" ref="B948">_xlfn.IFS(A948&lt;=25,"18-25",A948&lt;=35,"26-35",A948&lt;=45,"36-45",A948&lt;=55,"46-55",A948&gt;55,"56+")</f>
        <v>36-45</v>
      </c>
      <c r="C948" t="s">
        <v>32</v>
      </c>
      <c r="D948" t="s">
        <v>33</v>
      </c>
      <c r="E948" s="2">
        <v>299</v>
      </c>
      <c r="F948" t="s">
        <v>34</v>
      </c>
      <c r="G948">
        <v>25</v>
      </c>
      <c r="H948" t="str">
        <f t="shared" si="14"/>
        <v>21-30 km</v>
      </c>
      <c r="I948">
        <v>4</v>
      </c>
      <c r="J948" t="str" cm="1">
        <f t="array" ref="J948">_xlfn.IFS(I948=1,"Below College",I948=2,"College",I948=3,"Bachelor",I948=4,"Master",I948=5,"Doctor")</f>
        <v>Master</v>
      </c>
      <c r="K948" t="s">
        <v>55</v>
      </c>
      <c r="L948">
        <v>1318</v>
      </c>
      <c r="M948">
        <v>4</v>
      </c>
      <c r="N948" t="str" cm="1">
        <f t="array" ref="N948">_xlfn.IFS(M948=1,"Low",M948=2,"Medium",M948=3,"High",M948=4,"Very High")</f>
        <v>Very High</v>
      </c>
      <c r="O948" t="s">
        <v>42</v>
      </c>
      <c r="P948" s="2">
        <v>57</v>
      </c>
      <c r="Q948">
        <v>2</v>
      </c>
      <c r="R948" t="str" cm="1">
        <f t="array" ref="R948">_xlfn.IFS(Q948=1,"Low",Q948=2,"Medium",Q948=3,"High",Q948=4,"Very High")</f>
        <v>Medium</v>
      </c>
      <c r="S948">
        <v>3</v>
      </c>
      <c r="T948" t="str" cm="1">
        <f t="array" ref="T948">_xlfn.IFS(S948=1,"Entry Level",S948=2,"Junior",S948=3,"Mid-Level",S948=4,"Senior",S948=5,"Executive")</f>
        <v>Mid-Level</v>
      </c>
      <c r="U948" t="s">
        <v>37</v>
      </c>
      <c r="V948">
        <v>2</v>
      </c>
      <c r="W948" t="str" cm="1">
        <f t="array" ref="W948">_xlfn.IFS(V948=1,"Low",V948=2,"Medium",V948=3,"High",V948=4,"Very High")</f>
        <v>Medium</v>
      </c>
      <c r="X948" t="s">
        <v>38</v>
      </c>
      <c r="Y948" s="2">
        <v>9094</v>
      </c>
      <c r="Z948" s="2">
        <v>17235</v>
      </c>
      <c r="AA948">
        <v>2</v>
      </c>
      <c r="AB948" t="s">
        <v>32</v>
      </c>
      <c r="AC948">
        <v>12</v>
      </c>
      <c r="AD948">
        <v>3</v>
      </c>
      <c r="AE948" t="str" cm="1">
        <f t="array" ref="AE948">_xlfn.IFS(AD948=1,"Low",AD948=2,"Good",AD948=3,"Excellent",AD948=4,"Outstanding")</f>
        <v>Excellent</v>
      </c>
      <c r="AF948">
        <v>3</v>
      </c>
      <c r="AG948" t="str" cm="1">
        <f t="array" ref="AG948">_xlfn.IFS(AF948=1,"Low",AF948=2,"Medium",AF948=3,"High",AF948=4,"Very High")</f>
        <v>High</v>
      </c>
      <c r="AH948">
        <v>0</v>
      </c>
      <c r="AI948">
        <v>9</v>
      </c>
      <c r="AJ948">
        <v>2</v>
      </c>
      <c r="AK948">
        <v>3</v>
      </c>
      <c r="AL948" t="str" cm="1">
        <f t="array" ref="AL948">_xlfn.IFS(AK948=1,"Low",AK948=2,"Medium",AK948=3,"High",AK948=4,"Very High")</f>
        <v>High</v>
      </c>
      <c r="AM948">
        <v>5</v>
      </c>
      <c r="AN948">
        <v>4</v>
      </c>
      <c r="AO948">
        <v>1</v>
      </c>
      <c r="AP948">
        <v>0</v>
      </c>
    </row>
    <row r="949" spans="1:42">
      <c r="A949">
        <v>52</v>
      </c>
      <c r="B949" t="str" cm="1">
        <f t="array" ref="B949">_xlfn.IFS(A949&lt;=25,"18-25",A949&lt;=35,"26-35",A949&lt;=45,"36-45",A949&lt;=55,"46-55",A949&gt;55,"56+")</f>
        <v>46-55</v>
      </c>
      <c r="C949" t="s">
        <v>32</v>
      </c>
      <c r="D949" t="s">
        <v>33</v>
      </c>
      <c r="E949" s="2">
        <v>1030</v>
      </c>
      <c r="F949" t="s">
        <v>34</v>
      </c>
      <c r="G949">
        <v>5</v>
      </c>
      <c r="H949" t="str">
        <f t="shared" si="14"/>
        <v>1-10 km</v>
      </c>
      <c r="I949">
        <v>3</v>
      </c>
      <c r="J949" t="str" cm="1">
        <f t="array" ref="J949">_xlfn.IFS(I949=1,"Below College",I949=2,"College",I949=3,"Bachelor",I949=4,"Master",I949=5,"Doctor")</f>
        <v>Bachelor</v>
      </c>
      <c r="K949" t="s">
        <v>35</v>
      </c>
      <c r="L949">
        <v>1319</v>
      </c>
      <c r="M949">
        <v>2</v>
      </c>
      <c r="N949" t="str" cm="1">
        <f t="array" ref="N949">_xlfn.IFS(M949=1,"Low",M949=2,"Medium",M949=3,"High",M949=4,"Very High")</f>
        <v>Medium</v>
      </c>
      <c r="O949" t="s">
        <v>42</v>
      </c>
      <c r="P949" s="2">
        <v>64</v>
      </c>
      <c r="Q949">
        <v>3</v>
      </c>
      <c r="R949" t="str" cm="1">
        <f t="array" ref="R949">_xlfn.IFS(Q949=1,"Low",Q949=2,"Medium",Q949=3,"High",Q949=4,"Very High")</f>
        <v>High</v>
      </c>
      <c r="S949">
        <v>3</v>
      </c>
      <c r="T949" t="str" cm="1">
        <f t="array" ref="T949">_xlfn.IFS(S949=1,"Entry Level",S949=2,"Junior",S949=3,"Mid-Level",S949=4,"Senior",S949=5,"Executive")</f>
        <v>Mid-Level</v>
      </c>
      <c r="U949" t="s">
        <v>37</v>
      </c>
      <c r="V949">
        <v>2</v>
      </c>
      <c r="W949" t="str" cm="1">
        <f t="array" ref="W949">_xlfn.IFS(V949=1,"Low",V949=2,"Medium",V949=3,"High",V949=4,"Very High")</f>
        <v>Medium</v>
      </c>
      <c r="X949" t="s">
        <v>38</v>
      </c>
      <c r="Y949" s="2">
        <v>8446</v>
      </c>
      <c r="Z949" s="2">
        <v>21534</v>
      </c>
      <c r="AA949">
        <v>9</v>
      </c>
      <c r="AB949" t="s">
        <v>32</v>
      </c>
      <c r="AC949">
        <v>19</v>
      </c>
      <c r="AD949">
        <v>3</v>
      </c>
      <c r="AE949" t="str" cm="1">
        <f t="array" ref="AE949">_xlfn.IFS(AD949=1,"Low",AD949=2,"Good",AD949=3,"Excellent",AD949=4,"Outstanding")</f>
        <v>Excellent</v>
      </c>
      <c r="AF949">
        <v>3</v>
      </c>
      <c r="AG949" t="str" cm="1">
        <f t="array" ref="AG949">_xlfn.IFS(AF949=1,"Low",AF949=2,"Medium",AF949=3,"High",AF949=4,"Very High")</f>
        <v>High</v>
      </c>
      <c r="AH949">
        <v>0</v>
      </c>
      <c r="AI949">
        <v>10</v>
      </c>
      <c r="AJ949">
        <v>2</v>
      </c>
      <c r="AK949">
        <v>2</v>
      </c>
      <c r="AL949" t="str" cm="1">
        <f t="array" ref="AL949">_xlfn.IFS(AK949=1,"Low",AK949=2,"Medium",AK949=3,"High",AK949=4,"Very High")</f>
        <v>Medium</v>
      </c>
      <c r="AM949">
        <v>8</v>
      </c>
      <c r="AN949">
        <v>7</v>
      </c>
      <c r="AO949">
        <v>7</v>
      </c>
      <c r="AP949">
        <v>7</v>
      </c>
    </row>
    <row r="950" spans="1:42">
      <c r="A950">
        <v>30</v>
      </c>
      <c r="B950" t="str" cm="1">
        <f t="array" ref="B950">_xlfn.IFS(A950&lt;=25,"18-25",A950&lt;=35,"26-35",A950&lt;=45,"36-45",A950&lt;=55,"46-55",A950&gt;55,"56+")</f>
        <v>26-35</v>
      </c>
      <c r="C950" t="s">
        <v>39</v>
      </c>
      <c r="D950" t="s">
        <v>33</v>
      </c>
      <c r="E950" s="2">
        <v>634</v>
      </c>
      <c r="F950" t="s">
        <v>41</v>
      </c>
      <c r="G950">
        <v>17</v>
      </c>
      <c r="H950" t="str">
        <f t="shared" si="14"/>
        <v>11-20 km</v>
      </c>
      <c r="I950">
        <v>4</v>
      </c>
      <c r="J950" t="str" cm="1">
        <f t="array" ref="J950">_xlfn.IFS(I950=1,"Below College",I950=2,"College",I950=3,"Bachelor",I950=4,"Master",I950=5,"Doctor")</f>
        <v>Master</v>
      </c>
      <c r="K950" t="s">
        <v>47</v>
      </c>
      <c r="L950">
        <v>1321</v>
      </c>
      <c r="M950">
        <v>2</v>
      </c>
      <c r="N950" t="str" cm="1">
        <f t="array" ref="N950">_xlfn.IFS(M950=1,"Low",M950=2,"Medium",M950=3,"High",M950=4,"Very High")</f>
        <v>Medium</v>
      </c>
      <c r="O950" t="s">
        <v>36</v>
      </c>
      <c r="P950" s="2">
        <v>95</v>
      </c>
      <c r="Q950">
        <v>3</v>
      </c>
      <c r="R950" t="str" cm="1">
        <f t="array" ref="R950">_xlfn.IFS(Q950=1,"Low",Q950=2,"Medium",Q950=3,"High",Q950=4,"Very High")</f>
        <v>High</v>
      </c>
      <c r="S950">
        <v>3</v>
      </c>
      <c r="T950" t="str" cm="1">
        <f t="array" ref="T950">_xlfn.IFS(S950=1,"Entry Level",S950=2,"Junior",S950=3,"Mid-Level",S950=4,"Senior",S950=5,"Executive")</f>
        <v>Mid-Level</v>
      </c>
      <c r="U950" t="s">
        <v>52</v>
      </c>
      <c r="V950">
        <v>1</v>
      </c>
      <c r="W950" t="str" cm="1">
        <f t="array" ref="W950">_xlfn.IFS(V950=1,"Low",V950=2,"Medium",V950=3,"High",V950=4,"Very High")</f>
        <v>Low</v>
      </c>
      <c r="X950" t="s">
        <v>44</v>
      </c>
      <c r="Y950" s="2">
        <v>11916</v>
      </c>
      <c r="Z950" s="2">
        <v>25927</v>
      </c>
      <c r="AA950">
        <v>1</v>
      </c>
      <c r="AB950" t="s">
        <v>32</v>
      </c>
      <c r="AC950">
        <v>23</v>
      </c>
      <c r="AD950">
        <v>4</v>
      </c>
      <c r="AE950" t="str" cm="1">
        <f t="array" ref="AE950">_xlfn.IFS(AD950=1,"Low",AD950=2,"Good",AD950=3,"Excellent",AD950=4,"Outstanding")</f>
        <v>Outstanding</v>
      </c>
      <c r="AF950">
        <v>4</v>
      </c>
      <c r="AG950" t="str" cm="1">
        <f t="array" ref="AG950">_xlfn.IFS(AF950=1,"Low",AF950=2,"Medium",AF950=3,"High",AF950=4,"Very High")</f>
        <v>Very High</v>
      </c>
      <c r="AH950">
        <v>2</v>
      </c>
      <c r="AI950">
        <v>9</v>
      </c>
      <c r="AJ950">
        <v>2</v>
      </c>
      <c r="AK950">
        <v>3</v>
      </c>
      <c r="AL950" t="str" cm="1">
        <f t="array" ref="AL950">_xlfn.IFS(AK950=1,"Low",AK950=2,"Medium",AK950=3,"High",AK950=4,"Very High")</f>
        <v>High</v>
      </c>
      <c r="AM950">
        <v>9</v>
      </c>
      <c r="AN950">
        <v>1</v>
      </c>
      <c r="AO950">
        <v>0</v>
      </c>
      <c r="AP950">
        <v>8</v>
      </c>
    </row>
    <row r="951" spans="1:42">
      <c r="A951">
        <v>39</v>
      </c>
      <c r="B951" t="str" cm="1">
        <f t="array" ref="B951">_xlfn.IFS(A951&lt;=25,"18-25",A951&lt;=35,"26-35",A951&lt;=45,"36-45",A951&lt;=55,"46-55",A951&gt;55,"56+")</f>
        <v>36-45</v>
      </c>
      <c r="C951" t="s">
        <v>39</v>
      </c>
      <c r="D951" t="s">
        <v>33</v>
      </c>
      <c r="E951" s="2">
        <v>524</v>
      </c>
      <c r="F951" t="s">
        <v>41</v>
      </c>
      <c r="G951">
        <v>18</v>
      </c>
      <c r="H951" t="str">
        <f t="shared" si="14"/>
        <v>11-20 km</v>
      </c>
      <c r="I951">
        <v>2</v>
      </c>
      <c r="J951" t="str" cm="1">
        <f t="array" ref="J951">_xlfn.IFS(I951=1,"Below College",I951=2,"College",I951=3,"Bachelor",I951=4,"Master",I951=5,"Doctor")</f>
        <v>College</v>
      </c>
      <c r="K951" t="s">
        <v>35</v>
      </c>
      <c r="L951">
        <v>1322</v>
      </c>
      <c r="M951">
        <v>1</v>
      </c>
      <c r="N951" t="str" cm="1">
        <f t="array" ref="N951">_xlfn.IFS(M951=1,"Low",M951=2,"Medium",M951=3,"High",M951=4,"Very High")</f>
        <v>Low</v>
      </c>
      <c r="O951" t="s">
        <v>42</v>
      </c>
      <c r="P951" s="2">
        <v>32</v>
      </c>
      <c r="Q951">
        <v>3</v>
      </c>
      <c r="R951" t="str" cm="1">
        <f t="array" ref="R951">_xlfn.IFS(Q951=1,"Low",Q951=2,"Medium",Q951=3,"High",Q951=4,"Very High")</f>
        <v>High</v>
      </c>
      <c r="S951">
        <v>2</v>
      </c>
      <c r="T951" t="str" cm="1">
        <f t="array" ref="T951">_xlfn.IFS(S951=1,"Entry Level",S951=2,"Junior",S951=3,"Mid-Level",S951=4,"Senior",S951=5,"Executive")</f>
        <v>Junior</v>
      </c>
      <c r="U951" t="s">
        <v>49</v>
      </c>
      <c r="V951">
        <v>3</v>
      </c>
      <c r="W951" t="str" cm="1">
        <f t="array" ref="W951">_xlfn.IFS(V951=1,"Low",V951=2,"Medium",V951=3,"High",V951=4,"Very High")</f>
        <v>High</v>
      </c>
      <c r="X951" t="s">
        <v>38</v>
      </c>
      <c r="Y951" s="2">
        <v>4534</v>
      </c>
      <c r="Z951" s="2">
        <v>13352</v>
      </c>
      <c r="AA951">
        <v>0</v>
      </c>
      <c r="AB951" t="s">
        <v>39</v>
      </c>
      <c r="AC951">
        <v>11</v>
      </c>
      <c r="AD951">
        <v>3</v>
      </c>
      <c r="AE951" t="str" cm="1">
        <f t="array" ref="AE951">_xlfn.IFS(AD951=1,"Low",AD951=2,"Good",AD951=3,"Excellent",AD951=4,"Outstanding")</f>
        <v>Excellent</v>
      </c>
      <c r="AF951">
        <v>1</v>
      </c>
      <c r="AG951" t="str" cm="1">
        <f t="array" ref="AG951">_xlfn.IFS(AF951=1,"Low",AF951=2,"Medium",AF951=3,"High",AF951=4,"Very High")</f>
        <v>Low</v>
      </c>
      <c r="AH951">
        <v>0</v>
      </c>
      <c r="AI951">
        <v>9</v>
      </c>
      <c r="AJ951">
        <v>6</v>
      </c>
      <c r="AK951">
        <v>3</v>
      </c>
      <c r="AL951" t="str" cm="1">
        <f t="array" ref="AL951">_xlfn.IFS(AK951=1,"Low",AK951=2,"Medium",AK951=3,"High",AK951=4,"Very High")</f>
        <v>High</v>
      </c>
      <c r="AM951">
        <v>8</v>
      </c>
      <c r="AN951">
        <v>7</v>
      </c>
      <c r="AO951">
        <v>1</v>
      </c>
      <c r="AP951">
        <v>7</v>
      </c>
    </row>
    <row r="952" spans="1:42">
      <c r="A952">
        <v>31</v>
      </c>
      <c r="B952" t="str" cm="1">
        <f t="array" ref="B952">_xlfn.IFS(A952&lt;=25,"18-25",A952&lt;=35,"26-35",A952&lt;=45,"36-45",A952&lt;=55,"46-55",A952&gt;55,"56+")</f>
        <v>26-35</v>
      </c>
      <c r="C952" t="s">
        <v>39</v>
      </c>
      <c r="D952" t="s">
        <v>51</v>
      </c>
      <c r="E952" s="2">
        <v>587</v>
      </c>
      <c r="F952" t="s">
        <v>34</v>
      </c>
      <c r="G952">
        <v>2</v>
      </c>
      <c r="H952" t="str">
        <f t="shared" si="14"/>
        <v>1-10 km</v>
      </c>
      <c r="I952">
        <v>4</v>
      </c>
      <c r="J952" t="str" cm="1">
        <f t="array" ref="J952">_xlfn.IFS(I952=1,"Below College",I952=2,"College",I952=3,"Bachelor",I952=4,"Master",I952=5,"Doctor")</f>
        <v>Master</v>
      </c>
      <c r="K952" t="s">
        <v>35</v>
      </c>
      <c r="L952">
        <v>1324</v>
      </c>
      <c r="M952">
        <v>4</v>
      </c>
      <c r="N952" t="str" cm="1">
        <f t="array" ref="N952">_xlfn.IFS(M952=1,"Low",M952=2,"Medium",M952=3,"High",M952=4,"Very High")</f>
        <v>Very High</v>
      </c>
      <c r="O952" t="s">
        <v>36</v>
      </c>
      <c r="P952" s="2">
        <v>57</v>
      </c>
      <c r="Q952">
        <v>3</v>
      </c>
      <c r="R952" t="str" cm="1">
        <f t="array" ref="R952">_xlfn.IFS(Q952=1,"Low",Q952=2,"Medium",Q952=3,"High",Q952=4,"Very High")</f>
        <v>High</v>
      </c>
      <c r="S952">
        <v>3</v>
      </c>
      <c r="T952" t="str" cm="1">
        <f t="array" ref="T952">_xlfn.IFS(S952=1,"Entry Level",S952=2,"Junior",S952=3,"Mid-Level",S952=4,"Senior",S952=5,"Executive")</f>
        <v>Mid-Level</v>
      </c>
      <c r="U952" t="s">
        <v>37</v>
      </c>
      <c r="V952">
        <v>3</v>
      </c>
      <c r="W952" t="str" cm="1">
        <f t="array" ref="W952">_xlfn.IFS(V952=1,"Low",V952=2,"Medium",V952=3,"High",V952=4,"Very High")</f>
        <v>High</v>
      </c>
      <c r="X952" t="s">
        <v>48</v>
      </c>
      <c r="Y952" s="2">
        <v>9852</v>
      </c>
      <c r="Z952" s="2">
        <v>8935</v>
      </c>
      <c r="AA952">
        <v>1</v>
      </c>
      <c r="AB952" t="s">
        <v>32</v>
      </c>
      <c r="AC952">
        <v>19</v>
      </c>
      <c r="AD952">
        <v>3</v>
      </c>
      <c r="AE952" t="str" cm="1">
        <f t="array" ref="AE952">_xlfn.IFS(AD952=1,"Low",AD952=2,"Good",AD952=3,"Excellent",AD952=4,"Outstanding")</f>
        <v>Excellent</v>
      </c>
      <c r="AF952">
        <v>1</v>
      </c>
      <c r="AG952" t="str" cm="1">
        <f t="array" ref="AG952">_xlfn.IFS(AF952=1,"Low",AF952=2,"Medium",AF952=3,"High",AF952=4,"Very High")</f>
        <v>Low</v>
      </c>
      <c r="AH952">
        <v>1</v>
      </c>
      <c r="AI952">
        <v>10</v>
      </c>
      <c r="AJ952">
        <v>5</v>
      </c>
      <c r="AK952">
        <v>2</v>
      </c>
      <c r="AL952" t="str" cm="1">
        <f t="array" ref="AL952">_xlfn.IFS(AK952=1,"Low",AK952=2,"Medium",AK952=3,"High",AK952=4,"Very High")</f>
        <v>Medium</v>
      </c>
      <c r="AM952">
        <v>10</v>
      </c>
      <c r="AN952">
        <v>8</v>
      </c>
      <c r="AO952">
        <v>9</v>
      </c>
      <c r="AP952">
        <v>6</v>
      </c>
    </row>
    <row r="953" spans="1:42">
      <c r="A953">
        <v>41</v>
      </c>
      <c r="B953" t="str" cm="1">
        <f t="array" ref="B953">_xlfn.IFS(A953&lt;=25,"18-25",A953&lt;=35,"26-35",A953&lt;=45,"36-45",A953&lt;=55,"46-55",A953&gt;55,"56+")</f>
        <v>36-45</v>
      </c>
      <c r="C953" t="s">
        <v>39</v>
      </c>
      <c r="D953" t="s">
        <v>51</v>
      </c>
      <c r="E953" s="2">
        <v>256</v>
      </c>
      <c r="F953" t="s">
        <v>34</v>
      </c>
      <c r="G953">
        <v>10</v>
      </c>
      <c r="H953" t="str">
        <f t="shared" si="14"/>
        <v>1-10 km</v>
      </c>
      <c r="I953">
        <v>2</v>
      </c>
      <c r="J953" t="str" cm="1">
        <f t="array" ref="J953">_xlfn.IFS(I953=1,"Below College",I953=2,"College",I953=3,"Bachelor",I953=4,"Master",I953=5,"Doctor")</f>
        <v>College</v>
      </c>
      <c r="K953" t="s">
        <v>47</v>
      </c>
      <c r="L953">
        <v>1329</v>
      </c>
      <c r="M953">
        <v>3</v>
      </c>
      <c r="N953" t="str" cm="1">
        <f t="array" ref="N953">_xlfn.IFS(M953=1,"Low",M953=2,"Medium",M953=3,"High",M953=4,"Very High")</f>
        <v>High</v>
      </c>
      <c r="O953" t="s">
        <v>42</v>
      </c>
      <c r="P953" s="2">
        <v>40</v>
      </c>
      <c r="Q953">
        <v>1</v>
      </c>
      <c r="R953" t="str" cm="1">
        <f t="array" ref="R953">_xlfn.IFS(Q953=1,"Low",Q953=2,"Medium",Q953=3,"High",Q953=4,"Very High")</f>
        <v>Low</v>
      </c>
      <c r="S953">
        <v>2</v>
      </c>
      <c r="T953" t="str" cm="1">
        <f t="array" ref="T953">_xlfn.IFS(S953=1,"Entry Level",S953=2,"Junior",S953=3,"Mid-Level",S953=4,"Senior",S953=5,"Executive")</f>
        <v>Junior</v>
      </c>
      <c r="U953" t="s">
        <v>37</v>
      </c>
      <c r="V953">
        <v>2</v>
      </c>
      <c r="W953" t="str" cm="1">
        <f t="array" ref="W953">_xlfn.IFS(V953=1,"Low",V953=2,"Medium",V953=3,"High",V953=4,"Very High")</f>
        <v>Medium</v>
      </c>
      <c r="X953" t="s">
        <v>38</v>
      </c>
      <c r="Y953" s="2">
        <v>6151</v>
      </c>
      <c r="Z953" s="2">
        <v>22074</v>
      </c>
      <c r="AA953">
        <v>1</v>
      </c>
      <c r="AB953" t="s">
        <v>39</v>
      </c>
      <c r="AC953">
        <v>13</v>
      </c>
      <c r="AD953">
        <v>3</v>
      </c>
      <c r="AE953" t="str" cm="1">
        <f t="array" ref="AE953">_xlfn.IFS(AD953=1,"Low",AD953=2,"Good",AD953=3,"Excellent",AD953=4,"Outstanding")</f>
        <v>Excellent</v>
      </c>
      <c r="AF953">
        <v>1</v>
      </c>
      <c r="AG953" t="str" cm="1">
        <f t="array" ref="AG953">_xlfn.IFS(AF953=1,"Low",AF953=2,"Medium",AF953=3,"High",AF953=4,"Very High")</f>
        <v>Low</v>
      </c>
      <c r="AH953">
        <v>0</v>
      </c>
      <c r="AI953">
        <v>19</v>
      </c>
      <c r="AJ953">
        <v>4</v>
      </c>
      <c r="AK953">
        <v>3</v>
      </c>
      <c r="AL953" t="str" cm="1">
        <f t="array" ref="AL953">_xlfn.IFS(AK953=1,"Low",AK953=2,"Medium",AK953=3,"High",AK953=4,"Very High")</f>
        <v>High</v>
      </c>
      <c r="AM953">
        <v>19</v>
      </c>
      <c r="AN953">
        <v>2</v>
      </c>
      <c r="AO953">
        <v>11</v>
      </c>
      <c r="AP953">
        <v>9</v>
      </c>
    </row>
    <row r="954" spans="1:42">
      <c r="A954">
        <v>31</v>
      </c>
      <c r="B954" t="str" cm="1">
        <f t="array" ref="B954">_xlfn.IFS(A954&lt;=25,"18-25",A954&lt;=35,"26-35",A954&lt;=45,"36-45",A954&lt;=55,"46-55",A954&gt;55,"56+")</f>
        <v>26-35</v>
      </c>
      <c r="C954" t="s">
        <v>32</v>
      </c>
      <c r="D954" t="s">
        <v>40</v>
      </c>
      <c r="E954" s="2">
        <v>1060</v>
      </c>
      <c r="F954" t="s">
        <v>34</v>
      </c>
      <c r="G954">
        <v>1</v>
      </c>
      <c r="H954" t="str">
        <f t="shared" si="14"/>
        <v>1-10 km</v>
      </c>
      <c r="I954">
        <v>3</v>
      </c>
      <c r="J954" t="str" cm="1">
        <f t="array" ref="J954">_xlfn.IFS(I954=1,"Below College",I954=2,"College",I954=3,"Bachelor",I954=4,"Master",I954=5,"Doctor")</f>
        <v>Bachelor</v>
      </c>
      <c r="K954" t="s">
        <v>35</v>
      </c>
      <c r="L954">
        <v>1331</v>
      </c>
      <c r="M954">
        <v>4</v>
      </c>
      <c r="N954" t="str" cm="1">
        <f t="array" ref="N954">_xlfn.IFS(M954=1,"Low",M954=2,"Medium",M954=3,"High",M954=4,"Very High")</f>
        <v>Very High</v>
      </c>
      <c r="O954" t="s">
        <v>36</v>
      </c>
      <c r="P954" s="2">
        <v>54</v>
      </c>
      <c r="Q954">
        <v>3</v>
      </c>
      <c r="R954" t="str" cm="1">
        <f t="array" ref="R954">_xlfn.IFS(Q954=1,"Low",Q954=2,"Medium",Q954=3,"High",Q954=4,"Very High")</f>
        <v>High</v>
      </c>
      <c r="S954">
        <v>1</v>
      </c>
      <c r="T954" t="str" cm="1">
        <f t="array" ref="T954">_xlfn.IFS(S954=1,"Entry Level",S954=2,"Junior",S954=3,"Mid-Level",S954=4,"Senior",S954=5,"Executive")</f>
        <v>Entry Level</v>
      </c>
      <c r="U954" t="s">
        <v>53</v>
      </c>
      <c r="V954">
        <v>2</v>
      </c>
      <c r="W954" t="str" cm="1">
        <f t="array" ref="W954">_xlfn.IFS(V954=1,"Low",V954=2,"Medium",V954=3,"High",V954=4,"Very High")</f>
        <v>Medium</v>
      </c>
      <c r="X954" t="s">
        <v>38</v>
      </c>
      <c r="Y954" s="2">
        <v>2302</v>
      </c>
      <c r="Z954" s="2">
        <v>8319</v>
      </c>
      <c r="AA954">
        <v>1</v>
      </c>
      <c r="AB954" t="s">
        <v>32</v>
      </c>
      <c r="AC954">
        <v>11</v>
      </c>
      <c r="AD954">
        <v>3</v>
      </c>
      <c r="AE954" t="str" cm="1">
        <f t="array" ref="AE954">_xlfn.IFS(AD954=1,"Low",AD954=2,"Good",AD954=3,"Excellent",AD954=4,"Outstanding")</f>
        <v>Excellent</v>
      </c>
      <c r="AF954">
        <v>1</v>
      </c>
      <c r="AG954" t="str" cm="1">
        <f t="array" ref="AG954">_xlfn.IFS(AF954=1,"Low",AF954=2,"Medium",AF954=3,"High",AF954=4,"Very High")</f>
        <v>Low</v>
      </c>
      <c r="AH954">
        <v>0</v>
      </c>
      <c r="AI954">
        <v>3</v>
      </c>
      <c r="AJ954">
        <v>2</v>
      </c>
      <c r="AK954">
        <v>4</v>
      </c>
      <c r="AL954" t="str" cm="1">
        <f t="array" ref="AL954">_xlfn.IFS(AK954=1,"Low",AK954=2,"Medium",AK954=3,"High",AK954=4,"Very High")</f>
        <v>Very High</v>
      </c>
      <c r="AM954">
        <v>3</v>
      </c>
      <c r="AN954">
        <v>2</v>
      </c>
      <c r="AO954">
        <v>2</v>
      </c>
      <c r="AP954">
        <v>2</v>
      </c>
    </row>
    <row r="955" spans="1:42">
      <c r="A955">
        <v>44</v>
      </c>
      <c r="B955" t="str" cm="1">
        <f t="array" ref="B955">_xlfn.IFS(A955&lt;=25,"18-25",A955&lt;=35,"26-35",A955&lt;=45,"36-45",A955&lt;=55,"46-55",A955&gt;55,"56+")</f>
        <v>36-45</v>
      </c>
      <c r="C955" t="s">
        <v>32</v>
      </c>
      <c r="D955" t="s">
        <v>33</v>
      </c>
      <c r="E955" s="2">
        <v>935</v>
      </c>
      <c r="F955" t="s">
        <v>41</v>
      </c>
      <c r="G955">
        <v>3</v>
      </c>
      <c r="H955" t="str">
        <f t="shared" si="14"/>
        <v>1-10 km</v>
      </c>
      <c r="I955">
        <v>3</v>
      </c>
      <c r="J955" t="str" cm="1">
        <f t="array" ref="J955">_xlfn.IFS(I955=1,"Below College",I955=2,"College",I955=3,"Bachelor",I955=4,"Master",I955=5,"Doctor")</f>
        <v>Bachelor</v>
      </c>
      <c r="K955" t="s">
        <v>35</v>
      </c>
      <c r="L955">
        <v>1333</v>
      </c>
      <c r="M955">
        <v>1</v>
      </c>
      <c r="N955" t="str" cm="1">
        <f t="array" ref="N955">_xlfn.IFS(M955=1,"Low",M955=2,"Medium",M955=3,"High",M955=4,"Very High")</f>
        <v>Low</v>
      </c>
      <c r="O955" t="s">
        <v>42</v>
      </c>
      <c r="P955" s="2">
        <v>89</v>
      </c>
      <c r="Q955">
        <v>3</v>
      </c>
      <c r="R955" t="str" cm="1">
        <f t="array" ref="R955">_xlfn.IFS(Q955=1,"Low",Q955=2,"Medium",Q955=3,"High",Q955=4,"Very High")</f>
        <v>High</v>
      </c>
      <c r="S955">
        <v>1</v>
      </c>
      <c r="T955" t="str" cm="1">
        <f t="array" ref="T955">_xlfn.IFS(S955=1,"Entry Level",S955=2,"Junior",S955=3,"Mid-Level",S955=4,"Senior",S955=5,"Executive")</f>
        <v>Entry Level</v>
      </c>
      <c r="U955" t="s">
        <v>46</v>
      </c>
      <c r="V955">
        <v>1</v>
      </c>
      <c r="W955" t="str" cm="1">
        <f t="array" ref="W955">_xlfn.IFS(V955=1,"Low",V955=2,"Medium",V955=3,"High",V955=4,"Very High")</f>
        <v>Low</v>
      </c>
      <c r="X955" t="s">
        <v>44</v>
      </c>
      <c r="Y955" s="2">
        <v>2362</v>
      </c>
      <c r="Z955" s="2">
        <v>14669</v>
      </c>
      <c r="AA955">
        <v>4</v>
      </c>
      <c r="AB955" t="s">
        <v>39</v>
      </c>
      <c r="AC955">
        <v>12</v>
      </c>
      <c r="AD955">
        <v>3</v>
      </c>
      <c r="AE955" t="str" cm="1">
        <f t="array" ref="AE955">_xlfn.IFS(AD955=1,"Low",AD955=2,"Good",AD955=3,"Excellent",AD955=4,"Outstanding")</f>
        <v>Excellent</v>
      </c>
      <c r="AF955">
        <v>3</v>
      </c>
      <c r="AG955" t="str" cm="1">
        <f t="array" ref="AG955">_xlfn.IFS(AF955=1,"Low",AF955=2,"Medium",AF955=3,"High",AF955=4,"Very High")</f>
        <v>High</v>
      </c>
      <c r="AH955">
        <v>0</v>
      </c>
      <c r="AI955">
        <v>10</v>
      </c>
      <c r="AJ955">
        <v>4</v>
      </c>
      <c r="AK955">
        <v>4</v>
      </c>
      <c r="AL955" t="str" cm="1">
        <f t="array" ref="AL955">_xlfn.IFS(AK955=1,"Low",AK955=2,"Medium",AK955=3,"High",AK955=4,"Very High")</f>
        <v>Very High</v>
      </c>
      <c r="AM955">
        <v>3</v>
      </c>
      <c r="AN955">
        <v>2</v>
      </c>
      <c r="AO955">
        <v>1</v>
      </c>
      <c r="AP955">
        <v>2</v>
      </c>
    </row>
    <row r="956" spans="1:42">
      <c r="A956">
        <v>42</v>
      </c>
      <c r="B956" t="str" cm="1">
        <f t="array" ref="B956">_xlfn.IFS(A956&lt;=25,"18-25",A956&lt;=35,"26-35",A956&lt;=45,"36-45",A956&lt;=55,"46-55",A956&gt;55,"56+")</f>
        <v>36-45</v>
      </c>
      <c r="C956" t="s">
        <v>39</v>
      </c>
      <c r="D956" t="s">
        <v>51</v>
      </c>
      <c r="E956" s="2">
        <v>495</v>
      </c>
      <c r="F956" t="s">
        <v>41</v>
      </c>
      <c r="G956">
        <v>2</v>
      </c>
      <c r="H956" t="str">
        <f t="shared" si="14"/>
        <v>1-10 km</v>
      </c>
      <c r="I956">
        <v>1</v>
      </c>
      <c r="J956" t="str" cm="1">
        <f t="array" ref="J956">_xlfn.IFS(I956=1,"Below College",I956=2,"College",I956=3,"Bachelor",I956=4,"Master",I956=5,"Doctor")</f>
        <v>Below College</v>
      </c>
      <c r="K956" t="s">
        <v>35</v>
      </c>
      <c r="L956">
        <v>1334</v>
      </c>
      <c r="M956">
        <v>3</v>
      </c>
      <c r="N956" t="str" cm="1">
        <f t="array" ref="N956">_xlfn.IFS(M956=1,"Low",M956=2,"Medium",M956=3,"High",M956=4,"Very High")</f>
        <v>High</v>
      </c>
      <c r="O956" t="s">
        <v>42</v>
      </c>
      <c r="P956" s="2">
        <v>37</v>
      </c>
      <c r="Q956">
        <v>3</v>
      </c>
      <c r="R956" t="str" cm="1">
        <f t="array" ref="R956">_xlfn.IFS(Q956=1,"Low",Q956=2,"Medium",Q956=3,"High",Q956=4,"Very High")</f>
        <v>High</v>
      </c>
      <c r="S956">
        <v>4</v>
      </c>
      <c r="T956" t="str" cm="1">
        <f t="array" ref="T956">_xlfn.IFS(S956=1,"Entry Level",S956=2,"Junior",S956=3,"Mid-Level",S956=4,"Senior",S956=5,"Executive")</f>
        <v>Senior</v>
      </c>
      <c r="U956" t="s">
        <v>52</v>
      </c>
      <c r="V956">
        <v>3</v>
      </c>
      <c r="W956" t="str" cm="1">
        <f t="array" ref="W956">_xlfn.IFS(V956=1,"Low",V956=2,"Medium",V956=3,"High",V956=4,"Very High")</f>
        <v>High</v>
      </c>
      <c r="X956" t="s">
        <v>44</v>
      </c>
      <c r="Y956" s="2">
        <v>17861</v>
      </c>
      <c r="Z956" s="2">
        <v>26582</v>
      </c>
      <c r="AA956">
        <v>0</v>
      </c>
      <c r="AB956" t="s">
        <v>32</v>
      </c>
      <c r="AC956">
        <v>13</v>
      </c>
      <c r="AD956">
        <v>3</v>
      </c>
      <c r="AE956" t="str" cm="1">
        <f t="array" ref="AE956">_xlfn.IFS(AD956=1,"Low",AD956=2,"Good",AD956=3,"Excellent",AD956=4,"Outstanding")</f>
        <v>Excellent</v>
      </c>
      <c r="AF956">
        <v>4</v>
      </c>
      <c r="AG956" t="str" cm="1">
        <f t="array" ref="AG956">_xlfn.IFS(AF956=1,"Low",AF956=2,"Medium",AF956=3,"High",AF956=4,"Very High")</f>
        <v>Very High</v>
      </c>
      <c r="AH956">
        <v>0</v>
      </c>
      <c r="AI956">
        <v>21</v>
      </c>
      <c r="AJ956">
        <v>3</v>
      </c>
      <c r="AK956">
        <v>2</v>
      </c>
      <c r="AL956" t="str" cm="1">
        <f t="array" ref="AL956">_xlfn.IFS(AK956=1,"Low",AK956=2,"Medium",AK956=3,"High",AK956=4,"Very High")</f>
        <v>Medium</v>
      </c>
      <c r="AM956">
        <v>20</v>
      </c>
      <c r="AN956">
        <v>8</v>
      </c>
      <c r="AO956">
        <v>2</v>
      </c>
      <c r="AP956">
        <v>10</v>
      </c>
    </row>
    <row r="957" spans="1:42">
      <c r="A957">
        <v>55</v>
      </c>
      <c r="B957" t="str" cm="1">
        <f t="array" ref="B957">_xlfn.IFS(A957&lt;=25,"18-25",A957&lt;=35,"26-35",A957&lt;=45,"36-45",A957&lt;=55,"46-55",A957&gt;55,"56+")</f>
        <v>46-55</v>
      </c>
      <c r="C957" t="s">
        <v>39</v>
      </c>
      <c r="D957" t="s">
        <v>33</v>
      </c>
      <c r="E957" s="2">
        <v>282</v>
      </c>
      <c r="F957" t="s">
        <v>41</v>
      </c>
      <c r="G957">
        <v>2</v>
      </c>
      <c r="H957" t="str">
        <f t="shared" si="14"/>
        <v>1-10 km</v>
      </c>
      <c r="I957">
        <v>2</v>
      </c>
      <c r="J957" t="str" cm="1">
        <f t="array" ref="J957">_xlfn.IFS(I957=1,"Below College",I957=2,"College",I957=3,"Bachelor",I957=4,"Master",I957=5,"Doctor")</f>
        <v>College</v>
      </c>
      <c r="K957" t="s">
        <v>47</v>
      </c>
      <c r="L957">
        <v>1336</v>
      </c>
      <c r="M957">
        <v>4</v>
      </c>
      <c r="N957" t="str" cm="1">
        <f t="array" ref="N957">_xlfn.IFS(M957=1,"Low",M957=2,"Medium",M957=3,"High",M957=4,"Very High")</f>
        <v>Very High</v>
      </c>
      <c r="O957" t="s">
        <v>36</v>
      </c>
      <c r="P957" s="2">
        <v>58</v>
      </c>
      <c r="Q957">
        <v>1</v>
      </c>
      <c r="R957" t="str" cm="1">
        <f t="array" ref="R957">_xlfn.IFS(Q957=1,"Low",Q957=2,"Medium",Q957=3,"High",Q957=4,"Very High")</f>
        <v>Low</v>
      </c>
      <c r="S957">
        <v>5</v>
      </c>
      <c r="T957" t="str" cm="1">
        <f t="array" ref="T957">_xlfn.IFS(S957=1,"Entry Level",S957=2,"Junior",S957=3,"Mid-Level",S957=4,"Senior",S957=5,"Executive")</f>
        <v>Executive</v>
      </c>
      <c r="U957" t="s">
        <v>52</v>
      </c>
      <c r="V957">
        <v>3</v>
      </c>
      <c r="W957" t="str" cm="1">
        <f t="array" ref="W957">_xlfn.IFS(V957=1,"Low",V957=2,"Medium",V957=3,"High",V957=4,"Very High")</f>
        <v>High</v>
      </c>
      <c r="X957" t="s">
        <v>44</v>
      </c>
      <c r="Y957" s="2">
        <v>19187</v>
      </c>
      <c r="Z957" s="2">
        <v>6992</v>
      </c>
      <c r="AA957">
        <v>4</v>
      </c>
      <c r="AB957" t="s">
        <v>39</v>
      </c>
      <c r="AC957">
        <v>14</v>
      </c>
      <c r="AD957">
        <v>3</v>
      </c>
      <c r="AE957" t="str" cm="1">
        <f t="array" ref="AE957">_xlfn.IFS(AD957=1,"Low",AD957=2,"Good",AD957=3,"Excellent",AD957=4,"Outstanding")</f>
        <v>Excellent</v>
      </c>
      <c r="AF957">
        <v>4</v>
      </c>
      <c r="AG957" t="str" cm="1">
        <f t="array" ref="AG957">_xlfn.IFS(AF957=1,"Low",AF957=2,"Medium",AF957=3,"High",AF957=4,"Very High")</f>
        <v>Very High</v>
      </c>
      <c r="AH957">
        <v>1</v>
      </c>
      <c r="AI957">
        <v>23</v>
      </c>
      <c r="AJ957">
        <v>5</v>
      </c>
      <c r="AK957">
        <v>3</v>
      </c>
      <c r="AL957" t="str" cm="1">
        <f t="array" ref="AL957">_xlfn.IFS(AK957=1,"Low",AK957=2,"Medium",AK957=3,"High",AK957=4,"Very High")</f>
        <v>High</v>
      </c>
      <c r="AM957">
        <v>19</v>
      </c>
      <c r="AN957">
        <v>9</v>
      </c>
      <c r="AO957">
        <v>9</v>
      </c>
      <c r="AP957">
        <v>11</v>
      </c>
    </row>
    <row r="958" spans="1:42">
      <c r="A958">
        <v>56</v>
      </c>
      <c r="B958" t="str" cm="1">
        <f t="array" ref="B958">_xlfn.IFS(A958&lt;=25,"18-25",A958&lt;=35,"26-35",A958&lt;=45,"36-45",A958&lt;=55,"46-55",A958&gt;55,"56+")</f>
        <v>56+</v>
      </c>
      <c r="C958" t="s">
        <v>39</v>
      </c>
      <c r="D958" t="s">
        <v>33</v>
      </c>
      <c r="E958" s="2">
        <v>206</v>
      </c>
      <c r="F958" t="s">
        <v>57</v>
      </c>
      <c r="G958">
        <v>8</v>
      </c>
      <c r="H958" t="str">
        <f t="shared" si="14"/>
        <v>1-10 km</v>
      </c>
      <c r="I958">
        <v>4</v>
      </c>
      <c r="J958" t="str" cm="1">
        <f t="array" ref="J958">_xlfn.IFS(I958=1,"Below College",I958=2,"College",I958=3,"Bachelor",I958=4,"Master",I958=5,"Doctor")</f>
        <v>Master</v>
      </c>
      <c r="K958" t="s">
        <v>35</v>
      </c>
      <c r="L958">
        <v>1338</v>
      </c>
      <c r="M958">
        <v>4</v>
      </c>
      <c r="N958" t="str" cm="1">
        <f t="array" ref="N958">_xlfn.IFS(M958=1,"Low",M958=2,"Medium",M958=3,"High",M958=4,"Very High")</f>
        <v>Very High</v>
      </c>
      <c r="O958" t="s">
        <v>42</v>
      </c>
      <c r="P958" s="2">
        <v>99</v>
      </c>
      <c r="Q958">
        <v>3</v>
      </c>
      <c r="R958" t="str" cm="1">
        <f t="array" ref="R958">_xlfn.IFS(Q958=1,"Low",Q958=2,"Medium",Q958=3,"High",Q958=4,"Very High")</f>
        <v>High</v>
      </c>
      <c r="S958">
        <v>5</v>
      </c>
      <c r="T958" t="str" cm="1">
        <f t="array" ref="T958">_xlfn.IFS(S958=1,"Entry Level",S958=2,"Junior",S958=3,"Mid-Level",S958=4,"Senior",S958=5,"Executive")</f>
        <v>Executive</v>
      </c>
      <c r="U958" t="s">
        <v>52</v>
      </c>
      <c r="V958">
        <v>2</v>
      </c>
      <c r="W958" t="str" cm="1">
        <f t="array" ref="W958">_xlfn.IFS(V958=1,"Low",V958=2,"Medium",V958=3,"High",V958=4,"Very High")</f>
        <v>Medium</v>
      </c>
      <c r="X958" t="s">
        <v>38</v>
      </c>
      <c r="Y958" s="2">
        <v>19717</v>
      </c>
      <c r="Z958" s="2">
        <v>4022</v>
      </c>
      <c r="AA958">
        <v>6</v>
      </c>
      <c r="AB958" t="s">
        <v>39</v>
      </c>
      <c r="AC958">
        <v>14</v>
      </c>
      <c r="AD958">
        <v>3</v>
      </c>
      <c r="AE958" t="str" cm="1">
        <f t="array" ref="AE958">_xlfn.IFS(AD958=1,"Low",AD958=2,"Good",AD958=3,"Excellent",AD958=4,"Outstanding")</f>
        <v>Excellent</v>
      </c>
      <c r="AF958">
        <v>1</v>
      </c>
      <c r="AG958" t="str" cm="1">
        <f t="array" ref="AG958">_xlfn.IFS(AF958=1,"Low",AF958=2,"Medium",AF958=3,"High",AF958=4,"Very High")</f>
        <v>Low</v>
      </c>
      <c r="AH958">
        <v>0</v>
      </c>
      <c r="AI958">
        <v>36</v>
      </c>
      <c r="AJ958">
        <v>4</v>
      </c>
      <c r="AK958">
        <v>3</v>
      </c>
      <c r="AL958" t="str" cm="1">
        <f t="array" ref="AL958">_xlfn.IFS(AK958=1,"Low",AK958=2,"Medium",AK958=3,"High",AK958=4,"Very High")</f>
        <v>High</v>
      </c>
      <c r="AM958">
        <v>7</v>
      </c>
      <c r="AN958">
        <v>3</v>
      </c>
      <c r="AO958">
        <v>7</v>
      </c>
      <c r="AP958">
        <v>7</v>
      </c>
    </row>
    <row r="959" spans="1:42">
      <c r="A959">
        <v>40</v>
      </c>
      <c r="B959" t="str" cm="1">
        <f t="array" ref="B959">_xlfn.IFS(A959&lt;=25,"18-25",A959&lt;=35,"26-35",A959&lt;=45,"36-45",A959&lt;=55,"46-55",A959&gt;55,"56+")</f>
        <v>36-45</v>
      </c>
      <c r="C959" t="s">
        <v>39</v>
      </c>
      <c r="D959" t="s">
        <v>51</v>
      </c>
      <c r="E959" s="2">
        <v>458</v>
      </c>
      <c r="F959" t="s">
        <v>41</v>
      </c>
      <c r="G959">
        <v>16</v>
      </c>
      <c r="H959" t="str">
        <f t="shared" si="14"/>
        <v>11-20 km</v>
      </c>
      <c r="I959">
        <v>2</v>
      </c>
      <c r="J959" t="str" cm="1">
        <f t="array" ref="J959">_xlfn.IFS(I959=1,"Below College",I959=2,"College",I959=3,"Bachelor",I959=4,"Master",I959=5,"Doctor")</f>
        <v>College</v>
      </c>
      <c r="K959" t="s">
        <v>35</v>
      </c>
      <c r="L959">
        <v>1340</v>
      </c>
      <c r="M959">
        <v>3</v>
      </c>
      <c r="N959" t="str" cm="1">
        <f t="array" ref="N959">_xlfn.IFS(M959=1,"Low",M959=2,"Medium",M959=3,"High",M959=4,"Very High")</f>
        <v>High</v>
      </c>
      <c r="O959" t="s">
        <v>42</v>
      </c>
      <c r="P959" s="2">
        <v>74</v>
      </c>
      <c r="Q959">
        <v>3</v>
      </c>
      <c r="R959" t="str" cm="1">
        <f t="array" ref="R959">_xlfn.IFS(Q959=1,"Low",Q959=2,"Medium",Q959=3,"High",Q959=4,"Very High")</f>
        <v>High</v>
      </c>
      <c r="S959">
        <v>1</v>
      </c>
      <c r="T959" t="str" cm="1">
        <f t="array" ref="T959">_xlfn.IFS(S959=1,"Entry Level",S959=2,"Junior",S959=3,"Mid-Level",S959=4,"Senior",S959=5,"Executive")</f>
        <v>Entry Level</v>
      </c>
      <c r="U959" t="s">
        <v>43</v>
      </c>
      <c r="V959">
        <v>3</v>
      </c>
      <c r="W959" t="str" cm="1">
        <f t="array" ref="W959">_xlfn.IFS(V959=1,"Low",V959=2,"Medium",V959=3,"High",V959=4,"Very High")</f>
        <v>High</v>
      </c>
      <c r="X959" t="s">
        <v>48</v>
      </c>
      <c r="Y959" s="2">
        <v>3544</v>
      </c>
      <c r="Z959" s="2">
        <v>8532</v>
      </c>
      <c r="AA959">
        <v>9</v>
      </c>
      <c r="AB959" t="s">
        <v>39</v>
      </c>
      <c r="AC959">
        <v>16</v>
      </c>
      <c r="AD959">
        <v>3</v>
      </c>
      <c r="AE959" t="str" cm="1">
        <f t="array" ref="AE959">_xlfn.IFS(AD959=1,"Low",AD959=2,"Good",AD959=3,"Excellent",AD959=4,"Outstanding")</f>
        <v>Excellent</v>
      </c>
      <c r="AF959">
        <v>2</v>
      </c>
      <c r="AG959" t="str" cm="1">
        <f t="array" ref="AG959">_xlfn.IFS(AF959=1,"Low",AF959=2,"Medium",AF959=3,"High",AF959=4,"Very High")</f>
        <v>Medium</v>
      </c>
      <c r="AH959">
        <v>1</v>
      </c>
      <c r="AI959">
        <v>6</v>
      </c>
      <c r="AJ959">
        <v>0</v>
      </c>
      <c r="AK959">
        <v>3</v>
      </c>
      <c r="AL959" t="str" cm="1">
        <f t="array" ref="AL959">_xlfn.IFS(AK959=1,"Low",AK959=2,"Medium",AK959=3,"High",AK959=4,"Very High")</f>
        <v>High</v>
      </c>
      <c r="AM959">
        <v>4</v>
      </c>
      <c r="AN959">
        <v>2</v>
      </c>
      <c r="AO959">
        <v>0</v>
      </c>
      <c r="AP959">
        <v>0</v>
      </c>
    </row>
    <row r="960" spans="1:42">
      <c r="A960">
        <v>34</v>
      </c>
      <c r="B960" t="str" cm="1">
        <f t="array" ref="B960">_xlfn.IFS(A960&lt;=25,"18-25",A960&lt;=35,"26-35",A960&lt;=45,"36-45",A960&lt;=55,"46-55",A960&gt;55,"56+")</f>
        <v>26-35</v>
      </c>
      <c r="C960" t="s">
        <v>39</v>
      </c>
      <c r="D960" t="s">
        <v>33</v>
      </c>
      <c r="E960" s="2">
        <v>943</v>
      </c>
      <c r="F960" t="s">
        <v>41</v>
      </c>
      <c r="G960">
        <v>9</v>
      </c>
      <c r="H960" t="str">
        <f t="shared" si="14"/>
        <v>1-10 km</v>
      </c>
      <c r="I960">
        <v>3</v>
      </c>
      <c r="J960" t="str" cm="1">
        <f t="array" ref="J960">_xlfn.IFS(I960=1,"Below College",I960=2,"College",I960=3,"Bachelor",I960=4,"Master",I960=5,"Doctor")</f>
        <v>Bachelor</v>
      </c>
      <c r="K960" t="s">
        <v>35</v>
      </c>
      <c r="L960">
        <v>1344</v>
      </c>
      <c r="M960">
        <v>4</v>
      </c>
      <c r="N960" t="str" cm="1">
        <f t="array" ref="N960">_xlfn.IFS(M960=1,"Low",M960=2,"Medium",M960=3,"High",M960=4,"Very High")</f>
        <v>Very High</v>
      </c>
      <c r="O960" t="s">
        <v>42</v>
      </c>
      <c r="P960" s="2">
        <v>86</v>
      </c>
      <c r="Q960">
        <v>3</v>
      </c>
      <c r="R960" t="str" cm="1">
        <f t="array" ref="R960">_xlfn.IFS(Q960=1,"Low",Q960=2,"Medium",Q960=3,"High",Q960=4,"Very High")</f>
        <v>High</v>
      </c>
      <c r="S960">
        <v>3</v>
      </c>
      <c r="T960" t="str" cm="1">
        <f t="array" ref="T960">_xlfn.IFS(S960=1,"Entry Level",S960=2,"Junior",S960=3,"Mid-Level",S960=4,"Senior",S960=5,"Executive")</f>
        <v>Mid-Level</v>
      </c>
      <c r="U960" t="s">
        <v>50</v>
      </c>
      <c r="V960">
        <v>4</v>
      </c>
      <c r="W960" t="str" cm="1">
        <f t="array" ref="W960">_xlfn.IFS(V960=1,"Low",V960=2,"Medium",V960=3,"High",V960=4,"Very High")</f>
        <v>Very High</v>
      </c>
      <c r="X960" t="s">
        <v>48</v>
      </c>
      <c r="Y960" s="2">
        <v>8500</v>
      </c>
      <c r="Z960" s="2">
        <v>5494</v>
      </c>
      <c r="AA960">
        <v>0</v>
      </c>
      <c r="AB960" t="s">
        <v>39</v>
      </c>
      <c r="AC960">
        <v>11</v>
      </c>
      <c r="AD960">
        <v>3</v>
      </c>
      <c r="AE960" t="str" cm="1">
        <f t="array" ref="AE960">_xlfn.IFS(AD960=1,"Low",AD960=2,"Good",AD960=3,"Excellent",AD960=4,"Outstanding")</f>
        <v>Excellent</v>
      </c>
      <c r="AF960">
        <v>4</v>
      </c>
      <c r="AG960" t="str" cm="1">
        <f t="array" ref="AG960">_xlfn.IFS(AF960=1,"Low",AF960=2,"Medium",AF960=3,"High",AF960=4,"Very High")</f>
        <v>Very High</v>
      </c>
      <c r="AH960">
        <v>1</v>
      </c>
      <c r="AI960">
        <v>10</v>
      </c>
      <c r="AJ960">
        <v>0</v>
      </c>
      <c r="AK960">
        <v>2</v>
      </c>
      <c r="AL960" t="str" cm="1">
        <f t="array" ref="AL960">_xlfn.IFS(AK960=1,"Low",AK960=2,"Medium",AK960=3,"High",AK960=4,"Very High")</f>
        <v>Medium</v>
      </c>
      <c r="AM960">
        <v>9</v>
      </c>
      <c r="AN960">
        <v>7</v>
      </c>
      <c r="AO960">
        <v>1</v>
      </c>
      <c r="AP960">
        <v>6</v>
      </c>
    </row>
    <row r="961" spans="1:42">
      <c r="A961">
        <v>40</v>
      </c>
      <c r="B961" t="str" cm="1">
        <f t="array" ref="B961">_xlfn.IFS(A961&lt;=25,"18-25",A961&lt;=35,"26-35",A961&lt;=45,"36-45",A961&lt;=55,"46-55",A961&gt;55,"56+")</f>
        <v>36-45</v>
      </c>
      <c r="C961" t="s">
        <v>39</v>
      </c>
      <c r="D961" t="s">
        <v>33</v>
      </c>
      <c r="E961" s="2">
        <v>523</v>
      </c>
      <c r="F961" t="s">
        <v>41</v>
      </c>
      <c r="G961">
        <v>2</v>
      </c>
      <c r="H961" t="str">
        <f t="shared" si="14"/>
        <v>1-10 km</v>
      </c>
      <c r="I961">
        <v>3</v>
      </c>
      <c r="J961" t="str" cm="1">
        <f t="array" ref="J961">_xlfn.IFS(I961=1,"Below College",I961=2,"College",I961=3,"Bachelor",I961=4,"Master",I961=5,"Doctor")</f>
        <v>Bachelor</v>
      </c>
      <c r="K961" t="s">
        <v>35</v>
      </c>
      <c r="L961">
        <v>1346</v>
      </c>
      <c r="M961">
        <v>3</v>
      </c>
      <c r="N961" t="str" cm="1">
        <f t="array" ref="N961">_xlfn.IFS(M961=1,"Low",M961=2,"Medium",M961=3,"High",M961=4,"Very High")</f>
        <v>High</v>
      </c>
      <c r="O961" t="s">
        <v>42</v>
      </c>
      <c r="P961" s="2">
        <v>98</v>
      </c>
      <c r="Q961">
        <v>3</v>
      </c>
      <c r="R961" t="str" cm="1">
        <f t="array" ref="R961">_xlfn.IFS(Q961=1,"Low",Q961=2,"Medium",Q961=3,"High",Q961=4,"Very High")</f>
        <v>High</v>
      </c>
      <c r="S961">
        <v>2</v>
      </c>
      <c r="T961" t="str" cm="1">
        <f t="array" ref="T961">_xlfn.IFS(S961=1,"Entry Level",S961=2,"Junior",S961=3,"Mid-Level",S961=4,"Senior",S961=5,"Executive")</f>
        <v>Junior</v>
      </c>
      <c r="U961" t="s">
        <v>43</v>
      </c>
      <c r="V961">
        <v>4</v>
      </c>
      <c r="W961" t="str" cm="1">
        <f t="array" ref="W961">_xlfn.IFS(V961=1,"Low",V961=2,"Medium",V961=3,"High",V961=4,"Very High")</f>
        <v>Very High</v>
      </c>
      <c r="X961" t="s">
        <v>38</v>
      </c>
      <c r="Y961" s="2">
        <v>4661</v>
      </c>
      <c r="Z961" s="2">
        <v>22455</v>
      </c>
      <c r="AA961">
        <v>1</v>
      </c>
      <c r="AB961" t="s">
        <v>39</v>
      </c>
      <c r="AC961">
        <v>13</v>
      </c>
      <c r="AD961">
        <v>3</v>
      </c>
      <c r="AE961" t="str" cm="1">
        <f t="array" ref="AE961">_xlfn.IFS(AD961=1,"Low",AD961=2,"Good",AD961=3,"Excellent",AD961=4,"Outstanding")</f>
        <v>Excellent</v>
      </c>
      <c r="AF961">
        <v>3</v>
      </c>
      <c r="AG961" t="str" cm="1">
        <f t="array" ref="AG961">_xlfn.IFS(AF961=1,"Low",AF961=2,"Medium",AF961=3,"High",AF961=4,"Very High")</f>
        <v>High</v>
      </c>
      <c r="AH961">
        <v>0</v>
      </c>
      <c r="AI961">
        <v>9</v>
      </c>
      <c r="AJ961">
        <v>4</v>
      </c>
      <c r="AK961">
        <v>3</v>
      </c>
      <c r="AL961" t="str" cm="1">
        <f t="array" ref="AL961">_xlfn.IFS(AK961=1,"Low",AK961=2,"Medium",AK961=3,"High",AK961=4,"Very High")</f>
        <v>High</v>
      </c>
      <c r="AM961">
        <v>9</v>
      </c>
      <c r="AN961">
        <v>8</v>
      </c>
      <c r="AO961">
        <v>8</v>
      </c>
      <c r="AP961">
        <v>8</v>
      </c>
    </row>
    <row r="962" spans="1:42">
      <c r="A962">
        <v>41</v>
      </c>
      <c r="B962" t="str" cm="1">
        <f t="array" ref="B962">_xlfn.IFS(A962&lt;=25,"18-25",A962&lt;=35,"26-35",A962&lt;=45,"36-45",A962&lt;=55,"46-55",A962&gt;55,"56+")</f>
        <v>36-45</v>
      </c>
      <c r="C962" t="s">
        <v>39</v>
      </c>
      <c r="D962" t="s">
        <v>40</v>
      </c>
      <c r="E962" s="2">
        <v>1018</v>
      </c>
      <c r="F962" t="s">
        <v>34</v>
      </c>
      <c r="G962">
        <v>1</v>
      </c>
      <c r="H962" t="str">
        <f t="shared" si="14"/>
        <v>1-10 km</v>
      </c>
      <c r="I962">
        <v>3</v>
      </c>
      <c r="J962" t="str" cm="1">
        <f t="array" ref="J962">_xlfn.IFS(I962=1,"Below College",I962=2,"College",I962=3,"Bachelor",I962=4,"Master",I962=5,"Doctor")</f>
        <v>Bachelor</v>
      </c>
      <c r="K962" t="s">
        <v>55</v>
      </c>
      <c r="L962">
        <v>1349</v>
      </c>
      <c r="M962">
        <v>3</v>
      </c>
      <c r="N962" t="str" cm="1">
        <f t="array" ref="N962">_xlfn.IFS(M962=1,"Low",M962=2,"Medium",M962=3,"High",M962=4,"Very High")</f>
        <v>High</v>
      </c>
      <c r="O962" t="s">
        <v>36</v>
      </c>
      <c r="P962" s="2">
        <v>66</v>
      </c>
      <c r="Q962">
        <v>3</v>
      </c>
      <c r="R962" t="str" cm="1">
        <f t="array" ref="R962">_xlfn.IFS(Q962=1,"Low",Q962=2,"Medium",Q962=3,"High",Q962=4,"Very High")</f>
        <v>High</v>
      </c>
      <c r="S962">
        <v>2</v>
      </c>
      <c r="T962" t="str" cm="1">
        <f t="array" ref="T962">_xlfn.IFS(S962=1,"Entry Level",S962=2,"Junior",S962=3,"Mid-Level",S962=4,"Senior",S962=5,"Executive")</f>
        <v>Junior</v>
      </c>
      <c r="U962" t="s">
        <v>37</v>
      </c>
      <c r="V962">
        <v>1</v>
      </c>
      <c r="W962" t="str" cm="1">
        <f t="array" ref="W962">_xlfn.IFS(V962=1,"Low",V962=2,"Medium",V962=3,"High",V962=4,"Very High")</f>
        <v>Low</v>
      </c>
      <c r="X962" t="s">
        <v>48</v>
      </c>
      <c r="Y962" s="2">
        <v>4103</v>
      </c>
      <c r="Z962" s="2">
        <v>4297</v>
      </c>
      <c r="AA962">
        <v>0</v>
      </c>
      <c r="AB962" t="s">
        <v>39</v>
      </c>
      <c r="AC962">
        <v>17</v>
      </c>
      <c r="AD962">
        <v>3</v>
      </c>
      <c r="AE962" t="str" cm="1">
        <f t="array" ref="AE962">_xlfn.IFS(AD962=1,"Low",AD962=2,"Good",AD962=3,"Excellent",AD962=4,"Outstanding")</f>
        <v>Excellent</v>
      </c>
      <c r="AF962">
        <v>4</v>
      </c>
      <c r="AG962" t="str" cm="1">
        <f t="array" ref="AG962">_xlfn.IFS(AF962=1,"Low",AF962=2,"Medium",AF962=3,"High",AF962=4,"Very High")</f>
        <v>Very High</v>
      </c>
      <c r="AH962">
        <v>1</v>
      </c>
      <c r="AI962">
        <v>10</v>
      </c>
      <c r="AJ962">
        <v>2</v>
      </c>
      <c r="AK962">
        <v>3</v>
      </c>
      <c r="AL962" t="str" cm="1">
        <f t="array" ref="AL962">_xlfn.IFS(AK962=1,"Low",AK962=2,"Medium",AK962=3,"High",AK962=4,"Very High")</f>
        <v>High</v>
      </c>
      <c r="AM962">
        <v>9</v>
      </c>
      <c r="AN962">
        <v>3</v>
      </c>
      <c r="AO962">
        <v>1</v>
      </c>
      <c r="AP962">
        <v>7</v>
      </c>
    </row>
    <row r="963" spans="1:42">
      <c r="A963">
        <v>35</v>
      </c>
      <c r="B963" t="str" cm="1">
        <f t="array" ref="B963">_xlfn.IFS(A963&lt;=25,"18-25",A963&lt;=35,"26-35",A963&lt;=45,"36-45",A963&lt;=55,"46-55",A963&gt;55,"56+")</f>
        <v>26-35</v>
      </c>
      <c r="C963" t="s">
        <v>39</v>
      </c>
      <c r="D963" t="s">
        <v>40</v>
      </c>
      <c r="E963" s="2">
        <v>482</v>
      </c>
      <c r="F963" t="s">
        <v>41</v>
      </c>
      <c r="G963">
        <v>4</v>
      </c>
      <c r="H963" t="str">
        <f t="shared" ref="H963:H1026" si="15">IF(G963&lt;=10,"1-10 km",IF(G963&lt;=20,"11-20 km",IF(G963&lt;=30,"21-30 km","31+ km")))</f>
        <v>1-10 km</v>
      </c>
      <c r="I963">
        <v>4</v>
      </c>
      <c r="J963" t="str" cm="1">
        <f t="array" ref="J963">_xlfn.IFS(I963=1,"Below College",I963=2,"College",I963=3,"Bachelor",I963=4,"Master",I963=5,"Doctor")</f>
        <v>Master</v>
      </c>
      <c r="K963" t="s">
        <v>35</v>
      </c>
      <c r="L963">
        <v>1350</v>
      </c>
      <c r="M963">
        <v>3</v>
      </c>
      <c r="N963" t="str" cm="1">
        <f t="array" ref="N963">_xlfn.IFS(M963=1,"Low",M963=2,"Medium",M963=3,"High",M963=4,"Very High")</f>
        <v>High</v>
      </c>
      <c r="O963" t="s">
        <v>42</v>
      </c>
      <c r="P963" s="2">
        <v>87</v>
      </c>
      <c r="Q963">
        <v>3</v>
      </c>
      <c r="R963" t="str" cm="1">
        <f t="array" ref="R963">_xlfn.IFS(Q963=1,"Low",Q963=2,"Medium",Q963=3,"High",Q963=4,"Very High")</f>
        <v>High</v>
      </c>
      <c r="S963">
        <v>2</v>
      </c>
      <c r="T963" t="str" cm="1">
        <f t="array" ref="T963">_xlfn.IFS(S963=1,"Entry Level",S963=2,"Junior",S963=3,"Mid-Level",S963=4,"Senior",S963=5,"Executive")</f>
        <v>Junior</v>
      </c>
      <c r="U963" t="s">
        <v>43</v>
      </c>
      <c r="V963">
        <v>3</v>
      </c>
      <c r="W963" t="str" cm="1">
        <f t="array" ref="W963">_xlfn.IFS(V963=1,"Low",V963=2,"Medium",V963=3,"High",V963=4,"Very High")</f>
        <v>High</v>
      </c>
      <c r="X963" t="s">
        <v>38</v>
      </c>
      <c r="Y963" s="2">
        <v>4249</v>
      </c>
      <c r="Z963" s="2">
        <v>2690</v>
      </c>
      <c r="AA963">
        <v>1</v>
      </c>
      <c r="AB963" t="s">
        <v>32</v>
      </c>
      <c r="AC963">
        <v>11</v>
      </c>
      <c r="AD963">
        <v>3</v>
      </c>
      <c r="AE963" t="str" cm="1">
        <f t="array" ref="AE963">_xlfn.IFS(AD963=1,"Low",AD963=2,"Good",AD963=3,"Excellent",AD963=4,"Outstanding")</f>
        <v>Excellent</v>
      </c>
      <c r="AF963">
        <v>2</v>
      </c>
      <c r="AG963" t="str" cm="1">
        <f t="array" ref="AG963">_xlfn.IFS(AF963=1,"Low",AF963=2,"Medium",AF963=3,"High",AF963=4,"Very High")</f>
        <v>Medium</v>
      </c>
      <c r="AH963">
        <v>0</v>
      </c>
      <c r="AI963">
        <v>9</v>
      </c>
      <c r="AJ963">
        <v>3</v>
      </c>
      <c r="AK963">
        <v>3</v>
      </c>
      <c r="AL963" t="str" cm="1">
        <f t="array" ref="AL963">_xlfn.IFS(AK963=1,"Low",AK963=2,"Medium",AK963=3,"High",AK963=4,"Very High")</f>
        <v>High</v>
      </c>
      <c r="AM963">
        <v>9</v>
      </c>
      <c r="AN963">
        <v>6</v>
      </c>
      <c r="AO963">
        <v>1</v>
      </c>
      <c r="AP963">
        <v>1</v>
      </c>
    </row>
    <row r="964" spans="1:42">
      <c r="A964">
        <v>51</v>
      </c>
      <c r="B964" t="str" cm="1">
        <f t="array" ref="B964">_xlfn.IFS(A964&lt;=25,"18-25",A964&lt;=35,"26-35",A964&lt;=45,"36-45",A964&lt;=55,"46-55",A964&gt;55,"56+")</f>
        <v>46-55</v>
      </c>
      <c r="C964" t="s">
        <v>39</v>
      </c>
      <c r="D964" t="s">
        <v>33</v>
      </c>
      <c r="E964" s="2">
        <v>770</v>
      </c>
      <c r="F964" t="s">
        <v>57</v>
      </c>
      <c r="G964">
        <v>5</v>
      </c>
      <c r="H964" t="str">
        <f t="shared" si="15"/>
        <v>1-10 km</v>
      </c>
      <c r="I964">
        <v>3</v>
      </c>
      <c r="J964" t="str" cm="1">
        <f t="array" ref="J964">_xlfn.IFS(I964=1,"Below College",I964=2,"College",I964=3,"Bachelor",I964=4,"Master",I964=5,"Doctor")</f>
        <v>Bachelor</v>
      </c>
      <c r="K964" t="s">
        <v>35</v>
      </c>
      <c r="L964">
        <v>1352</v>
      </c>
      <c r="M964">
        <v>3</v>
      </c>
      <c r="N964" t="str" cm="1">
        <f t="array" ref="N964">_xlfn.IFS(M964=1,"Low",M964=2,"Medium",M964=3,"High",M964=4,"Very High")</f>
        <v>High</v>
      </c>
      <c r="O964" t="s">
        <v>42</v>
      </c>
      <c r="P964" s="2">
        <v>84</v>
      </c>
      <c r="Q964">
        <v>3</v>
      </c>
      <c r="R964" t="str" cm="1">
        <f t="array" ref="R964">_xlfn.IFS(Q964=1,"Low",Q964=2,"Medium",Q964=3,"High",Q964=4,"Very High")</f>
        <v>High</v>
      </c>
      <c r="S964">
        <v>4</v>
      </c>
      <c r="T964" t="str" cm="1">
        <f t="array" ref="T964">_xlfn.IFS(S964=1,"Entry Level",S964=2,"Junior",S964=3,"Mid-Level",S964=4,"Senior",S964=5,"Executive")</f>
        <v>Senior</v>
      </c>
      <c r="U964" t="s">
        <v>52</v>
      </c>
      <c r="V964">
        <v>2</v>
      </c>
      <c r="W964" t="str" cm="1">
        <f t="array" ref="W964">_xlfn.IFS(V964=1,"Low",V964=2,"Medium",V964=3,"High",V964=4,"Very High")</f>
        <v>Medium</v>
      </c>
      <c r="X964" t="s">
        <v>48</v>
      </c>
      <c r="Y964" s="2">
        <v>14026</v>
      </c>
      <c r="Z964" s="2">
        <v>17588</v>
      </c>
      <c r="AA964">
        <v>1</v>
      </c>
      <c r="AB964" t="s">
        <v>32</v>
      </c>
      <c r="AC964">
        <v>11</v>
      </c>
      <c r="AD964">
        <v>3</v>
      </c>
      <c r="AE964" t="str" cm="1">
        <f t="array" ref="AE964">_xlfn.IFS(AD964=1,"Low",AD964=2,"Good",AD964=3,"Excellent",AD964=4,"Outstanding")</f>
        <v>Excellent</v>
      </c>
      <c r="AF964">
        <v>2</v>
      </c>
      <c r="AG964" t="str" cm="1">
        <f t="array" ref="AG964">_xlfn.IFS(AF964=1,"Low",AF964=2,"Medium",AF964=3,"High",AF964=4,"Very High")</f>
        <v>Medium</v>
      </c>
      <c r="AH964">
        <v>1</v>
      </c>
      <c r="AI964">
        <v>33</v>
      </c>
      <c r="AJ964">
        <v>2</v>
      </c>
      <c r="AK964">
        <v>3</v>
      </c>
      <c r="AL964" t="str" cm="1">
        <f t="array" ref="AL964">_xlfn.IFS(AK964=1,"Low",AK964=2,"Medium",AK964=3,"High",AK964=4,"Very High")</f>
        <v>High</v>
      </c>
      <c r="AM964">
        <v>33</v>
      </c>
      <c r="AN964">
        <v>9</v>
      </c>
      <c r="AO964">
        <v>0</v>
      </c>
      <c r="AP964">
        <v>10</v>
      </c>
    </row>
    <row r="965" spans="1:42">
      <c r="A965">
        <v>38</v>
      </c>
      <c r="B965" t="str" cm="1">
        <f t="array" ref="B965">_xlfn.IFS(A965&lt;=25,"18-25",A965&lt;=35,"26-35",A965&lt;=45,"36-45",A965&lt;=55,"46-55",A965&gt;55,"56+")</f>
        <v>36-45</v>
      </c>
      <c r="C965" t="s">
        <v>39</v>
      </c>
      <c r="D965" t="s">
        <v>33</v>
      </c>
      <c r="E965" s="2">
        <v>1009</v>
      </c>
      <c r="F965" t="s">
        <v>34</v>
      </c>
      <c r="G965">
        <v>2</v>
      </c>
      <c r="H965" t="str">
        <f t="shared" si="15"/>
        <v>1-10 km</v>
      </c>
      <c r="I965">
        <v>2</v>
      </c>
      <c r="J965" t="str" cm="1">
        <f t="array" ref="J965">_xlfn.IFS(I965=1,"Below College",I965=2,"College",I965=3,"Bachelor",I965=4,"Master",I965=5,"Doctor")</f>
        <v>College</v>
      </c>
      <c r="K965" t="s">
        <v>35</v>
      </c>
      <c r="L965">
        <v>1355</v>
      </c>
      <c r="M965">
        <v>2</v>
      </c>
      <c r="N965" t="str" cm="1">
        <f t="array" ref="N965">_xlfn.IFS(M965=1,"Low",M965=2,"Medium",M965=3,"High",M965=4,"Very High")</f>
        <v>Medium</v>
      </c>
      <c r="O965" t="s">
        <v>36</v>
      </c>
      <c r="P965" s="2">
        <v>31</v>
      </c>
      <c r="Q965">
        <v>3</v>
      </c>
      <c r="R965" t="str" cm="1">
        <f t="array" ref="R965">_xlfn.IFS(Q965=1,"Low",Q965=2,"Medium",Q965=3,"High",Q965=4,"Very High")</f>
        <v>High</v>
      </c>
      <c r="S965">
        <v>2</v>
      </c>
      <c r="T965" t="str" cm="1">
        <f t="array" ref="T965">_xlfn.IFS(S965=1,"Entry Level",S965=2,"Junior",S965=3,"Mid-Level",S965=4,"Senior",S965=5,"Executive")</f>
        <v>Junior</v>
      </c>
      <c r="U965" t="s">
        <v>37</v>
      </c>
      <c r="V965">
        <v>1</v>
      </c>
      <c r="W965" t="str" cm="1">
        <f t="array" ref="W965">_xlfn.IFS(V965=1,"Low",V965=2,"Medium",V965=3,"High",V965=4,"Very High")</f>
        <v>Low</v>
      </c>
      <c r="X965" t="s">
        <v>48</v>
      </c>
      <c r="Y965" s="2">
        <v>6893</v>
      </c>
      <c r="Z965" s="2">
        <v>19461</v>
      </c>
      <c r="AA965">
        <v>3</v>
      </c>
      <c r="AB965" t="s">
        <v>39</v>
      </c>
      <c r="AC965">
        <v>15</v>
      </c>
      <c r="AD965">
        <v>3</v>
      </c>
      <c r="AE965" t="str" cm="1">
        <f t="array" ref="AE965">_xlfn.IFS(AD965=1,"Low",AD965=2,"Good",AD965=3,"Excellent",AD965=4,"Outstanding")</f>
        <v>Excellent</v>
      </c>
      <c r="AF965">
        <v>4</v>
      </c>
      <c r="AG965" t="str" cm="1">
        <f t="array" ref="AG965">_xlfn.IFS(AF965=1,"Low",AF965=2,"Medium",AF965=3,"High",AF965=4,"Very High")</f>
        <v>Very High</v>
      </c>
      <c r="AH965">
        <v>1</v>
      </c>
      <c r="AI965">
        <v>11</v>
      </c>
      <c r="AJ965">
        <v>3</v>
      </c>
      <c r="AK965">
        <v>3</v>
      </c>
      <c r="AL965" t="str" cm="1">
        <f t="array" ref="AL965">_xlfn.IFS(AK965=1,"Low",AK965=2,"Medium",AK965=3,"High",AK965=4,"Very High")</f>
        <v>High</v>
      </c>
      <c r="AM965">
        <v>7</v>
      </c>
      <c r="AN965">
        <v>7</v>
      </c>
      <c r="AO965">
        <v>1</v>
      </c>
      <c r="AP965">
        <v>7</v>
      </c>
    </row>
    <row r="966" spans="1:42">
      <c r="A966">
        <v>34</v>
      </c>
      <c r="B966" t="str" cm="1">
        <f t="array" ref="B966">_xlfn.IFS(A966&lt;=25,"18-25",A966&lt;=35,"26-35",A966&lt;=45,"36-45",A966&lt;=55,"46-55",A966&gt;55,"56+")</f>
        <v>26-35</v>
      </c>
      <c r="C966" t="s">
        <v>39</v>
      </c>
      <c r="D966" t="s">
        <v>33</v>
      </c>
      <c r="E966" s="2">
        <v>507</v>
      </c>
      <c r="F966" t="s">
        <v>34</v>
      </c>
      <c r="G966">
        <v>15</v>
      </c>
      <c r="H966" t="str">
        <f t="shared" si="15"/>
        <v>11-20 km</v>
      </c>
      <c r="I966">
        <v>2</v>
      </c>
      <c r="J966" t="str" cm="1">
        <f t="array" ref="J966">_xlfn.IFS(I966=1,"Below College",I966=2,"College",I966=3,"Bachelor",I966=4,"Master",I966=5,"Doctor")</f>
        <v>College</v>
      </c>
      <c r="K966" t="s">
        <v>47</v>
      </c>
      <c r="L966">
        <v>1356</v>
      </c>
      <c r="M966">
        <v>3</v>
      </c>
      <c r="N966" t="str" cm="1">
        <f t="array" ref="N966">_xlfn.IFS(M966=1,"Low",M966=2,"Medium",M966=3,"High",M966=4,"Very High")</f>
        <v>High</v>
      </c>
      <c r="O966" t="s">
        <v>36</v>
      </c>
      <c r="P966" s="2">
        <v>66</v>
      </c>
      <c r="Q966">
        <v>3</v>
      </c>
      <c r="R966" t="str" cm="1">
        <f t="array" ref="R966">_xlfn.IFS(Q966=1,"Low",Q966=2,"Medium",Q966=3,"High",Q966=4,"Very High")</f>
        <v>High</v>
      </c>
      <c r="S966">
        <v>2</v>
      </c>
      <c r="T966" t="str" cm="1">
        <f t="array" ref="T966">_xlfn.IFS(S966=1,"Entry Level",S966=2,"Junior",S966=3,"Mid-Level",S966=4,"Senior",S966=5,"Executive")</f>
        <v>Junior</v>
      </c>
      <c r="U966" t="s">
        <v>37</v>
      </c>
      <c r="V966">
        <v>1</v>
      </c>
      <c r="W966" t="str" cm="1">
        <f t="array" ref="W966">_xlfn.IFS(V966=1,"Low",V966=2,"Medium",V966=3,"High",V966=4,"Very High")</f>
        <v>Low</v>
      </c>
      <c r="X966" t="s">
        <v>38</v>
      </c>
      <c r="Y966" s="2">
        <v>6125</v>
      </c>
      <c r="Z966" s="2">
        <v>23553</v>
      </c>
      <c r="AA966">
        <v>1</v>
      </c>
      <c r="AB966" t="s">
        <v>39</v>
      </c>
      <c r="AC966">
        <v>12</v>
      </c>
      <c r="AD966">
        <v>3</v>
      </c>
      <c r="AE966" t="str" cm="1">
        <f t="array" ref="AE966">_xlfn.IFS(AD966=1,"Low",AD966=2,"Good",AD966=3,"Excellent",AD966=4,"Outstanding")</f>
        <v>Excellent</v>
      </c>
      <c r="AF966">
        <v>4</v>
      </c>
      <c r="AG966" t="str" cm="1">
        <f t="array" ref="AG966">_xlfn.IFS(AF966=1,"Low",AF966=2,"Medium",AF966=3,"High",AF966=4,"Very High")</f>
        <v>Very High</v>
      </c>
      <c r="AH966">
        <v>0</v>
      </c>
      <c r="AI966">
        <v>10</v>
      </c>
      <c r="AJ966">
        <v>6</v>
      </c>
      <c r="AK966">
        <v>4</v>
      </c>
      <c r="AL966" t="str" cm="1">
        <f t="array" ref="AL966">_xlfn.IFS(AK966=1,"Low",AK966=2,"Medium",AK966=3,"High",AK966=4,"Very High")</f>
        <v>Very High</v>
      </c>
      <c r="AM966">
        <v>10</v>
      </c>
      <c r="AN966">
        <v>8</v>
      </c>
      <c r="AO966">
        <v>9</v>
      </c>
      <c r="AP966">
        <v>6</v>
      </c>
    </row>
    <row r="967" spans="1:42">
      <c r="A967">
        <v>25</v>
      </c>
      <c r="B967" t="str" cm="1">
        <f t="array" ref="B967">_xlfn.IFS(A967&lt;=25,"18-25",A967&lt;=35,"26-35",A967&lt;=45,"36-45",A967&lt;=55,"46-55",A967&gt;55,"56+")</f>
        <v>18-25</v>
      </c>
      <c r="C967" t="s">
        <v>39</v>
      </c>
      <c r="D967" t="s">
        <v>33</v>
      </c>
      <c r="E967" s="2">
        <v>882</v>
      </c>
      <c r="F967" t="s">
        <v>41</v>
      </c>
      <c r="G967">
        <v>19</v>
      </c>
      <c r="H967" t="str">
        <f t="shared" si="15"/>
        <v>11-20 km</v>
      </c>
      <c r="I967">
        <v>1</v>
      </c>
      <c r="J967" t="str" cm="1">
        <f t="array" ref="J967">_xlfn.IFS(I967=1,"Below College",I967=2,"College",I967=3,"Bachelor",I967=4,"Master",I967=5,"Doctor")</f>
        <v>Below College</v>
      </c>
      <c r="K967" t="s">
        <v>47</v>
      </c>
      <c r="L967">
        <v>1358</v>
      </c>
      <c r="M967">
        <v>4</v>
      </c>
      <c r="N967" t="str" cm="1">
        <f t="array" ref="N967">_xlfn.IFS(M967=1,"Low",M967=2,"Medium",M967=3,"High",M967=4,"Very High")</f>
        <v>Very High</v>
      </c>
      <c r="O967" t="s">
        <v>42</v>
      </c>
      <c r="P967" s="2">
        <v>67</v>
      </c>
      <c r="Q967">
        <v>3</v>
      </c>
      <c r="R967" t="str" cm="1">
        <f t="array" ref="R967">_xlfn.IFS(Q967=1,"Low",Q967=2,"Medium",Q967=3,"High",Q967=4,"Very High")</f>
        <v>High</v>
      </c>
      <c r="S967">
        <v>1</v>
      </c>
      <c r="T967" t="str" cm="1">
        <f t="array" ref="T967">_xlfn.IFS(S967=1,"Entry Level",S967=2,"Junior",S967=3,"Mid-Level",S967=4,"Senior",S967=5,"Executive")</f>
        <v>Entry Level</v>
      </c>
      <c r="U967" t="s">
        <v>46</v>
      </c>
      <c r="V967">
        <v>4</v>
      </c>
      <c r="W967" t="str" cm="1">
        <f t="array" ref="W967">_xlfn.IFS(V967=1,"Low",V967=2,"Medium",V967=3,"High",V967=4,"Very High")</f>
        <v>Very High</v>
      </c>
      <c r="X967" t="s">
        <v>44</v>
      </c>
      <c r="Y967" s="2">
        <v>3669</v>
      </c>
      <c r="Z967" s="2">
        <v>9075</v>
      </c>
      <c r="AA967">
        <v>3</v>
      </c>
      <c r="AB967" t="s">
        <v>39</v>
      </c>
      <c r="AC967">
        <v>11</v>
      </c>
      <c r="AD967">
        <v>3</v>
      </c>
      <c r="AE967" t="str" cm="1">
        <f t="array" ref="AE967">_xlfn.IFS(AD967=1,"Low",AD967=2,"Good",AD967=3,"Excellent",AD967=4,"Outstanding")</f>
        <v>Excellent</v>
      </c>
      <c r="AF967">
        <v>3</v>
      </c>
      <c r="AG967" t="str" cm="1">
        <f t="array" ref="AG967">_xlfn.IFS(AF967=1,"Low",AF967=2,"Medium",AF967=3,"High",AF967=4,"Very High")</f>
        <v>High</v>
      </c>
      <c r="AH967">
        <v>3</v>
      </c>
      <c r="AI967">
        <v>7</v>
      </c>
      <c r="AJ967">
        <v>6</v>
      </c>
      <c r="AK967">
        <v>2</v>
      </c>
      <c r="AL967" t="str" cm="1">
        <f t="array" ref="AL967">_xlfn.IFS(AK967=1,"Low",AK967=2,"Medium",AK967=3,"High",AK967=4,"Very High")</f>
        <v>Medium</v>
      </c>
      <c r="AM967">
        <v>3</v>
      </c>
      <c r="AN967">
        <v>2</v>
      </c>
      <c r="AO967">
        <v>1</v>
      </c>
      <c r="AP967">
        <v>2</v>
      </c>
    </row>
    <row r="968" spans="1:42">
      <c r="A968">
        <v>58</v>
      </c>
      <c r="B968" t="str" cm="1">
        <f t="array" ref="B968">_xlfn.IFS(A968&lt;=25,"18-25",A968&lt;=35,"26-35",A968&lt;=45,"36-45",A968&lt;=55,"46-55",A968&gt;55,"56+")</f>
        <v>56+</v>
      </c>
      <c r="C968" t="s">
        <v>32</v>
      </c>
      <c r="D968" t="s">
        <v>33</v>
      </c>
      <c r="E968" s="2">
        <v>601</v>
      </c>
      <c r="F968" t="s">
        <v>41</v>
      </c>
      <c r="G968">
        <v>7</v>
      </c>
      <c r="H968" t="str">
        <f t="shared" si="15"/>
        <v>1-10 km</v>
      </c>
      <c r="I968">
        <v>4</v>
      </c>
      <c r="J968" t="str" cm="1">
        <f t="array" ref="J968">_xlfn.IFS(I968=1,"Below College",I968=2,"College",I968=3,"Bachelor",I968=4,"Master",I968=5,"Doctor")</f>
        <v>Master</v>
      </c>
      <c r="K968" t="s">
        <v>47</v>
      </c>
      <c r="L968">
        <v>1360</v>
      </c>
      <c r="M968">
        <v>3</v>
      </c>
      <c r="N968" t="str" cm="1">
        <f t="array" ref="N968">_xlfn.IFS(M968=1,"Low",M968=2,"Medium",M968=3,"High",M968=4,"Very High")</f>
        <v>High</v>
      </c>
      <c r="O968" t="s">
        <v>36</v>
      </c>
      <c r="P968" s="2">
        <v>53</v>
      </c>
      <c r="Q968">
        <v>2</v>
      </c>
      <c r="R968" t="str" cm="1">
        <f t="array" ref="R968">_xlfn.IFS(Q968=1,"Low",Q968=2,"Medium",Q968=3,"High",Q968=4,"Very High")</f>
        <v>Medium</v>
      </c>
      <c r="S968">
        <v>3</v>
      </c>
      <c r="T968" t="str" cm="1">
        <f t="array" ref="T968">_xlfn.IFS(S968=1,"Entry Level",S968=2,"Junior",S968=3,"Mid-Level",S968=4,"Senior",S968=5,"Executive")</f>
        <v>Mid-Level</v>
      </c>
      <c r="U968" t="s">
        <v>49</v>
      </c>
      <c r="V968">
        <v>1</v>
      </c>
      <c r="W968" t="str" cm="1">
        <f t="array" ref="W968">_xlfn.IFS(V968=1,"Low",V968=2,"Medium",V968=3,"High",V968=4,"Very High")</f>
        <v>Low</v>
      </c>
      <c r="X968" t="s">
        <v>44</v>
      </c>
      <c r="Y968" s="2">
        <v>10008</v>
      </c>
      <c r="Z968" s="2">
        <v>12023</v>
      </c>
      <c r="AA968">
        <v>7</v>
      </c>
      <c r="AB968" t="s">
        <v>32</v>
      </c>
      <c r="AC968">
        <v>14</v>
      </c>
      <c r="AD968">
        <v>3</v>
      </c>
      <c r="AE968" t="str" cm="1">
        <f t="array" ref="AE968">_xlfn.IFS(AD968=1,"Low",AD968=2,"Good",AD968=3,"Excellent",AD968=4,"Outstanding")</f>
        <v>Excellent</v>
      </c>
      <c r="AF968">
        <v>4</v>
      </c>
      <c r="AG968" t="str" cm="1">
        <f t="array" ref="AG968">_xlfn.IFS(AF968=1,"Low",AF968=2,"Medium",AF968=3,"High",AF968=4,"Very High")</f>
        <v>Very High</v>
      </c>
      <c r="AH968">
        <v>0</v>
      </c>
      <c r="AI968">
        <v>31</v>
      </c>
      <c r="AJ968">
        <v>0</v>
      </c>
      <c r="AK968">
        <v>2</v>
      </c>
      <c r="AL968" t="str" cm="1">
        <f t="array" ref="AL968">_xlfn.IFS(AK968=1,"Low",AK968=2,"Medium",AK968=3,"High",AK968=4,"Very High")</f>
        <v>Medium</v>
      </c>
      <c r="AM968">
        <v>10</v>
      </c>
      <c r="AN968">
        <v>9</v>
      </c>
      <c r="AO968">
        <v>5</v>
      </c>
      <c r="AP968">
        <v>9</v>
      </c>
    </row>
    <row r="969" spans="1:42">
      <c r="A969">
        <v>40</v>
      </c>
      <c r="B969" t="str" cm="1">
        <f t="array" ref="B969">_xlfn.IFS(A969&lt;=25,"18-25",A969&lt;=35,"26-35",A969&lt;=45,"36-45",A969&lt;=55,"46-55",A969&gt;55,"56+")</f>
        <v>36-45</v>
      </c>
      <c r="C969" t="s">
        <v>39</v>
      </c>
      <c r="D969" t="s">
        <v>33</v>
      </c>
      <c r="E969" s="2">
        <v>329</v>
      </c>
      <c r="F969" t="s">
        <v>41</v>
      </c>
      <c r="G969">
        <v>1</v>
      </c>
      <c r="H969" t="str">
        <f t="shared" si="15"/>
        <v>1-10 km</v>
      </c>
      <c r="I969">
        <v>4</v>
      </c>
      <c r="J969" t="str" cm="1">
        <f t="array" ref="J969">_xlfn.IFS(I969=1,"Below College",I969=2,"College",I969=3,"Bachelor",I969=4,"Master",I969=5,"Doctor")</f>
        <v>Master</v>
      </c>
      <c r="K969" t="s">
        <v>35</v>
      </c>
      <c r="L969">
        <v>1361</v>
      </c>
      <c r="M969">
        <v>2</v>
      </c>
      <c r="N969" t="str" cm="1">
        <f t="array" ref="N969">_xlfn.IFS(M969=1,"Low",M969=2,"Medium",M969=3,"High",M969=4,"Very High")</f>
        <v>Medium</v>
      </c>
      <c r="O969" t="s">
        <v>42</v>
      </c>
      <c r="P969" s="2">
        <v>88</v>
      </c>
      <c r="Q969">
        <v>3</v>
      </c>
      <c r="R969" t="str" cm="1">
        <f t="array" ref="R969">_xlfn.IFS(Q969=1,"Low",Q969=2,"Medium",Q969=3,"High",Q969=4,"Very High")</f>
        <v>High</v>
      </c>
      <c r="S969">
        <v>1</v>
      </c>
      <c r="T969" t="str" cm="1">
        <f t="array" ref="T969">_xlfn.IFS(S969=1,"Entry Level",S969=2,"Junior",S969=3,"Mid-Level",S969=4,"Senior",S969=5,"Executive")</f>
        <v>Entry Level</v>
      </c>
      <c r="U969" t="s">
        <v>46</v>
      </c>
      <c r="V969">
        <v>2</v>
      </c>
      <c r="W969" t="str" cm="1">
        <f t="array" ref="W969">_xlfn.IFS(V969=1,"Low",V969=2,"Medium",V969=3,"High",V969=4,"Very High")</f>
        <v>Medium</v>
      </c>
      <c r="X969" t="s">
        <v>44</v>
      </c>
      <c r="Y969" s="2">
        <v>2387</v>
      </c>
      <c r="Z969" s="2">
        <v>6762</v>
      </c>
      <c r="AA969">
        <v>3</v>
      </c>
      <c r="AB969" t="s">
        <v>39</v>
      </c>
      <c r="AC969">
        <v>22</v>
      </c>
      <c r="AD969">
        <v>4</v>
      </c>
      <c r="AE969" t="str" cm="1">
        <f t="array" ref="AE969">_xlfn.IFS(AD969=1,"Low",AD969=2,"Good",AD969=3,"Excellent",AD969=4,"Outstanding")</f>
        <v>Outstanding</v>
      </c>
      <c r="AF969">
        <v>3</v>
      </c>
      <c r="AG969" t="str" cm="1">
        <f t="array" ref="AG969">_xlfn.IFS(AF969=1,"Low",AF969=2,"Medium",AF969=3,"High",AF969=4,"Very High")</f>
        <v>High</v>
      </c>
      <c r="AH969">
        <v>1</v>
      </c>
      <c r="AI969">
        <v>7</v>
      </c>
      <c r="AJ969">
        <v>3</v>
      </c>
      <c r="AK969">
        <v>3</v>
      </c>
      <c r="AL969" t="str" cm="1">
        <f t="array" ref="AL969">_xlfn.IFS(AK969=1,"Low",AK969=2,"Medium",AK969=3,"High",AK969=4,"Very High")</f>
        <v>High</v>
      </c>
      <c r="AM969">
        <v>4</v>
      </c>
      <c r="AN969">
        <v>2</v>
      </c>
      <c r="AO969">
        <v>0</v>
      </c>
      <c r="AP969">
        <v>3</v>
      </c>
    </row>
    <row r="970" spans="1:42">
      <c r="A970">
        <v>36</v>
      </c>
      <c r="B970" t="str" cm="1">
        <f t="array" ref="B970">_xlfn.IFS(A970&lt;=25,"18-25",A970&lt;=35,"26-35",A970&lt;=45,"36-45",A970&lt;=55,"46-55",A970&gt;55,"56+")</f>
        <v>36-45</v>
      </c>
      <c r="C970" t="s">
        <v>39</v>
      </c>
      <c r="D970" t="s">
        <v>40</v>
      </c>
      <c r="E970" s="2">
        <v>607</v>
      </c>
      <c r="F970" t="s">
        <v>34</v>
      </c>
      <c r="G970">
        <v>7</v>
      </c>
      <c r="H970" t="str">
        <f t="shared" si="15"/>
        <v>1-10 km</v>
      </c>
      <c r="I970">
        <v>3</v>
      </c>
      <c r="J970" t="str" cm="1">
        <f t="array" ref="J970">_xlfn.IFS(I970=1,"Below College",I970=2,"College",I970=3,"Bachelor",I970=4,"Master",I970=5,"Doctor")</f>
        <v>Bachelor</v>
      </c>
      <c r="K970" t="s">
        <v>55</v>
      </c>
      <c r="L970">
        <v>1362</v>
      </c>
      <c r="M970">
        <v>1</v>
      </c>
      <c r="N970" t="str" cm="1">
        <f t="array" ref="N970">_xlfn.IFS(M970=1,"Low",M970=2,"Medium",M970=3,"High",M970=4,"Very High")</f>
        <v>Low</v>
      </c>
      <c r="O970" t="s">
        <v>36</v>
      </c>
      <c r="P970" s="2">
        <v>83</v>
      </c>
      <c r="Q970">
        <v>4</v>
      </c>
      <c r="R970" t="str" cm="1">
        <f t="array" ref="R970">_xlfn.IFS(Q970=1,"Low",Q970=2,"Medium",Q970=3,"High",Q970=4,"Very High")</f>
        <v>Very High</v>
      </c>
      <c r="S970">
        <v>2</v>
      </c>
      <c r="T970" t="str" cm="1">
        <f t="array" ref="T970">_xlfn.IFS(S970=1,"Entry Level",S970=2,"Junior",S970=3,"Mid-Level",S970=4,"Senior",S970=5,"Executive")</f>
        <v>Junior</v>
      </c>
      <c r="U970" t="s">
        <v>37</v>
      </c>
      <c r="V970">
        <v>1</v>
      </c>
      <c r="W970" t="str" cm="1">
        <f t="array" ref="W970">_xlfn.IFS(V970=1,"Low",V970=2,"Medium",V970=3,"High",V970=4,"Very High")</f>
        <v>Low</v>
      </c>
      <c r="X970" t="s">
        <v>44</v>
      </c>
      <c r="Y970" s="2">
        <v>4639</v>
      </c>
      <c r="Z970" s="2">
        <v>2261</v>
      </c>
      <c r="AA970">
        <v>2</v>
      </c>
      <c r="AB970" t="s">
        <v>39</v>
      </c>
      <c r="AC970">
        <v>16</v>
      </c>
      <c r="AD970">
        <v>3</v>
      </c>
      <c r="AE970" t="str" cm="1">
        <f t="array" ref="AE970">_xlfn.IFS(AD970=1,"Low",AD970=2,"Good",AD970=3,"Excellent",AD970=4,"Outstanding")</f>
        <v>Excellent</v>
      </c>
      <c r="AF970">
        <v>4</v>
      </c>
      <c r="AG970" t="str" cm="1">
        <f t="array" ref="AG970">_xlfn.IFS(AF970=1,"Low",AF970=2,"Medium",AF970=3,"High",AF970=4,"Very High")</f>
        <v>Very High</v>
      </c>
      <c r="AH970">
        <v>1</v>
      </c>
      <c r="AI970">
        <v>17</v>
      </c>
      <c r="AJ970">
        <v>2</v>
      </c>
      <c r="AK970">
        <v>2</v>
      </c>
      <c r="AL970" t="str" cm="1">
        <f t="array" ref="AL970">_xlfn.IFS(AK970=1,"Low",AK970=2,"Medium",AK970=3,"High",AK970=4,"Very High")</f>
        <v>Medium</v>
      </c>
      <c r="AM970">
        <v>15</v>
      </c>
      <c r="AN970">
        <v>7</v>
      </c>
      <c r="AO970">
        <v>6</v>
      </c>
      <c r="AP970">
        <v>13</v>
      </c>
    </row>
    <row r="971" spans="1:42">
      <c r="A971">
        <v>48</v>
      </c>
      <c r="B971" t="str" cm="1">
        <f t="array" ref="B971">_xlfn.IFS(A971&lt;=25,"18-25",A971&lt;=35,"26-35",A971&lt;=45,"36-45",A971&lt;=55,"46-55",A971&gt;55,"56+")</f>
        <v>46-55</v>
      </c>
      <c r="C971" t="s">
        <v>39</v>
      </c>
      <c r="D971" t="s">
        <v>33</v>
      </c>
      <c r="E971" s="2">
        <v>855</v>
      </c>
      <c r="F971" t="s">
        <v>41</v>
      </c>
      <c r="G971">
        <v>4</v>
      </c>
      <c r="H971" t="str">
        <f t="shared" si="15"/>
        <v>1-10 km</v>
      </c>
      <c r="I971">
        <v>3</v>
      </c>
      <c r="J971" t="str" cm="1">
        <f t="array" ref="J971">_xlfn.IFS(I971=1,"Below College",I971=2,"College",I971=3,"Bachelor",I971=4,"Master",I971=5,"Doctor")</f>
        <v>Bachelor</v>
      </c>
      <c r="K971" t="s">
        <v>35</v>
      </c>
      <c r="L971">
        <v>1363</v>
      </c>
      <c r="M971">
        <v>4</v>
      </c>
      <c r="N971" t="str" cm="1">
        <f t="array" ref="N971">_xlfn.IFS(M971=1,"Low",M971=2,"Medium",M971=3,"High",M971=4,"Very High")</f>
        <v>Very High</v>
      </c>
      <c r="O971" t="s">
        <v>42</v>
      </c>
      <c r="P971" s="2">
        <v>54</v>
      </c>
      <c r="Q971">
        <v>3</v>
      </c>
      <c r="R971" t="str" cm="1">
        <f t="array" ref="R971">_xlfn.IFS(Q971=1,"Low",Q971=2,"Medium",Q971=3,"High",Q971=4,"Very High")</f>
        <v>High</v>
      </c>
      <c r="S971">
        <v>3</v>
      </c>
      <c r="T971" t="str" cm="1">
        <f t="array" ref="T971">_xlfn.IFS(S971=1,"Entry Level",S971=2,"Junior",S971=3,"Mid-Level",S971=4,"Senior",S971=5,"Executive")</f>
        <v>Mid-Level</v>
      </c>
      <c r="U971" t="s">
        <v>49</v>
      </c>
      <c r="V971">
        <v>4</v>
      </c>
      <c r="W971" t="str" cm="1">
        <f t="array" ref="W971">_xlfn.IFS(V971=1,"Low",V971=2,"Medium",V971=3,"High",V971=4,"Very High")</f>
        <v>Very High</v>
      </c>
      <c r="X971" t="s">
        <v>38</v>
      </c>
      <c r="Y971" s="2">
        <v>7898</v>
      </c>
      <c r="Z971" s="2">
        <v>18706</v>
      </c>
      <c r="AA971">
        <v>1</v>
      </c>
      <c r="AB971" t="s">
        <v>39</v>
      </c>
      <c r="AC971">
        <v>11</v>
      </c>
      <c r="AD971">
        <v>3</v>
      </c>
      <c r="AE971" t="str" cm="1">
        <f t="array" ref="AE971">_xlfn.IFS(AD971=1,"Low",AD971=2,"Good",AD971=3,"Excellent",AD971=4,"Outstanding")</f>
        <v>Excellent</v>
      </c>
      <c r="AF971">
        <v>3</v>
      </c>
      <c r="AG971" t="str" cm="1">
        <f t="array" ref="AG971">_xlfn.IFS(AF971=1,"Low",AF971=2,"Medium",AF971=3,"High",AF971=4,"Very High")</f>
        <v>High</v>
      </c>
      <c r="AH971">
        <v>0</v>
      </c>
      <c r="AI971">
        <v>11</v>
      </c>
      <c r="AJ971">
        <v>2</v>
      </c>
      <c r="AK971">
        <v>3</v>
      </c>
      <c r="AL971" t="str" cm="1">
        <f t="array" ref="AL971">_xlfn.IFS(AK971=1,"Low",AK971=2,"Medium",AK971=3,"High",AK971=4,"Very High")</f>
        <v>High</v>
      </c>
      <c r="AM971">
        <v>10</v>
      </c>
      <c r="AN971">
        <v>9</v>
      </c>
      <c r="AO971">
        <v>0</v>
      </c>
      <c r="AP971">
        <v>8</v>
      </c>
    </row>
    <row r="972" spans="1:42">
      <c r="A972">
        <v>27</v>
      </c>
      <c r="B972" t="str" cm="1">
        <f t="array" ref="B972">_xlfn.IFS(A972&lt;=25,"18-25",A972&lt;=35,"26-35",A972&lt;=45,"36-45",A972&lt;=55,"46-55",A972&gt;55,"56+")</f>
        <v>26-35</v>
      </c>
      <c r="C972" t="s">
        <v>39</v>
      </c>
      <c r="D972" t="s">
        <v>33</v>
      </c>
      <c r="E972" s="2">
        <v>1291</v>
      </c>
      <c r="F972" t="s">
        <v>34</v>
      </c>
      <c r="G972">
        <v>11</v>
      </c>
      <c r="H972" t="str">
        <f t="shared" si="15"/>
        <v>11-20 km</v>
      </c>
      <c r="I972">
        <v>3</v>
      </c>
      <c r="J972" t="str" cm="1">
        <f t="array" ref="J972">_xlfn.IFS(I972=1,"Below College",I972=2,"College",I972=3,"Bachelor",I972=4,"Master",I972=5,"Doctor")</f>
        <v>Bachelor</v>
      </c>
      <c r="K972" t="s">
        <v>47</v>
      </c>
      <c r="L972">
        <v>1364</v>
      </c>
      <c r="M972">
        <v>3</v>
      </c>
      <c r="N972" t="str" cm="1">
        <f t="array" ref="N972">_xlfn.IFS(M972=1,"Low",M972=2,"Medium",M972=3,"High",M972=4,"Very High")</f>
        <v>High</v>
      </c>
      <c r="O972" t="s">
        <v>36</v>
      </c>
      <c r="P972" s="2">
        <v>98</v>
      </c>
      <c r="Q972">
        <v>4</v>
      </c>
      <c r="R972" t="str" cm="1">
        <f t="array" ref="R972">_xlfn.IFS(Q972=1,"Low",Q972=2,"Medium",Q972=3,"High",Q972=4,"Very High")</f>
        <v>Very High</v>
      </c>
      <c r="S972">
        <v>1</v>
      </c>
      <c r="T972" t="str" cm="1">
        <f t="array" ref="T972">_xlfn.IFS(S972=1,"Entry Level",S972=2,"Junior",S972=3,"Mid-Level",S972=4,"Senior",S972=5,"Executive")</f>
        <v>Entry Level</v>
      </c>
      <c r="U972" t="s">
        <v>53</v>
      </c>
      <c r="V972">
        <v>4</v>
      </c>
      <c r="W972" t="str" cm="1">
        <f t="array" ref="W972">_xlfn.IFS(V972=1,"Low",V972=2,"Medium",V972=3,"High",V972=4,"Very High")</f>
        <v>Very High</v>
      </c>
      <c r="X972" t="s">
        <v>44</v>
      </c>
      <c r="Y972" s="2">
        <v>2534</v>
      </c>
      <c r="Z972" s="2">
        <v>6527</v>
      </c>
      <c r="AA972">
        <v>8</v>
      </c>
      <c r="AB972" t="s">
        <v>39</v>
      </c>
      <c r="AC972">
        <v>14</v>
      </c>
      <c r="AD972">
        <v>3</v>
      </c>
      <c r="AE972" t="str" cm="1">
        <f t="array" ref="AE972">_xlfn.IFS(AD972=1,"Low",AD972=2,"Good",AD972=3,"Excellent",AD972=4,"Outstanding")</f>
        <v>Excellent</v>
      </c>
      <c r="AF972">
        <v>2</v>
      </c>
      <c r="AG972" t="str" cm="1">
        <f t="array" ref="AG972">_xlfn.IFS(AF972=1,"Low",AF972=2,"Medium",AF972=3,"High",AF972=4,"Very High")</f>
        <v>Medium</v>
      </c>
      <c r="AH972">
        <v>1</v>
      </c>
      <c r="AI972">
        <v>5</v>
      </c>
      <c r="AJ972">
        <v>4</v>
      </c>
      <c r="AK972">
        <v>3</v>
      </c>
      <c r="AL972" t="str" cm="1">
        <f t="array" ref="AL972">_xlfn.IFS(AK972=1,"Low",AK972=2,"Medium",AK972=3,"High",AK972=4,"Very High")</f>
        <v>High</v>
      </c>
      <c r="AM972">
        <v>1</v>
      </c>
      <c r="AN972">
        <v>0</v>
      </c>
      <c r="AO972">
        <v>0</v>
      </c>
      <c r="AP972">
        <v>0</v>
      </c>
    </row>
    <row r="973" spans="1:42">
      <c r="A973">
        <v>51</v>
      </c>
      <c r="B973" t="str" cm="1">
        <f t="array" ref="B973">_xlfn.IFS(A973&lt;=25,"18-25",A973&lt;=35,"26-35",A973&lt;=45,"36-45",A973&lt;=55,"46-55",A973&gt;55,"56+")</f>
        <v>46-55</v>
      </c>
      <c r="C973" t="s">
        <v>39</v>
      </c>
      <c r="D973" t="s">
        <v>33</v>
      </c>
      <c r="E973" s="2">
        <v>1405</v>
      </c>
      <c r="F973" t="s">
        <v>41</v>
      </c>
      <c r="G973">
        <v>11</v>
      </c>
      <c r="H973" t="str">
        <f t="shared" si="15"/>
        <v>11-20 km</v>
      </c>
      <c r="I973">
        <v>2</v>
      </c>
      <c r="J973" t="str" cm="1">
        <f t="array" ref="J973">_xlfn.IFS(I973=1,"Below College",I973=2,"College",I973=3,"Bachelor",I973=4,"Master",I973=5,"Doctor")</f>
        <v>College</v>
      </c>
      <c r="K973" t="s">
        <v>56</v>
      </c>
      <c r="L973">
        <v>1367</v>
      </c>
      <c r="M973">
        <v>4</v>
      </c>
      <c r="N973" t="str" cm="1">
        <f t="array" ref="N973">_xlfn.IFS(M973=1,"Low",M973=2,"Medium",M973=3,"High",M973=4,"Very High")</f>
        <v>Very High</v>
      </c>
      <c r="O973" t="s">
        <v>36</v>
      </c>
      <c r="P973" s="2">
        <v>82</v>
      </c>
      <c r="Q973">
        <v>2</v>
      </c>
      <c r="R973" t="str" cm="1">
        <f t="array" ref="R973">_xlfn.IFS(Q973=1,"Low",Q973=2,"Medium",Q973=3,"High",Q973=4,"Very High")</f>
        <v>Medium</v>
      </c>
      <c r="S973">
        <v>4</v>
      </c>
      <c r="T973" t="str" cm="1">
        <f t="array" ref="T973">_xlfn.IFS(S973=1,"Entry Level",S973=2,"Junior",S973=3,"Mid-Level",S973=4,"Senior",S973=5,"Executive")</f>
        <v>Senior</v>
      </c>
      <c r="U973" t="s">
        <v>49</v>
      </c>
      <c r="V973">
        <v>2</v>
      </c>
      <c r="W973" t="str" cm="1">
        <f t="array" ref="W973">_xlfn.IFS(V973=1,"Low",V973=2,"Medium",V973=3,"High",V973=4,"Very High")</f>
        <v>Medium</v>
      </c>
      <c r="X973" t="s">
        <v>38</v>
      </c>
      <c r="Y973" s="2">
        <v>13142</v>
      </c>
      <c r="Z973" s="2">
        <v>24439</v>
      </c>
      <c r="AA973">
        <v>3</v>
      </c>
      <c r="AB973" t="s">
        <v>39</v>
      </c>
      <c r="AC973">
        <v>16</v>
      </c>
      <c r="AD973">
        <v>3</v>
      </c>
      <c r="AE973" t="str" cm="1">
        <f t="array" ref="AE973">_xlfn.IFS(AD973=1,"Low",AD973=2,"Good",AD973=3,"Excellent",AD973=4,"Outstanding")</f>
        <v>Excellent</v>
      </c>
      <c r="AF973">
        <v>2</v>
      </c>
      <c r="AG973" t="str" cm="1">
        <f t="array" ref="AG973">_xlfn.IFS(AF973=1,"Low",AF973=2,"Medium",AF973=3,"High",AF973=4,"Very High")</f>
        <v>Medium</v>
      </c>
      <c r="AH973">
        <v>0</v>
      </c>
      <c r="AI973">
        <v>29</v>
      </c>
      <c r="AJ973">
        <v>1</v>
      </c>
      <c r="AK973">
        <v>2</v>
      </c>
      <c r="AL973" t="str" cm="1">
        <f t="array" ref="AL973">_xlfn.IFS(AK973=1,"Low",AK973=2,"Medium",AK973=3,"High",AK973=4,"Very High")</f>
        <v>Medium</v>
      </c>
      <c r="AM973">
        <v>5</v>
      </c>
      <c r="AN973">
        <v>2</v>
      </c>
      <c r="AO973">
        <v>0</v>
      </c>
      <c r="AP973">
        <v>3</v>
      </c>
    </row>
    <row r="974" spans="1:42">
      <c r="A974">
        <v>18</v>
      </c>
      <c r="B974" t="str" cm="1">
        <f t="array" ref="B974">_xlfn.IFS(A974&lt;=25,"18-25",A974&lt;=35,"26-35",A974&lt;=45,"36-45",A974&lt;=55,"46-55",A974&gt;55,"56+")</f>
        <v>18-25</v>
      </c>
      <c r="C974" t="s">
        <v>39</v>
      </c>
      <c r="D974" t="s">
        <v>51</v>
      </c>
      <c r="E974" s="2">
        <v>1124</v>
      </c>
      <c r="F974" t="s">
        <v>41</v>
      </c>
      <c r="G974">
        <v>1</v>
      </c>
      <c r="H974" t="str">
        <f t="shared" si="15"/>
        <v>1-10 km</v>
      </c>
      <c r="I974">
        <v>3</v>
      </c>
      <c r="J974" t="str" cm="1">
        <f t="array" ref="J974">_xlfn.IFS(I974=1,"Below College",I974=2,"College",I974=3,"Bachelor",I974=4,"Master",I974=5,"Doctor")</f>
        <v>Bachelor</v>
      </c>
      <c r="K974" t="s">
        <v>35</v>
      </c>
      <c r="L974">
        <v>1368</v>
      </c>
      <c r="M974">
        <v>4</v>
      </c>
      <c r="N974" t="str" cm="1">
        <f t="array" ref="N974">_xlfn.IFS(M974=1,"Low",M974=2,"Medium",M974=3,"High",M974=4,"Very High")</f>
        <v>Very High</v>
      </c>
      <c r="O974" t="s">
        <v>36</v>
      </c>
      <c r="P974" s="2">
        <v>97</v>
      </c>
      <c r="Q974">
        <v>3</v>
      </c>
      <c r="R974" t="str" cm="1">
        <f t="array" ref="R974">_xlfn.IFS(Q974=1,"Low",Q974=2,"Medium",Q974=3,"High",Q974=4,"Very High")</f>
        <v>High</v>
      </c>
      <c r="S974">
        <v>1</v>
      </c>
      <c r="T974" t="str" cm="1">
        <f t="array" ref="T974">_xlfn.IFS(S974=1,"Entry Level",S974=2,"Junior",S974=3,"Mid-Level",S974=4,"Senior",S974=5,"Executive")</f>
        <v>Entry Level</v>
      </c>
      <c r="U974" t="s">
        <v>46</v>
      </c>
      <c r="V974">
        <v>4</v>
      </c>
      <c r="W974" t="str" cm="1">
        <f t="array" ref="W974">_xlfn.IFS(V974=1,"Low",V974=2,"Medium",V974=3,"High",V974=4,"Very High")</f>
        <v>Very High</v>
      </c>
      <c r="X974" t="s">
        <v>38</v>
      </c>
      <c r="Y974" s="2">
        <v>1611</v>
      </c>
      <c r="Z974" s="2">
        <v>19305</v>
      </c>
      <c r="AA974">
        <v>1</v>
      </c>
      <c r="AB974" t="s">
        <v>39</v>
      </c>
      <c r="AC974">
        <v>15</v>
      </c>
      <c r="AD974">
        <v>3</v>
      </c>
      <c r="AE974" t="str" cm="1">
        <f t="array" ref="AE974">_xlfn.IFS(AD974=1,"Low",AD974=2,"Good",AD974=3,"Excellent",AD974=4,"Outstanding")</f>
        <v>Excellent</v>
      </c>
      <c r="AF974">
        <v>3</v>
      </c>
      <c r="AG974" t="str" cm="1">
        <f t="array" ref="AG974">_xlfn.IFS(AF974=1,"Low",AF974=2,"Medium",AF974=3,"High",AF974=4,"Very High")</f>
        <v>High</v>
      </c>
      <c r="AH974">
        <v>0</v>
      </c>
      <c r="AI974">
        <v>0</v>
      </c>
      <c r="AJ974">
        <v>5</v>
      </c>
      <c r="AK974">
        <v>4</v>
      </c>
      <c r="AL974" t="str" cm="1">
        <f t="array" ref="AL974">_xlfn.IFS(AK974=1,"Low",AK974=2,"Medium",AK974=3,"High",AK974=4,"Very High")</f>
        <v>Very High</v>
      </c>
      <c r="AM974">
        <v>0</v>
      </c>
      <c r="AN974">
        <v>0</v>
      </c>
      <c r="AO974">
        <v>0</v>
      </c>
      <c r="AP974">
        <v>0</v>
      </c>
    </row>
    <row r="975" spans="1:42">
      <c r="A975">
        <v>35</v>
      </c>
      <c r="B975" t="str" cm="1">
        <f t="array" ref="B975">_xlfn.IFS(A975&lt;=25,"18-25",A975&lt;=35,"26-35",A975&lt;=45,"36-45",A975&lt;=55,"46-55",A975&gt;55,"56+")</f>
        <v>26-35</v>
      </c>
      <c r="C975" t="s">
        <v>39</v>
      </c>
      <c r="D975" t="s">
        <v>33</v>
      </c>
      <c r="E975" s="2">
        <v>817</v>
      </c>
      <c r="F975" t="s">
        <v>41</v>
      </c>
      <c r="G975">
        <v>1</v>
      </c>
      <c r="H975" t="str">
        <f t="shared" si="15"/>
        <v>1-10 km</v>
      </c>
      <c r="I975">
        <v>3</v>
      </c>
      <c r="J975" t="str" cm="1">
        <f t="array" ref="J975">_xlfn.IFS(I975=1,"Below College",I975=2,"College",I975=3,"Bachelor",I975=4,"Master",I975=5,"Doctor")</f>
        <v>Bachelor</v>
      </c>
      <c r="K975" t="s">
        <v>47</v>
      </c>
      <c r="L975">
        <v>1369</v>
      </c>
      <c r="M975">
        <v>4</v>
      </c>
      <c r="N975" t="str" cm="1">
        <f t="array" ref="N975">_xlfn.IFS(M975=1,"Low",M975=2,"Medium",M975=3,"High",M975=4,"Very High")</f>
        <v>Very High</v>
      </c>
      <c r="O975" t="s">
        <v>36</v>
      </c>
      <c r="P975" s="2">
        <v>60</v>
      </c>
      <c r="Q975">
        <v>2</v>
      </c>
      <c r="R975" t="str" cm="1">
        <f t="array" ref="R975">_xlfn.IFS(Q975=1,"Low",Q975=2,"Medium",Q975=3,"High",Q975=4,"Very High")</f>
        <v>Medium</v>
      </c>
      <c r="S975">
        <v>2</v>
      </c>
      <c r="T975" t="str" cm="1">
        <f t="array" ref="T975">_xlfn.IFS(S975=1,"Entry Level",S975=2,"Junior",S975=3,"Mid-Level",S975=4,"Senior",S975=5,"Executive")</f>
        <v>Junior</v>
      </c>
      <c r="U975" t="s">
        <v>46</v>
      </c>
      <c r="V975">
        <v>4</v>
      </c>
      <c r="W975" t="str" cm="1">
        <f t="array" ref="W975">_xlfn.IFS(V975=1,"Low",V975=2,"Medium",V975=3,"High",V975=4,"Very High")</f>
        <v>Very High</v>
      </c>
      <c r="X975" t="s">
        <v>44</v>
      </c>
      <c r="Y975" s="2">
        <v>5363</v>
      </c>
      <c r="Z975" s="2">
        <v>10846</v>
      </c>
      <c r="AA975">
        <v>0</v>
      </c>
      <c r="AB975" t="s">
        <v>39</v>
      </c>
      <c r="AC975">
        <v>12</v>
      </c>
      <c r="AD975">
        <v>3</v>
      </c>
      <c r="AE975" t="str" cm="1">
        <f t="array" ref="AE975">_xlfn.IFS(AD975=1,"Low",AD975=2,"Good",AD975=3,"Excellent",AD975=4,"Outstanding")</f>
        <v>Excellent</v>
      </c>
      <c r="AF975">
        <v>2</v>
      </c>
      <c r="AG975" t="str" cm="1">
        <f t="array" ref="AG975">_xlfn.IFS(AF975=1,"Low",AF975=2,"Medium",AF975=3,"High",AF975=4,"Very High")</f>
        <v>Medium</v>
      </c>
      <c r="AH975">
        <v>1</v>
      </c>
      <c r="AI975">
        <v>10</v>
      </c>
      <c r="AJ975">
        <v>0</v>
      </c>
      <c r="AK975">
        <v>3</v>
      </c>
      <c r="AL975" t="str" cm="1">
        <f t="array" ref="AL975">_xlfn.IFS(AK975=1,"Low",AK975=2,"Medium",AK975=3,"High",AK975=4,"Very High")</f>
        <v>High</v>
      </c>
      <c r="AM975">
        <v>9</v>
      </c>
      <c r="AN975">
        <v>7</v>
      </c>
      <c r="AO975">
        <v>0</v>
      </c>
      <c r="AP975">
        <v>0</v>
      </c>
    </row>
    <row r="976" spans="1:42">
      <c r="A976">
        <v>27</v>
      </c>
      <c r="B976" t="str" cm="1">
        <f t="array" ref="B976">_xlfn.IFS(A976&lt;=25,"18-25",A976&lt;=35,"26-35",A976&lt;=45,"36-45",A976&lt;=55,"46-55",A976&gt;55,"56+")</f>
        <v>26-35</v>
      </c>
      <c r="C976" t="s">
        <v>39</v>
      </c>
      <c r="D976" t="s">
        <v>40</v>
      </c>
      <c r="E976" s="2">
        <v>793</v>
      </c>
      <c r="F976" t="s">
        <v>34</v>
      </c>
      <c r="G976">
        <v>2</v>
      </c>
      <c r="H976" t="str">
        <f t="shared" si="15"/>
        <v>1-10 km</v>
      </c>
      <c r="I976">
        <v>1</v>
      </c>
      <c r="J976" t="str" cm="1">
        <f t="array" ref="J976">_xlfn.IFS(I976=1,"Below College",I976=2,"College",I976=3,"Bachelor",I976=4,"Master",I976=5,"Doctor")</f>
        <v>Below College</v>
      </c>
      <c r="K976" t="s">
        <v>35</v>
      </c>
      <c r="L976">
        <v>1371</v>
      </c>
      <c r="M976">
        <v>4</v>
      </c>
      <c r="N976" t="str" cm="1">
        <f t="array" ref="N976">_xlfn.IFS(M976=1,"Low",M976=2,"Medium",M976=3,"High",M976=4,"Very High")</f>
        <v>Very High</v>
      </c>
      <c r="O976" t="s">
        <v>42</v>
      </c>
      <c r="P976" s="2">
        <v>43</v>
      </c>
      <c r="Q976">
        <v>1</v>
      </c>
      <c r="R976" t="str" cm="1">
        <f t="array" ref="R976">_xlfn.IFS(Q976=1,"Low",Q976=2,"Medium",Q976=3,"High",Q976=4,"Very High")</f>
        <v>Low</v>
      </c>
      <c r="S976">
        <v>2</v>
      </c>
      <c r="T976" t="str" cm="1">
        <f t="array" ref="T976">_xlfn.IFS(S976=1,"Entry Level",S976=2,"Junior",S976=3,"Mid-Level",S976=4,"Senior",S976=5,"Executive")</f>
        <v>Junior</v>
      </c>
      <c r="U976" t="s">
        <v>37</v>
      </c>
      <c r="V976">
        <v>4</v>
      </c>
      <c r="W976" t="str" cm="1">
        <f t="array" ref="W976">_xlfn.IFS(V976=1,"Low",V976=2,"Medium",V976=3,"High",V976=4,"Very High")</f>
        <v>Very High</v>
      </c>
      <c r="X976" t="s">
        <v>38</v>
      </c>
      <c r="Y976" s="2">
        <v>5071</v>
      </c>
      <c r="Z976" s="2">
        <v>20392</v>
      </c>
      <c r="AA976">
        <v>3</v>
      </c>
      <c r="AB976" t="s">
        <v>39</v>
      </c>
      <c r="AC976">
        <v>20</v>
      </c>
      <c r="AD976">
        <v>4</v>
      </c>
      <c r="AE976" t="str" cm="1">
        <f t="array" ref="AE976">_xlfn.IFS(AD976=1,"Low",AD976=2,"Good",AD976=3,"Excellent",AD976=4,"Outstanding")</f>
        <v>Outstanding</v>
      </c>
      <c r="AF976">
        <v>2</v>
      </c>
      <c r="AG976" t="str" cm="1">
        <f t="array" ref="AG976">_xlfn.IFS(AF976=1,"Low",AF976=2,"Medium",AF976=3,"High",AF976=4,"Very High")</f>
        <v>Medium</v>
      </c>
      <c r="AH976">
        <v>0</v>
      </c>
      <c r="AI976">
        <v>8</v>
      </c>
      <c r="AJ976">
        <v>3</v>
      </c>
      <c r="AK976">
        <v>3</v>
      </c>
      <c r="AL976" t="str" cm="1">
        <f t="array" ref="AL976">_xlfn.IFS(AK976=1,"Low",AK976=2,"Medium",AK976=3,"High",AK976=4,"Very High")</f>
        <v>High</v>
      </c>
      <c r="AM976">
        <v>6</v>
      </c>
      <c r="AN976">
        <v>2</v>
      </c>
      <c r="AO976">
        <v>0</v>
      </c>
      <c r="AP976">
        <v>0</v>
      </c>
    </row>
    <row r="977" spans="1:42">
      <c r="A977">
        <v>55</v>
      </c>
      <c r="B977" t="str" cm="1">
        <f t="array" ref="B977">_xlfn.IFS(A977&lt;=25,"18-25",A977&lt;=35,"26-35",A977&lt;=45,"36-45",A977&lt;=55,"46-55",A977&gt;55,"56+")</f>
        <v>46-55</v>
      </c>
      <c r="C977" t="s">
        <v>32</v>
      </c>
      <c r="D977" t="s">
        <v>33</v>
      </c>
      <c r="E977" s="2">
        <v>267</v>
      </c>
      <c r="F977" t="s">
        <v>34</v>
      </c>
      <c r="G977">
        <v>13</v>
      </c>
      <c r="H977" t="str">
        <f t="shared" si="15"/>
        <v>11-20 km</v>
      </c>
      <c r="I977">
        <v>4</v>
      </c>
      <c r="J977" t="str" cm="1">
        <f t="array" ref="J977">_xlfn.IFS(I977=1,"Below College",I977=2,"College",I977=3,"Bachelor",I977=4,"Master",I977=5,"Doctor")</f>
        <v>Master</v>
      </c>
      <c r="K977" t="s">
        <v>55</v>
      </c>
      <c r="L977">
        <v>1372</v>
      </c>
      <c r="M977">
        <v>1</v>
      </c>
      <c r="N977" t="str" cm="1">
        <f t="array" ref="N977">_xlfn.IFS(M977=1,"Low",M977=2,"Medium",M977=3,"High",M977=4,"Very High")</f>
        <v>Low</v>
      </c>
      <c r="O977" t="s">
        <v>42</v>
      </c>
      <c r="P977" s="2">
        <v>85</v>
      </c>
      <c r="Q977">
        <v>4</v>
      </c>
      <c r="R977" t="str" cm="1">
        <f t="array" ref="R977">_xlfn.IFS(Q977=1,"Low",Q977=2,"Medium",Q977=3,"High",Q977=4,"Very High")</f>
        <v>Very High</v>
      </c>
      <c r="S977">
        <v>4</v>
      </c>
      <c r="T977" t="str" cm="1">
        <f t="array" ref="T977">_xlfn.IFS(S977=1,"Entry Level",S977=2,"Junior",S977=3,"Mid-Level",S977=4,"Senior",S977=5,"Executive")</f>
        <v>Senior</v>
      </c>
      <c r="U977" t="s">
        <v>37</v>
      </c>
      <c r="V977">
        <v>3</v>
      </c>
      <c r="W977" t="str" cm="1">
        <f t="array" ref="W977">_xlfn.IFS(V977=1,"Low",V977=2,"Medium",V977=3,"High",V977=4,"Very High")</f>
        <v>High</v>
      </c>
      <c r="X977" t="s">
        <v>38</v>
      </c>
      <c r="Y977" s="2">
        <v>13695</v>
      </c>
      <c r="Z977" s="2">
        <v>9277</v>
      </c>
      <c r="AA977">
        <v>6</v>
      </c>
      <c r="AB977" t="s">
        <v>32</v>
      </c>
      <c r="AC977">
        <v>17</v>
      </c>
      <c r="AD977">
        <v>3</v>
      </c>
      <c r="AE977" t="str" cm="1">
        <f t="array" ref="AE977">_xlfn.IFS(AD977=1,"Low",AD977=2,"Good",AD977=3,"Excellent",AD977=4,"Outstanding")</f>
        <v>Excellent</v>
      </c>
      <c r="AF977">
        <v>3</v>
      </c>
      <c r="AG977" t="str" cm="1">
        <f t="array" ref="AG977">_xlfn.IFS(AF977=1,"Low",AF977=2,"Medium",AF977=3,"High",AF977=4,"Very High")</f>
        <v>High</v>
      </c>
      <c r="AH977">
        <v>0</v>
      </c>
      <c r="AI977">
        <v>24</v>
      </c>
      <c r="AJ977">
        <v>2</v>
      </c>
      <c r="AK977">
        <v>2</v>
      </c>
      <c r="AL977" t="str" cm="1">
        <f t="array" ref="AL977">_xlfn.IFS(AK977=1,"Low",AK977=2,"Medium",AK977=3,"High",AK977=4,"Very High")</f>
        <v>Medium</v>
      </c>
      <c r="AM977">
        <v>19</v>
      </c>
      <c r="AN977">
        <v>7</v>
      </c>
      <c r="AO977">
        <v>3</v>
      </c>
      <c r="AP977">
        <v>8</v>
      </c>
    </row>
    <row r="978" spans="1:42">
      <c r="A978">
        <v>56</v>
      </c>
      <c r="B978" t="str" cm="1">
        <f t="array" ref="B978">_xlfn.IFS(A978&lt;=25,"18-25",A978&lt;=35,"26-35",A978&lt;=45,"36-45",A978&lt;=55,"46-55",A978&gt;55,"56+")</f>
        <v>56+</v>
      </c>
      <c r="C978" t="s">
        <v>39</v>
      </c>
      <c r="D978" t="s">
        <v>33</v>
      </c>
      <c r="E978" s="2">
        <v>1369</v>
      </c>
      <c r="F978" t="s">
        <v>41</v>
      </c>
      <c r="G978">
        <v>23</v>
      </c>
      <c r="H978" t="str">
        <f t="shared" si="15"/>
        <v>21-30 km</v>
      </c>
      <c r="I978">
        <v>3</v>
      </c>
      <c r="J978" t="str" cm="1">
        <f t="array" ref="J978">_xlfn.IFS(I978=1,"Below College",I978=2,"College",I978=3,"Bachelor",I978=4,"Master",I978=5,"Doctor")</f>
        <v>Bachelor</v>
      </c>
      <c r="K978" t="s">
        <v>35</v>
      </c>
      <c r="L978">
        <v>1373</v>
      </c>
      <c r="M978">
        <v>4</v>
      </c>
      <c r="N978" t="str" cm="1">
        <f t="array" ref="N978">_xlfn.IFS(M978=1,"Low",M978=2,"Medium",M978=3,"High",M978=4,"Very High")</f>
        <v>Very High</v>
      </c>
      <c r="O978" t="s">
        <v>42</v>
      </c>
      <c r="P978" s="2">
        <v>68</v>
      </c>
      <c r="Q978">
        <v>3</v>
      </c>
      <c r="R978" t="str" cm="1">
        <f t="array" ref="R978">_xlfn.IFS(Q978=1,"Low",Q978=2,"Medium",Q978=3,"High",Q978=4,"Very High")</f>
        <v>High</v>
      </c>
      <c r="S978">
        <v>4</v>
      </c>
      <c r="T978" t="str" cm="1">
        <f t="array" ref="T978">_xlfn.IFS(S978=1,"Entry Level",S978=2,"Junior",S978=3,"Mid-Level",S978=4,"Senior",S978=5,"Executive")</f>
        <v>Senior</v>
      </c>
      <c r="U978" t="s">
        <v>49</v>
      </c>
      <c r="V978">
        <v>2</v>
      </c>
      <c r="W978" t="str" cm="1">
        <f t="array" ref="W978">_xlfn.IFS(V978=1,"Low",V978=2,"Medium",V978=3,"High",V978=4,"Very High")</f>
        <v>Medium</v>
      </c>
      <c r="X978" t="s">
        <v>44</v>
      </c>
      <c r="Y978" s="2">
        <v>13402</v>
      </c>
      <c r="Z978" s="2">
        <v>18235</v>
      </c>
      <c r="AA978">
        <v>4</v>
      </c>
      <c r="AB978" t="s">
        <v>32</v>
      </c>
      <c r="AC978">
        <v>12</v>
      </c>
      <c r="AD978">
        <v>3</v>
      </c>
      <c r="AE978" t="str" cm="1">
        <f t="array" ref="AE978">_xlfn.IFS(AD978=1,"Low",AD978=2,"Good",AD978=3,"Excellent",AD978=4,"Outstanding")</f>
        <v>Excellent</v>
      </c>
      <c r="AF978">
        <v>1</v>
      </c>
      <c r="AG978" t="str" cm="1">
        <f t="array" ref="AG978">_xlfn.IFS(AF978=1,"Low",AF978=2,"Medium",AF978=3,"High",AF978=4,"Very High")</f>
        <v>Low</v>
      </c>
      <c r="AH978">
        <v>1</v>
      </c>
      <c r="AI978">
        <v>33</v>
      </c>
      <c r="AJ978">
        <v>0</v>
      </c>
      <c r="AK978">
        <v>3</v>
      </c>
      <c r="AL978" t="str" cm="1">
        <f t="array" ref="AL978">_xlfn.IFS(AK978=1,"Low",AK978=2,"Medium",AK978=3,"High",AK978=4,"Very High")</f>
        <v>High</v>
      </c>
      <c r="AM978">
        <v>19</v>
      </c>
      <c r="AN978">
        <v>16</v>
      </c>
      <c r="AO978">
        <v>15</v>
      </c>
      <c r="AP978">
        <v>9</v>
      </c>
    </row>
    <row r="979" spans="1:42">
      <c r="A979">
        <v>34</v>
      </c>
      <c r="B979" t="str" cm="1">
        <f t="array" ref="B979">_xlfn.IFS(A979&lt;=25,"18-25",A979&lt;=35,"26-35",A979&lt;=45,"36-45",A979&lt;=55,"46-55",A979&gt;55,"56+")</f>
        <v>26-35</v>
      </c>
      <c r="C979" t="s">
        <v>39</v>
      </c>
      <c r="D979" t="s">
        <v>51</v>
      </c>
      <c r="E979" s="2">
        <v>999</v>
      </c>
      <c r="F979" t="s">
        <v>41</v>
      </c>
      <c r="G979">
        <v>26</v>
      </c>
      <c r="H979" t="str">
        <f t="shared" si="15"/>
        <v>21-30 km</v>
      </c>
      <c r="I979">
        <v>1</v>
      </c>
      <c r="J979" t="str" cm="1">
        <f t="array" ref="J979">_xlfn.IFS(I979=1,"Below College",I979=2,"College",I979=3,"Bachelor",I979=4,"Master",I979=5,"Doctor")</f>
        <v>Below College</v>
      </c>
      <c r="K979" t="s">
        <v>56</v>
      </c>
      <c r="L979">
        <v>1374</v>
      </c>
      <c r="M979">
        <v>1</v>
      </c>
      <c r="N979" t="str" cm="1">
        <f t="array" ref="N979">_xlfn.IFS(M979=1,"Low",M979=2,"Medium",M979=3,"High",M979=4,"Very High")</f>
        <v>Low</v>
      </c>
      <c r="O979" t="s">
        <v>36</v>
      </c>
      <c r="P979" s="2">
        <v>92</v>
      </c>
      <c r="Q979">
        <v>2</v>
      </c>
      <c r="R979" t="str" cm="1">
        <f t="array" ref="R979">_xlfn.IFS(Q979=1,"Low",Q979=2,"Medium",Q979=3,"High",Q979=4,"Very High")</f>
        <v>Medium</v>
      </c>
      <c r="S979">
        <v>1</v>
      </c>
      <c r="T979" t="str" cm="1">
        <f t="array" ref="T979">_xlfn.IFS(S979=1,"Entry Level",S979=2,"Junior",S979=3,"Mid-Level",S979=4,"Senior",S979=5,"Executive")</f>
        <v>Entry Level</v>
      </c>
      <c r="U979" t="s">
        <v>43</v>
      </c>
      <c r="V979">
        <v>3</v>
      </c>
      <c r="W979" t="str" cm="1">
        <f t="array" ref="W979">_xlfn.IFS(V979=1,"Low",V979=2,"Medium",V979=3,"High",V979=4,"Very High")</f>
        <v>High</v>
      </c>
      <c r="X979" t="s">
        <v>48</v>
      </c>
      <c r="Y979" s="2">
        <v>2029</v>
      </c>
      <c r="Z979" s="2">
        <v>15891</v>
      </c>
      <c r="AA979">
        <v>1</v>
      </c>
      <c r="AB979" t="s">
        <v>39</v>
      </c>
      <c r="AC979">
        <v>20</v>
      </c>
      <c r="AD979">
        <v>4</v>
      </c>
      <c r="AE979" t="str" cm="1">
        <f t="array" ref="AE979">_xlfn.IFS(AD979=1,"Low",AD979=2,"Good",AD979=3,"Excellent",AD979=4,"Outstanding")</f>
        <v>Outstanding</v>
      </c>
      <c r="AF979">
        <v>3</v>
      </c>
      <c r="AG979" t="str" cm="1">
        <f t="array" ref="AG979">_xlfn.IFS(AF979=1,"Low",AF979=2,"Medium",AF979=3,"High",AF979=4,"Very High")</f>
        <v>High</v>
      </c>
      <c r="AH979">
        <v>3</v>
      </c>
      <c r="AI979">
        <v>5</v>
      </c>
      <c r="AJ979">
        <v>2</v>
      </c>
      <c r="AK979">
        <v>3</v>
      </c>
      <c r="AL979" t="str" cm="1">
        <f t="array" ref="AL979">_xlfn.IFS(AK979=1,"Low",AK979=2,"Medium",AK979=3,"High",AK979=4,"Very High")</f>
        <v>High</v>
      </c>
      <c r="AM979">
        <v>5</v>
      </c>
      <c r="AN979">
        <v>4</v>
      </c>
      <c r="AO979">
        <v>0</v>
      </c>
      <c r="AP979">
        <v>0</v>
      </c>
    </row>
    <row r="980" spans="1:42">
      <c r="A980">
        <v>40</v>
      </c>
      <c r="B980" t="str" cm="1">
        <f t="array" ref="B980">_xlfn.IFS(A980&lt;=25,"18-25",A980&lt;=35,"26-35",A980&lt;=45,"36-45",A980&lt;=55,"46-55",A980&gt;55,"56+")</f>
        <v>36-45</v>
      </c>
      <c r="C980" t="s">
        <v>39</v>
      </c>
      <c r="D980" t="s">
        <v>33</v>
      </c>
      <c r="E980" s="2">
        <v>1202</v>
      </c>
      <c r="F980" t="s">
        <v>41</v>
      </c>
      <c r="G980">
        <v>2</v>
      </c>
      <c r="H980" t="str">
        <f t="shared" si="15"/>
        <v>1-10 km</v>
      </c>
      <c r="I980">
        <v>1</v>
      </c>
      <c r="J980" t="str" cm="1">
        <f t="array" ref="J980">_xlfn.IFS(I980=1,"Below College",I980=2,"College",I980=3,"Bachelor",I980=4,"Master",I980=5,"Doctor")</f>
        <v>Below College</v>
      </c>
      <c r="K980" t="s">
        <v>47</v>
      </c>
      <c r="L980">
        <v>1375</v>
      </c>
      <c r="M980">
        <v>2</v>
      </c>
      <c r="N980" t="str" cm="1">
        <f t="array" ref="N980">_xlfn.IFS(M980=1,"Low",M980=2,"Medium",M980=3,"High",M980=4,"Very High")</f>
        <v>Medium</v>
      </c>
      <c r="O980" t="s">
        <v>36</v>
      </c>
      <c r="P980" s="2">
        <v>89</v>
      </c>
      <c r="Q980">
        <v>4</v>
      </c>
      <c r="R980" t="str" cm="1">
        <f t="array" ref="R980">_xlfn.IFS(Q980=1,"Low",Q980=2,"Medium",Q980=3,"High",Q980=4,"Very High")</f>
        <v>Very High</v>
      </c>
      <c r="S980">
        <v>2</v>
      </c>
      <c r="T980" t="str" cm="1">
        <f t="array" ref="T980">_xlfn.IFS(S980=1,"Entry Level",S980=2,"Junior",S980=3,"Mid-Level",S980=4,"Senior",S980=5,"Executive")</f>
        <v>Junior</v>
      </c>
      <c r="U980" t="s">
        <v>50</v>
      </c>
      <c r="V980">
        <v>3</v>
      </c>
      <c r="W980" t="str" cm="1">
        <f t="array" ref="W980">_xlfn.IFS(V980=1,"Low",V980=2,"Medium",V980=3,"High",V980=4,"Very High")</f>
        <v>High</v>
      </c>
      <c r="X980" t="s">
        <v>48</v>
      </c>
      <c r="Y980" s="2">
        <v>6377</v>
      </c>
      <c r="Z980" s="2">
        <v>13888</v>
      </c>
      <c r="AA980">
        <v>5</v>
      </c>
      <c r="AB980" t="s">
        <v>39</v>
      </c>
      <c r="AC980">
        <v>20</v>
      </c>
      <c r="AD980">
        <v>4</v>
      </c>
      <c r="AE980" t="str" cm="1">
        <f t="array" ref="AE980">_xlfn.IFS(AD980=1,"Low",AD980=2,"Good",AD980=3,"Excellent",AD980=4,"Outstanding")</f>
        <v>Outstanding</v>
      </c>
      <c r="AF980">
        <v>2</v>
      </c>
      <c r="AG980" t="str" cm="1">
        <f t="array" ref="AG980">_xlfn.IFS(AF980=1,"Low",AF980=2,"Medium",AF980=3,"High",AF980=4,"Very High")</f>
        <v>Medium</v>
      </c>
      <c r="AH980">
        <v>3</v>
      </c>
      <c r="AI980">
        <v>15</v>
      </c>
      <c r="AJ980">
        <v>0</v>
      </c>
      <c r="AK980">
        <v>3</v>
      </c>
      <c r="AL980" t="str" cm="1">
        <f t="array" ref="AL980">_xlfn.IFS(AK980=1,"Low",AK980=2,"Medium",AK980=3,"High",AK980=4,"Very High")</f>
        <v>High</v>
      </c>
      <c r="AM980">
        <v>12</v>
      </c>
      <c r="AN980">
        <v>11</v>
      </c>
      <c r="AO980">
        <v>11</v>
      </c>
      <c r="AP980">
        <v>8</v>
      </c>
    </row>
    <row r="981" spans="1:42">
      <c r="A981">
        <v>34</v>
      </c>
      <c r="B981" t="str" cm="1">
        <f t="array" ref="B981">_xlfn.IFS(A981&lt;=25,"18-25",A981&lt;=35,"26-35",A981&lt;=45,"36-45",A981&lt;=55,"46-55",A981&gt;55,"56+")</f>
        <v>26-35</v>
      </c>
      <c r="C981" t="s">
        <v>39</v>
      </c>
      <c r="D981" t="s">
        <v>33</v>
      </c>
      <c r="E981" s="2">
        <v>285</v>
      </c>
      <c r="F981" t="s">
        <v>41</v>
      </c>
      <c r="G981">
        <v>29</v>
      </c>
      <c r="H981" t="str">
        <f t="shared" si="15"/>
        <v>21-30 km</v>
      </c>
      <c r="I981">
        <v>3</v>
      </c>
      <c r="J981" t="str" cm="1">
        <f t="array" ref="J981">_xlfn.IFS(I981=1,"Below College",I981=2,"College",I981=3,"Bachelor",I981=4,"Master",I981=5,"Doctor")</f>
        <v>Bachelor</v>
      </c>
      <c r="K981" t="s">
        <v>47</v>
      </c>
      <c r="L981">
        <v>1377</v>
      </c>
      <c r="M981">
        <v>2</v>
      </c>
      <c r="N981" t="str" cm="1">
        <f t="array" ref="N981">_xlfn.IFS(M981=1,"Low",M981=2,"Medium",M981=3,"High",M981=4,"Very High")</f>
        <v>Medium</v>
      </c>
      <c r="O981" t="s">
        <v>42</v>
      </c>
      <c r="P981" s="2">
        <v>86</v>
      </c>
      <c r="Q981">
        <v>3</v>
      </c>
      <c r="R981" t="str" cm="1">
        <f t="array" ref="R981">_xlfn.IFS(Q981=1,"Low",Q981=2,"Medium",Q981=3,"High",Q981=4,"Very High")</f>
        <v>High</v>
      </c>
      <c r="S981">
        <v>2</v>
      </c>
      <c r="T981" t="str" cm="1">
        <f t="array" ref="T981">_xlfn.IFS(S981=1,"Entry Level",S981=2,"Junior",S981=3,"Mid-Level",S981=4,"Senior",S981=5,"Executive")</f>
        <v>Junior</v>
      </c>
      <c r="U981" t="s">
        <v>46</v>
      </c>
      <c r="V981">
        <v>3</v>
      </c>
      <c r="W981" t="str" cm="1">
        <f t="array" ref="W981">_xlfn.IFS(V981=1,"Low",V981=2,"Medium",V981=3,"High",V981=4,"Very High")</f>
        <v>High</v>
      </c>
      <c r="X981" t="s">
        <v>44</v>
      </c>
      <c r="Y981" s="2">
        <v>5429</v>
      </c>
      <c r="Z981" s="2">
        <v>17491</v>
      </c>
      <c r="AA981">
        <v>4</v>
      </c>
      <c r="AB981" t="s">
        <v>39</v>
      </c>
      <c r="AC981">
        <v>13</v>
      </c>
      <c r="AD981">
        <v>3</v>
      </c>
      <c r="AE981" t="str" cm="1">
        <f t="array" ref="AE981">_xlfn.IFS(AD981=1,"Low",AD981=2,"Good",AD981=3,"Excellent",AD981=4,"Outstanding")</f>
        <v>Excellent</v>
      </c>
      <c r="AF981">
        <v>1</v>
      </c>
      <c r="AG981" t="str" cm="1">
        <f t="array" ref="AG981">_xlfn.IFS(AF981=1,"Low",AF981=2,"Medium",AF981=3,"High",AF981=4,"Very High")</f>
        <v>Low</v>
      </c>
      <c r="AH981">
        <v>2</v>
      </c>
      <c r="AI981">
        <v>10</v>
      </c>
      <c r="AJ981">
        <v>1</v>
      </c>
      <c r="AK981">
        <v>3</v>
      </c>
      <c r="AL981" t="str" cm="1">
        <f t="array" ref="AL981">_xlfn.IFS(AK981=1,"Low",AK981=2,"Medium",AK981=3,"High",AK981=4,"Very High")</f>
        <v>High</v>
      </c>
      <c r="AM981">
        <v>8</v>
      </c>
      <c r="AN981">
        <v>7</v>
      </c>
      <c r="AO981">
        <v>7</v>
      </c>
      <c r="AP981">
        <v>7</v>
      </c>
    </row>
    <row r="982" spans="1:42">
      <c r="A982">
        <v>31</v>
      </c>
      <c r="B982" t="str" cm="1">
        <f t="array" ref="B982">_xlfn.IFS(A982&lt;=25,"18-25",A982&lt;=35,"26-35",A982&lt;=45,"36-45",A982&lt;=55,"46-55",A982&gt;55,"56+")</f>
        <v>26-35</v>
      </c>
      <c r="C982" t="s">
        <v>32</v>
      </c>
      <c r="D982" t="s">
        <v>40</v>
      </c>
      <c r="E982" s="2">
        <v>703</v>
      </c>
      <c r="F982" t="s">
        <v>34</v>
      </c>
      <c r="G982">
        <v>2</v>
      </c>
      <c r="H982" t="str">
        <f t="shared" si="15"/>
        <v>1-10 km</v>
      </c>
      <c r="I982">
        <v>3</v>
      </c>
      <c r="J982" t="str" cm="1">
        <f t="array" ref="J982">_xlfn.IFS(I982=1,"Below College",I982=2,"College",I982=3,"Bachelor",I982=4,"Master",I982=5,"Doctor")</f>
        <v>Bachelor</v>
      </c>
      <c r="K982" t="s">
        <v>35</v>
      </c>
      <c r="L982">
        <v>1379</v>
      </c>
      <c r="M982">
        <v>3</v>
      </c>
      <c r="N982" t="str" cm="1">
        <f t="array" ref="N982">_xlfn.IFS(M982=1,"Low",M982=2,"Medium",M982=3,"High",M982=4,"Very High")</f>
        <v>High</v>
      </c>
      <c r="O982" t="s">
        <v>36</v>
      </c>
      <c r="P982" s="2">
        <v>90</v>
      </c>
      <c r="Q982">
        <v>2</v>
      </c>
      <c r="R982" t="str" cm="1">
        <f t="array" ref="R982">_xlfn.IFS(Q982=1,"Low",Q982=2,"Medium",Q982=3,"High",Q982=4,"Very High")</f>
        <v>Medium</v>
      </c>
      <c r="S982">
        <v>1</v>
      </c>
      <c r="T982" t="str" cm="1">
        <f t="array" ref="T982">_xlfn.IFS(S982=1,"Entry Level",S982=2,"Junior",S982=3,"Mid-Level",S982=4,"Senior",S982=5,"Executive")</f>
        <v>Entry Level</v>
      </c>
      <c r="U982" t="s">
        <v>53</v>
      </c>
      <c r="V982">
        <v>4</v>
      </c>
      <c r="W982" t="str" cm="1">
        <f t="array" ref="W982">_xlfn.IFS(V982=1,"Low",V982=2,"Medium",V982=3,"High",V982=4,"Very High")</f>
        <v>Very High</v>
      </c>
      <c r="X982" t="s">
        <v>38</v>
      </c>
      <c r="Y982" s="2">
        <v>2785</v>
      </c>
      <c r="Z982" s="2">
        <v>11882</v>
      </c>
      <c r="AA982">
        <v>7</v>
      </c>
      <c r="AB982" t="s">
        <v>39</v>
      </c>
      <c r="AC982">
        <v>14</v>
      </c>
      <c r="AD982">
        <v>3</v>
      </c>
      <c r="AE982" t="str" cm="1">
        <f t="array" ref="AE982">_xlfn.IFS(AD982=1,"Low",AD982=2,"Good",AD982=3,"Excellent",AD982=4,"Outstanding")</f>
        <v>Excellent</v>
      </c>
      <c r="AF982">
        <v>3</v>
      </c>
      <c r="AG982" t="str" cm="1">
        <f t="array" ref="AG982">_xlfn.IFS(AF982=1,"Low",AF982=2,"Medium",AF982=3,"High",AF982=4,"Very High")</f>
        <v>High</v>
      </c>
      <c r="AH982">
        <v>0</v>
      </c>
      <c r="AI982">
        <v>3</v>
      </c>
      <c r="AJ982">
        <v>3</v>
      </c>
      <c r="AK982">
        <v>4</v>
      </c>
      <c r="AL982" t="str" cm="1">
        <f t="array" ref="AL982">_xlfn.IFS(AK982=1,"Low",AK982=2,"Medium",AK982=3,"High",AK982=4,"Very High")</f>
        <v>Very High</v>
      </c>
      <c r="AM982">
        <v>1</v>
      </c>
      <c r="AN982">
        <v>0</v>
      </c>
      <c r="AO982">
        <v>0</v>
      </c>
      <c r="AP982">
        <v>0</v>
      </c>
    </row>
    <row r="983" spans="1:42">
      <c r="A983">
        <v>35</v>
      </c>
      <c r="B983" t="str" cm="1">
        <f t="array" ref="B983">_xlfn.IFS(A983&lt;=25,"18-25",A983&lt;=35,"26-35",A983&lt;=45,"36-45",A983&lt;=55,"46-55",A983&gt;55,"56+")</f>
        <v>26-35</v>
      </c>
      <c r="C983" t="s">
        <v>32</v>
      </c>
      <c r="D983" t="s">
        <v>40</v>
      </c>
      <c r="E983" s="2">
        <v>662</v>
      </c>
      <c r="F983" t="s">
        <v>34</v>
      </c>
      <c r="G983">
        <v>18</v>
      </c>
      <c r="H983" t="str">
        <f t="shared" si="15"/>
        <v>11-20 km</v>
      </c>
      <c r="I983">
        <v>4</v>
      </c>
      <c r="J983" t="str" cm="1">
        <f t="array" ref="J983">_xlfn.IFS(I983=1,"Below College",I983=2,"College",I983=3,"Bachelor",I983=4,"Master",I983=5,"Doctor")</f>
        <v>Master</v>
      </c>
      <c r="K983" t="s">
        <v>55</v>
      </c>
      <c r="L983">
        <v>1380</v>
      </c>
      <c r="M983">
        <v>4</v>
      </c>
      <c r="N983" t="str" cm="1">
        <f t="array" ref="N983">_xlfn.IFS(M983=1,"Low",M983=2,"Medium",M983=3,"High",M983=4,"Very High")</f>
        <v>Very High</v>
      </c>
      <c r="O983" t="s">
        <v>36</v>
      </c>
      <c r="P983" s="2">
        <v>67</v>
      </c>
      <c r="Q983">
        <v>3</v>
      </c>
      <c r="R983" t="str" cm="1">
        <f t="array" ref="R983">_xlfn.IFS(Q983=1,"Low",Q983=2,"Medium",Q983=3,"High",Q983=4,"Very High")</f>
        <v>High</v>
      </c>
      <c r="S983">
        <v>2</v>
      </c>
      <c r="T983" t="str" cm="1">
        <f t="array" ref="T983">_xlfn.IFS(S983=1,"Entry Level",S983=2,"Junior",S983=3,"Mid-Level",S983=4,"Senior",S983=5,"Executive")</f>
        <v>Junior</v>
      </c>
      <c r="U983" t="s">
        <v>37</v>
      </c>
      <c r="V983">
        <v>3</v>
      </c>
      <c r="W983" t="str" cm="1">
        <f t="array" ref="W983">_xlfn.IFS(V983=1,"Low",V983=2,"Medium",V983=3,"High",V983=4,"Very High")</f>
        <v>High</v>
      </c>
      <c r="X983" t="s">
        <v>44</v>
      </c>
      <c r="Y983" s="2">
        <v>4614</v>
      </c>
      <c r="Z983" s="2">
        <v>23288</v>
      </c>
      <c r="AA983">
        <v>0</v>
      </c>
      <c r="AB983" t="s">
        <v>32</v>
      </c>
      <c r="AC983">
        <v>18</v>
      </c>
      <c r="AD983">
        <v>3</v>
      </c>
      <c r="AE983" t="str" cm="1">
        <f t="array" ref="AE983">_xlfn.IFS(AD983=1,"Low",AD983=2,"Good",AD983=3,"Excellent",AD983=4,"Outstanding")</f>
        <v>Excellent</v>
      </c>
      <c r="AF983">
        <v>3</v>
      </c>
      <c r="AG983" t="str" cm="1">
        <f t="array" ref="AG983">_xlfn.IFS(AF983=1,"Low",AF983=2,"Medium",AF983=3,"High",AF983=4,"Very High")</f>
        <v>High</v>
      </c>
      <c r="AH983">
        <v>1</v>
      </c>
      <c r="AI983">
        <v>5</v>
      </c>
      <c r="AJ983">
        <v>0</v>
      </c>
      <c r="AK983">
        <v>2</v>
      </c>
      <c r="AL983" t="str" cm="1">
        <f t="array" ref="AL983">_xlfn.IFS(AK983=1,"Low",AK983=2,"Medium",AK983=3,"High",AK983=4,"Very High")</f>
        <v>Medium</v>
      </c>
      <c r="AM983">
        <v>4</v>
      </c>
      <c r="AN983">
        <v>2</v>
      </c>
      <c r="AO983">
        <v>3</v>
      </c>
      <c r="AP983">
        <v>2</v>
      </c>
    </row>
    <row r="984" spans="1:42">
      <c r="A984">
        <v>38</v>
      </c>
      <c r="B984" t="str" cm="1">
        <f t="array" ref="B984">_xlfn.IFS(A984&lt;=25,"18-25",A984&lt;=35,"26-35",A984&lt;=45,"36-45",A984&lt;=55,"46-55",A984&gt;55,"56+")</f>
        <v>36-45</v>
      </c>
      <c r="C984" t="s">
        <v>39</v>
      </c>
      <c r="D984" t="s">
        <v>40</v>
      </c>
      <c r="E984" s="2">
        <v>693</v>
      </c>
      <c r="F984" t="s">
        <v>41</v>
      </c>
      <c r="G984">
        <v>7</v>
      </c>
      <c r="H984" t="str">
        <f t="shared" si="15"/>
        <v>1-10 km</v>
      </c>
      <c r="I984">
        <v>3</v>
      </c>
      <c r="J984" t="str" cm="1">
        <f t="array" ref="J984">_xlfn.IFS(I984=1,"Below College",I984=2,"College",I984=3,"Bachelor",I984=4,"Master",I984=5,"Doctor")</f>
        <v>Bachelor</v>
      </c>
      <c r="K984" t="s">
        <v>35</v>
      </c>
      <c r="L984">
        <v>1382</v>
      </c>
      <c r="M984">
        <v>4</v>
      </c>
      <c r="N984" t="str" cm="1">
        <f t="array" ref="N984">_xlfn.IFS(M984=1,"Low",M984=2,"Medium",M984=3,"High",M984=4,"Very High")</f>
        <v>Very High</v>
      </c>
      <c r="O984" t="s">
        <v>42</v>
      </c>
      <c r="P984" s="2">
        <v>57</v>
      </c>
      <c r="Q984">
        <v>4</v>
      </c>
      <c r="R984" t="str" cm="1">
        <f t="array" ref="R984">_xlfn.IFS(Q984=1,"Low",Q984=2,"Medium",Q984=3,"High",Q984=4,"Very High")</f>
        <v>Very High</v>
      </c>
      <c r="S984">
        <v>1</v>
      </c>
      <c r="T984" t="str" cm="1">
        <f t="array" ref="T984">_xlfn.IFS(S984=1,"Entry Level",S984=2,"Junior",S984=3,"Mid-Level",S984=4,"Senior",S984=5,"Executive")</f>
        <v>Entry Level</v>
      </c>
      <c r="U984" t="s">
        <v>43</v>
      </c>
      <c r="V984">
        <v>3</v>
      </c>
      <c r="W984" t="str" cm="1">
        <f t="array" ref="W984">_xlfn.IFS(V984=1,"Low",V984=2,"Medium",V984=3,"High",V984=4,"Very High")</f>
        <v>High</v>
      </c>
      <c r="X984" t="s">
        <v>48</v>
      </c>
      <c r="Y984" s="2">
        <v>2610</v>
      </c>
      <c r="Z984" s="2">
        <v>15748</v>
      </c>
      <c r="AA984">
        <v>1</v>
      </c>
      <c r="AB984" t="s">
        <v>39</v>
      </c>
      <c r="AC984">
        <v>11</v>
      </c>
      <c r="AD984">
        <v>3</v>
      </c>
      <c r="AE984" t="str" cm="1">
        <f t="array" ref="AE984">_xlfn.IFS(AD984=1,"Low",AD984=2,"Good",AD984=3,"Excellent",AD984=4,"Outstanding")</f>
        <v>Excellent</v>
      </c>
      <c r="AF984">
        <v>4</v>
      </c>
      <c r="AG984" t="str" cm="1">
        <f t="array" ref="AG984">_xlfn.IFS(AF984=1,"Low",AF984=2,"Medium",AF984=3,"High",AF984=4,"Very High")</f>
        <v>Very High</v>
      </c>
      <c r="AH984">
        <v>3</v>
      </c>
      <c r="AI984">
        <v>4</v>
      </c>
      <c r="AJ984">
        <v>2</v>
      </c>
      <c r="AK984">
        <v>3</v>
      </c>
      <c r="AL984" t="str" cm="1">
        <f t="array" ref="AL984">_xlfn.IFS(AK984=1,"Low",AK984=2,"Medium",AK984=3,"High",AK984=4,"Very High")</f>
        <v>High</v>
      </c>
      <c r="AM984">
        <v>4</v>
      </c>
      <c r="AN984">
        <v>2</v>
      </c>
      <c r="AO984">
        <v>0</v>
      </c>
      <c r="AP984">
        <v>3</v>
      </c>
    </row>
    <row r="985" spans="1:42">
      <c r="A985">
        <v>34</v>
      </c>
      <c r="B985" t="str" cm="1">
        <f t="array" ref="B985">_xlfn.IFS(A985&lt;=25,"18-25",A985&lt;=35,"26-35",A985&lt;=45,"36-45",A985&lt;=55,"46-55",A985&gt;55,"56+")</f>
        <v>26-35</v>
      </c>
      <c r="C985" t="s">
        <v>39</v>
      </c>
      <c r="D985" t="s">
        <v>33</v>
      </c>
      <c r="E985" s="2">
        <v>404</v>
      </c>
      <c r="F985" t="s">
        <v>41</v>
      </c>
      <c r="G985">
        <v>2</v>
      </c>
      <c r="H985" t="str">
        <f t="shared" si="15"/>
        <v>1-10 km</v>
      </c>
      <c r="I985">
        <v>4</v>
      </c>
      <c r="J985" t="str" cm="1">
        <f t="array" ref="J985">_xlfn.IFS(I985=1,"Below College",I985=2,"College",I985=3,"Bachelor",I985=4,"Master",I985=5,"Doctor")</f>
        <v>Master</v>
      </c>
      <c r="K985" t="s">
        <v>56</v>
      </c>
      <c r="L985">
        <v>1383</v>
      </c>
      <c r="M985">
        <v>3</v>
      </c>
      <c r="N985" t="str" cm="1">
        <f t="array" ref="N985">_xlfn.IFS(M985=1,"Low",M985=2,"Medium",M985=3,"High",M985=4,"Very High")</f>
        <v>High</v>
      </c>
      <c r="O985" t="s">
        <v>36</v>
      </c>
      <c r="P985" s="2">
        <v>98</v>
      </c>
      <c r="Q985">
        <v>3</v>
      </c>
      <c r="R985" t="str" cm="1">
        <f t="array" ref="R985">_xlfn.IFS(Q985=1,"Low",Q985=2,"Medium",Q985=3,"High",Q985=4,"Very High")</f>
        <v>High</v>
      </c>
      <c r="S985">
        <v>2</v>
      </c>
      <c r="T985" t="str" cm="1">
        <f t="array" ref="T985">_xlfn.IFS(S985=1,"Entry Level",S985=2,"Junior",S985=3,"Mid-Level",S985=4,"Senior",S985=5,"Executive")</f>
        <v>Junior</v>
      </c>
      <c r="U985" t="s">
        <v>50</v>
      </c>
      <c r="V985">
        <v>4</v>
      </c>
      <c r="W985" t="str" cm="1">
        <f t="array" ref="W985">_xlfn.IFS(V985=1,"Low",V985=2,"Medium",V985=3,"High",V985=4,"Very High")</f>
        <v>Very High</v>
      </c>
      <c r="X985" t="s">
        <v>38</v>
      </c>
      <c r="Y985" s="2">
        <v>6687</v>
      </c>
      <c r="Z985" s="2">
        <v>6163</v>
      </c>
      <c r="AA985">
        <v>1</v>
      </c>
      <c r="AB985" t="s">
        <v>39</v>
      </c>
      <c r="AC985">
        <v>11</v>
      </c>
      <c r="AD985">
        <v>3</v>
      </c>
      <c r="AE985" t="str" cm="1">
        <f t="array" ref="AE985">_xlfn.IFS(AD985=1,"Low",AD985=2,"Good",AD985=3,"Excellent",AD985=4,"Outstanding")</f>
        <v>Excellent</v>
      </c>
      <c r="AF985">
        <v>4</v>
      </c>
      <c r="AG985" t="str" cm="1">
        <f t="array" ref="AG985">_xlfn.IFS(AF985=1,"Low",AF985=2,"Medium",AF985=3,"High",AF985=4,"Very High")</f>
        <v>Very High</v>
      </c>
      <c r="AH985">
        <v>0</v>
      </c>
      <c r="AI985">
        <v>14</v>
      </c>
      <c r="AJ985">
        <v>2</v>
      </c>
      <c r="AK985">
        <v>4</v>
      </c>
      <c r="AL985" t="str" cm="1">
        <f t="array" ref="AL985">_xlfn.IFS(AK985=1,"Low",AK985=2,"Medium",AK985=3,"High",AK985=4,"Very High")</f>
        <v>Very High</v>
      </c>
      <c r="AM985">
        <v>14</v>
      </c>
      <c r="AN985">
        <v>11</v>
      </c>
      <c r="AO985">
        <v>4</v>
      </c>
      <c r="AP985">
        <v>11</v>
      </c>
    </row>
    <row r="986" spans="1:42">
      <c r="A986">
        <v>28</v>
      </c>
      <c r="B986" t="str" cm="1">
        <f t="array" ref="B986">_xlfn.IFS(A986&lt;=25,"18-25",A986&lt;=35,"26-35",A986&lt;=45,"36-45",A986&lt;=55,"46-55",A986&gt;55,"56+")</f>
        <v>26-35</v>
      </c>
      <c r="C986" t="s">
        <v>39</v>
      </c>
      <c r="D986" t="s">
        <v>33</v>
      </c>
      <c r="E986" s="2">
        <v>736</v>
      </c>
      <c r="F986" t="s">
        <v>34</v>
      </c>
      <c r="G986">
        <v>26</v>
      </c>
      <c r="H986" t="str">
        <f t="shared" si="15"/>
        <v>21-30 km</v>
      </c>
      <c r="I986">
        <v>3</v>
      </c>
      <c r="J986" t="str" cm="1">
        <f t="array" ref="J986">_xlfn.IFS(I986=1,"Below College",I986=2,"College",I986=3,"Bachelor",I986=4,"Master",I986=5,"Doctor")</f>
        <v>Bachelor</v>
      </c>
      <c r="K986" t="s">
        <v>35</v>
      </c>
      <c r="L986">
        <v>1387</v>
      </c>
      <c r="M986">
        <v>3</v>
      </c>
      <c r="N986" t="str" cm="1">
        <f t="array" ref="N986">_xlfn.IFS(M986=1,"Low",M986=2,"Medium",M986=3,"High",M986=4,"Very High")</f>
        <v>High</v>
      </c>
      <c r="O986" t="s">
        <v>42</v>
      </c>
      <c r="P986" s="2">
        <v>48</v>
      </c>
      <c r="Q986">
        <v>2</v>
      </c>
      <c r="R986" t="str" cm="1">
        <f t="array" ref="R986">_xlfn.IFS(Q986=1,"Low",Q986=2,"Medium",Q986=3,"High",Q986=4,"Very High")</f>
        <v>Medium</v>
      </c>
      <c r="S986">
        <v>2</v>
      </c>
      <c r="T986" t="str" cm="1">
        <f t="array" ref="T986">_xlfn.IFS(S986=1,"Entry Level",S986=2,"Junior",S986=3,"Mid-Level",S986=4,"Senior",S986=5,"Executive")</f>
        <v>Junior</v>
      </c>
      <c r="U986" t="s">
        <v>37</v>
      </c>
      <c r="V986">
        <v>1</v>
      </c>
      <c r="W986" t="str" cm="1">
        <f t="array" ref="W986">_xlfn.IFS(V986=1,"Low",V986=2,"Medium",V986=3,"High",V986=4,"Very High")</f>
        <v>Low</v>
      </c>
      <c r="X986" t="s">
        <v>44</v>
      </c>
      <c r="Y986" s="2">
        <v>4724</v>
      </c>
      <c r="Z986" s="2">
        <v>24232</v>
      </c>
      <c r="AA986">
        <v>1</v>
      </c>
      <c r="AB986" t="s">
        <v>39</v>
      </c>
      <c r="AC986">
        <v>11</v>
      </c>
      <c r="AD986">
        <v>3</v>
      </c>
      <c r="AE986" t="str" cm="1">
        <f t="array" ref="AE986">_xlfn.IFS(AD986=1,"Low",AD986=2,"Good",AD986=3,"Excellent",AD986=4,"Outstanding")</f>
        <v>Excellent</v>
      </c>
      <c r="AF986">
        <v>3</v>
      </c>
      <c r="AG986" t="str" cm="1">
        <f t="array" ref="AG986">_xlfn.IFS(AF986=1,"Low",AF986=2,"Medium",AF986=3,"High",AF986=4,"Very High")</f>
        <v>High</v>
      </c>
      <c r="AH986">
        <v>1</v>
      </c>
      <c r="AI986">
        <v>5</v>
      </c>
      <c r="AJ986">
        <v>0</v>
      </c>
      <c r="AK986">
        <v>3</v>
      </c>
      <c r="AL986" t="str" cm="1">
        <f t="array" ref="AL986">_xlfn.IFS(AK986=1,"Low",AK986=2,"Medium",AK986=3,"High",AK986=4,"Very High")</f>
        <v>High</v>
      </c>
      <c r="AM986">
        <v>5</v>
      </c>
      <c r="AN986">
        <v>3</v>
      </c>
      <c r="AO986">
        <v>0</v>
      </c>
      <c r="AP986">
        <v>4</v>
      </c>
    </row>
    <row r="987" spans="1:42">
      <c r="A987">
        <v>31</v>
      </c>
      <c r="B987" t="str" cm="1">
        <f t="array" ref="B987">_xlfn.IFS(A987&lt;=25,"18-25",A987&lt;=35,"26-35",A987&lt;=45,"36-45",A987&lt;=55,"46-55",A987&gt;55,"56+")</f>
        <v>26-35</v>
      </c>
      <c r="C987" t="s">
        <v>32</v>
      </c>
      <c r="D987" t="s">
        <v>33</v>
      </c>
      <c r="E987" s="2">
        <v>330</v>
      </c>
      <c r="F987" t="s">
        <v>41</v>
      </c>
      <c r="G987">
        <v>22</v>
      </c>
      <c r="H987" t="str">
        <f t="shared" si="15"/>
        <v>21-30 km</v>
      </c>
      <c r="I987">
        <v>4</v>
      </c>
      <c r="J987" t="str" cm="1">
        <f t="array" ref="J987">_xlfn.IFS(I987=1,"Below College",I987=2,"College",I987=3,"Bachelor",I987=4,"Master",I987=5,"Doctor")</f>
        <v>Master</v>
      </c>
      <c r="K987" t="s">
        <v>47</v>
      </c>
      <c r="L987">
        <v>1389</v>
      </c>
      <c r="M987">
        <v>4</v>
      </c>
      <c r="N987" t="str" cm="1">
        <f t="array" ref="N987">_xlfn.IFS(M987=1,"Low",M987=2,"Medium",M987=3,"High",M987=4,"Very High")</f>
        <v>Very High</v>
      </c>
      <c r="O987" t="s">
        <v>42</v>
      </c>
      <c r="P987" s="2">
        <v>98</v>
      </c>
      <c r="Q987">
        <v>3</v>
      </c>
      <c r="R987" t="str" cm="1">
        <f t="array" ref="R987">_xlfn.IFS(Q987=1,"Low",Q987=2,"Medium",Q987=3,"High",Q987=4,"Very High")</f>
        <v>High</v>
      </c>
      <c r="S987">
        <v>2</v>
      </c>
      <c r="T987" t="str" cm="1">
        <f t="array" ref="T987">_xlfn.IFS(S987=1,"Entry Level",S987=2,"Junior",S987=3,"Mid-Level",S987=4,"Senior",S987=5,"Executive")</f>
        <v>Junior</v>
      </c>
      <c r="U987" t="s">
        <v>49</v>
      </c>
      <c r="V987">
        <v>3</v>
      </c>
      <c r="W987" t="str" cm="1">
        <f t="array" ref="W987">_xlfn.IFS(V987=1,"Low",V987=2,"Medium",V987=3,"High",V987=4,"Very High")</f>
        <v>High</v>
      </c>
      <c r="X987" t="s">
        <v>44</v>
      </c>
      <c r="Y987" s="2">
        <v>6179</v>
      </c>
      <c r="Z987" s="2">
        <v>21057</v>
      </c>
      <c r="AA987">
        <v>1</v>
      </c>
      <c r="AB987" t="s">
        <v>32</v>
      </c>
      <c r="AC987">
        <v>15</v>
      </c>
      <c r="AD987">
        <v>3</v>
      </c>
      <c r="AE987" t="str" cm="1">
        <f t="array" ref="AE987">_xlfn.IFS(AD987=1,"Low",AD987=2,"Good",AD987=3,"Excellent",AD987=4,"Outstanding")</f>
        <v>Excellent</v>
      </c>
      <c r="AF987">
        <v>4</v>
      </c>
      <c r="AG987" t="str" cm="1">
        <f t="array" ref="AG987">_xlfn.IFS(AF987=1,"Low",AF987=2,"Medium",AF987=3,"High",AF987=4,"Very High")</f>
        <v>Very High</v>
      </c>
      <c r="AH987">
        <v>2</v>
      </c>
      <c r="AI987">
        <v>10</v>
      </c>
      <c r="AJ987">
        <v>3</v>
      </c>
      <c r="AK987">
        <v>2</v>
      </c>
      <c r="AL987" t="str" cm="1">
        <f t="array" ref="AL987">_xlfn.IFS(AK987=1,"Low",AK987=2,"Medium",AK987=3,"High",AK987=4,"Very High")</f>
        <v>Medium</v>
      </c>
      <c r="AM987">
        <v>10</v>
      </c>
      <c r="AN987">
        <v>2</v>
      </c>
      <c r="AO987">
        <v>6</v>
      </c>
      <c r="AP987">
        <v>7</v>
      </c>
    </row>
    <row r="988" spans="1:42">
      <c r="A988">
        <v>39</v>
      </c>
      <c r="B988" t="str" cm="1">
        <f t="array" ref="B988">_xlfn.IFS(A988&lt;=25,"18-25",A988&lt;=35,"26-35",A988&lt;=45,"36-45",A988&lt;=55,"46-55",A988&gt;55,"56+")</f>
        <v>36-45</v>
      </c>
      <c r="C988" t="s">
        <v>39</v>
      </c>
      <c r="D988" t="s">
        <v>33</v>
      </c>
      <c r="E988" s="2">
        <v>1498</v>
      </c>
      <c r="F988" t="s">
        <v>34</v>
      </c>
      <c r="G988">
        <v>21</v>
      </c>
      <c r="H988" t="str">
        <f t="shared" si="15"/>
        <v>21-30 km</v>
      </c>
      <c r="I988">
        <v>4</v>
      </c>
      <c r="J988" t="str" cm="1">
        <f t="array" ref="J988">_xlfn.IFS(I988=1,"Below College",I988=2,"College",I988=3,"Bachelor",I988=4,"Master",I988=5,"Doctor")</f>
        <v>Master</v>
      </c>
      <c r="K988" t="s">
        <v>35</v>
      </c>
      <c r="L988">
        <v>1390</v>
      </c>
      <c r="M988">
        <v>1</v>
      </c>
      <c r="N988" t="str" cm="1">
        <f t="array" ref="N988">_xlfn.IFS(M988=1,"Low",M988=2,"Medium",M988=3,"High",M988=4,"Very High")</f>
        <v>Low</v>
      </c>
      <c r="O988" t="s">
        <v>42</v>
      </c>
      <c r="P988" s="2">
        <v>44</v>
      </c>
      <c r="Q988">
        <v>2</v>
      </c>
      <c r="R988" t="str" cm="1">
        <f t="array" ref="R988">_xlfn.IFS(Q988=1,"Low",Q988=2,"Medium",Q988=3,"High",Q988=4,"Very High")</f>
        <v>Medium</v>
      </c>
      <c r="S988">
        <v>2</v>
      </c>
      <c r="T988" t="str" cm="1">
        <f t="array" ref="T988">_xlfn.IFS(S988=1,"Entry Level",S988=2,"Junior",S988=3,"Mid-Level",S988=4,"Senior",S988=5,"Executive")</f>
        <v>Junior</v>
      </c>
      <c r="U988" t="s">
        <v>37</v>
      </c>
      <c r="V988">
        <v>4</v>
      </c>
      <c r="W988" t="str" cm="1">
        <f t="array" ref="W988">_xlfn.IFS(V988=1,"Low",V988=2,"Medium",V988=3,"High",V988=4,"Very High")</f>
        <v>Very High</v>
      </c>
      <c r="X988" t="s">
        <v>44</v>
      </c>
      <c r="Y988" s="2">
        <v>6120</v>
      </c>
      <c r="Z988" s="2">
        <v>3567</v>
      </c>
      <c r="AA988">
        <v>3</v>
      </c>
      <c r="AB988" t="s">
        <v>32</v>
      </c>
      <c r="AC988">
        <v>12</v>
      </c>
      <c r="AD988">
        <v>3</v>
      </c>
      <c r="AE988" t="str" cm="1">
        <f t="array" ref="AE988">_xlfn.IFS(AD988=1,"Low",AD988=2,"Good",AD988=3,"Excellent",AD988=4,"Outstanding")</f>
        <v>Excellent</v>
      </c>
      <c r="AF988">
        <v>4</v>
      </c>
      <c r="AG988" t="str" cm="1">
        <f t="array" ref="AG988">_xlfn.IFS(AF988=1,"Low",AF988=2,"Medium",AF988=3,"High",AF988=4,"Very High")</f>
        <v>Very High</v>
      </c>
      <c r="AH988">
        <v>2</v>
      </c>
      <c r="AI988">
        <v>8</v>
      </c>
      <c r="AJ988">
        <v>2</v>
      </c>
      <c r="AK988">
        <v>4</v>
      </c>
      <c r="AL988" t="str" cm="1">
        <f t="array" ref="AL988">_xlfn.IFS(AK988=1,"Low",AK988=2,"Medium",AK988=3,"High",AK988=4,"Very High")</f>
        <v>Very High</v>
      </c>
      <c r="AM988">
        <v>5</v>
      </c>
      <c r="AN988">
        <v>4</v>
      </c>
      <c r="AO988">
        <v>1</v>
      </c>
      <c r="AP988">
        <v>4</v>
      </c>
    </row>
    <row r="989" spans="1:42">
      <c r="A989">
        <v>51</v>
      </c>
      <c r="B989" t="str" cm="1">
        <f t="array" ref="B989">_xlfn.IFS(A989&lt;=25,"18-25",A989&lt;=35,"26-35",A989&lt;=45,"36-45",A989&lt;=55,"46-55",A989&gt;55,"56+")</f>
        <v>46-55</v>
      </c>
      <c r="C989" t="s">
        <v>39</v>
      </c>
      <c r="D989" t="s">
        <v>40</v>
      </c>
      <c r="E989" s="2">
        <v>541</v>
      </c>
      <c r="F989" t="s">
        <v>34</v>
      </c>
      <c r="G989">
        <v>2</v>
      </c>
      <c r="H989" t="str">
        <f t="shared" si="15"/>
        <v>1-10 km</v>
      </c>
      <c r="I989">
        <v>3</v>
      </c>
      <c r="J989" t="str" cm="1">
        <f t="array" ref="J989">_xlfn.IFS(I989=1,"Below College",I989=2,"College",I989=3,"Bachelor",I989=4,"Master",I989=5,"Doctor")</f>
        <v>Bachelor</v>
      </c>
      <c r="K989" t="s">
        <v>55</v>
      </c>
      <c r="L989">
        <v>1391</v>
      </c>
      <c r="M989">
        <v>2</v>
      </c>
      <c r="N989" t="str" cm="1">
        <f t="array" ref="N989">_xlfn.IFS(M989=1,"Low",M989=2,"Medium",M989=3,"High",M989=4,"Very High")</f>
        <v>Medium</v>
      </c>
      <c r="O989" t="s">
        <v>42</v>
      </c>
      <c r="P989" s="2">
        <v>52</v>
      </c>
      <c r="Q989">
        <v>3</v>
      </c>
      <c r="R989" t="str" cm="1">
        <f t="array" ref="R989">_xlfn.IFS(Q989=1,"Low",Q989=2,"Medium",Q989=3,"High",Q989=4,"Very High")</f>
        <v>High</v>
      </c>
      <c r="S989">
        <v>3</v>
      </c>
      <c r="T989" t="str" cm="1">
        <f t="array" ref="T989">_xlfn.IFS(S989=1,"Entry Level",S989=2,"Junior",S989=3,"Mid-Level",S989=4,"Senior",S989=5,"Executive")</f>
        <v>Mid-Level</v>
      </c>
      <c r="U989" t="s">
        <v>37</v>
      </c>
      <c r="V989">
        <v>2</v>
      </c>
      <c r="W989" t="str" cm="1">
        <f t="array" ref="W989">_xlfn.IFS(V989=1,"Low",V989=2,"Medium",V989=3,"High",V989=4,"Very High")</f>
        <v>Medium</v>
      </c>
      <c r="X989" t="s">
        <v>44</v>
      </c>
      <c r="Y989" s="2">
        <v>10596</v>
      </c>
      <c r="Z989" s="2">
        <v>15395</v>
      </c>
      <c r="AA989">
        <v>2</v>
      </c>
      <c r="AB989" t="s">
        <v>39</v>
      </c>
      <c r="AC989">
        <v>11</v>
      </c>
      <c r="AD989">
        <v>3</v>
      </c>
      <c r="AE989" t="str" cm="1">
        <f t="array" ref="AE989">_xlfn.IFS(AD989=1,"Low",AD989=2,"Good",AD989=3,"Excellent",AD989=4,"Outstanding")</f>
        <v>Excellent</v>
      </c>
      <c r="AF989">
        <v>2</v>
      </c>
      <c r="AG989" t="str" cm="1">
        <f t="array" ref="AG989">_xlfn.IFS(AF989=1,"Low",AF989=2,"Medium",AF989=3,"High",AF989=4,"Very High")</f>
        <v>Medium</v>
      </c>
      <c r="AH989">
        <v>0</v>
      </c>
      <c r="AI989">
        <v>14</v>
      </c>
      <c r="AJ989">
        <v>5</v>
      </c>
      <c r="AK989">
        <v>3</v>
      </c>
      <c r="AL989" t="str" cm="1">
        <f t="array" ref="AL989">_xlfn.IFS(AK989=1,"Low",AK989=2,"Medium",AK989=3,"High",AK989=4,"Very High")</f>
        <v>High</v>
      </c>
      <c r="AM989">
        <v>4</v>
      </c>
      <c r="AN989">
        <v>2</v>
      </c>
      <c r="AO989">
        <v>3</v>
      </c>
      <c r="AP989">
        <v>2</v>
      </c>
    </row>
    <row r="990" spans="1:42">
      <c r="A990">
        <v>41</v>
      </c>
      <c r="B990" t="str" cm="1">
        <f t="array" ref="B990">_xlfn.IFS(A990&lt;=25,"18-25",A990&lt;=35,"26-35",A990&lt;=45,"36-45",A990&lt;=55,"46-55",A990&gt;55,"56+")</f>
        <v>36-45</v>
      </c>
      <c r="C990" t="s">
        <v>39</v>
      </c>
      <c r="D990" t="s">
        <v>40</v>
      </c>
      <c r="E990" s="2">
        <v>1200</v>
      </c>
      <c r="F990" t="s">
        <v>41</v>
      </c>
      <c r="G990">
        <v>22</v>
      </c>
      <c r="H990" t="str">
        <f t="shared" si="15"/>
        <v>21-30 km</v>
      </c>
      <c r="I990">
        <v>3</v>
      </c>
      <c r="J990" t="str" cm="1">
        <f t="array" ref="J990">_xlfn.IFS(I990=1,"Below College",I990=2,"College",I990=3,"Bachelor",I990=4,"Master",I990=5,"Doctor")</f>
        <v>Bachelor</v>
      </c>
      <c r="K990" t="s">
        <v>35</v>
      </c>
      <c r="L990">
        <v>1392</v>
      </c>
      <c r="M990">
        <v>4</v>
      </c>
      <c r="N990" t="str" cm="1">
        <f t="array" ref="N990">_xlfn.IFS(M990=1,"Low",M990=2,"Medium",M990=3,"High",M990=4,"Very High")</f>
        <v>Very High</v>
      </c>
      <c r="O990" t="s">
        <v>36</v>
      </c>
      <c r="P990" s="2">
        <v>75</v>
      </c>
      <c r="Q990">
        <v>3</v>
      </c>
      <c r="R990" t="str" cm="1">
        <f t="array" ref="R990">_xlfn.IFS(Q990=1,"Low",Q990=2,"Medium",Q990=3,"High",Q990=4,"Very High")</f>
        <v>High</v>
      </c>
      <c r="S990">
        <v>2</v>
      </c>
      <c r="T990" t="str" cm="1">
        <f t="array" ref="T990">_xlfn.IFS(S990=1,"Entry Level",S990=2,"Junior",S990=3,"Mid-Level",S990=4,"Senior",S990=5,"Executive")</f>
        <v>Junior</v>
      </c>
      <c r="U990" t="s">
        <v>43</v>
      </c>
      <c r="V990">
        <v>4</v>
      </c>
      <c r="W990" t="str" cm="1">
        <f t="array" ref="W990">_xlfn.IFS(V990=1,"Low",V990=2,"Medium",V990=3,"High",V990=4,"Very High")</f>
        <v>Very High</v>
      </c>
      <c r="X990" t="s">
        <v>48</v>
      </c>
      <c r="Y990" s="2">
        <v>5467</v>
      </c>
      <c r="Z990" s="2">
        <v>13953</v>
      </c>
      <c r="AA990">
        <v>3</v>
      </c>
      <c r="AB990" t="s">
        <v>32</v>
      </c>
      <c r="AC990">
        <v>14</v>
      </c>
      <c r="AD990">
        <v>3</v>
      </c>
      <c r="AE990" t="str" cm="1">
        <f t="array" ref="AE990">_xlfn.IFS(AD990=1,"Low",AD990=2,"Good",AD990=3,"Excellent",AD990=4,"Outstanding")</f>
        <v>Excellent</v>
      </c>
      <c r="AF990">
        <v>1</v>
      </c>
      <c r="AG990" t="str" cm="1">
        <f t="array" ref="AG990">_xlfn.IFS(AF990=1,"Low",AF990=2,"Medium",AF990=3,"High",AF990=4,"Very High")</f>
        <v>Low</v>
      </c>
      <c r="AH990">
        <v>2</v>
      </c>
      <c r="AI990">
        <v>12</v>
      </c>
      <c r="AJ990">
        <v>4</v>
      </c>
      <c r="AK990">
        <v>2</v>
      </c>
      <c r="AL990" t="str" cm="1">
        <f t="array" ref="AL990">_xlfn.IFS(AK990=1,"Low",AK990=2,"Medium",AK990=3,"High",AK990=4,"Very High")</f>
        <v>Medium</v>
      </c>
      <c r="AM990">
        <v>6</v>
      </c>
      <c r="AN990">
        <v>2</v>
      </c>
      <c r="AO990">
        <v>3</v>
      </c>
      <c r="AP990">
        <v>3</v>
      </c>
    </row>
    <row r="991" spans="1:42">
      <c r="A991">
        <v>37</v>
      </c>
      <c r="B991" t="str" cm="1">
        <f t="array" ref="B991">_xlfn.IFS(A991&lt;=25,"18-25",A991&lt;=35,"26-35",A991&lt;=45,"36-45",A991&lt;=55,"46-55",A991&gt;55,"56+")</f>
        <v>36-45</v>
      </c>
      <c r="C991" t="s">
        <v>39</v>
      </c>
      <c r="D991" t="s">
        <v>33</v>
      </c>
      <c r="E991" s="2">
        <v>1439</v>
      </c>
      <c r="F991" t="s">
        <v>41</v>
      </c>
      <c r="G991">
        <v>4</v>
      </c>
      <c r="H991" t="str">
        <f t="shared" si="15"/>
        <v>1-10 km</v>
      </c>
      <c r="I991">
        <v>1</v>
      </c>
      <c r="J991" t="str" cm="1">
        <f t="array" ref="J991">_xlfn.IFS(I991=1,"Below College",I991=2,"College",I991=3,"Bachelor",I991=4,"Master",I991=5,"Doctor")</f>
        <v>Below College</v>
      </c>
      <c r="K991" t="s">
        <v>35</v>
      </c>
      <c r="L991">
        <v>1394</v>
      </c>
      <c r="M991">
        <v>3</v>
      </c>
      <c r="N991" t="str" cm="1">
        <f t="array" ref="N991">_xlfn.IFS(M991=1,"Low",M991=2,"Medium",M991=3,"High",M991=4,"Very High")</f>
        <v>High</v>
      </c>
      <c r="O991" t="s">
        <v>42</v>
      </c>
      <c r="P991" s="2">
        <v>54</v>
      </c>
      <c r="Q991">
        <v>3</v>
      </c>
      <c r="R991" t="str" cm="1">
        <f t="array" ref="R991">_xlfn.IFS(Q991=1,"Low",Q991=2,"Medium",Q991=3,"High",Q991=4,"Very High")</f>
        <v>High</v>
      </c>
      <c r="S991">
        <v>1</v>
      </c>
      <c r="T991" t="str" cm="1">
        <f t="array" ref="T991">_xlfn.IFS(S991=1,"Entry Level",S991=2,"Junior",S991=3,"Mid-Level",S991=4,"Senior",S991=5,"Executive")</f>
        <v>Entry Level</v>
      </c>
      <c r="U991" t="s">
        <v>43</v>
      </c>
      <c r="V991">
        <v>3</v>
      </c>
      <c r="W991" t="str" cm="1">
        <f t="array" ref="W991">_xlfn.IFS(V991=1,"Low",V991=2,"Medium",V991=3,"High",V991=4,"Very High")</f>
        <v>High</v>
      </c>
      <c r="X991" t="s">
        <v>44</v>
      </c>
      <c r="Y991" s="2">
        <v>2996</v>
      </c>
      <c r="Z991" s="2">
        <v>5182</v>
      </c>
      <c r="AA991">
        <v>7</v>
      </c>
      <c r="AB991" t="s">
        <v>32</v>
      </c>
      <c r="AC991">
        <v>15</v>
      </c>
      <c r="AD991">
        <v>3</v>
      </c>
      <c r="AE991" t="str" cm="1">
        <f t="array" ref="AE991">_xlfn.IFS(AD991=1,"Low",AD991=2,"Good",AD991=3,"Excellent",AD991=4,"Outstanding")</f>
        <v>Excellent</v>
      </c>
      <c r="AF991">
        <v>4</v>
      </c>
      <c r="AG991" t="str" cm="1">
        <f t="array" ref="AG991">_xlfn.IFS(AF991=1,"Low",AF991=2,"Medium",AF991=3,"High",AF991=4,"Very High")</f>
        <v>Very High</v>
      </c>
      <c r="AH991">
        <v>0</v>
      </c>
      <c r="AI991">
        <v>8</v>
      </c>
      <c r="AJ991">
        <v>2</v>
      </c>
      <c r="AK991">
        <v>3</v>
      </c>
      <c r="AL991" t="str" cm="1">
        <f t="array" ref="AL991">_xlfn.IFS(AK991=1,"Low",AK991=2,"Medium",AK991=3,"High",AK991=4,"Very High")</f>
        <v>High</v>
      </c>
      <c r="AM991">
        <v>6</v>
      </c>
      <c r="AN991">
        <v>4</v>
      </c>
      <c r="AO991">
        <v>1</v>
      </c>
      <c r="AP991">
        <v>3</v>
      </c>
    </row>
    <row r="992" spans="1:42">
      <c r="A992">
        <v>33</v>
      </c>
      <c r="B992" t="str" cm="1">
        <f t="array" ref="B992">_xlfn.IFS(A992&lt;=25,"18-25",A992&lt;=35,"26-35",A992&lt;=45,"36-45",A992&lt;=55,"46-55",A992&gt;55,"56+")</f>
        <v>26-35</v>
      </c>
      <c r="C992" t="s">
        <v>39</v>
      </c>
      <c r="D992" t="s">
        <v>40</v>
      </c>
      <c r="E992" s="2">
        <v>1111</v>
      </c>
      <c r="F992" t="s">
        <v>34</v>
      </c>
      <c r="G992">
        <v>5</v>
      </c>
      <c r="H992" t="str">
        <f t="shared" si="15"/>
        <v>1-10 km</v>
      </c>
      <c r="I992">
        <v>1</v>
      </c>
      <c r="J992" t="str" cm="1">
        <f t="array" ref="J992">_xlfn.IFS(I992=1,"Below College",I992=2,"College",I992=3,"Bachelor",I992=4,"Master",I992=5,"Doctor")</f>
        <v>Below College</v>
      </c>
      <c r="K992" t="s">
        <v>35</v>
      </c>
      <c r="L992">
        <v>1395</v>
      </c>
      <c r="M992">
        <v>2</v>
      </c>
      <c r="N992" t="str" cm="1">
        <f t="array" ref="N992">_xlfn.IFS(M992=1,"Low",M992=2,"Medium",M992=3,"High",M992=4,"Very High")</f>
        <v>Medium</v>
      </c>
      <c r="O992" t="s">
        <v>42</v>
      </c>
      <c r="P992" s="2">
        <v>61</v>
      </c>
      <c r="Q992">
        <v>3</v>
      </c>
      <c r="R992" t="str" cm="1">
        <f t="array" ref="R992">_xlfn.IFS(Q992=1,"Low",Q992=2,"Medium",Q992=3,"High",Q992=4,"Very High")</f>
        <v>High</v>
      </c>
      <c r="S992">
        <v>2</v>
      </c>
      <c r="T992" t="str" cm="1">
        <f t="array" ref="T992">_xlfn.IFS(S992=1,"Entry Level",S992=2,"Junior",S992=3,"Mid-Level",S992=4,"Senior",S992=5,"Executive")</f>
        <v>Junior</v>
      </c>
      <c r="U992" t="s">
        <v>37</v>
      </c>
      <c r="V992">
        <v>4</v>
      </c>
      <c r="W992" t="str" cm="1">
        <f t="array" ref="W992">_xlfn.IFS(V992=1,"Low",V992=2,"Medium",V992=3,"High",V992=4,"Very High")</f>
        <v>Very High</v>
      </c>
      <c r="X992" t="s">
        <v>44</v>
      </c>
      <c r="Y992" s="2">
        <v>9998</v>
      </c>
      <c r="Z992" s="2">
        <v>19293</v>
      </c>
      <c r="AA992">
        <v>6</v>
      </c>
      <c r="AB992" t="s">
        <v>39</v>
      </c>
      <c r="AC992">
        <v>13</v>
      </c>
      <c r="AD992">
        <v>3</v>
      </c>
      <c r="AE992" t="str" cm="1">
        <f t="array" ref="AE992">_xlfn.IFS(AD992=1,"Low",AD992=2,"Good",AD992=3,"Excellent",AD992=4,"Outstanding")</f>
        <v>Excellent</v>
      </c>
      <c r="AF992">
        <v>1</v>
      </c>
      <c r="AG992" t="str" cm="1">
        <f t="array" ref="AG992">_xlfn.IFS(AF992=1,"Low",AF992=2,"Medium",AF992=3,"High",AF992=4,"Very High")</f>
        <v>Low</v>
      </c>
      <c r="AH992">
        <v>0</v>
      </c>
      <c r="AI992">
        <v>8</v>
      </c>
      <c r="AJ992">
        <v>2</v>
      </c>
      <c r="AK992">
        <v>4</v>
      </c>
      <c r="AL992" t="str" cm="1">
        <f t="array" ref="AL992">_xlfn.IFS(AK992=1,"Low",AK992=2,"Medium",AK992=3,"High",AK992=4,"Very High")</f>
        <v>Very High</v>
      </c>
      <c r="AM992">
        <v>5</v>
      </c>
      <c r="AN992">
        <v>4</v>
      </c>
      <c r="AO992">
        <v>1</v>
      </c>
      <c r="AP992">
        <v>2</v>
      </c>
    </row>
    <row r="993" spans="1:42">
      <c r="A993">
        <v>32</v>
      </c>
      <c r="B993" t="str" cm="1">
        <f t="array" ref="B993">_xlfn.IFS(A993&lt;=25,"18-25",A993&lt;=35,"26-35",A993&lt;=45,"36-45",A993&lt;=55,"46-55",A993&gt;55,"56+")</f>
        <v>26-35</v>
      </c>
      <c r="C993" t="s">
        <v>39</v>
      </c>
      <c r="D993" t="s">
        <v>33</v>
      </c>
      <c r="E993" s="2">
        <v>499</v>
      </c>
      <c r="F993" t="s">
        <v>34</v>
      </c>
      <c r="G993">
        <v>2</v>
      </c>
      <c r="H993" t="str">
        <f t="shared" si="15"/>
        <v>1-10 km</v>
      </c>
      <c r="I993">
        <v>1</v>
      </c>
      <c r="J993" t="str" cm="1">
        <f t="array" ref="J993">_xlfn.IFS(I993=1,"Below College",I993=2,"College",I993=3,"Bachelor",I993=4,"Master",I993=5,"Doctor")</f>
        <v>Below College</v>
      </c>
      <c r="K993" t="s">
        <v>55</v>
      </c>
      <c r="L993">
        <v>1396</v>
      </c>
      <c r="M993">
        <v>3</v>
      </c>
      <c r="N993" t="str" cm="1">
        <f t="array" ref="N993">_xlfn.IFS(M993=1,"Low",M993=2,"Medium",M993=3,"High",M993=4,"Very High")</f>
        <v>High</v>
      </c>
      <c r="O993" t="s">
        <v>42</v>
      </c>
      <c r="P993" s="2">
        <v>36</v>
      </c>
      <c r="Q993">
        <v>3</v>
      </c>
      <c r="R993" t="str" cm="1">
        <f t="array" ref="R993">_xlfn.IFS(Q993=1,"Low",Q993=2,"Medium",Q993=3,"High",Q993=4,"Very High")</f>
        <v>High</v>
      </c>
      <c r="S993">
        <v>2</v>
      </c>
      <c r="T993" t="str" cm="1">
        <f t="array" ref="T993">_xlfn.IFS(S993=1,"Entry Level",S993=2,"Junior",S993=3,"Mid-Level",S993=4,"Senior",S993=5,"Executive")</f>
        <v>Junior</v>
      </c>
      <c r="U993" t="s">
        <v>37</v>
      </c>
      <c r="V993">
        <v>2</v>
      </c>
      <c r="W993" t="str" cm="1">
        <f t="array" ref="W993">_xlfn.IFS(V993=1,"Low",V993=2,"Medium",V993=3,"High",V993=4,"Very High")</f>
        <v>Medium</v>
      </c>
      <c r="X993" t="s">
        <v>44</v>
      </c>
      <c r="Y993" s="2">
        <v>4078</v>
      </c>
      <c r="Z993" s="2">
        <v>20497</v>
      </c>
      <c r="AA993">
        <v>0</v>
      </c>
      <c r="AB993" t="s">
        <v>32</v>
      </c>
      <c r="AC993">
        <v>13</v>
      </c>
      <c r="AD993">
        <v>3</v>
      </c>
      <c r="AE993" t="str" cm="1">
        <f t="array" ref="AE993">_xlfn.IFS(AD993=1,"Low",AD993=2,"Good",AD993=3,"Excellent",AD993=4,"Outstanding")</f>
        <v>Excellent</v>
      </c>
      <c r="AF993">
        <v>1</v>
      </c>
      <c r="AG993" t="str" cm="1">
        <f t="array" ref="AG993">_xlfn.IFS(AF993=1,"Low",AF993=2,"Medium",AF993=3,"High",AF993=4,"Very High")</f>
        <v>Low</v>
      </c>
      <c r="AH993">
        <v>3</v>
      </c>
      <c r="AI993">
        <v>4</v>
      </c>
      <c r="AJ993">
        <v>3</v>
      </c>
      <c r="AK993">
        <v>2</v>
      </c>
      <c r="AL993" t="str" cm="1">
        <f t="array" ref="AL993">_xlfn.IFS(AK993=1,"Low",AK993=2,"Medium",AK993=3,"High",AK993=4,"Very High")</f>
        <v>Medium</v>
      </c>
      <c r="AM993">
        <v>3</v>
      </c>
      <c r="AN993">
        <v>2</v>
      </c>
      <c r="AO993">
        <v>1</v>
      </c>
      <c r="AP993">
        <v>2</v>
      </c>
    </row>
    <row r="994" spans="1:42">
      <c r="A994">
        <v>39</v>
      </c>
      <c r="B994" t="str" cm="1">
        <f t="array" ref="B994">_xlfn.IFS(A994&lt;=25,"18-25",A994&lt;=35,"26-35",A994&lt;=45,"36-45",A994&lt;=55,"46-55",A994&gt;55,"56+")</f>
        <v>36-45</v>
      </c>
      <c r="C994" t="s">
        <v>39</v>
      </c>
      <c r="D994" t="s">
        <v>51</v>
      </c>
      <c r="E994" s="2">
        <v>1485</v>
      </c>
      <c r="F994" t="s">
        <v>41</v>
      </c>
      <c r="G994">
        <v>25</v>
      </c>
      <c r="H994" t="str">
        <f t="shared" si="15"/>
        <v>21-30 km</v>
      </c>
      <c r="I994">
        <v>2</v>
      </c>
      <c r="J994" t="str" cm="1">
        <f t="array" ref="J994">_xlfn.IFS(I994=1,"Below College",I994=2,"College",I994=3,"Bachelor",I994=4,"Master",I994=5,"Doctor")</f>
        <v>College</v>
      </c>
      <c r="K994" t="s">
        <v>35</v>
      </c>
      <c r="L994">
        <v>1397</v>
      </c>
      <c r="M994">
        <v>3</v>
      </c>
      <c r="N994" t="str" cm="1">
        <f t="array" ref="N994">_xlfn.IFS(M994=1,"Low",M994=2,"Medium",M994=3,"High",M994=4,"Very High")</f>
        <v>High</v>
      </c>
      <c r="O994" t="s">
        <v>42</v>
      </c>
      <c r="P994" s="2">
        <v>71</v>
      </c>
      <c r="Q994">
        <v>3</v>
      </c>
      <c r="R994" t="str" cm="1">
        <f t="array" ref="R994">_xlfn.IFS(Q994=1,"Low",Q994=2,"Medium",Q994=3,"High",Q994=4,"Very High")</f>
        <v>High</v>
      </c>
      <c r="S994">
        <v>3</v>
      </c>
      <c r="T994" t="str" cm="1">
        <f t="array" ref="T994">_xlfn.IFS(S994=1,"Entry Level",S994=2,"Junior",S994=3,"Mid-Level",S994=4,"Senior",S994=5,"Executive")</f>
        <v>Mid-Level</v>
      </c>
      <c r="U994" t="s">
        <v>50</v>
      </c>
      <c r="V994">
        <v>3</v>
      </c>
      <c r="W994" t="str" cm="1">
        <f t="array" ref="W994">_xlfn.IFS(V994=1,"Low",V994=2,"Medium",V994=3,"High",V994=4,"Very High")</f>
        <v>High</v>
      </c>
      <c r="X994" t="s">
        <v>44</v>
      </c>
      <c r="Y994" s="2">
        <v>10920</v>
      </c>
      <c r="Z994" s="2">
        <v>3449</v>
      </c>
      <c r="AA994">
        <v>3</v>
      </c>
      <c r="AB994" t="s">
        <v>39</v>
      </c>
      <c r="AC994">
        <v>21</v>
      </c>
      <c r="AD994">
        <v>4</v>
      </c>
      <c r="AE994" t="str" cm="1">
        <f t="array" ref="AE994">_xlfn.IFS(AD994=1,"Low",AD994=2,"Good",AD994=3,"Excellent",AD994=4,"Outstanding")</f>
        <v>Outstanding</v>
      </c>
      <c r="AF994">
        <v>2</v>
      </c>
      <c r="AG994" t="str" cm="1">
        <f t="array" ref="AG994">_xlfn.IFS(AF994=1,"Low",AF994=2,"Medium",AF994=3,"High",AF994=4,"Very High")</f>
        <v>Medium</v>
      </c>
      <c r="AH994">
        <v>1</v>
      </c>
      <c r="AI994">
        <v>13</v>
      </c>
      <c r="AJ994">
        <v>2</v>
      </c>
      <c r="AK994">
        <v>3</v>
      </c>
      <c r="AL994" t="str" cm="1">
        <f t="array" ref="AL994">_xlfn.IFS(AK994=1,"Low",AK994=2,"Medium",AK994=3,"High",AK994=4,"Very High")</f>
        <v>High</v>
      </c>
      <c r="AM994">
        <v>6</v>
      </c>
      <c r="AN994">
        <v>4</v>
      </c>
      <c r="AO994">
        <v>0</v>
      </c>
      <c r="AP994">
        <v>5</v>
      </c>
    </row>
    <row r="995" spans="1:42">
      <c r="A995">
        <v>25</v>
      </c>
      <c r="B995" t="str" cm="1">
        <f t="array" ref="B995">_xlfn.IFS(A995&lt;=25,"18-25",A995&lt;=35,"26-35",A995&lt;=45,"36-45",A995&lt;=55,"46-55",A995&gt;55,"56+")</f>
        <v>18-25</v>
      </c>
      <c r="C995" t="s">
        <v>39</v>
      </c>
      <c r="D995" t="s">
        <v>33</v>
      </c>
      <c r="E995" s="2">
        <v>1372</v>
      </c>
      <c r="F995" t="s">
        <v>34</v>
      </c>
      <c r="G995">
        <v>18</v>
      </c>
      <c r="H995" t="str">
        <f t="shared" si="15"/>
        <v>11-20 km</v>
      </c>
      <c r="I995">
        <v>1</v>
      </c>
      <c r="J995" t="str" cm="1">
        <f t="array" ref="J995">_xlfn.IFS(I995=1,"Below College",I995=2,"College",I995=3,"Bachelor",I995=4,"Master",I995=5,"Doctor")</f>
        <v>Below College</v>
      </c>
      <c r="K995" t="s">
        <v>35</v>
      </c>
      <c r="L995">
        <v>1399</v>
      </c>
      <c r="M995">
        <v>1</v>
      </c>
      <c r="N995" t="str" cm="1">
        <f t="array" ref="N995">_xlfn.IFS(M995=1,"Low",M995=2,"Medium",M995=3,"High",M995=4,"Very High")</f>
        <v>Low</v>
      </c>
      <c r="O995" t="s">
        <v>42</v>
      </c>
      <c r="P995" s="2">
        <v>93</v>
      </c>
      <c r="Q995">
        <v>4</v>
      </c>
      <c r="R995" t="str" cm="1">
        <f t="array" ref="R995">_xlfn.IFS(Q995=1,"Low",Q995=2,"Medium",Q995=3,"High",Q995=4,"Very High")</f>
        <v>Very High</v>
      </c>
      <c r="S995">
        <v>2</v>
      </c>
      <c r="T995" t="str" cm="1">
        <f t="array" ref="T995">_xlfn.IFS(S995=1,"Entry Level",S995=2,"Junior",S995=3,"Mid-Level",S995=4,"Senior",S995=5,"Executive")</f>
        <v>Junior</v>
      </c>
      <c r="U995" t="s">
        <v>37</v>
      </c>
      <c r="V995">
        <v>3</v>
      </c>
      <c r="W995" t="str" cm="1">
        <f t="array" ref="W995">_xlfn.IFS(V995=1,"Low",V995=2,"Medium",V995=3,"High",V995=4,"Very High")</f>
        <v>High</v>
      </c>
      <c r="X995" t="s">
        <v>44</v>
      </c>
      <c r="Y995" s="2">
        <v>6232</v>
      </c>
      <c r="Z995" s="2">
        <v>12477</v>
      </c>
      <c r="AA995">
        <v>2</v>
      </c>
      <c r="AB995" t="s">
        <v>39</v>
      </c>
      <c r="AC995">
        <v>11</v>
      </c>
      <c r="AD995">
        <v>3</v>
      </c>
      <c r="AE995" t="str" cm="1">
        <f t="array" ref="AE995">_xlfn.IFS(AD995=1,"Low",AD995=2,"Good",AD995=3,"Excellent",AD995=4,"Outstanding")</f>
        <v>Excellent</v>
      </c>
      <c r="AF995">
        <v>2</v>
      </c>
      <c r="AG995" t="str" cm="1">
        <f t="array" ref="AG995">_xlfn.IFS(AF995=1,"Low",AF995=2,"Medium",AF995=3,"High",AF995=4,"Very High")</f>
        <v>Medium</v>
      </c>
      <c r="AH995">
        <v>0</v>
      </c>
      <c r="AI995">
        <v>6</v>
      </c>
      <c r="AJ995">
        <v>3</v>
      </c>
      <c r="AK995">
        <v>2</v>
      </c>
      <c r="AL995" t="str" cm="1">
        <f t="array" ref="AL995">_xlfn.IFS(AK995=1,"Low",AK995=2,"Medium",AK995=3,"High",AK995=4,"Very High")</f>
        <v>Medium</v>
      </c>
      <c r="AM995">
        <v>3</v>
      </c>
      <c r="AN995">
        <v>2</v>
      </c>
      <c r="AO995">
        <v>1</v>
      </c>
      <c r="AP995">
        <v>2</v>
      </c>
    </row>
    <row r="996" spans="1:42">
      <c r="A996">
        <v>52</v>
      </c>
      <c r="B996" t="str" cm="1">
        <f t="array" ref="B996">_xlfn.IFS(A996&lt;=25,"18-25",A996&lt;=35,"26-35",A996&lt;=45,"36-45",A996&lt;=55,"46-55",A996&gt;55,"56+")</f>
        <v>46-55</v>
      </c>
      <c r="C996" t="s">
        <v>39</v>
      </c>
      <c r="D996" t="s">
        <v>40</v>
      </c>
      <c r="E996" s="2">
        <v>322</v>
      </c>
      <c r="F996" t="s">
        <v>41</v>
      </c>
      <c r="G996">
        <v>28</v>
      </c>
      <c r="H996" t="str">
        <f t="shared" si="15"/>
        <v>21-30 km</v>
      </c>
      <c r="I996">
        <v>2</v>
      </c>
      <c r="J996" t="str" cm="1">
        <f t="array" ref="J996">_xlfn.IFS(I996=1,"Below College",I996=2,"College",I996=3,"Bachelor",I996=4,"Master",I996=5,"Doctor")</f>
        <v>College</v>
      </c>
      <c r="K996" t="s">
        <v>47</v>
      </c>
      <c r="L996">
        <v>1401</v>
      </c>
      <c r="M996">
        <v>4</v>
      </c>
      <c r="N996" t="str" cm="1">
        <f t="array" ref="N996">_xlfn.IFS(M996=1,"Low",M996=2,"Medium",M996=3,"High",M996=4,"Very High")</f>
        <v>Very High</v>
      </c>
      <c r="O996" t="s">
        <v>36</v>
      </c>
      <c r="P996" s="2">
        <v>59</v>
      </c>
      <c r="Q996">
        <v>4</v>
      </c>
      <c r="R996" t="str" cm="1">
        <f t="array" ref="R996">_xlfn.IFS(Q996=1,"Low",Q996=2,"Medium",Q996=3,"High",Q996=4,"Very High")</f>
        <v>Very High</v>
      </c>
      <c r="S996">
        <v>4</v>
      </c>
      <c r="T996" t="str" cm="1">
        <f t="array" ref="T996">_xlfn.IFS(S996=1,"Entry Level",S996=2,"Junior",S996=3,"Mid-Level",S996=4,"Senior",S996=5,"Executive")</f>
        <v>Senior</v>
      </c>
      <c r="U996" t="s">
        <v>49</v>
      </c>
      <c r="V996">
        <v>3</v>
      </c>
      <c r="W996" t="str" cm="1">
        <f t="array" ref="W996">_xlfn.IFS(V996=1,"Low",V996=2,"Medium",V996=3,"High",V996=4,"Very High")</f>
        <v>High</v>
      </c>
      <c r="X996" t="s">
        <v>44</v>
      </c>
      <c r="Y996" s="2">
        <v>13247</v>
      </c>
      <c r="Z996" s="2">
        <v>9731</v>
      </c>
      <c r="AA996">
        <v>2</v>
      </c>
      <c r="AB996" t="s">
        <v>32</v>
      </c>
      <c r="AC996">
        <v>11</v>
      </c>
      <c r="AD996">
        <v>3</v>
      </c>
      <c r="AE996" t="str" cm="1">
        <f t="array" ref="AE996">_xlfn.IFS(AD996=1,"Low",AD996=2,"Good",AD996=3,"Excellent",AD996=4,"Outstanding")</f>
        <v>Excellent</v>
      </c>
      <c r="AF996">
        <v>2</v>
      </c>
      <c r="AG996" t="str" cm="1">
        <f t="array" ref="AG996">_xlfn.IFS(AF996=1,"Low",AF996=2,"Medium",AF996=3,"High",AF996=4,"Very High")</f>
        <v>Medium</v>
      </c>
      <c r="AH996">
        <v>1</v>
      </c>
      <c r="AI996">
        <v>24</v>
      </c>
      <c r="AJ996">
        <v>3</v>
      </c>
      <c r="AK996">
        <v>2</v>
      </c>
      <c r="AL996" t="str" cm="1">
        <f t="array" ref="AL996">_xlfn.IFS(AK996=1,"Low",AK996=2,"Medium",AK996=3,"High",AK996=4,"Very High")</f>
        <v>Medium</v>
      </c>
      <c r="AM996">
        <v>5</v>
      </c>
      <c r="AN996">
        <v>3</v>
      </c>
      <c r="AO996">
        <v>0</v>
      </c>
      <c r="AP996">
        <v>2</v>
      </c>
    </row>
    <row r="997" spans="1:42">
      <c r="A997">
        <v>43</v>
      </c>
      <c r="B997" t="str" cm="1">
        <f t="array" ref="B997">_xlfn.IFS(A997&lt;=25,"18-25",A997&lt;=35,"26-35",A997&lt;=45,"36-45",A997&lt;=55,"46-55",A997&gt;55,"56+")</f>
        <v>36-45</v>
      </c>
      <c r="C997" t="s">
        <v>39</v>
      </c>
      <c r="D997" t="s">
        <v>33</v>
      </c>
      <c r="E997" s="2">
        <v>930</v>
      </c>
      <c r="F997" t="s">
        <v>41</v>
      </c>
      <c r="G997">
        <v>6</v>
      </c>
      <c r="H997" t="str">
        <f t="shared" si="15"/>
        <v>1-10 km</v>
      </c>
      <c r="I997">
        <v>3</v>
      </c>
      <c r="J997" t="str" cm="1">
        <f t="array" ref="J997">_xlfn.IFS(I997=1,"Below College",I997=2,"College",I997=3,"Bachelor",I997=4,"Master",I997=5,"Doctor")</f>
        <v>Bachelor</v>
      </c>
      <c r="K997" t="s">
        <v>47</v>
      </c>
      <c r="L997">
        <v>1402</v>
      </c>
      <c r="M997">
        <v>1</v>
      </c>
      <c r="N997" t="str" cm="1">
        <f t="array" ref="N997">_xlfn.IFS(M997=1,"Low",M997=2,"Medium",M997=3,"High",M997=4,"Very High")</f>
        <v>Low</v>
      </c>
      <c r="O997" t="s">
        <v>36</v>
      </c>
      <c r="P997" s="2">
        <v>73</v>
      </c>
      <c r="Q997">
        <v>2</v>
      </c>
      <c r="R997" t="str" cm="1">
        <f t="array" ref="R997">_xlfn.IFS(Q997=1,"Low",Q997=2,"Medium",Q997=3,"High",Q997=4,"Very High")</f>
        <v>Medium</v>
      </c>
      <c r="S997">
        <v>2</v>
      </c>
      <c r="T997" t="str" cm="1">
        <f t="array" ref="T997">_xlfn.IFS(S997=1,"Entry Level",S997=2,"Junior",S997=3,"Mid-Level",S997=4,"Senior",S997=5,"Executive")</f>
        <v>Junior</v>
      </c>
      <c r="U997" t="s">
        <v>43</v>
      </c>
      <c r="V997">
        <v>3</v>
      </c>
      <c r="W997" t="str" cm="1">
        <f t="array" ref="W997">_xlfn.IFS(V997=1,"Low",V997=2,"Medium",V997=3,"High",V997=4,"Very High")</f>
        <v>High</v>
      </c>
      <c r="X997" t="s">
        <v>38</v>
      </c>
      <c r="Y997" s="2">
        <v>4081</v>
      </c>
      <c r="Z997" s="2">
        <v>20003</v>
      </c>
      <c r="AA997">
        <v>1</v>
      </c>
      <c r="AB997" t="s">
        <v>32</v>
      </c>
      <c r="AC997">
        <v>14</v>
      </c>
      <c r="AD997">
        <v>3</v>
      </c>
      <c r="AE997" t="str" cm="1">
        <f t="array" ref="AE997">_xlfn.IFS(AD997=1,"Low",AD997=2,"Good",AD997=3,"Excellent",AD997=4,"Outstanding")</f>
        <v>Excellent</v>
      </c>
      <c r="AF997">
        <v>1</v>
      </c>
      <c r="AG997" t="str" cm="1">
        <f t="array" ref="AG997">_xlfn.IFS(AF997=1,"Low",AF997=2,"Medium",AF997=3,"High",AF997=4,"Very High")</f>
        <v>Low</v>
      </c>
      <c r="AH997">
        <v>0</v>
      </c>
      <c r="AI997">
        <v>20</v>
      </c>
      <c r="AJ997">
        <v>3</v>
      </c>
      <c r="AK997">
        <v>1</v>
      </c>
      <c r="AL997" t="str" cm="1">
        <f t="array" ref="AL997">_xlfn.IFS(AK997=1,"Low",AK997=2,"Medium",AK997=3,"High",AK997=4,"Very High")</f>
        <v>Low</v>
      </c>
      <c r="AM997">
        <v>20</v>
      </c>
      <c r="AN997">
        <v>7</v>
      </c>
      <c r="AO997">
        <v>1</v>
      </c>
      <c r="AP997">
        <v>8</v>
      </c>
    </row>
    <row r="998" spans="1:42">
      <c r="A998">
        <v>27</v>
      </c>
      <c r="B998" t="str" cm="1">
        <f t="array" ref="B998">_xlfn.IFS(A998&lt;=25,"18-25",A998&lt;=35,"26-35",A998&lt;=45,"36-45",A998&lt;=55,"46-55",A998&gt;55,"56+")</f>
        <v>26-35</v>
      </c>
      <c r="C998" t="s">
        <v>39</v>
      </c>
      <c r="D998" t="s">
        <v>33</v>
      </c>
      <c r="E998" s="2">
        <v>205</v>
      </c>
      <c r="F998" t="s">
        <v>34</v>
      </c>
      <c r="G998">
        <v>10</v>
      </c>
      <c r="H998" t="str">
        <f t="shared" si="15"/>
        <v>1-10 km</v>
      </c>
      <c r="I998">
        <v>3</v>
      </c>
      <c r="J998" t="str" cm="1">
        <f t="array" ref="J998">_xlfn.IFS(I998=1,"Below College",I998=2,"College",I998=3,"Bachelor",I998=4,"Master",I998=5,"Doctor")</f>
        <v>Bachelor</v>
      </c>
      <c r="K998" t="s">
        <v>55</v>
      </c>
      <c r="L998">
        <v>1403</v>
      </c>
      <c r="M998">
        <v>4</v>
      </c>
      <c r="N998" t="str" cm="1">
        <f t="array" ref="N998">_xlfn.IFS(M998=1,"Low",M998=2,"Medium",M998=3,"High",M998=4,"Very High")</f>
        <v>Very High</v>
      </c>
      <c r="O998" t="s">
        <v>36</v>
      </c>
      <c r="P998" s="2">
        <v>98</v>
      </c>
      <c r="Q998">
        <v>2</v>
      </c>
      <c r="R998" t="str" cm="1">
        <f t="array" ref="R998">_xlfn.IFS(Q998=1,"Low",Q998=2,"Medium",Q998=3,"High",Q998=4,"Very High")</f>
        <v>Medium</v>
      </c>
      <c r="S998">
        <v>2</v>
      </c>
      <c r="T998" t="str" cm="1">
        <f t="array" ref="T998">_xlfn.IFS(S998=1,"Entry Level",S998=2,"Junior",S998=3,"Mid-Level",S998=4,"Senior",S998=5,"Executive")</f>
        <v>Junior</v>
      </c>
      <c r="U998" t="s">
        <v>37</v>
      </c>
      <c r="V998">
        <v>4</v>
      </c>
      <c r="W998" t="str" cm="1">
        <f t="array" ref="W998">_xlfn.IFS(V998=1,"Low",V998=2,"Medium",V998=3,"High",V998=4,"Very High")</f>
        <v>Very High</v>
      </c>
      <c r="X998" t="s">
        <v>44</v>
      </c>
      <c r="Y998" s="2">
        <v>5769</v>
      </c>
      <c r="Z998" s="2">
        <v>7100</v>
      </c>
      <c r="AA998">
        <v>1</v>
      </c>
      <c r="AB998" t="s">
        <v>32</v>
      </c>
      <c r="AC998">
        <v>11</v>
      </c>
      <c r="AD998">
        <v>3</v>
      </c>
      <c r="AE998" t="str" cm="1">
        <f t="array" ref="AE998">_xlfn.IFS(AD998=1,"Low",AD998=2,"Good",AD998=3,"Excellent",AD998=4,"Outstanding")</f>
        <v>Excellent</v>
      </c>
      <c r="AF998">
        <v>4</v>
      </c>
      <c r="AG998" t="str" cm="1">
        <f t="array" ref="AG998">_xlfn.IFS(AF998=1,"Low",AF998=2,"Medium",AF998=3,"High",AF998=4,"Very High")</f>
        <v>Very High</v>
      </c>
      <c r="AH998">
        <v>0</v>
      </c>
      <c r="AI998">
        <v>6</v>
      </c>
      <c r="AJ998">
        <v>3</v>
      </c>
      <c r="AK998">
        <v>3</v>
      </c>
      <c r="AL998" t="str" cm="1">
        <f t="array" ref="AL998">_xlfn.IFS(AK998=1,"Low",AK998=2,"Medium",AK998=3,"High",AK998=4,"Very High")</f>
        <v>High</v>
      </c>
      <c r="AM998">
        <v>6</v>
      </c>
      <c r="AN998">
        <v>2</v>
      </c>
      <c r="AO998">
        <v>4</v>
      </c>
      <c r="AP998">
        <v>4</v>
      </c>
    </row>
    <row r="999" spans="1:42">
      <c r="A999">
        <v>27</v>
      </c>
      <c r="B999" t="str" cm="1">
        <f t="array" ref="B999">_xlfn.IFS(A999&lt;=25,"18-25",A999&lt;=35,"26-35",A999&lt;=45,"36-45",A999&lt;=55,"46-55",A999&gt;55,"56+")</f>
        <v>26-35</v>
      </c>
      <c r="C999" t="s">
        <v>32</v>
      </c>
      <c r="D999" t="s">
        <v>33</v>
      </c>
      <c r="E999" s="2">
        <v>135</v>
      </c>
      <c r="F999" t="s">
        <v>41</v>
      </c>
      <c r="G999">
        <v>17</v>
      </c>
      <c r="H999" t="str">
        <f t="shared" si="15"/>
        <v>11-20 km</v>
      </c>
      <c r="I999">
        <v>4</v>
      </c>
      <c r="J999" t="str" cm="1">
        <f t="array" ref="J999">_xlfn.IFS(I999=1,"Below College",I999=2,"College",I999=3,"Bachelor",I999=4,"Master",I999=5,"Doctor")</f>
        <v>Master</v>
      </c>
      <c r="K999" t="s">
        <v>35</v>
      </c>
      <c r="L999">
        <v>1405</v>
      </c>
      <c r="M999">
        <v>4</v>
      </c>
      <c r="N999" t="str" cm="1">
        <f t="array" ref="N999">_xlfn.IFS(M999=1,"Low",M999=2,"Medium",M999=3,"High",M999=4,"Very High")</f>
        <v>Very High</v>
      </c>
      <c r="O999" t="s">
        <v>36</v>
      </c>
      <c r="P999" s="2">
        <v>51</v>
      </c>
      <c r="Q999">
        <v>3</v>
      </c>
      <c r="R999" t="str" cm="1">
        <f t="array" ref="R999">_xlfn.IFS(Q999=1,"Low",Q999=2,"Medium",Q999=3,"High",Q999=4,"Very High")</f>
        <v>High</v>
      </c>
      <c r="S999">
        <v>1</v>
      </c>
      <c r="T999" t="str" cm="1">
        <f t="array" ref="T999">_xlfn.IFS(S999=1,"Entry Level",S999=2,"Junior",S999=3,"Mid-Level",S999=4,"Senior",S999=5,"Executive")</f>
        <v>Entry Level</v>
      </c>
      <c r="U999" t="s">
        <v>43</v>
      </c>
      <c r="V999">
        <v>3</v>
      </c>
      <c r="W999" t="str" cm="1">
        <f t="array" ref="W999">_xlfn.IFS(V999=1,"Low",V999=2,"Medium",V999=3,"High",V999=4,"Very High")</f>
        <v>High</v>
      </c>
      <c r="X999" t="s">
        <v>38</v>
      </c>
      <c r="Y999" s="2">
        <v>2394</v>
      </c>
      <c r="Z999" s="2">
        <v>25681</v>
      </c>
      <c r="AA999">
        <v>1</v>
      </c>
      <c r="AB999" t="s">
        <v>32</v>
      </c>
      <c r="AC999">
        <v>13</v>
      </c>
      <c r="AD999">
        <v>3</v>
      </c>
      <c r="AE999" t="str" cm="1">
        <f t="array" ref="AE999">_xlfn.IFS(AD999=1,"Low",AD999=2,"Good",AD999=3,"Excellent",AD999=4,"Outstanding")</f>
        <v>Excellent</v>
      </c>
      <c r="AF999">
        <v>4</v>
      </c>
      <c r="AG999" t="str" cm="1">
        <f t="array" ref="AG999">_xlfn.IFS(AF999=1,"Low",AF999=2,"Medium",AF999=3,"High",AF999=4,"Very High")</f>
        <v>Very High</v>
      </c>
      <c r="AH999">
        <v>0</v>
      </c>
      <c r="AI999">
        <v>8</v>
      </c>
      <c r="AJ999">
        <v>2</v>
      </c>
      <c r="AK999">
        <v>3</v>
      </c>
      <c r="AL999" t="str" cm="1">
        <f t="array" ref="AL999">_xlfn.IFS(AK999=1,"Low",AK999=2,"Medium",AK999=3,"High",AK999=4,"Very High")</f>
        <v>High</v>
      </c>
      <c r="AM999">
        <v>8</v>
      </c>
      <c r="AN999">
        <v>2</v>
      </c>
      <c r="AO999">
        <v>7</v>
      </c>
      <c r="AP999">
        <v>7</v>
      </c>
    </row>
    <row r="1000" spans="1:42">
      <c r="A1000">
        <v>26</v>
      </c>
      <c r="B1000" t="str" cm="1">
        <f t="array" ref="B1000">_xlfn.IFS(A1000&lt;=25,"18-25",A1000&lt;=35,"26-35",A1000&lt;=45,"36-45",A1000&lt;=55,"46-55",A1000&gt;55,"56+")</f>
        <v>26-35</v>
      </c>
      <c r="C1000" t="s">
        <v>39</v>
      </c>
      <c r="D1000" t="s">
        <v>33</v>
      </c>
      <c r="E1000" s="2">
        <v>683</v>
      </c>
      <c r="F1000" t="s">
        <v>41</v>
      </c>
      <c r="G1000">
        <v>2</v>
      </c>
      <c r="H1000" t="str">
        <f t="shared" si="15"/>
        <v>1-10 km</v>
      </c>
      <c r="I1000">
        <v>1</v>
      </c>
      <c r="J1000" t="str" cm="1">
        <f t="array" ref="J1000">_xlfn.IFS(I1000=1,"Below College",I1000=2,"College",I1000=3,"Bachelor",I1000=4,"Master",I1000=5,"Doctor")</f>
        <v>Below College</v>
      </c>
      <c r="K1000" t="s">
        <v>47</v>
      </c>
      <c r="L1000">
        <v>1407</v>
      </c>
      <c r="M1000">
        <v>1</v>
      </c>
      <c r="N1000" t="str" cm="1">
        <f t="array" ref="N1000">_xlfn.IFS(M1000=1,"Low",M1000=2,"Medium",M1000=3,"High",M1000=4,"Very High")</f>
        <v>Low</v>
      </c>
      <c r="O1000" t="s">
        <v>42</v>
      </c>
      <c r="P1000" s="2">
        <v>36</v>
      </c>
      <c r="Q1000">
        <v>2</v>
      </c>
      <c r="R1000" t="str" cm="1">
        <f t="array" ref="R1000">_xlfn.IFS(Q1000=1,"Low",Q1000=2,"Medium",Q1000=3,"High",Q1000=4,"Very High")</f>
        <v>Medium</v>
      </c>
      <c r="S1000">
        <v>1</v>
      </c>
      <c r="T1000" t="str" cm="1">
        <f t="array" ref="T1000">_xlfn.IFS(S1000=1,"Entry Level",S1000=2,"Junior",S1000=3,"Mid-Level",S1000=4,"Senior",S1000=5,"Executive")</f>
        <v>Entry Level</v>
      </c>
      <c r="U1000" t="s">
        <v>43</v>
      </c>
      <c r="V1000">
        <v>4</v>
      </c>
      <c r="W1000" t="str" cm="1">
        <f t="array" ref="W1000">_xlfn.IFS(V1000=1,"Low",V1000=2,"Medium",V1000=3,"High",V1000=4,"Very High")</f>
        <v>Very High</v>
      </c>
      <c r="X1000" t="s">
        <v>38</v>
      </c>
      <c r="Y1000" s="2">
        <v>3904</v>
      </c>
      <c r="Z1000" s="2">
        <v>4050</v>
      </c>
      <c r="AA1000">
        <v>0</v>
      </c>
      <c r="AB1000" t="s">
        <v>39</v>
      </c>
      <c r="AC1000">
        <v>12</v>
      </c>
      <c r="AD1000">
        <v>3</v>
      </c>
      <c r="AE1000" t="str" cm="1">
        <f t="array" ref="AE1000">_xlfn.IFS(AD1000=1,"Low",AD1000=2,"Good",AD1000=3,"Excellent",AD1000=4,"Outstanding")</f>
        <v>Excellent</v>
      </c>
      <c r="AF1000">
        <v>4</v>
      </c>
      <c r="AG1000" t="str" cm="1">
        <f t="array" ref="AG1000">_xlfn.IFS(AF1000=1,"Low",AF1000=2,"Medium",AF1000=3,"High",AF1000=4,"Very High")</f>
        <v>Very High</v>
      </c>
      <c r="AH1000">
        <v>0</v>
      </c>
      <c r="AI1000">
        <v>5</v>
      </c>
      <c r="AJ1000">
        <v>2</v>
      </c>
      <c r="AK1000">
        <v>3</v>
      </c>
      <c r="AL1000" t="str" cm="1">
        <f t="array" ref="AL1000">_xlfn.IFS(AK1000=1,"Low",AK1000=2,"Medium",AK1000=3,"High",AK1000=4,"Very High")</f>
        <v>High</v>
      </c>
      <c r="AM1000">
        <v>4</v>
      </c>
      <c r="AN1000">
        <v>3</v>
      </c>
      <c r="AO1000">
        <v>1</v>
      </c>
      <c r="AP1000">
        <v>1</v>
      </c>
    </row>
    <row r="1001" spans="1:42">
      <c r="A1001">
        <v>42</v>
      </c>
      <c r="B1001" t="str" cm="1">
        <f t="array" ref="B1001">_xlfn.IFS(A1001&lt;=25,"18-25",A1001&lt;=35,"26-35",A1001&lt;=45,"36-45",A1001&lt;=55,"46-55",A1001&gt;55,"56+")</f>
        <v>36-45</v>
      </c>
      <c r="C1001" t="s">
        <v>39</v>
      </c>
      <c r="D1001" t="s">
        <v>33</v>
      </c>
      <c r="E1001" s="2">
        <v>1147</v>
      </c>
      <c r="F1001" t="s">
        <v>57</v>
      </c>
      <c r="G1001">
        <v>10</v>
      </c>
      <c r="H1001" t="str">
        <f t="shared" si="15"/>
        <v>1-10 km</v>
      </c>
      <c r="I1001">
        <v>3</v>
      </c>
      <c r="J1001" t="str" cm="1">
        <f t="array" ref="J1001">_xlfn.IFS(I1001=1,"Below College",I1001=2,"College",I1001=3,"Bachelor",I1001=4,"Master",I1001=5,"Doctor")</f>
        <v>Bachelor</v>
      </c>
      <c r="K1001" t="s">
        <v>57</v>
      </c>
      <c r="L1001">
        <v>1408</v>
      </c>
      <c r="M1001">
        <v>3</v>
      </c>
      <c r="N1001" t="str" cm="1">
        <f t="array" ref="N1001">_xlfn.IFS(M1001=1,"Low",M1001=2,"Medium",M1001=3,"High",M1001=4,"Very High")</f>
        <v>High</v>
      </c>
      <c r="O1001" t="s">
        <v>36</v>
      </c>
      <c r="P1001" s="2">
        <v>31</v>
      </c>
      <c r="Q1001">
        <v>3</v>
      </c>
      <c r="R1001" t="str" cm="1">
        <f t="array" ref="R1001">_xlfn.IFS(Q1001=1,"Low",Q1001=2,"Medium",Q1001=3,"High",Q1001=4,"Very High")</f>
        <v>High</v>
      </c>
      <c r="S1001">
        <v>4</v>
      </c>
      <c r="T1001" t="str" cm="1">
        <f t="array" ref="T1001">_xlfn.IFS(S1001=1,"Entry Level",S1001=2,"Junior",S1001=3,"Mid-Level",S1001=4,"Senior",S1001=5,"Executive")</f>
        <v>Senior</v>
      </c>
      <c r="U1001" t="s">
        <v>52</v>
      </c>
      <c r="V1001">
        <v>1</v>
      </c>
      <c r="W1001" t="str" cm="1">
        <f t="array" ref="W1001">_xlfn.IFS(V1001=1,"Low",V1001=2,"Medium",V1001=3,"High",V1001=4,"Very High")</f>
        <v>Low</v>
      </c>
      <c r="X1001" t="s">
        <v>44</v>
      </c>
      <c r="Y1001" s="2">
        <v>16799</v>
      </c>
      <c r="Z1001" s="2">
        <v>16616</v>
      </c>
      <c r="AA1001">
        <v>0</v>
      </c>
      <c r="AB1001" t="s">
        <v>39</v>
      </c>
      <c r="AC1001">
        <v>14</v>
      </c>
      <c r="AD1001">
        <v>3</v>
      </c>
      <c r="AE1001" t="str" cm="1">
        <f t="array" ref="AE1001">_xlfn.IFS(AD1001=1,"Low",AD1001=2,"Good",AD1001=3,"Excellent",AD1001=4,"Outstanding")</f>
        <v>Excellent</v>
      </c>
      <c r="AF1001">
        <v>3</v>
      </c>
      <c r="AG1001" t="str" cm="1">
        <f t="array" ref="AG1001">_xlfn.IFS(AF1001=1,"Low",AF1001=2,"Medium",AF1001=3,"High",AF1001=4,"Very High")</f>
        <v>High</v>
      </c>
      <c r="AH1001">
        <v>1</v>
      </c>
      <c r="AI1001">
        <v>21</v>
      </c>
      <c r="AJ1001">
        <v>5</v>
      </c>
      <c r="AK1001">
        <v>3</v>
      </c>
      <c r="AL1001" t="str" cm="1">
        <f t="array" ref="AL1001">_xlfn.IFS(AK1001=1,"Low",AK1001=2,"Medium",AK1001=3,"High",AK1001=4,"Very High")</f>
        <v>High</v>
      </c>
      <c r="AM1001">
        <v>20</v>
      </c>
      <c r="AN1001">
        <v>7</v>
      </c>
      <c r="AO1001">
        <v>0</v>
      </c>
      <c r="AP1001">
        <v>9</v>
      </c>
    </row>
    <row r="1002" spans="1:42">
      <c r="A1002">
        <v>52</v>
      </c>
      <c r="B1002" t="str" cm="1">
        <f t="array" ref="B1002">_xlfn.IFS(A1002&lt;=25,"18-25",A1002&lt;=35,"26-35",A1002&lt;=45,"36-45",A1002&lt;=55,"46-55",A1002&gt;55,"56+")</f>
        <v>46-55</v>
      </c>
      <c r="C1002" t="s">
        <v>39</v>
      </c>
      <c r="D1002" t="s">
        <v>33</v>
      </c>
      <c r="E1002" s="2">
        <v>258</v>
      </c>
      <c r="F1002" t="s">
        <v>41</v>
      </c>
      <c r="G1002">
        <v>8</v>
      </c>
      <c r="H1002" t="str">
        <f t="shared" si="15"/>
        <v>1-10 km</v>
      </c>
      <c r="I1002">
        <v>4</v>
      </c>
      <c r="J1002" t="str" cm="1">
        <f t="array" ref="J1002">_xlfn.IFS(I1002=1,"Below College",I1002=2,"College",I1002=3,"Bachelor",I1002=4,"Master",I1002=5,"Doctor")</f>
        <v>Master</v>
      </c>
      <c r="K1002" t="s">
        <v>45</v>
      </c>
      <c r="L1002">
        <v>1409</v>
      </c>
      <c r="M1002">
        <v>3</v>
      </c>
      <c r="N1002" t="str" cm="1">
        <f t="array" ref="N1002">_xlfn.IFS(M1002=1,"Low",M1002=2,"Medium",M1002=3,"High",M1002=4,"Very High")</f>
        <v>High</v>
      </c>
      <c r="O1002" t="s">
        <v>36</v>
      </c>
      <c r="P1002" s="2">
        <v>54</v>
      </c>
      <c r="Q1002">
        <v>3</v>
      </c>
      <c r="R1002" t="str" cm="1">
        <f t="array" ref="R1002">_xlfn.IFS(Q1002=1,"Low",Q1002=2,"Medium",Q1002=3,"High",Q1002=4,"Very High")</f>
        <v>High</v>
      </c>
      <c r="S1002">
        <v>1</v>
      </c>
      <c r="T1002" t="str" cm="1">
        <f t="array" ref="T1002">_xlfn.IFS(S1002=1,"Entry Level",S1002=2,"Junior",S1002=3,"Mid-Level",S1002=4,"Senior",S1002=5,"Executive")</f>
        <v>Entry Level</v>
      </c>
      <c r="U1002" t="s">
        <v>46</v>
      </c>
      <c r="V1002">
        <v>1</v>
      </c>
      <c r="W1002" t="str" cm="1">
        <f t="array" ref="W1002">_xlfn.IFS(V1002=1,"Low",V1002=2,"Medium",V1002=3,"High",V1002=4,"Very High")</f>
        <v>Low</v>
      </c>
      <c r="X1002" t="s">
        <v>44</v>
      </c>
      <c r="Y1002" s="2">
        <v>2950</v>
      </c>
      <c r="Z1002" s="2">
        <v>17363</v>
      </c>
      <c r="AA1002">
        <v>9</v>
      </c>
      <c r="AB1002" t="s">
        <v>39</v>
      </c>
      <c r="AC1002">
        <v>13</v>
      </c>
      <c r="AD1002">
        <v>3</v>
      </c>
      <c r="AE1002" t="str" cm="1">
        <f t="array" ref="AE1002">_xlfn.IFS(AD1002=1,"Low",AD1002=2,"Good",AD1002=3,"Excellent",AD1002=4,"Outstanding")</f>
        <v>Excellent</v>
      </c>
      <c r="AF1002">
        <v>3</v>
      </c>
      <c r="AG1002" t="str" cm="1">
        <f t="array" ref="AG1002">_xlfn.IFS(AF1002=1,"Low",AF1002=2,"Medium",AF1002=3,"High",AF1002=4,"Very High")</f>
        <v>High</v>
      </c>
      <c r="AH1002">
        <v>0</v>
      </c>
      <c r="AI1002">
        <v>12</v>
      </c>
      <c r="AJ1002">
        <v>2</v>
      </c>
      <c r="AK1002">
        <v>1</v>
      </c>
      <c r="AL1002" t="str" cm="1">
        <f t="array" ref="AL1002">_xlfn.IFS(AK1002=1,"Low",AK1002=2,"Medium",AK1002=3,"High",AK1002=4,"Very High")</f>
        <v>Low</v>
      </c>
      <c r="AM1002">
        <v>5</v>
      </c>
      <c r="AN1002">
        <v>4</v>
      </c>
      <c r="AO1002">
        <v>0</v>
      </c>
      <c r="AP1002">
        <v>4</v>
      </c>
    </row>
    <row r="1003" spans="1:42">
      <c r="A1003">
        <v>37</v>
      </c>
      <c r="B1003" t="str" cm="1">
        <f t="array" ref="B1003">_xlfn.IFS(A1003&lt;=25,"18-25",A1003&lt;=35,"26-35",A1003&lt;=45,"36-45",A1003&lt;=55,"46-55",A1003&gt;55,"56+")</f>
        <v>36-45</v>
      </c>
      <c r="C1003" t="s">
        <v>39</v>
      </c>
      <c r="D1003" t="s">
        <v>33</v>
      </c>
      <c r="E1003" s="2">
        <v>1462</v>
      </c>
      <c r="F1003" t="s">
        <v>41</v>
      </c>
      <c r="G1003">
        <v>11</v>
      </c>
      <c r="H1003" t="str">
        <f t="shared" si="15"/>
        <v>11-20 km</v>
      </c>
      <c r="I1003">
        <v>3</v>
      </c>
      <c r="J1003" t="str" cm="1">
        <f t="array" ref="J1003">_xlfn.IFS(I1003=1,"Below College",I1003=2,"College",I1003=3,"Bachelor",I1003=4,"Master",I1003=5,"Doctor")</f>
        <v>Bachelor</v>
      </c>
      <c r="K1003" t="s">
        <v>47</v>
      </c>
      <c r="L1003">
        <v>1411</v>
      </c>
      <c r="M1003">
        <v>1</v>
      </c>
      <c r="N1003" t="str" cm="1">
        <f t="array" ref="N1003">_xlfn.IFS(M1003=1,"Low",M1003=2,"Medium",M1003=3,"High",M1003=4,"Very High")</f>
        <v>Low</v>
      </c>
      <c r="O1003" t="s">
        <v>36</v>
      </c>
      <c r="P1003" s="2">
        <v>94</v>
      </c>
      <c r="Q1003">
        <v>3</v>
      </c>
      <c r="R1003" t="str" cm="1">
        <f t="array" ref="R1003">_xlfn.IFS(Q1003=1,"Low",Q1003=2,"Medium",Q1003=3,"High",Q1003=4,"Very High")</f>
        <v>High</v>
      </c>
      <c r="S1003">
        <v>1</v>
      </c>
      <c r="T1003" t="str" cm="1">
        <f t="array" ref="T1003">_xlfn.IFS(S1003=1,"Entry Level",S1003=2,"Junior",S1003=3,"Mid-Level",S1003=4,"Senior",S1003=5,"Executive")</f>
        <v>Entry Level</v>
      </c>
      <c r="U1003" t="s">
        <v>46</v>
      </c>
      <c r="V1003">
        <v>3</v>
      </c>
      <c r="W1003" t="str" cm="1">
        <f t="array" ref="W1003">_xlfn.IFS(V1003=1,"Low",V1003=2,"Medium",V1003=3,"High",V1003=4,"Very High")</f>
        <v>High</v>
      </c>
      <c r="X1003" t="s">
        <v>38</v>
      </c>
      <c r="Y1003" s="2">
        <v>3629</v>
      </c>
      <c r="Z1003" s="2">
        <v>19106</v>
      </c>
      <c r="AA1003">
        <v>4</v>
      </c>
      <c r="AB1003" t="s">
        <v>39</v>
      </c>
      <c r="AC1003">
        <v>18</v>
      </c>
      <c r="AD1003">
        <v>3</v>
      </c>
      <c r="AE1003" t="str" cm="1">
        <f t="array" ref="AE1003">_xlfn.IFS(AD1003=1,"Low",AD1003=2,"Good",AD1003=3,"Excellent",AD1003=4,"Outstanding")</f>
        <v>Excellent</v>
      </c>
      <c r="AF1003">
        <v>1</v>
      </c>
      <c r="AG1003" t="str" cm="1">
        <f t="array" ref="AG1003">_xlfn.IFS(AF1003=1,"Low",AF1003=2,"Medium",AF1003=3,"High",AF1003=4,"Very High")</f>
        <v>Low</v>
      </c>
      <c r="AH1003">
        <v>0</v>
      </c>
      <c r="AI1003">
        <v>8</v>
      </c>
      <c r="AJ1003">
        <v>6</v>
      </c>
      <c r="AK1003">
        <v>3</v>
      </c>
      <c r="AL1003" t="str" cm="1">
        <f t="array" ref="AL1003">_xlfn.IFS(AK1003=1,"Low",AK1003=2,"Medium",AK1003=3,"High",AK1003=4,"Very High")</f>
        <v>High</v>
      </c>
      <c r="AM1003">
        <v>3</v>
      </c>
      <c r="AN1003">
        <v>2</v>
      </c>
      <c r="AO1003">
        <v>0</v>
      </c>
      <c r="AP1003">
        <v>2</v>
      </c>
    </row>
    <row r="1004" spans="1:42">
      <c r="A1004">
        <v>35</v>
      </c>
      <c r="B1004" t="str" cm="1">
        <f t="array" ref="B1004">_xlfn.IFS(A1004&lt;=25,"18-25",A1004&lt;=35,"26-35",A1004&lt;=45,"36-45",A1004&lt;=55,"46-55",A1004&gt;55,"56+")</f>
        <v>26-35</v>
      </c>
      <c r="C1004" t="s">
        <v>39</v>
      </c>
      <c r="D1004" t="s">
        <v>40</v>
      </c>
      <c r="E1004" s="2">
        <v>200</v>
      </c>
      <c r="F1004" t="s">
        <v>41</v>
      </c>
      <c r="G1004">
        <v>18</v>
      </c>
      <c r="H1004" t="str">
        <f t="shared" si="15"/>
        <v>11-20 km</v>
      </c>
      <c r="I1004">
        <v>2</v>
      </c>
      <c r="J1004" t="str" cm="1">
        <f t="array" ref="J1004">_xlfn.IFS(I1004=1,"Below College",I1004=2,"College",I1004=3,"Bachelor",I1004=4,"Master",I1004=5,"Doctor")</f>
        <v>College</v>
      </c>
      <c r="K1004" t="s">
        <v>35</v>
      </c>
      <c r="L1004">
        <v>1412</v>
      </c>
      <c r="M1004">
        <v>3</v>
      </c>
      <c r="N1004" t="str" cm="1">
        <f t="array" ref="N1004">_xlfn.IFS(M1004=1,"Low",M1004=2,"Medium",M1004=3,"High",M1004=4,"Very High")</f>
        <v>High</v>
      </c>
      <c r="O1004" t="s">
        <v>42</v>
      </c>
      <c r="P1004" s="2">
        <v>60</v>
      </c>
      <c r="Q1004">
        <v>3</v>
      </c>
      <c r="R1004" t="str" cm="1">
        <f t="array" ref="R1004">_xlfn.IFS(Q1004=1,"Low",Q1004=2,"Medium",Q1004=3,"High",Q1004=4,"Very High")</f>
        <v>High</v>
      </c>
      <c r="S1004">
        <v>3</v>
      </c>
      <c r="T1004" t="str" cm="1">
        <f t="array" ref="T1004">_xlfn.IFS(S1004=1,"Entry Level",S1004=2,"Junior",S1004=3,"Mid-Level",S1004=4,"Senior",S1004=5,"Executive")</f>
        <v>Mid-Level</v>
      </c>
      <c r="U1004" t="s">
        <v>49</v>
      </c>
      <c r="V1004">
        <v>4</v>
      </c>
      <c r="W1004" t="str" cm="1">
        <f t="array" ref="W1004">_xlfn.IFS(V1004=1,"Low",V1004=2,"Medium",V1004=3,"High",V1004=4,"Very High")</f>
        <v>Very High</v>
      </c>
      <c r="X1004" t="s">
        <v>38</v>
      </c>
      <c r="Y1004" s="2">
        <v>9362</v>
      </c>
      <c r="Z1004" s="2">
        <v>19944</v>
      </c>
      <c r="AA1004">
        <v>2</v>
      </c>
      <c r="AB1004" t="s">
        <v>39</v>
      </c>
      <c r="AC1004">
        <v>11</v>
      </c>
      <c r="AD1004">
        <v>3</v>
      </c>
      <c r="AE1004" t="str" cm="1">
        <f t="array" ref="AE1004">_xlfn.IFS(AD1004=1,"Low",AD1004=2,"Good",AD1004=3,"Excellent",AD1004=4,"Outstanding")</f>
        <v>Excellent</v>
      </c>
      <c r="AF1004">
        <v>3</v>
      </c>
      <c r="AG1004" t="str" cm="1">
        <f t="array" ref="AG1004">_xlfn.IFS(AF1004=1,"Low",AF1004=2,"Medium",AF1004=3,"High",AF1004=4,"Very High")</f>
        <v>High</v>
      </c>
      <c r="AH1004">
        <v>0</v>
      </c>
      <c r="AI1004">
        <v>10</v>
      </c>
      <c r="AJ1004">
        <v>2</v>
      </c>
      <c r="AK1004">
        <v>3</v>
      </c>
      <c r="AL1004" t="str" cm="1">
        <f t="array" ref="AL1004">_xlfn.IFS(AK1004=1,"Low",AK1004=2,"Medium",AK1004=3,"High",AK1004=4,"Very High")</f>
        <v>High</v>
      </c>
      <c r="AM1004">
        <v>2</v>
      </c>
      <c r="AN1004">
        <v>2</v>
      </c>
      <c r="AO1004">
        <v>2</v>
      </c>
      <c r="AP1004">
        <v>2</v>
      </c>
    </row>
    <row r="1005" spans="1:42">
      <c r="A1005">
        <v>25</v>
      </c>
      <c r="B1005" t="str" cm="1">
        <f t="array" ref="B1005">_xlfn.IFS(A1005&lt;=25,"18-25",A1005&lt;=35,"26-35",A1005&lt;=45,"36-45",A1005&lt;=55,"46-55",A1005&gt;55,"56+")</f>
        <v>18-25</v>
      </c>
      <c r="C1005" t="s">
        <v>39</v>
      </c>
      <c r="D1005" t="s">
        <v>33</v>
      </c>
      <c r="E1005" s="2">
        <v>949</v>
      </c>
      <c r="F1005" t="s">
        <v>41</v>
      </c>
      <c r="G1005">
        <v>1</v>
      </c>
      <c r="H1005" t="str">
        <f t="shared" si="15"/>
        <v>1-10 km</v>
      </c>
      <c r="I1005">
        <v>3</v>
      </c>
      <c r="J1005" t="str" cm="1">
        <f t="array" ref="J1005">_xlfn.IFS(I1005=1,"Below College",I1005=2,"College",I1005=3,"Bachelor",I1005=4,"Master",I1005=5,"Doctor")</f>
        <v>Bachelor</v>
      </c>
      <c r="K1005" t="s">
        <v>56</v>
      </c>
      <c r="L1005">
        <v>1415</v>
      </c>
      <c r="M1005">
        <v>1</v>
      </c>
      <c r="N1005" t="str" cm="1">
        <f t="array" ref="N1005">_xlfn.IFS(M1005=1,"Low",M1005=2,"Medium",M1005=3,"High",M1005=4,"Very High")</f>
        <v>Low</v>
      </c>
      <c r="O1005" t="s">
        <v>42</v>
      </c>
      <c r="P1005" s="2">
        <v>81</v>
      </c>
      <c r="Q1005">
        <v>3</v>
      </c>
      <c r="R1005" t="str" cm="1">
        <f t="array" ref="R1005">_xlfn.IFS(Q1005=1,"Low",Q1005=2,"Medium",Q1005=3,"High",Q1005=4,"Very High")</f>
        <v>High</v>
      </c>
      <c r="S1005">
        <v>1</v>
      </c>
      <c r="T1005" t="str" cm="1">
        <f t="array" ref="T1005">_xlfn.IFS(S1005=1,"Entry Level",S1005=2,"Junior",S1005=3,"Mid-Level",S1005=4,"Senior",S1005=5,"Executive")</f>
        <v>Entry Level</v>
      </c>
      <c r="U1005" t="s">
        <v>46</v>
      </c>
      <c r="V1005">
        <v>4</v>
      </c>
      <c r="W1005" t="str" cm="1">
        <f t="array" ref="W1005">_xlfn.IFS(V1005=1,"Low",V1005=2,"Medium",V1005=3,"High",V1005=4,"Very High")</f>
        <v>Very High</v>
      </c>
      <c r="X1005" t="s">
        <v>44</v>
      </c>
      <c r="Y1005" s="2">
        <v>3229</v>
      </c>
      <c r="Z1005" s="2">
        <v>4910</v>
      </c>
      <c r="AA1005">
        <v>4</v>
      </c>
      <c r="AB1005" t="s">
        <v>39</v>
      </c>
      <c r="AC1005">
        <v>11</v>
      </c>
      <c r="AD1005">
        <v>3</v>
      </c>
      <c r="AE1005" t="str" cm="1">
        <f t="array" ref="AE1005">_xlfn.IFS(AD1005=1,"Low",AD1005=2,"Good",AD1005=3,"Excellent",AD1005=4,"Outstanding")</f>
        <v>Excellent</v>
      </c>
      <c r="AF1005">
        <v>2</v>
      </c>
      <c r="AG1005" t="str" cm="1">
        <f t="array" ref="AG1005">_xlfn.IFS(AF1005=1,"Low",AF1005=2,"Medium",AF1005=3,"High",AF1005=4,"Very High")</f>
        <v>Medium</v>
      </c>
      <c r="AH1005">
        <v>1</v>
      </c>
      <c r="AI1005">
        <v>7</v>
      </c>
      <c r="AJ1005">
        <v>2</v>
      </c>
      <c r="AK1005">
        <v>2</v>
      </c>
      <c r="AL1005" t="str" cm="1">
        <f t="array" ref="AL1005">_xlfn.IFS(AK1005=1,"Low",AK1005=2,"Medium",AK1005=3,"High",AK1005=4,"Very High")</f>
        <v>Medium</v>
      </c>
      <c r="AM1005">
        <v>3</v>
      </c>
      <c r="AN1005">
        <v>2</v>
      </c>
      <c r="AO1005">
        <v>0</v>
      </c>
      <c r="AP1005">
        <v>2</v>
      </c>
    </row>
    <row r="1006" spans="1:42">
      <c r="A1006">
        <v>26</v>
      </c>
      <c r="B1006" t="str" cm="1">
        <f t="array" ref="B1006">_xlfn.IFS(A1006&lt;=25,"18-25",A1006&lt;=35,"26-35",A1006&lt;=45,"36-45",A1006&lt;=55,"46-55",A1006&gt;55,"56+")</f>
        <v>26-35</v>
      </c>
      <c r="C1006" t="s">
        <v>39</v>
      </c>
      <c r="D1006" t="s">
        <v>33</v>
      </c>
      <c r="E1006" s="2">
        <v>652</v>
      </c>
      <c r="F1006" t="s">
        <v>41</v>
      </c>
      <c r="G1006">
        <v>7</v>
      </c>
      <c r="H1006" t="str">
        <f t="shared" si="15"/>
        <v>1-10 km</v>
      </c>
      <c r="I1006">
        <v>3</v>
      </c>
      <c r="J1006" t="str" cm="1">
        <f t="array" ref="J1006">_xlfn.IFS(I1006=1,"Below College",I1006=2,"College",I1006=3,"Bachelor",I1006=4,"Master",I1006=5,"Doctor")</f>
        <v>Bachelor</v>
      </c>
      <c r="K1006" t="s">
        <v>45</v>
      </c>
      <c r="L1006">
        <v>1417</v>
      </c>
      <c r="M1006">
        <v>3</v>
      </c>
      <c r="N1006" t="str" cm="1">
        <f t="array" ref="N1006">_xlfn.IFS(M1006=1,"Low",M1006=2,"Medium",M1006=3,"High",M1006=4,"Very High")</f>
        <v>High</v>
      </c>
      <c r="O1006" t="s">
        <v>42</v>
      </c>
      <c r="P1006" s="2">
        <v>100</v>
      </c>
      <c r="Q1006">
        <v>4</v>
      </c>
      <c r="R1006" t="str" cm="1">
        <f t="array" ref="R1006">_xlfn.IFS(Q1006=1,"Low",Q1006=2,"Medium",Q1006=3,"High",Q1006=4,"Very High")</f>
        <v>Very High</v>
      </c>
      <c r="S1006">
        <v>1</v>
      </c>
      <c r="T1006" t="str" cm="1">
        <f t="array" ref="T1006">_xlfn.IFS(S1006=1,"Entry Level",S1006=2,"Junior",S1006=3,"Mid-Level",S1006=4,"Senior",S1006=5,"Executive")</f>
        <v>Entry Level</v>
      </c>
      <c r="U1006" t="s">
        <v>46</v>
      </c>
      <c r="V1006">
        <v>1</v>
      </c>
      <c r="W1006" t="str" cm="1">
        <f t="array" ref="W1006">_xlfn.IFS(V1006=1,"Low",V1006=2,"Medium",V1006=3,"High",V1006=4,"Very High")</f>
        <v>Low</v>
      </c>
      <c r="X1006" t="s">
        <v>38</v>
      </c>
      <c r="Y1006" s="2">
        <v>3578</v>
      </c>
      <c r="Z1006" s="2">
        <v>23577</v>
      </c>
      <c r="AA1006">
        <v>0</v>
      </c>
      <c r="AB1006" t="s">
        <v>39</v>
      </c>
      <c r="AC1006">
        <v>12</v>
      </c>
      <c r="AD1006">
        <v>3</v>
      </c>
      <c r="AE1006" t="str" cm="1">
        <f t="array" ref="AE1006">_xlfn.IFS(AD1006=1,"Low",AD1006=2,"Good",AD1006=3,"Excellent",AD1006=4,"Outstanding")</f>
        <v>Excellent</v>
      </c>
      <c r="AF1006">
        <v>4</v>
      </c>
      <c r="AG1006" t="str" cm="1">
        <f t="array" ref="AG1006">_xlfn.IFS(AF1006=1,"Low",AF1006=2,"Medium",AF1006=3,"High",AF1006=4,"Very High")</f>
        <v>Very High</v>
      </c>
      <c r="AH1006">
        <v>0</v>
      </c>
      <c r="AI1006">
        <v>8</v>
      </c>
      <c r="AJ1006">
        <v>2</v>
      </c>
      <c r="AK1006">
        <v>3</v>
      </c>
      <c r="AL1006" t="str" cm="1">
        <f t="array" ref="AL1006">_xlfn.IFS(AK1006=1,"Low",AK1006=2,"Medium",AK1006=3,"High",AK1006=4,"Very High")</f>
        <v>High</v>
      </c>
      <c r="AM1006">
        <v>7</v>
      </c>
      <c r="AN1006">
        <v>7</v>
      </c>
      <c r="AO1006">
        <v>0</v>
      </c>
      <c r="AP1006">
        <v>7</v>
      </c>
    </row>
    <row r="1007" spans="1:42">
      <c r="A1007">
        <v>29</v>
      </c>
      <c r="B1007" t="str" cm="1">
        <f t="array" ref="B1007">_xlfn.IFS(A1007&lt;=25,"18-25",A1007&lt;=35,"26-35",A1007&lt;=45,"36-45",A1007&lt;=55,"46-55",A1007&gt;55,"56+")</f>
        <v>26-35</v>
      </c>
      <c r="C1007" t="s">
        <v>39</v>
      </c>
      <c r="D1007" t="s">
        <v>33</v>
      </c>
      <c r="E1007" s="2">
        <v>332</v>
      </c>
      <c r="F1007" t="s">
        <v>57</v>
      </c>
      <c r="G1007">
        <v>17</v>
      </c>
      <c r="H1007" t="str">
        <f t="shared" si="15"/>
        <v>11-20 km</v>
      </c>
      <c r="I1007">
        <v>3</v>
      </c>
      <c r="J1007" t="str" cm="1">
        <f t="array" ref="J1007">_xlfn.IFS(I1007=1,"Below College",I1007=2,"College",I1007=3,"Bachelor",I1007=4,"Master",I1007=5,"Doctor")</f>
        <v>Bachelor</v>
      </c>
      <c r="K1007" t="s">
        <v>45</v>
      </c>
      <c r="L1007">
        <v>1419</v>
      </c>
      <c r="M1007">
        <v>2</v>
      </c>
      <c r="N1007" t="str" cm="1">
        <f t="array" ref="N1007">_xlfn.IFS(M1007=1,"Low",M1007=2,"Medium",M1007=3,"High",M1007=4,"Very High")</f>
        <v>Medium</v>
      </c>
      <c r="O1007" t="s">
        <v>42</v>
      </c>
      <c r="P1007" s="2">
        <v>51</v>
      </c>
      <c r="Q1007">
        <v>2</v>
      </c>
      <c r="R1007" t="str" cm="1">
        <f t="array" ref="R1007">_xlfn.IFS(Q1007=1,"Low",Q1007=2,"Medium",Q1007=3,"High",Q1007=4,"Very High")</f>
        <v>Medium</v>
      </c>
      <c r="S1007">
        <v>3</v>
      </c>
      <c r="T1007" t="str" cm="1">
        <f t="array" ref="T1007">_xlfn.IFS(S1007=1,"Entry Level",S1007=2,"Junior",S1007=3,"Mid-Level",S1007=4,"Senior",S1007=5,"Executive")</f>
        <v>Mid-Level</v>
      </c>
      <c r="U1007" t="s">
        <v>57</v>
      </c>
      <c r="V1007">
        <v>1</v>
      </c>
      <c r="W1007" t="str" cm="1">
        <f t="array" ref="W1007">_xlfn.IFS(V1007=1,"Low",V1007=2,"Medium",V1007=3,"High",V1007=4,"Very High")</f>
        <v>Low</v>
      </c>
      <c r="X1007" t="s">
        <v>38</v>
      </c>
      <c r="Y1007" s="2">
        <v>7988</v>
      </c>
      <c r="Z1007" s="2">
        <v>9769</v>
      </c>
      <c r="AA1007">
        <v>1</v>
      </c>
      <c r="AB1007" t="s">
        <v>39</v>
      </c>
      <c r="AC1007">
        <v>13</v>
      </c>
      <c r="AD1007">
        <v>3</v>
      </c>
      <c r="AE1007" t="str" cm="1">
        <f t="array" ref="AE1007">_xlfn.IFS(AD1007=1,"Low",AD1007=2,"Good",AD1007=3,"Excellent",AD1007=4,"Outstanding")</f>
        <v>Excellent</v>
      </c>
      <c r="AF1007">
        <v>1</v>
      </c>
      <c r="AG1007" t="str" cm="1">
        <f t="array" ref="AG1007">_xlfn.IFS(AF1007=1,"Low",AF1007=2,"Medium",AF1007=3,"High",AF1007=4,"Very High")</f>
        <v>Low</v>
      </c>
      <c r="AH1007">
        <v>0</v>
      </c>
      <c r="AI1007">
        <v>10</v>
      </c>
      <c r="AJ1007">
        <v>3</v>
      </c>
      <c r="AK1007">
        <v>2</v>
      </c>
      <c r="AL1007" t="str" cm="1">
        <f t="array" ref="AL1007">_xlfn.IFS(AK1007=1,"Low",AK1007=2,"Medium",AK1007=3,"High",AK1007=4,"Very High")</f>
        <v>Medium</v>
      </c>
      <c r="AM1007">
        <v>10</v>
      </c>
      <c r="AN1007">
        <v>9</v>
      </c>
      <c r="AO1007">
        <v>0</v>
      </c>
      <c r="AP1007">
        <v>9</v>
      </c>
    </row>
    <row r="1008" spans="1:42">
      <c r="A1008">
        <v>49</v>
      </c>
      <c r="B1008" t="str" cm="1">
        <f t="array" ref="B1008">_xlfn.IFS(A1008&lt;=25,"18-25",A1008&lt;=35,"26-35",A1008&lt;=45,"36-45",A1008&lt;=55,"46-55",A1008&gt;55,"56+")</f>
        <v>46-55</v>
      </c>
      <c r="C1008" t="s">
        <v>32</v>
      </c>
      <c r="D1008" t="s">
        <v>40</v>
      </c>
      <c r="E1008" s="2">
        <v>1475</v>
      </c>
      <c r="F1008" t="s">
        <v>41</v>
      </c>
      <c r="G1008">
        <v>28</v>
      </c>
      <c r="H1008" t="str">
        <f t="shared" si="15"/>
        <v>21-30 km</v>
      </c>
      <c r="I1008">
        <v>2</v>
      </c>
      <c r="J1008" t="str" cm="1">
        <f t="array" ref="J1008">_xlfn.IFS(I1008=1,"Below College",I1008=2,"College",I1008=3,"Bachelor",I1008=4,"Master",I1008=5,"Doctor")</f>
        <v>College</v>
      </c>
      <c r="K1008" t="s">
        <v>35</v>
      </c>
      <c r="L1008">
        <v>1420</v>
      </c>
      <c r="M1008">
        <v>1</v>
      </c>
      <c r="N1008" t="str" cm="1">
        <f t="array" ref="N1008">_xlfn.IFS(M1008=1,"Low",M1008=2,"Medium",M1008=3,"High",M1008=4,"Very High")</f>
        <v>Low</v>
      </c>
      <c r="O1008" t="s">
        <v>42</v>
      </c>
      <c r="P1008" s="2">
        <v>97</v>
      </c>
      <c r="Q1008">
        <v>2</v>
      </c>
      <c r="R1008" t="str" cm="1">
        <f t="array" ref="R1008">_xlfn.IFS(Q1008=1,"Low",Q1008=2,"Medium",Q1008=3,"High",Q1008=4,"Very High")</f>
        <v>Medium</v>
      </c>
      <c r="S1008">
        <v>2</v>
      </c>
      <c r="T1008" t="str" cm="1">
        <f t="array" ref="T1008">_xlfn.IFS(S1008=1,"Entry Level",S1008=2,"Junior",S1008=3,"Mid-Level",S1008=4,"Senior",S1008=5,"Executive")</f>
        <v>Junior</v>
      </c>
      <c r="U1008" t="s">
        <v>46</v>
      </c>
      <c r="V1008">
        <v>1</v>
      </c>
      <c r="W1008" t="str" cm="1">
        <f t="array" ref="W1008">_xlfn.IFS(V1008=1,"Low",V1008=2,"Medium",V1008=3,"High",V1008=4,"Very High")</f>
        <v>Low</v>
      </c>
      <c r="X1008" t="s">
        <v>38</v>
      </c>
      <c r="Y1008" s="2">
        <v>4284</v>
      </c>
      <c r="Z1008" s="2">
        <v>22710</v>
      </c>
      <c r="AA1008">
        <v>3</v>
      </c>
      <c r="AB1008" t="s">
        <v>39</v>
      </c>
      <c r="AC1008">
        <v>20</v>
      </c>
      <c r="AD1008">
        <v>4</v>
      </c>
      <c r="AE1008" t="str" cm="1">
        <f t="array" ref="AE1008">_xlfn.IFS(AD1008=1,"Low",AD1008=2,"Good",AD1008=3,"Excellent",AD1008=4,"Outstanding")</f>
        <v>Outstanding</v>
      </c>
      <c r="AF1008">
        <v>1</v>
      </c>
      <c r="AG1008" t="str" cm="1">
        <f t="array" ref="AG1008">_xlfn.IFS(AF1008=1,"Low",AF1008=2,"Medium",AF1008=3,"High",AF1008=4,"Very High")</f>
        <v>Low</v>
      </c>
      <c r="AH1008">
        <v>0</v>
      </c>
      <c r="AI1008">
        <v>20</v>
      </c>
      <c r="AJ1008">
        <v>2</v>
      </c>
      <c r="AK1008">
        <v>3</v>
      </c>
      <c r="AL1008" t="str" cm="1">
        <f t="array" ref="AL1008">_xlfn.IFS(AK1008=1,"Low",AK1008=2,"Medium",AK1008=3,"High",AK1008=4,"Very High")</f>
        <v>High</v>
      </c>
      <c r="AM1008">
        <v>4</v>
      </c>
      <c r="AN1008">
        <v>3</v>
      </c>
      <c r="AO1008">
        <v>1</v>
      </c>
      <c r="AP1008">
        <v>3</v>
      </c>
    </row>
    <row r="1009" spans="1:42">
      <c r="A1009">
        <v>29</v>
      </c>
      <c r="B1009" t="str" cm="1">
        <f t="array" ref="B1009">_xlfn.IFS(A1009&lt;=25,"18-25",A1009&lt;=35,"26-35",A1009&lt;=45,"36-45",A1009&lt;=55,"46-55",A1009&gt;55,"56+")</f>
        <v>26-35</v>
      </c>
      <c r="C1009" t="s">
        <v>32</v>
      </c>
      <c r="D1009" t="s">
        <v>40</v>
      </c>
      <c r="E1009" s="2">
        <v>337</v>
      </c>
      <c r="F1009" t="s">
        <v>41</v>
      </c>
      <c r="G1009">
        <v>14</v>
      </c>
      <c r="H1009" t="str">
        <f t="shared" si="15"/>
        <v>11-20 km</v>
      </c>
      <c r="I1009">
        <v>1</v>
      </c>
      <c r="J1009" t="str" cm="1">
        <f t="array" ref="J1009">_xlfn.IFS(I1009=1,"Below College",I1009=2,"College",I1009=3,"Bachelor",I1009=4,"Master",I1009=5,"Doctor")</f>
        <v>Below College</v>
      </c>
      <c r="K1009" t="s">
        <v>45</v>
      </c>
      <c r="L1009">
        <v>1421</v>
      </c>
      <c r="M1009">
        <v>3</v>
      </c>
      <c r="N1009" t="str" cm="1">
        <f t="array" ref="N1009">_xlfn.IFS(M1009=1,"Low",M1009=2,"Medium",M1009=3,"High",M1009=4,"Very High")</f>
        <v>High</v>
      </c>
      <c r="O1009" t="s">
        <v>36</v>
      </c>
      <c r="P1009" s="2">
        <v>84</v>
      </c>
      <c r="Q1009">
        <v>3</v>
      </c>
      <c r="R1009" t="str" cm="1">
        <f t="array" ref="R1009">_xlfn.IFS(Q1009=1,"Low",Q1009=2,"Medium",Q1009=3,"High",Q1009=4,"Very High")</f>
        <v>High</v>
      </c>
      <c r="S1009">
        <v>3</v>
      </c>
      <c r="T1009" t="str" cm="1">
        <f t="array" ref="T1009">_xlfn.IFS(S1009=1,"Entry Level",S1009=2,"Junior",S1009=3,"Mid-Level",S1009=4,"Senior",S1009=5,"Executive")</f>
        <v>Mid-Level</v>
      </c>
      <c r="U1009" t="s">
        <v>50</v>
      </c>
      <c r="V1009">
        <v>4</v>
      </c>
      <c r="W1009" t="str" cm="1">
        <f t="array" ref="W1009">_xlfn.IFS(V1009=1,"Low",V1009=2,"Medium",V1009=3,"High",V1009=4,"Very High")</f>
        <v>Very High</v>
      </c>
      <c r="X1009" t="s">
        <v>38</v>
      </c>
      <c r="Y1009" s="2">
        <v>7553</v>
      </c>
      <c r="Z1009" s="2">
        <v>22930</v>
      </c>
      <c r="AA1009">
        <v>0</v>
      </c>
      <c r="AB1009" t="s">
        <v>32</v>
      </c>
      <c r="AC1009">
        <v>12</v>
      </c>
      <c r="AD1009">
        <v>3</v>
      </c>
      <c r="AE1009" t="str" cm="1">
        <f t="array" ref="AE1009">_xlfn.IFS(AD1009=1,"Low",AD1009=2,"Good",AD1009=3,"Excellent",AD1009=4,"Outstanding")</f>
        <v>Excellent</v>
      </c>
      <c r="AF1009">
        <v>1</v>
      </c>
      <c r="AG1009" t="str" cm="1">
        <f t="array" ref="AG1009">_xlfn.IFS(AF1009=1,"Low",AF1009=2,"Medium",AF1009=3,"High",AF1009=4,"Very High")</f>
        <v>Low</v>
      </c>
      <c r="AH1009">
        <v>0</v>
      </c>
      <c r="AI1009">
        <v>9</v>
      </c>
      <c r="AJ1009">
        <v>1</v>
      </c>
      <c r="AK1009">
        <v>3</v>
      </c>
      <c r="AL1009" t="str" cm="1">
        <f t="array" ref="AL1009">_xlfn.IFS(AK1009=1,"Low",AK1009=2,"Medium",AK1009=3,"High",AK1009=4,"Very High")</f>
        <v>High</v>
      </c>
      <c r="AM1009">
        <v>8</v>
      </c>
      <c r="AN1009">
        <v>7</v>
      </c>
      <c r="AO1009">
        <v>7</v>
      </c>
      <c r="AP1009">
        <v>7</v>
      </c>
    </row>
    <row r="1010" spans="1:42">
      <c r="A1010">
        <v>54</v>
      </c>
      <c r="B1010" t="str" cm="1">
        <f t="array" ref="B1010">_xlfn.IFS(A1010&lt;=25,"18-25",A1010&lt;=35,"26-35",A1010&lt;=45,"36-45",A1010&lt;=55,"46-55",A1010&gt;55,"56+")</f>
        <v>46-55</v>
      </c>
      <c r="C1010" t="s">
        <v>39</v>
      </c>
      <c r="D1010" t="s">
        <v>33</v>
      </c>
      <c r="E1010" s="2">
        <v>971</v>
      </c>
      <c r="F1010" t="s">
        <v>41</v>
      </c>
      <c r="G1010">
        <v>1</v>
      </c>
      <c r="H1010" t="str">
        <f t="shared" si="15"/>
        <v>1-10 km</v>
      </c>
      <c r="I1010">
        <v>3</v>
      </c>
      <c r="J1010" t="str" cm="1">
        <f t="array" ref="J1010">_xlfn.IFS(I1010=1,"Below College",I1010=2,"College",I1010=3,"Bachelor",I1010=4,"Master",I1010=5,"Doctor")</f>
        <v>Bachelor</v>
      </c>
      <c r="K1010" t="s">
        <v>47</v>
      </c>
      <c r="L1010">
        <v>1422</v>
      </c>
      <c r="M1010">
        <v>4</v>
      </c>
      <c r="N1010" t="str" cm="1">
        <f t="array" ref="N1010">_xlfn.IFS(M1010=1,"Low",M1010=2,"Medium",M1010=3,"High",M1010=4,"Very High")</f>
        <v>Very High</v>
      </c>
      <c r="O1010" t="s">
        <v>36</v>
      </c>
      <c r="P1010" s="2">
        <v>54</v>
      </c>
      <c r="Q1010">
        <v>3</v>
      </c>
      <c r="R1010" t="str" cm="1">
        <f t="array" ref="R1010">_xlfn.IFS(Q1010=1,"Low",Q1010=2,"Medium",Q1010=3,"High",Q1010=4,"Very High")</f>
        <v>High</v>
      </c>
      <c r="S1010">
        <v>4</v>
      </c>
      <c r="T1010" t="str" cm="1">
        <f t="array" ref="T1010">_xlfn.IFS(S1010=1,"Entry Level",S1010=2,"Junior",S1010=3,"Mid-Level",S1010=4,"Senior",S1010=5,"Executive")</f>
        <v>Senior</v>
      </c>
      <c r="U1010" t="s">
        <v>54</v>
      </c>
      <c r="V1010">
        <v>4</v>
      </c>
      <c r="W1010" t="str" cm="1">
        <f t="array" ref="W1010">_xlfn.IFS(V1010=1,"Low",V1010=2,"Medium",V1010=3,"High",V1010=4,"Very High")</f>
        <v>Very High</v>
      </c>
      <c r="X1010" t="s">
        <v>38</v>
      </c>
      <c r="Y1010" s="2">
        <v>17328</v>
      </c>
      <c r="Z1010" s="2">
        <v>5652</v>
      </c>
      <c r="AA1010">
        <v>6</v>
      </c>
      <c r="AB1010" t="s">
        <v>39</v>
      </c>
      <c r="AC1010">
        <v>19</v>
      </c>
      <c r="AD1010">
        <v>3</v>
      </c>
      <c r="AE1010" t="str" cm="1">
        <f t="array" ref="AE1010">_xlfn.IFS(AD1010=1,"Low",AD1010=2,"Good",AD1010=3,"Excellent",AD1010=4,"Outstanding")</f>
        <v>Excellent</v>
      </c>
      <c r="AF1010">
        <v>4</v>
      </c>
      <c r="AG1010" t="str" cm="1">
        <f t="array" ref="AG1010">_xlfn.IFS(AF1010=1,"Low",AF1010=2,"Medium",AF1010=3,"High",AF1010=4,"Very High")</f>
        <v>Very High</v>
      </c>
      <c r="AH1010">
        <v>0</v>
      </c>
      <c r="AI1010">
        <v>29</v>
      </c>
      <c r="AJ1010">
        <v>3</v>
      </c>
      <c r="AK1010">
        <v>2</v>
      </c>
      <c r="AL1010" t="str" cm="1">
        <f t="array" ref="AL1010">_xlfn.IFS(AK1010=1,"Low",AK1010=2,"Medium",AK1010=3,"High",AK1010=4,"Very High")</f>
        <v>Medium</v>
      </c>
      <c r="AM1010">
        <v>20</v>
      </c>
      <c r="AN1010">
        <v>7</v>
      </c>
      <c r="AO1010">
        <v>12</v>
      </c>
      <c r="AP1010">
        <v>7</v>
      </c>
    </row>
    <row r="1011" spans="1:42">
      <c r="A1011">
        <v>58</v>
      </c>
      <c r="B1011" t="str" cm="1">
        <f t="array" ref="B1011">_xlfn.IFS(A1011&lt;=25,"18-25",A1011&lt;=35,"26-35",A1011&lt;=45,"36-45",A1011&lt;=55,"46-55",A1011&gt;55,"56+")</f>
        <v>56+</v>
      </c>
      <c r="C1011" t="s">
        <v>39</v>
      </c>
      <c r="D1011" t="s">
        <v>33</v>
      </c>
      <c r="E1011" s="2">
        <v>1055</v>
      </c>
      <c r="F1011" t="s">
        <v>41</v>
      </c>
      <c r="G1011">
        <v>1</v>
      </c>
      <c r="H1011" t="str">
        <f t="shared" si="15"/>
        <v>1-10 km</v>
      </c>
      <c r="I1011">
        <v>3</v>
      </c>
      <c r="J1011" t="str" cm="1">
        <f t="array" ref="J1011">_xlfn.IFS(I1011=1,"Below College",I1011=2,"College",I1011=3,"Bachelor",I1011=4,"Master",I1011=5,"Doctor")</f>
        <v>Bachelor</v>
      </c>
      <c r="K1011" t="s">
        <v>47</v>
      </c>
      <c r="L1011">
        <v>1423</v>
      </c>
      <c r="M1011">
        <v>4</v>
      </c>
      <c r="N1011" t="str" cm="1">
        <f t="array" ref="N1011">_xlfn.IFS(M1011=1,"Low",M1011=2,"Medium",M1011=3,"High",M1011=4,"Very High")</f>
        <v>Very High</v>
      </c>
      <c r="O1011" t="s">
        <v>36</v>
      </c>
      <c r="P1011" s="2">
        <v>76</v>
      </c>
      <c r="Q1011">
        <v>3</v>
      </c>
      <c r="R1011" t="str" cm="1">
        <f t="array" ref="R1011">_xlfn.IFS(Q1011=1,"Low",Q1011=2,"Medium",Q1011=3,"High",Q1011=4,"Very High")</f>
        <v>High</v>
      </c>
      <c r="S1011">
        <v>5</v>
      </c>
      <c r="T1011" t="str" cm="1">
        <f t="array" ref="T1011">_xlfn.IFS(S1011=1,"Entry Level",S1011=2,"Junior",S1011=3,"Mid-Level",S1011=4,"Senior",S1011=5,"Executive")</f>
        <v>Executive</v>
      </c>
      <c r="U1011" t="s">
        <v>54</v>
      </c>
      <c r="V1011">
        <v>1</v>
      </c>
      <c r="W1011" t="str" cm="1">
        <f t="array" ref="W1011">_xlfn.IFS(V1011=1,"Low",V1011=2,"Medium",V1011=3,"High",V1011=4,"Very High")</f>
        <v>Low</v>
      </c>
      <c r="X1011" t="s">
        <v>44</v>
      </c>
      <c r="Y1011" s="2">
        <v>19701</v>
      </c>
      <c r="Z1011" s="2">
        <v>22456</v>
      </c>
      <c r="AA1011">
        <v>3</v>
      </c>
      <c r="AB1011" t="s">
        <v>32</v>
      </c>
      <c r="AC1011">
        <v>21</v>
      </c>
      <c r="AD1011">
        <v>4</v>
      </c>
      <c r="AE1011" t="str" cm="1">
        <f t="array" ref="AE1011">_xlfn.IFS(AD1011=1,"Low",AD1011=2,"Good",AD1011=3,"Excellent",AD1011=4,"Outstanding")</f>
        <v>Outstanding</v>
      </c>
      <c r="AF1011">
        <v>3</v>
      </c>
      <c r="AG1011" t="str" cm="1">
        <f t="array" ref="AG1011">_xlfn.IFS(AF1011=1,"Low",AF1011=2,"Medium",AF1011=3,"High",AF1011=4,"Very High")</f>
        <v>High</v>
      </c>
      <c r="AH1011">
        <v>1</v>
      </c>
      <c r="AI1011">
        <v>32</v>
      </c>
      <c r="AJ1011">
        <v>3</v>
      </c>
      <c r="AK1011">
        <v>3</v>
      </c>
      <c r="AL1011" t="str" cm="1">
        <f t="array" ref="AL1011">_xlfn.IFS(AK1011=1,"Low",AK1011=2,"Medium",AK1011=3,"High",AK1011=4,"Very High")</f>
        <v>High</v>
      </c>
      <c r="AM1011">
        <v>9</v>
      </c>
      <c r="AN1011">
        <v>8</v>
      </c>
      <c r="AO1011">
        <v>1</v>
      </c>
      <c r="AP1011">
        <v>5</v>
      </c>
    </row>
    <row r="1012" spans="1:42">
      <c r="A1012">
        <v>55</v>
      </c>
      <c r="B1012" t="str" cm="1">
        <f t="array" ref="B1012">_xlfn.IFS(A1012&lt;=25,"18-25",A1012&lt;=35,"26-35",A1012&lt;=45,"36-45",A1012&lt;=55,"46-55",A1012&gt;55,"56+")</f>
        <v>46-55</v>
      </c>
      <c r="C1012" t="s">
        <v>39</v>
      </c>
      <c r="D1012" t="s">
        <v>33</v>
      </c>
      <c r="E1012" s="2">
        <v>1136</v>
      </c>
      <c r="F1012" t="s">
        <v>41</v>
      </c>
      <c r="G1012">
        <v>1</v>
      </c>
      <c r="H1012" t="str">
        <f t="shared" si="15"/>
        <v>1-10 km</v>
      </c>
      <c r="I1012">
        <v>4</v>
      </c>
      <c r="J1012" t="str" cm="1">
        <f t="array" ref="J1012">_xlfn.IFS(I1012=1,"Below College",I1012=2,"College",I1012=3,"Bachelor",I1012=4,"Master",I1012=5,"Doctor")</f>
        <v>Master</v>
      </c>
      <c r="K1012" t="s">
        <v>47</v>
      </c>
      <c r="L1012">
        <v>1424</v>
      </c>
      <c r="M1012">
        <v>2</v>
      </c>
      <c r="N1012" t="str" cm="1">
        <f t="array" ref="N1012">_xlfn.IFS(M1012=1,"Low",M1012=2,"Medium",M1012=3,"High",M1012=4,"Very High")</f>
        <v>Medium</v>
      </c>
      <c r="O1012" t="s">
        <v>42</v>
      </c>
      <c r="P1012" s="2">
        <v>81</v>
      </c>
      <c r="Q1012">
        <v>4</v>
      </c>
      <c r="R1012" t="str" cm="1">
        <f t="array" ref="R1012">_xlfn.IFS(Q1012=1,"Low",Q1012=2,"Medium",Q1012=3,"High",Q1012=4,"Very High")</f>
        <v>Very High</v>
      </c>
      <c r="S1012">
        <v>4</v>
      </c>
      <c r="T1012" t="str" cm="1">
        <f t="array" ref="T1012">_xlfn.IFS(S1012=1,"Entry Level",S1012=2,"Junior",S1012=3,"Mid-Level",S1012=4,"Senior",S1012=5,"Executive")</f>
        <v>Senior</v>
      </c>
      <c r="U1012" t="s">
        <v>54</v>
      </c>
      <c r="V1012">
        <v>4</v>
      </c>
      <c r="W1012" t="str" cm="1">
        <f t="array" ref="W1012">_xlfn.IFS(V1012=1,"Low",V1012=2,"Medium",V1012=3,"High",V1012=4,"Very High")</f>
        <v>Very High</v>
      </c>
      <c r="X1012" t="s">
        <v>48</v>
      </c>
      <c r="Y1012" s="2">
        <v>14732</v>
      </c>
      <c r="Z1012" s="2">
        <v>12414</v>
      </c>
      <c r="AA1012">
        <v>2</v>
      </c>
      <c r="AB1012" t="s">
        <v>39</v>
      </c>
      <c r="AC1012">
        <v>13</v>
      </c>
      <c r="AD1012">
        <v>3</v>
      </c>
      <c r="AE1012" t="str" cm="1">
        <f t="array" ref="AE1012">_xlfn.IFS(AD1012=1,"Low",AD1012=2,"Good",AD1012=3,"Excellent",AD1012=4,"Outstanding")</f>
        <v>Excellent</v>
      </c>
      <c r="AF1012">
        <v>4</v>
      </c>
      <c r="AG1012" t="str" cm="1">
        <f t="array" ref="AG1012">_xlfn.IFS(AF1012=1,"Low",AF1012=2,"Medium",AF1012=3,"High",AF1012=4,"Very High")</f>
        <v>Very High</v>
      </c>
      <c r="AH1012">
        <v>2</v>
      </c>
      <c r="AI1012">
        <v>31</v>
      </c>
      <c r="AJ1012">
        <v>4</v>
      </c>
      <c r="AK1012">
        <v>4</v>
      </c>
      <c r="AL1012" t="str" cm="1">
        <f t="array" ref="AL1012">_xlfn.IFS(AK1012=1,"Low",AK1012=2,"Medium",AK1012=3,"High",AK1012=4,"Very High")</f>
        <v>Very High</v>
      </c>
      <c r="AM1012">
        <v>7</v>
      </c>
      <c r="AN1012">
        <v>7</v>
      </c>
      <c r="AO1012">
        <v>0</v>
      </c>
      <c r="AP1012">
        <v>0</v>
      </c>
    </row>
    <row r="1013" spans="1:42">
      <c r="A1013">
        <v>36</v>
      </c>
      <c r="B1013" t="str" cm="1">
        <f t="array" ref="B1013">_xlfn.IFS(A1013&lt;=25,"18-25",A1013&lt;=35,"26-35",A1013&lt;=45,"36-45",A1013&lt;=55,"46-55",A1013&gt;55,"56+")</f>
        <v>36-45</v>
      </c>
      <c r="C1013" t="s">
        <v>39</v>
      </c>
      <c r="D1013" t="s">
        <v>33</v>
      </c>
      <c r="E1013" s="2">
        <v>1174</v>
      </c>
      <c r="F1013" t="s">
        <v>34</v>
      </c>
      <c r="G1013">
        <v>3</v>
      </c>
      <c r="H1013" t="str">
        <f t="shared" si="15"/>
        <v>1-10 km</v>
      </c>
      <c r="I1013">
        <v>4</v>
      </c>
      <c r="J1013" t="str" cm="1">
        <f t="array" ref="J1013">_xlfn.IFS(I1013=1,"Below College",I1013=2,"College",I1013=3,"Bachelor",I1013=4,"Master",I1013=5,"Doctor")</f>
        <v>Master</v>
      </c>
      <c r="K1013" t="s">
        <v>55</v>
      </c>
      <c r="L1013">
        <v>1425</v>
      </c>
      <c r="M1013">
        <v>1</v>
      </c>
      <c r="N1013" t="str" cm="1">
        <f t="array" ref="N1013">_xlfn.IFS(M1013=1,"Low",M1013=2,"Medium",M1013=3,"High",M1013=4,"Very High")</f>
        <v>Low</v>
      </c>
      <c r="O1013" t="s">
        <v>36</v>
      </c>
      <c r="P1013" s="2">
        <v>99</v>
      </c>
      <c r="Q1013">
        <v>3</v>
      </c>
      <c r="R1013" t="str" cm="1">
        <f t="array" ref="R1013">_xlfn.IFS(Q1013=1,"Low",Q1013=2,"Medium",Q1013=3,"High",Q1013=4,"Very High")</f>
        <v>High</v>
      </c>
      <c r="S1013">
        <v>2</v>
      </c>
      <c r="T1013" t="str" cm="1">
        <f t="array" ref="T1013">_xlfn.IFS(S1013=1,"Entry Level",S1013=2,"Junior",S1013=3,"Mid-Level",S1013=4,"Senior",S1013=5,"Executive")</f>
        <v>Junior</v>
      </c>
      <c r="U1013" t="s">
        <v>37</v>
      </c>
      <c r="V1013">
        <v>2</v>
      </c>
      <c r="W1013" t="str" cm="1">
        <f t="array" ref="W1013">_xlfn.IFS(V1013=1,"Low",V1013=2,"Medium",V1013=3,"High",V1013=4,"Very High")</f>
        <v>Medium</v>
      </c>
      <c r="X1013" t="s">
        <v>38</v>
      </c>
      <c r="Y1013" s="2">
        <v>9278</v>
      </c>
      <c r="Z1013" s="2">
        <v>20763</v>
      </c>
      <c r="AA1013">
        <v>3</v>
      </c>
      <c r="AB1013" t="s">
        <v>32</v>
      </c>
      <c r="AC1013">
        <v>16</v>
      </c>
      <c r="AD1013">
        <v>3</v>
      </c>
      <c r="AE1013" t="str" cm="1">
        <f t="array" ref="AE1013">_xlfn.IFS(AD1013=1,"Low",AD1013=2,"Good",AD1013=3,"Excellent",AD1013=4,"Outstanding")</f>
        <v>Excellent</v>
      </c>
      <c r="AF1013">
        <v>4</v>
      </c>
      <c r="AG1013" t="str" cm="1">
        <f t="array" ref="AG1013">_xlfn.IFS(AF1013=1,"Low",AF1013=2,"Medium",AF1013=3,"High",AF1013=4,"Very High")</f>
        <v>Very High</v>
      </c>
      <c r="AH1013">
        <v>0</v>
      </c>
      <c r="AI1013">
        <v>15</v>
      </c>
      <c r="AJ1013">
        <v>3</v>
      </c>
      <c r="AK1013">
        <v>3</v>
      </c>
      <c r="AL1013" t="str" cm="1">
        <f t="array" ref="AL1013">_xlfn.IFS(AK1013=1,"Low",AK1013=2,"Medium",AK1013=3,"High",AK1013=4,"Very High")</f>
        <v>High</v>
      </c>
      <c r="AM1013">
        <v>5</v>
      </c>
      <c r="AN1013">
        <v>4</v>
      </c>
      <c r="AO1013">
        <v>0</v>
      </c>
      <c r="AP1013">
        <v>1</v>
      </c>
    </row>
    <row r="1014" spans="1:42">
      <c r="A1014">
        <v>31</v>
      </c>
      <c r="B1014" t="str" cm="1">
        <f t="array" ref="B1014">_xlfn.IFS(A1014&lt;=25,"18-25",A1014&lt;=35,"26-35",A1014&lt;=45,"36-45",A1014&lt;=55,"46-55",A1014&gt;55,"56+")</f>
        <v>26-35</v>
      </c>
      <c r="C1014" t="s">
        <v>32</v>
      </c>
      <c r="D1014" t="s">
        <v>40</v>
      </c>
      <c r="E1014" s="2">
        <v>667</v>
      </c>
      <c r="F1014" t="s">
        <v>34</v>
      </c>
      <c r="G1014">
        <v>1</v>
      </c>
      <c r="H1014" t="str">
        <f t="shared" si="15"/>
        <v>1-10 km</v>
      </c>
      <c r="I1014">
        <v>4</v>
      </c>
      <c r="J1014" t="str" cm="1">
        <f t="array" ref="J1014">_xlfn.IFS(I1014=1,"Below College",I1014=2,"College",I1014=3,"Bachelor",I1014=4,"Master",I1014=5,"Doctor")</f>
        <v>Master</v>
      </c>
      <c r="K1014" t="s">
        <v>35</v>
      </c>
      <c r="L1014">
        <v>1427</v>
      </c>
      <c r="M1014">
        <v>2</v>
      </c>
      <c r="N1014" t="str" cm="1">
        <f t="array" ref="N1014">_xlfn.IFS(M1014=1,"Low",M1014=2,"Medium",M1014=3,"High",M1014=4,"Very High")</f>
        <v>Medium</v>
      </c>
      <c r="O1014" t="s">
        <v>36</v>
      </c>
      <c r="P1014" s="2">
        <v>50</v>
      </c>
      <c r="Q1014">
        <v>1</v>
      </c>
      <c r="R1014" t="str" cm="1">
        <f t="array" ref="R1014">_xlfn.IFS(Q1014=1,"Low",Q1014=2,"Medium",Q1014=3,"High",Q1014=4,"Very High")</f>
        <v>Low</v>
      </c>
      <c r="S1014">
        <v>1</v>
      </c>
      <c r="T1014" t="str" cm="1">
        <f t="array" ref="T1014">_xlfn.IFS(S1014=1,"Entry Level",S1014=2,"Junior",S1014=3,"Mid-Level",S1014=4,"Senior",S1014=5,"Executive")</f>
        <v>Entry Level</v>
      </c>
      <c r="U1014" t="s">
        <v>53</v>
      </c>
      <c r="V1014">
        <v>3</v>
      </c>
      <c r="W1014" t="str" cm="1">
        <f t="array" ref="W1014">_xlfn.IFS(V1014=1,"Low",V1014=2,"Medium",V1014=3,"High",V1014=4,"Very High")</f>
        <v>High</v>
      </c>
      <c r="X1014" t="s">
        <v>38</v>
      </c>
      <c r="Y1014" s="2">
        <v>1359</v>
      </c>
      <c r="Z1014" s="2">
        <v>16154</v>
      </c>
      <c r="AA1014">
        <v>1</v>
      </c>
      <c r="AB1014" t="s">
        <v>39</v>
      </c>
      <c r="AC1014">
        <v>12</v>
      </c>
      <c r="AD1014">
        <v>3</v>
      </c>
      <c r="AE1014" t="str" cm="1">
        <f t="array" ref="AE1014">_xlfn.IFS(AD1014=1,"Low",AD1014=2,"Good",AD1014=3,"Excellent",AD1014=4,"Outstanding")</f>
        <v>Excellent</v>
      </c>
      <c r="AF1014">
        <v>2</v>
      </c>
      <c r="AG1014" t="str" cm="1">
        <f t="array" ref="AG1014">_xlfn.IFS(AF1014=1,"Low",AF1014=2,"Medium",AF1014=3,"High",AF1014=4,"Very High")</f>
        <v>Medium</v>
      </c>
      <c r="AH1014">
        <v>0</v>
      </c>
      <c r="AI1014">
        <v>1</v>
      </c>
      <c r="AJ1014">
        <v>3</v>
      </c>
      <c r="AK1014">
        <v>3</v>
      </c>
      <c r="AL1014" t="str" cm="1">
        <f t="array" ref="AL1014">_xlfn.IFS(AK1014=1,"Low",AK1014=2,"Medium",AK1014=3,"High",AK1014=4,"Very High")</f>
        <v>High</v>
      </c>
      <c r="AM1014">
        <v>1</v>
      </c>
      <c r="AN1014">
        <v>0</v>
      </c>
      <c r="AO1014">
        <v>0</v>
      </c>
      <c r="AP1014">
        <v>0</v>
      </c>
    </row>
    <row r="1015" spans="1:42">
      <c r="A1015">
        <v>30</v>
      </c>
      <c r="B1015" t="str" cm="1">
        <f t="array" ref="B1015">_xlfn.IFS(A1015&lt;=25,"18-25",A1015&lt;=35,"26-35",A1015&lt;=45,"36-45",A1015&lt;=55,"46-55",A1015&gt;55,"56+")</f>
        <v>26-35</v>
      </c>
      <c r="C1015" t="s">
        <v>39</v>
      </c>
      <c r="D1015" t="s">
        <v>33</v>
      </c>
      <c r="E1015" s="2">
        <v>855</v>
      </c>
      <c r="F1015" t="s">
        <v>34</v>
      </c>
      <c r="G1015">
        <v>7</v>
      </c>
      <c r="H1015" t="str">
        <f t="shared" si="15"/>
        <v>1-10 km</v>
      </c>
      <c r="I1015">
        <v>4</v>
      </c>
      <c r="J1015" t="str" cm="1">
        <f t="array" ref="J1015">_xlfn.IFS(I1015=1,"Below College",I1015=2,"College",I1015=3,"Bachelor",I1015=4,"Master",I1015=5,"Doctor")</f>
        <v>Master</v>
      </c>
      <c r="K1015" t="s">
        <v>55</v>
      </c>
      <c r="L1015">
        <v>1428</v>
      </c>
      <c r="M1015">
        <v>4</v>
      </c>
      <c r="N1015" t="str" cm="1">
        <f t="array" ref="N1015">_xlfn.IFS(M1015=1,"Low",M1015=2,"Medium",M1015=3,"High",M1015=4,"Very High")</f>
        <v>Very High</v>
      </c>
      <c r="O1015" t="s">
        <v>36</v>
      </c>
      <c r="P1015" s="2">
        <v>73</v>
      </c>
      <c r="Q1015">
        <v>3</v>
      </c>
      <c r="R1015" t="str" cm="1">
        <f t="array" ref="R1015">_xlfn.IFS(Q1015=1,"Low",Q1015=2,"Medium",Q1015=3,"High",Q1015=4,"Very High")</f>
        <v>High</v>
      </c>
      <c r="S1015">
        <v>2</v>
      </c>
      <c r="T1015" t="str" cm="1">
        <f t="array" ref="T1015">_xlfn.IFS(S1015=1,"Entry Level",S1015=2,"Junior",S1015=3,"Mid-Level",S1015=4,"Senior",S1015=5,"Executive")</f>
        <v>Junior</v>
      </c>
      <c r="U1015" t="s">
        <v>37</v>
      </c>
      <c r="V1015">
        <v>1</v>
      </c>
      <c r="W1015" t="str" cm="1">
        <f t="array" ref="W1015">_xlfn.IFS(V1015=1,"Low",V1015=2,"Medium",V1015=3,"High",V1015=4,"Very High")</f>
        <v>Low</v>
      </c>
      <c r="X1015" t="s">
        <v>48</v>
      </c>
      <c r="Y1015" s="2">
        <v>4779</v>
      </c>
      <c r="Z1015" s="2">
        <v>12761</v>
      </c>
      <c r="AA1015">
        <v>7</v>
      </c>
      <c r="AB1015" t="s">
        <v>39</v>
      </c>
      <c r="AC1015">
        <v>14</v>
      </c>
      <c r="AD1015">
        <v>3</v>
      </c>
      <c r="AE1015" t="str" cm="1">
        <f t="array" ref="AE1015">_xlfn.IFS(AD1015=1,"Low",AD1015=2,"Good",AD1015=3,"Excellent",AD1015=4,"Outstanding")</f>
        <v>Excellent</v>
      </c>
      <c r="AF1015">
        <v>2</v>
      </c>
      <c r="AG1015" t="str" cm="1">
        <f t="array" ref="AG1015">_xlfn.IFS(AF1015=1,"Low",AF1015=2,"Medium",AF1015=3,"High",AF1015=4,"Very High")</f>
        <v>Medium</v>
      </c>
      <c r="AH1015">
        <v>2</v>
      </c>
      <c r="AI1015">
        <v>8</v>
      </c>
      <c r="AJ1015">
        <v>3</v>
      </c>
      <c r="AK1015">
        <v>3</v>
      </c>
      <c r="AL1015" t="str" cm="1">
        <f t="array" ref="AL1015">_xlfn.IFS(AK1015=1,"Low",AK1015=2,"Medium",AK1015=3,"High",AK1015=4,"Very High")</f>
        <v>High</v>
      </c>
      <c r="AM1015">
        <v>3</v>
      </c>
      <c r="AN1015">
        <v>2</v>
      </c>
      <c r="AO1015">
        <v>0</v>
      </c>
      <c r="AP1015">
        <v>2</v>
      </c>
    </row>
    <row r="1016" spans="1:42">
      <c r="A1016">
        <v>31</v>
      </c>
      <c r="B1016" t="str" cm="1">
        <f t="array" ref="B1016">_xlfn.IFS(A1016&lt;=25,"18-25",A1016&lt;=35,"26-35",A1016&lt;=45,"36-45",A1016&lt;=55,"46-55",A1016&gt;55,"56+")</f>
        <v>26-35</v>
      </c>
      <c r="C1016" t="s">
        <v>39</v>
      </c>
      <c r="D1016" t="s">
        <v>33</v>
      </c>
      <c r="E1016" s="2">
        <v>182</v>
      </c>
      <c r="F1016" t="s">
        <v>41</v>
      </c>
      <c r="G1016">
        <v>8</v>
      </c>
      <c r="H1016" t="str">
        <f t="shared" si="15"/>
        <v>1-10 km</v>
      </c>
      <c r="I1016">
        <v>5</v>
      </c>
      <c r="J1016" t="str" cm="1">
        <f t="array" ref="J1016">_xlfn.IFS(I1016=1,"Below College",I1016=2,"College",I1016=3,"Bachelor",I1016=4,"Master",I1016=5,"Doctor")</f>
        <v>Doctor</v>
      </c>
      <c r="K1016" t="s">
        <v>35</v>
      </c>
      <c r="L1016">
        <v>1430</v>
      </c>
      <c r="M1016">
        <v>1</v>
      </c>
      <c r="N1016" t="str" cm="1">
        <f t="array" ref="N1016">_xlfn.IFS(M1016=1,"Low",M1016=2,"Medium",M1016=3,"High",M1016=4,"Very High")</f>
        <v>Low</v>
      </c>
      <c r="O1016" t="s">
        <v>36</v>
      </c>
      <c r="P1016" s="2">
        <v>93</v>
      </c>
      <c r="Q1016">
        <v>3</v>
      </c>
      <c r="R1016" t="str" cm="1">
        <f t="array" ref="R1016">_xlfn.IFS(Q1016=1,"Low",Q1016=2,"Medium",Q1016=3,"High",Q1016=4,"Very High")</f>
        <v>High</v>
      </c>
      <c r="S1016">
        <v>4</v>
      </c>
      <c r="T1016" t="str" cm="1">
        <f t="array" ref="T1016">_xlfn.IFS(S1016=1,"Entry Level",S1016=2,"Junior",S1016=3,"Mid-Level",S1016=4,"Senior",S1016=5,"Executive")</f>
        <v>Senior</v>
      </c>
      <c r="U1016" t="s">
        <v>54</v>
      </c>
      <c r="V1016">
        <v>2</v>
      </c>
      <c r="W1016" t="str" cm="1">
        <f t="array" ref="W1016">_xlfn.IFS(V1016=1,"Low",V1016=2,"Medium",V1016=3,"High",V1016=4,"Very High")</f>
        <v>Medium</v>
      </c>
      <c r="X1016" t="s">
        <v>38</v>
      </c>
      <c r="Y1016" s="2">
        <v>16422</v>
      </c>
      <c r="Z1016" s="2">
        <v>8847</v>
      </c>
      <c r="AA1016">
        <v>3</v>
      </c>
      <c r="AB1016" t="s">
        <v>39</v>
      </c>
      <c r="AC1016">
        <v>11</v>
      </c>
      <c r="AD1016">
        <v>3</v>
      </c>
      <c r="AE1016" t="str" cm="1">
        <f t="array" ref="AE1016">_xlfn.IFS(AD1016=1,"Low",AD1016=2,"Good",AD1016=3,"Excellent",AD1016=4,"Outstanding")</f>
        <v>Excellent</v>
      </c>
      <c r="AF1016">
        <v>3</v>
      </c>
      <c r="AG1016" t="str" cm="1">
        <f t="array" ref="AG1016">_xlfn.IFS(AF1016=1,"Low",AF1016=2,"Medium",AF1016=3,"High",AF1016=4,"Very High")</f>
        <v>High</v>
      </c>
      <c r="AH1016">
        <v>0</v>
      </c>
      <c r="AI1016">
        <v>9</v>
      </c>
      <c r="AJ1016">
        <v>3</v>
      </c>
      <c r="AK1016">
        <v>4</v>
      </c>
      <c r="AL1016" t="str" cm="1">
        <f t="array" ref="AL1016">_xlfn.IFS(AK1016=1,"Low",AK1016=2,"Medium",AK1016=3,"High",AK1016=4,"Very High")</f>
        <v>Very High</v>
      </c>
      <c r="AM1016">
        <v>3</v>
      </c>
      <c r="AN1016">
        <v>2</v>
      </c>
      <c r="AO1016">
        <v>1</v>
      </c>
      <c r="AP1016">
        <v>0</v>
      </c>
    </row>
    <row r="1017" spans="1:42">
      <c r="A1017">
        <v>34</v>
      </c>
      <c r="B1017" t="str" cm="1">
        <f t="array" ref="B1017">_xlfn.IFS(A1017&lt;=25,"18-25",A1017&lt;=35,"26-35",A1017&lt;=45,"36-45",A1017&lt;=55,"46-55",A1017&gt;55,"56+")</f>
        <v>26-35</v>
      </c>
      <c r="C1017" t="s">
        <v>39</v>
      </c>
      <c r="D1017" t="s">
        <v>40</v>
      </c>
      <c r="E1017" s="2">
        <v>560</v>
      </c>
      <c r="F1017" t="s">
        <v>41</v>
      </c>
      <c r="G1017">
        <v>1</v>
      </c>
      <c r="H1017" t="str">
        <f t="shared" si="15"/>
        <v>1-10 km</v>
      </c>
      <c r="I1017">
        <v>4</v>
      </c>
      <c r="J1017" t="str" cm="1">
        <f t="array" ref="J1017">_xlfn.IFS(I1017=1,"Below College",I1017=2,"College",I1017=3,"Bachelor",I1017=4,"Master",I1017=5,"Doctor")</f>
        <v>Master</v>
      </c>
      <c r="K1017" t="s">
        <v>45</v>
      </c>
      <c r="L1017">
        <v>1431</v>
      </c>
      <c r="M1017">
        <v>4</v>
      </c>
      <c r="N1017" t="str" cm="1">
        <f t="array" ref="N1017">_xlfn.IFS(M1017=1,"Low",M1017=2,"Medium",M1017=3,"High",M1017=4,"Very High")</f>
        <v>Very High</v>
      </c>
      <c r="O1017" t="s">
        <v>42</v>
      </c>
      <c r="P1017" s="2">
        <v>91</v>
      </c>
      <c r="Q1017">
        <v>3</v>
      </c>
      <c r="R1017" t="str" cm="1">
        <f t="array" ref="R1017">_xlfn.IFS(Q1017=1,"Low",Q1017=2,"Medium",Q1017=3,"High",Q1017=4,"Very High")</f>
        <v>High</v>
      </c>
      <c r="S1017">
        <v>1</v>
      </c>
      <c r="T1017" t="str" cm="1">
        <f t="array" ref="T1017">_xlfn.IFS(S1017=1,"Entry Level",S1017=2,"Junior",S1017=3,"Mid-Level",S1017=4,"Senior",S1017=5,"Executive")</f>
        <v>Entry Level</v>
      </c>
      <c r="U1017" t="s">
        <v>43</v>
      </c>
      <c r="V1017">
        <v>1</v>
      </c>
      <c r="W1017" t="str" cm="1">
        <f t="array" ref="W1017">_xlfn.IFS(V1017=1,"Low",V1017=2,"Medium",V1017=3,"High",V1017=4,"Very High")</f>
        <v>Low</v>
      </c>
      <c r="X1017" t="s">
        <v>48</v>
      </c>
      <c r="Y1017" s="2">
        <v>2996</v>
      </c>
      <c r="Z1017" s="2">
        <v>20284</v>
      </c>
      <c r="AA1017">
        <v>5</v>
      </c>
      <c r="AB1017" t="s">
        <v>39</v>
      </c>
      <c r="AC1017">
        <v>14</v>
      </c>
      <c r="AD1017">
        <v>3</v>
      </c>
      <c r="AE1017" t="str" cm="1">
        <f t="array" ref="AE1017">_xlfn.IFS(AD1017=1,"Low",AD1017=2,"Good",AD1017=3,"Excellent",AD1017=4,"Outstanding")</f>
        <v>Excellent</v>
      </c>
      <c r="AF1017">
        <v>3</v>
      </c>
      <c r="AG1017" t="str" cm="1">
        <f t="array" ref="AG1017">_xlfn.IFS(AF1017=1,"Low",AF1017=2,"Medium",AF1017=3,"High",AF1017=4,"Very High")</f>
        <v>High</v>
      </c>
      <c r="AH1017">
        <v>2</v>
      </c>
      <c r="AI1017">
        <v>10</v>
      </c>
      <c r="AJ1017">
        <v>2</v>
      </c>
      <c r="AK1017">
        <v>3</v>
      </c>
      <c r="AL1017" t="str" cm="1">
        <f t="array" ref="AL1017">_xlfn.IFS(AK1017=1,"Low",AK1017=2,"Medium",AK1017=3,"High",AK1017=4,"Very High")</f>
        <v>High</v>
      </c>
      <c r="AM1017">
        <v>4</v>
      </c>
      <c r="AN1017">
        <v>3</v>
      </c>
      <c r="AO1017">
        <v>1</v>
      </c>
      <c r="AP1017">
        <v>3</v>
      </c>
    </row>
    <row r="1018" spans="1:42">
      <c r="A1018">
        <v>31</v>
      </c>
      <c r="B1018" t="str" cm="1">
        <f t="array" ref="B1018">_xlfn.IFS(A1018&lt;=25,"18-25",A1018&lt;=35,"26-35",A1018&lt;=45,"36-45",A1018&lt;=55,"46-55",A1018&gt;55,"56+")</f>
        <v>26-35</v>
      </c>
      <c r="C1018" t="s">
        <v>32</v>
      </c>
      <c r="D1018" t="s">
        <v>33</v>
      </c>
      <c r="E1018" s="2">
        <v>202</v>
      </c>
      <c r="F1018" t="s">
        <v>41</v>
      </c>
      <c r="G1018">
        <v>8</v>
      </c>
      <c r="H1018" t="str">
        <f t="shared" si="15"/>
        <v>1-10 km</v>
      </c>
      <c r="I1018">
        <v>3</v>
      </c>
      <c r="J1018" t="str" cm="1">
        <f t="array" ref="J1018">_xlfn.IFS(I1018=1,"Below College",I1018=2,"College",I1018=3,"Bachelor",I1018=4,"Master",I1018=5,"Doctor")</f>
        <v>Bachelor</v>
      </c>
      <c r="K1018" t="s">
        <v>35</v>
      </c>
      <c r="L1018">
        <v>1433</v>
      </c>
      <c r="M1018">
        <v>1</v>
      </c>
      <c r="N1018" t="str" cm="1">
        <f t="array" ref="N1018">_xlfn.IFS(M1018=1,"Low",M1018=2,"Medium",M1018=3,"High",M1018=4,"Very High")</f>
        <v>Low</v>
      </c>
      <c r="O1018" t="s">
        <v>36</v>
      </c>
      <c r="P1018" s="2">
        <v>34</v>
      </c>
      <c r="Q1018">
        <v>2</v>
      </c>
      <c r="R1018" t="str" cm="1">
        <f t="array" ref="R1018">_xlfn.IFS(Q1018=1,"Low",Q1018=2,"Medium",Q1018=3,"High",Q1018=4,"Very High")</f>
        <v>Medium</v>
      </c>
      <c r="S1018">
        <v>1</v>
      </c>
      <c r="T1018" t="str" cm="1">
        <f t="array" ref="T1018">_xlfn.IFS(S1018=1,"Entry Level",S1018=2,"Junior",S1018=3,"Mid-Level",S1018=4,"Senior",S1018=5,"Executive")</f>
        <v>Entry Level</v>
      </c>
      <c r="U1018" t="s">
        <v>43</v>
      </c>
      <c r="V1018">
        <v>2</v>
      </c>
      <c r="W1018" t="str" cm="1">
        <f t="array" ref="W1018">_xlfn.IFS(V1018=1,"Low",V1018=2,"Medium",V1018=3,"High",V1018=4,"Very High")</f>
        <v>Medium</v>
      </c>
      <c r="X1018" t="s">
        <v>38</v>
      </c>
      <c r="Y1018" s="2">
        <v>1261</v>
      </c>
      <c r="Z1018" s="2">
        <v>22262</v>
      </c>
      <c r="AA1018">
        <v>1</v>
      </c>
      <c r="AB1018" t="s">
        <v>39</v>
      </c>
      <c r="AC1018">
        <v>12</v>
      </c>
      <c r="AD1018">
        <v>3</v>
      </c>
      <c r="AE1018" t="str" cm="1">
        <f t="array" ref="AE1018">_xlfn.IFS(AD1018=1,"Low",AD1018=2,"Good",AD1018=3,"Excellent",AD1018=4,"Outstanding")</f>
        <v>Excellent</v>
      </c>
      <c r="AF1018">
        <v>3</v>
      </c>
      <c r="AG1018" t="str" cm="1">
        <f t="array" ref="AG1018">_xlfn.IFS(AF1018=1,"Low",AF1018=2,"Medium",AF1018=3,"High",AF1018=4,"Very High")</f>
        <v>High</v>
      </c>
      <c r="AH1018">
        <v>0</v>
      </c>
      <c r="AI1018">
        <v>1</v>
      </c>
      <c r="AJ1018">
        <v>3</v>
      </c>
      <c r="AK1018">
        <v>4</v>
      </c>
      <c r="AL1018" t="str" cm="1">
        <f t="array" ref="AL1018">_xlfn.IFS(AK1018=1,"Low",AK1018=2,"Medium",AK1018=3,"High",AK1018=4,"Very High")</f>
        <v>Very High</v>
      </c>
      <c r="AM1018">
        <v>1</v>
      </c>
      <c r="AN1018">
        <v>0</v>
      </c>
      <c r="AO1018">
        <v>0</v>
      </c>
      <c r="AP1018">
        <v>0</v>
      </c>
    </row>
    <row r="1019" spans="1:42">
      <c r="A1019">
        <v>27</v>
      </c>
      <c r="B1019" t="str" cm="1">
        <f t="array" ref="B1019">_xlfn.IFS(A1019&lt;=25,"18-25",A1019&lt;=35,"26-35",A1019&lt;=45,"36-45",A1019&lt;=55,"46-55",A1019&gt;55,"56+")</f>
        <v>26-35</v>
      </c>
      <c r="C1019" t="s">
        <v>39</v>
      </c>
      <c r="D1019" t="s">
        <v>33</v>
      </c>
      <c r="E1019" s="2">
        <v>1377</v>
      </c>
      <c r="F1019" t="s">
        <v>41</v>
      </c>
      <c r="G1019">
        <v>11</v>
      </c>
      <c r="H1019" t="str">
        <f t="shared" si="15"/>
        <v>11-20 km</v>
      </c>
      <c r="I1019">
        <v>1</v>
      </c>
      <c r="J1019" t="str" cm="1">
        <f t="array" ref="J1019">_xlfn.IFS(I1019=1,"Below College",I1019=2,"College",I1019=3,"Bachelor",I1019=4,"Master",I1019=5,"Doctor")</f>
        <v>Below College</v>
      </c>
      <c r="K1019" t="s">
        <v>35</v>
      </c>
      <c r="L1019">
        <v>1434</v>
      </c>
      <c r="M1019">
        <v>2</v>
      </c>
      <c r="N1019" t="str" cm="1">
        <f t="array" ref="N1019">_xlfn.IFS(M1019=1,"Low",M1019=2,"Medium",M1019=3,"High",M1019=4,"Very High")</f>
        <v>Medium</v>
      </c>
      <c r="O1019" t="s">
        <v>42</v>
      </c>
      <c r="P1019" s="2">
        <v>91</v>
      </c>
      <c r="Q1019">
        <v>3</v>
      </c>
      <c r="R1019" t="str" cm="1">
        <f t="array" ref="R1019">_xlfn.IFS(Q1019=1,"Low",Q1019=2,"Medium",Q1019=3,"High",Q1019=4,"Very High")</f>
        <v>High</v>
      </c>
      <c r="S1019">
        <v>1</v>
      </c>
      <c r="T1019" t="str" cm="1">
        <f t="array" ref="T1019">_xlfn.IFS(S1019=1,"Entry Level",S1019=2,"Junior",S1019=3,"Mid-Level",S1019=4,"Senior",S1019=5,"Executive")</f>
        <v>Entry Level</v>
      </c>
      <c r="U1019" t="s">
        <v>46</v>
      </c>
      <c r="V1019">
        <v>1</v>
      </c>
      <c r="W1019" t="str" cm="1">
        <f t="array" ref="W1019">_xlfn.IFS(V1019=1,"Low",V1019=2,"Medium",V1019=3,"High",V1019=4,"Very High")</f>
        <v>Low</v>
      </c>
      <c r="X1019" t="s">
        <v>44</v>
      </c>
      <c r="Y1019" s="2">
        <v>2099</v>
      </c>
      <c r="Z1019" s="2">
        <v>7679</v>
      </c>
      <c r="AA1019">
        <v>0</v>
      </c>
      <c r="AB1019" t="s">
        <v>39</v>
      </c>
      <c r="AC1019">
        <v>14</v>
      </c>
      <c r="AD1019">
        <v>3</v>
      </c>
      <c r="AE1019" t="str" cm="1">
        <f t="array" ref="AE1019">_xlfn.IFS(AD1019=1,"Low",AD1019=2,"Good",AD1019=3,"Excellent",AD1019=4,"Outstanding")</f>
        <v>Excellent</v>
      </c>
      <c r="AF1019">
        <v>2</v>
      </c>
      <c r="AG1019" t="str" cm="1">
        <f t="array" ref="AG1019">_xlfn.IFS(AF1019=1,"Low",AF1019=2,"Medium",AF1019=3,"High",AF1019=4,"Very High")</f>
        <v>Medium</v>
      </c>
      <c r="AH1019">
        <v>0</v>
      </c>
      <c r="AI1019">
        <v>6</v>
      </c>
      <c r="AJ1019">
        <v>3</v>
      </c>
      <c r="AK1019">
        <v>4</v>
      </c>
      <c r="AL1019" t="str" cm="1">
        <f t="array" ref="AL1019">_xlfn.IFS(AK1019=1,"Low",AK1019=2,"Medium",AK1019=3,"High",AK1019=4,"Very High")</f>
        <v>Very High</v>
      </c>
      <c r="AM1019">
        <v>5</v>
      </c>
      <c r="AN1019">
        <v>0</v>
      </c>
      <c r="AO1019">
        <v>1</v>
      </c>
      <c r="AP1019">
        <v>4</v>
      </c>
    </row>
    <row r="1020" spans="1:42">
      <c r="A1020">
        <v>36</v>
      </c>
      <c r="B1020" t="str" cm="1">
        <f t="array" ref="B1020">_xlfn.IFS(A1020&lt;=25,"18-25",A1020&lt;=35,"26-35",A1020&lt;=45,"36-45",A1020&lt;=55,"46-55",A1020&gt;55,"56+")</f>
        <v>36-45</v>
      </c>
      <c r="C1020" t="s">
        <v>39</v>
      </c>
      <c r="D1020" t="s">
        <v>33</v>
      </c>
      <c r="E1020" s="2">
        <v>172</v>
      </c>
      <c r="F1020" t="s">
        <v>41</v>
      </c>
      <c r="G1020">
        <v>4</v>
      </c>
      <c r="H1020" t="str">
        <f t="shared" si="15"/>
        <v>1-10 km</v>
      </c>
      <c r="I1020">
        <v>4</v>
      </c>
      <c r="J1020" t="str" cm="1">
        <f t="array" ref="J1020">_xlfn.IFS(I1020=1,"Below College",I1020=2,"College",I1020=3,"Bachelor",I1020=4,"Master",I1020=5,"Doctor")</f>
        <v>Master</v>
      </c>
      <c r="K1020" t="s">
        <v>35</v>
      </c>
      <c r="L1020">
        <v>1435</v>
      </c>
      <c r="M1020">
        <v>1</v>
      </c>
      <c r="N1020" t="str" cm="1">
        <f t="array" ref="N1020">_xlfn.IFS(M1020=1,"Low",M1020=2,"Medium",M1020=3,"High",M1020=4,"Very High")</f>
        <v>Low</v>
      </c>
      <c r="O1020" t="s">
        <v>42</v>
      </c>
      <c r="P1020" s="2">
        <v>37</v>
      </c>
      <c r="Q1020">
        <v>2</v>
      </c>
      <c r="R1020" t="str" cm="1">
        <f t="array" ref="R1020">_xlfn.IFS(Q1020=1,"Low",Q1020=2,"Medium",Q1020=3,"High",Q1020=4,"Very High")</f>
        <v>Medium</v>
      </c>
      <c r="S1020">
        <v>2</v>
      </c>
      <c r="T1020" t="str" cm="1">
        <f t="array" ref="T1020">_xlfn.IFS(S1020=1,"Entry Level",S1020=2,"Junior",S1020=3,"Mid-Level",S1020=4,"Senior",S1020=5,"Executive")</f>
        <v>Junior</v>
      </c>
      <c r="U1020" t="s">
        <v>46</v>
      </c>
      <c r="V1020">
        <v>4</v>
      </c>
      <c r="W1020" t="str" cm="1">
        <f t="array" ref="W1020">_xlfn.IFS(V1020=1,"Low",V1020=2,"Medium",V1020=3,"High",V1020=4,"Very High")</f>
        <v>Very High</v>
      </c>
      <c r="X1020" t="s">
        <v>38</v>
      </c>
      <c r="Y1020" s="2">
        <v>5810</v>
      </c>
      <c r="Z1020" s="2">
        <v>22604</v>
      </c>
      <c r="AA1020">
        <v>1</v>
      </c>
      <c r="AB1020" t="s">
        <v>39</v>
      </c>
      <c r="AC1020">
        <v>16</v>
      </c>
      <c r="AD1020">
        <v>3</v>
      </c>
      <c r="AE1020" t="str" cm="1">
        <f t="array" ref="AE1020">_xlfn.IFS(AD1020=1,"Low",AD1020=2,"Good",AD1020=3,"Excellent",AD1020=4,"Outstanding")</f>
        <v>Excellent</v>
      </c>
      <c r="AF1020">
        <v>3</v>
      </c>
      <c r="AG1020" t="str" cm="1">
        <f t="array" ref="AG1020">_xlfn.IFS(AF1020=1,"Low",AF1020=2,"Medium",AF1020=3,"High",AF1020=4,"Very High")</f>
        <v>High</v>
      </c>
      <c r="AH1020">
        <v>0</v>
      </c>
      <c r="AI1020">
        <v>10</v>
      </c>
      <c r="AJ1020">
        <v>2</v>
      </c>
      <c r="AK1020">
        <v>2</v>
      </c>
      <c r="AL1020" t="str" cm="1">
        <f t="array" ref="AL1020">_xlfn.IFS(AK1020=1,"Low",AK1020=2,"Medium",AK1020=3,"High",AK1020=4,"Very High")</f>
        <v>Medium</v>
      </c>
      <c r="AM1020">
        <v>10</v>
      </c>
      <c r="AN1020">
        <v>4</v>
      </c>
      <c r="AO1020">
        <v>1</v>
      </c>
      <c r="AP1020">
        <v>8</v>
      </c>
    </row>
    <row r="1021" spans="1:42">
      <c r="A1021">
        <v>36</v>
      </c>
      <c r="B1021" t="str" cm="1">
        <f t="array" ref="B1021">_xlfn.IFS(A1021&lt;=25,"18-25",A1021&lt;=35,"26-35",A1021&lt;=45,"36-45",A1021&lt;=55,"46-55",A1021&gt;55,"56+")</f>
        <v>36-45</v>
      </c>
      <c r="C1021" t="s">
        <v>39</v>
      </c>
      <c r="D1021" t="s">
        <v>33</v>
      </c>
      <c r="E1021" s="2">
        <v>329</v>
      </c>
      <c r="F1021" t="s">
        <v>34</v>
      </c>
      <c r="G1021">
        <v>16</v>
      </c>
      <c r="H1021" t="str">
        <f t="shared" si="15"/>
        <v>11-20 km</v>
      </c>
      <c r="I1021">
        <v>4</v>
      </c>
      <c r="J1021" t="str" cm="1">
        <f t="array" ref="J1021">_xlfn.IFS(I1021=1,"Below College",I1021=2,"College",I1021=3,"Bachelor",I1021=4,"Master",I1021=5,"Doctor")</f>
        <v>Master</v>
      </c>
      <c r="K1021" t="s">
        <v>55</v>
      </c>
      <c r="L1021">
        <v>1436</v>
      </c>
      <c r="M1021">
        <v>3</v>
      </c>
      <c r="N1021" t="str" cm="1">
        <f t="array" ref="N1021">_xlfn.IFS(M1021=1,"Low",M1021=2,"Medium",M1021=3,"High",M1021=4,"Very High")</f>
        <v>High</v>
      </c>
      <c r="O1021" t="s">
        <v>36</v>
      </c>
      <c r="P1021" s="2">
        <v>98</v>
      </c>
      <c r="Q1021">
        <v>2</v>
      </c>
      <c r="R1021" t="str" cm="1">
        <f t="array" ref="R1021">_xlfn.IFS(Q1021=1,"Low",Q1021=2,"Medium",Q1021=3,"High",Q1021=4,"Very High")</f>
        <v>Medium</v>
      </c>
      <c r="S1021">
        <v>2</v>
      </c>
      <c r="T1021" t="str" cm="1">
        <f t="array" ref="T1021">_xlfn.IFS(S1021=1,"Entry Level",S1021=2,"Junior",S1021=3,"Mid-Level",S1021=4,"Senior",S1021=5,"Executive")</f>
        <v>Junior</v>
      </c>
      <c r="U1021" t="s">
        <v>37</v>
      </c>
      <c r="V1021">
        <v>1</v>
      </c>
      <c r="W1021" t="str" cm="1">
        <f t="array" ref="W1021">_xlfn.IFS(V1021=1,"Low",V1021=2,"Medium",V1021=3,"High",V1021=4,"Very High")</f>
        <v>Low</v>
      </c>
      <c r="X1021" t="s">
        <v>44</v>
      </c>
      <c r="Y1021" s="2">
        <v>5647</v>
      </c>
      <c r="Z1021" s="2">
        <v>13494</v>
      </c>
      <c r="AA1021">
        <v>4</v>
      </c>
      <c r="AB1021" t="s">
        <v>39</v>
      </c>
      <c r="AC1021">
        <v>13</v>
      </c>
      <c r="AD1021">
        <v>3</v>
      </c>
      <c r="AE1021" t="str" cm="1">
        <f t="array" ref="AE1021">_xlfn.IFS(AD1021=1,"Low",AD1021=2,"Good",AD1021=3,"Excellent",AD1021=4,"Outstanding")</f>
        <v>Excellent</v>
      </c>
      <c r="AF1021">
        <v>1</v>
      </c>
      <c r="AG1021" t="str" cm="1">
        <f t="array" ref="AG1021">_xlfn.IFS(AF1021=1,"Low",AF1021=2,"Medium",AF1021=3,"High",AF1021=4,"Very High")</f>
        <v>Low</v>
      </c>
      <c r="AH1021">
        <v>2</v>
      </c>
      <c r="AI1021">
        <v>11</v>
      </c>
      <c r="AJ1021">
        <v>3</v>
      </c>
      <c r="AK1021">
        <v>2</v>
      </c>
      <c r="AL1021" t="str" cm="1">
        <f t="array" ref="AL1021">_xlfn.IFS(AK1021=1,"Low",AK1021=2,"Medium",AK1021=3,"High",AK1021=4,"Very High")</f>
        <v>Medium</v>
      </c>
      <c r="AM1021">
        <v>3</v>
      </c>
      <c r="AN1021">
        <v>2</v>
      </c>
      <c r="AO1021">
        <v>0</v>
      </c>
      <c r="AP1021">
        <v>2</v>
      </c>
    </row>
    <row r="1022" spans="1:42">
      <c r="A1022">
        <v>47</v>
      </c>
      <c r="B1022" t="str" cm="1">
        <f t="array" ref="B1022">_xlfn.IFS(A1022&lt;=25,"18-25",A1022&lt;=35,"26-35",A1022&lt;=45,"36-45",A1022&lt;=55,"46-55",A1022&gt;55,"56+")</f>
        <v>46-55</v>
      </c>
      <c r="C1022" t="s">
        <v>39</v>
      </c>
      <c r="D1022" t="s">
        <v>33</v>
      </c>
      <c r="E1022" s="2">
        <v>465</v>
      </c>
      <c r="F1022" t="s">
        <v>41</v>
      </c>
      <c r="G1022">
        <v>1</v>
      </c>
      <c r="H1022" t="str">
        <f t="shared" si="15"/>
        <v>1-10 km</v>
      </c>
      <c r="I1022">
        <v>3</v>
      </c>
      <c r="J1022" t="str" cm="1">
        <f t="array" ref="J1022">_xlfn.IFS(I1022=1,"Below College",I1022=2,"College",I1022=3,"Bachelor",I1022=4,"Master",I1022=5,"Doctor")</f>
        <v>Bachelor</v>
      </c>
      <c r="K1022" t="s">
        <v>56</v>
      </c>
      <c r="L1022">
        <v>1438</v>
      </c>
      <c r="M1022">
        <v>1</v>
      </c>
      <c r="N1022" t="str" cm="1">
        <f t="array" ref="N1022">_xlfn.IFS(M1022=1,"Low",M1022=2,"Medium",M1022=3,"High",M1022=4,"Very High")</f>
        <v>Low</v>
      </c>
      <c r="O1022" t="s">
        <v>42</v>
      </c>
      <c r="P1022" s="2">
        <v>74</v>
      </c>
      <c r="Q1022">
        <v>3</v>
      </c>
      <c r="R1022" t="str" cm="1">
        <f t="array" ref="R1022">_xlfn.IFS(Q1022=1,"Low",Q1022=2,"Medium",Q1022=3,"High",Q1022=4,"Very High")</f>
        <v>High</v>
      </c>
      <c r="S1022">
        <v>1</v>
      </c>
      <c r="T1022" t="str" cm="1">
        <f t="array" ref="T1022">_xlfn.IFS(S1022=1,"Entry Level",S1022=2,"Junior",S1022=3,"Mid-Level",S1022=4,"Senior",S1022=5,"Executive")</f>
        <v>Entry Level</v>
      </c>
      <c r="U1022" t="s">
        <v>43</v>
      </c>
      <c r="V1022">
        <v>4</v>
      </c>
      <c r="W1022" t="str" cm="1">
        <f t="array" ref="W1022">_xlfn.IFS(V1022=1,"Low",V1022=2,"Medium",V1022=3,"High",V1022=4,"Very High")</f>
        <v>Very High</v>
      </c>
      <c r="X1022" t="s">
        <v>44</v>
      </c>
      <c r="Y1022" s="2">
        <v>3420</v>
      </c>
      <c r="Z1022" s="2">
        <v>10205</v>
      </c>
      <c r="AA1022">
        <v>7</v>
      </c>
      <c r="AB1022" t="s">
        <v>39</v>
      </c>
      <c r="AC1022">
        <v>12</v>
      </c>
      <c r="AD1022">
        <v>3</v>
      </c>
      <c r="AE1022" t="str" cm="1">
        <f t="array" ref="AE1022">_xlfn.IFS(AD1022=1,"Low",AD1022=2,"Good",AD1022=3,"Excellent",AD1022=4,"Outstanding")</f>
        <v>Excellent</v>
      </c>
      <c r="AF1022">
        <v>3</v>
      </c>
      <c r="AG1022" t="str" cm="1">
        <f t="array" ref="AG1022">_xlfn.IFS(AF1022=1,"Low",AF1022=2,"Medium",AF1022=3,"High",AF1022=4,"Very High")</f>
        <v>High</v>
      </c>
      <c r="AH1022">
        <v>1</v>
      </c>
      <c r="AI1022">
        <v>17</v>
      </c>
      <c r="AJ1022">
        <v>2</v>
      </c>
      <c r="AK1022">
        <v>2</v>
      </c>
      <c r="AL1022" t="str" cm="1">
        <f t="array" ref="AL1022">_xlfn.IFS(AK1022=1,"Low",AK1022=2,"Medium",AK1022=3,"High",AK1022=4,"Very High")</f>
        <v>Medium</v>
      </c>
      <c r="AM1022">
        <v>6</v>
      </c>
      <c r="AN1022">
        <v>5</v>
      </c>
      <c r="AO1022">
        <v>1</v>
      </c>
      <c r="AP1022">
        <v>2</v>
      </c>
    </row>
    <row r="1023" spans="1:42">
      <c r="A1023">
        <v>25</v>
      </c>
      <c r="B1023" t="str" cm="1">
        <f t="array" ref="B1023">_xlfn.IFS(A1023&lt;=25,"18-25",A1023&lt;=35,"26-35",A1023&lt;=45,"36-45",A1023&lt;=55,"46-55",A1023&gt;55,"56+")</f>
        <v>18-25</v>
      </c>
      <c r="C1023" t="s">
        <v>32</v>
      </c>
      <c r="D1023" t="s">
        <v>33</v>
      </c>
      <c r="E1023" s="2">
        <v>383</v>
      </c>
      <c r="F1023" t="s">
        <v>34</v>
      </c>
      <c r="G1023">
        <v>9</v>
      </c>
      <c r="H1023" t="str">
        <f t="shared" si="15"/>
        <v>1-10 km</v>
      </c>
      <c r="I1023">
        <v>2</v>
      </c>
      <c r="J1023" t="str" cm="1">
        <f t="array" ref="J1023">_xlfn.IFS(I1023=1,"Below College",I1023=2,"College",I1023=3,"Bachelor",I1023=4,"Master",I1023=5,"Doctor")</f>
        <v>College</v>
      </c>
      <c r="K1023" t="s">
        <v>35</v>
      </c>
      <c r="L1023">
        <v>1439</v>
      </c>
      <c r="M1023">
        <v>1</v>
      </c>
      <c r="N1023" t="str" cm="1">
        <f t="array" ref="N1023">_xlfn.IFS(M1023=1,"Low",M1023=2,"Medium",M1023=3,"High",M1023=4,"Very High")</f>
        <v>Low</v>
      </c>
      <c r="O1023" t="s">
        <v>42</v>
      </c>
      <c r="P1023" s="2">
        <v>68</v>
      </c>
      <c r="Q1023">
        <v>2</v>
      </c>
      <c r="R1023" t="str" cm="1">
        <f t="array" ref="R1023">_xlfn.IFS(Q1023=1,"Low",Q1023=2,"Medium",Q1023=3,"High",Q1023=4,"Very High")</f>
        <v>Medium</v>
      </c>
      <c r="S1023">
        <v>1</v>
      </c>
      <c r="T1023" t="str" cm="1">
        <f t="array" ref="T1023">_xlfn.IFS(S1023=1,"Entry Level",S1023=2,"Junior",S1023=3,"Mid-Level",S1023=4,"Senior",S1023=5,"Executive")</f>
        <v>Entry Level</v>
      </c>
      <c r="U1023" t="s">
        <v>53</v>
      </c>
      <c r="V1023">
        <v>1</v>
      </c>
      <c r="W1023" t="str" cm="1">
        <f t="array" ref="W1023">_xlfn.IFS(V1023=1,"Low",V1023=2,"Medium",V1023=3,"High",V1023=4,"Very High")</f>
        <v>Low</v>
      </c>
      <c r="X1023" t="s">
        <v>44</v>
      </c>
      <c r="Y1023" s="2">
        <v>4400</v>
      </c>
      <c r="Z1023" s="2">
        <v>15182</v>
      </c>
      <c r="AA1023">
        <v>3</v>
      </c>
      <c r="AB1023" t="s">
        <v>39</v>
      </c>
      <c r="AC1023">
        <v>12</v>
      </c>
      <c r="AD1023">
        <v>3</v>
      </c>
      <c r="AE1023" t="str" cm="1">
        <f t="array" ref="AE1023">_xlfn.IFS(AD1023=1,"Low",AD1023=2,"Good",AD1023=3,"Excellent",AD1023=4,"Outstanding")</f>
        <v>Excellent</v>
      </c>
      <c r="AF1023">
        <v>1</v>
      </c>
      <c r="AG1023" t="str" cm="1">
        <f t="array" ref="AG1023">_xlfn.IFS(AF1023=1,"Low",AF1023=2,"Medium",AF1023=3,"High",AF1023=4,"Very High")</f>
        <v>Low</v>
      </c>
      <c r="AH1023">
        <v>0</v>
      </c>
      <c r="AI1023">
        <v>6</v>
      </c>
      <c r="AJ1023">
        <v>2</v>
      </c>
      <c r="AK1023">
        <v>3</v>
      </c>
      <c r="AL1023" t="str" cm="1">
        <f t="array" ref="AL1023">_xlfn.IFS(AK1023=1,"Low",AK1023=2,"Medium",AK1023=3,"High",AK1023=4,"Very High")</f>
        <v>High</v>
      </c>
      <c r="AM1023">
        <v>3</v>
      </c>
      <c r="AN1023">
        <v>2</v>
      </c>
      <c r="AO1023">
        <v>2</v>
      </c>
      <c r="AP1023">
        <v>2</v>
      </c>
    </row>
    <row r="1024" spans="1:42">
      <c r="A1024">
        <v>37</v>
      </c>
      <c r="B1024" t="str" cm="1">
        <f t="array" ref="B1024">_xlfn.IFS(A1024&lt;=25,"18-25",A1024&lt;=35,"26-35",A1024&lt;=45,"36-45",A1024&lt;=55,"46-55",A1024&gt;55,"56+")</f>
        <v>36-45</v>
      </c>
      <c r="C1024" t="s">
        <v>39</v>
      </c>
      <c r="D1024" t="s">
        <v>51</v>
      </c>
      <c r="E1024" s="2">
        <v>1413</v>
      </c>
      <c r="F1024" t="s">
        <v>41</v>
      </c>
      <c r="G1024">
        <v>5</v>
      </c>
      <c r="H1024" t="str">
        <f t="shared" si="15"/>
        <v>1-10 km</v>
      </c>
      <c r="I1024">
        <v>2</v>
      </c>
      <c r="J1024" t="str" cm="1">
        <f t="array" ref="J1024">_xlfn.IFS(I1024=1,"Below College",I1024=2,"College",I1024=3,"Bachelor",I1024=4,"Master",I1024=5,"Doctor")</f>
        <v>College</v>
      </c>
      <c r="K1024" t="s">
        <v>56</v>
      </c>
      <c r="L1024">
        <v>1440</v>
      </c>
      <c r="M1024">
        <v>3</v>
      </c>
      <c r="N1024" t="str" cm="1">
        <f t="array" ref="N1024">_xlfn.IFS(M1024=1,"Low",M1024=2,"Medium",M1024=3,"High",M1024=4,"Very High")</f>
        <v>High</v>
      </c>
      <c r="O1024" t="s">
        <v>42</v>
      </c>
      <c r="P1024" s="2">
        <v>84</v>
      </c>
      <c r="Q1024">
        <v>4</v>
      </c>
      <c r="R1024" t="str" cm="1">
        <f t="array" ref="R1024">_xlfn.IFS(Q1024=1,"Low",Q1024=2,"Medium",Q1024=3,"High",Q1024=4,"Very High")</f>
        <v>Very High</v>
      </c>
      <c r="S1024">
        <v>1</v>
      </c>
      <c r="T1024" t="str" cm="1">
        <f t="array" ref="T1024">_xlfn.IFS(S1024=1,"Entry Level",S1024=2,"Junior",S1024=3,"Mid-Level",S1024=4,"Senior",S1024=5,"Executive")</f>
        <v>Entry Level</v>
      </c>
      <c r="U1024" t="s">
        <v>46</v>
      </c>
      <c r="V1024">
        <v>3</v>
      </c>
      <c r="W1024" t="str" cm="1">
        <f t="array" ref="W1024">_xlfn.IFS(V1024=1,"Low",V1024=2,"Medium",V1024=3,"High",V1024=4,"Very High")</f>
        <v>High</v>
      </c>
      <c r="X1024" t="s">
        <v>38</v>
      </c>
      <c r="Y1024" s="2">
        <v>3500</v>
      </c>
      <c r="Z1024" s="2">
        <v>25470</v>
      </c>
      <c r="AA1024">
        <v>0</v>
      </c>
      <c r="AB1024" t="s">
        <v>39</v>
      </c>
      <c r="AC1024">
        <v>14</v>
      </c>
      <c r="AD1024">
        <v>3</v>
      </c>
      <c r="AE1024" t="str" cm="1">
        <f t="array" ref="AE1024">_xlfn.IFS(AD1024=1,"Low",AD1024=2,"Good",AD1024=3,"Excellent",AD1024=4,"Outstanding")</f>
        <v>Excellent</v>
      </c>
      <c r="AF1024">
        <v>1</v>
      </c>
      <c r="AG1024" t="str" cm="1">
        <f t="array" ref="AG1024">_xlfn.IFS(AF1024=1,"Low",AF1024=2,"Medium",AF1024=3,"High",AF1024=4,"Very High")</f>
        <v>Low</v>
      </c>
      <c r="AH1024">
        <v>0</v>
      </c>
      <c r="AI1024">
        <v>7</v>
      </c>
      <c r="AJ1024">
        <v>2</v>
      </c>
      <c r="AK1024">
        <v>1</v>
      </c>
      <c r="AL1024" t="str" cm="1">
        <f t="array" ref="AL1024">_xlfn.IFS(AK1024=1,"Low",AK1024=2,"Medium",AK1024=3,"High",AK1024=4,"Very High")</f>
        <v>Low</v>
      </c>
      <c r="AM1024">
        <v>6</v>
      </c>
      <c r="AN1024">
        <v>5</v>
      </c>
      <c r="AO1024">
        <v>1</v>
      </c>
      <c r="AP1024">
        <v>3</v>
      </c>
    </row>
    <row r="1025" spans="1:42">
      <c r="A1025">
        <v>56</v>
      </c>
      <c r="B1025" t="str" cm="1">
        <f t="array" ref="B1025">_xlfn.IFS(A1025&lt;=25,"18-25",A1025&lt;=35,"26-35",A1025&lt;=45,"36-45",A1025&lt;=55,"46-55",A1025&gt;55,"56+")</f>
        <v>56+</v>
      </c>
      <c r="C1025" t="s">
        <v>39</v>
      </c>
      <c r="D1025" t="s">
        <v>33</v>
      </c>
      <c r="E1025" s="2">
        <v>1255</v>
      </c>
      <c r="F1025" t="s">
        <v>41</v>
      </c>
      <c r="G1025">
        <v>1</v>
      </c>
      <c r="H1025" t="str">
        <f t="shared" si="15"/>
        <v>1-10 km</v>
      </c>
      <c r="I1025">
        <v>2</v>
      </c>
      <c r="J1025" t="str" cm="1">
        <f t="array" ref="J1025">_xlfn.IFS(I1025=1,"Below College",I1025=2,"College",I1025=3,"Bachelor",I1025=4,"Master",I1025=5,"Doctor")</f>
        <v>College</v>
      </c>
      <c r="K1025" t="s">
        <v>35</v>
      </c>
      <c r="L1025">
        <v>1441</v>
      </c>
      <c r="M1025">
        <v>1</v>
      </c>
      <c r="N1025" t="str" cm="1">
        <f t="array" ref="N1025">_xlfn.IFS(M1025=1,"Low",M1025=2,"Medium",M1025=3,"High",M1025=4,"Very High")</f>
        <v>Low</v>
      </c>
      <c r="O1025" t="s">
        <v>36</v>
      </c>
      <c r="P1025" s="2">
        <v>90</v>
      </c>
      <c r="Q1025">
        <v>3</v>
      </c>
      <c r="R1025" t="str" cm="1">
        <f t="array" ref="R1025">_xlfn.IFS(Q1025=1,"Low",Q1025=2,"Medium",Q1025=3,"High",Q1025=4,"Very High")</f>
        <v>High</v>
      </c>
      <c r="S1025">
        <v>1</v>
      </c>
      <c r="T1025" t="str" cm="1">
        <f t="array" ref="T1025">_xlfn.IFS(S1025=1,"Entry Level",S1025=2,"Junior",S1025=3,"Mid-Level",S1025=4,"Senior",S1025=5,"Executive")</f>
        <v>Entry Level</v>
      </c>
      <c r="U1025" t="s">
        <v>43</v>
      </c>
      <c r="V1025">
        <v>1</v>
      </c>
      <c r="W1025" t="str" cm="1">
        <f t="array" ref="W1025">_xlfn.IFS(V1025=1,"Low",V1025=2,"Medium",V1025=3,"High",V1025=4,"Very High")</f>
        <v>Low</v>
      </c>
      <c r="X1025" t="s">
        <v>44</v>
      </c>
      <c r="Y1025" s="2">
        <v>2066</v>
      </c>
      <c r="Z1025" s="2">
        <v>10494</v>
      </c>
      <c r="AA1025">
        <v>2</v>
      </c>
      <c r="AB1025" t="s">
        <v>39</v>
      </c>
      <c r="AC1025">
        <v>22</v>
      </c>
      <c r="AD1025">
        <v>4</v>
      </c>
      <c r="AE1025" t="str" cm="1">
        <f t="array" ref="AE1025">_xlfn.IFS(AD1025=1,"Low",AD1025=2,"Good",AD1025=3,"Excellent",AD1025=4,"Outstanding")</f>
        <v>Outstanding</v>
      </c>
      <c r="AF1025">
        <v>4</v>
      </c>
      <c r="AG1025" t="str" cm="1">
        <f t="array" ref="AG1025">_xlfn.IFS(AF1025=1,"Low",AF1025=2,"Medium",AF1025=3,"High",AF1025=4,"Very High")</f>
        <v>Very High</v>
      </c>
      <c r="AH1025">
        <v>1</v>
      </c>
      <c r="AI1025">
        <v>5</v>
      </c>
      <c r="AJ1025">
        <v>3</v>
      </c>
      <c r="AK1025">
        <v>4</v>
      </c>
      <c r="AL1025" t="str" cm="1">
        <f t="array" ref="AL1025">_xlfn.IFS(AK1025=1,"Low",AK1025=2,"Medium",AK1025=3,"High",AK1025=4,"Very High")</f>
        <v>Very High</v>
      </c>
      <c r="AM1025">
        <v>3</v>
      </c>
      <c r="AN1025">
        <v>2</v>
      </c>
      <c r="AO1025">
        <v>1</v>
      </c>
      <c r="AP1025">
        <v>0</v>
      </c>
    </row>
    <row r="1026" spans="1:42">
      <c r="A1026">
        <v>47</v>
      </c>
      <c r="B1026" t="str" cm="1">
        <f t="array" ref="B1026">_xlfn.IFS(A1026&lt;=25,"18-25",A1026&lt;=35,"26-35",A1026&lt;=45,"36-45",A1026&lt;=55,"46-55",A1026&gt;55,"56+")</f>
        <v>46-55</v>
      </c>
      <c r="C1026" t="s">
        <v>39</v>
      </c>
      <c r="D1026" t="s">
        <v>33</v>
      </c>
      <c r="E1026" s="2">
        <v>359</v>
      </c>
      <c r="F1026" t="s">
        <v>41</v>
      </c>
      <c r="G1026">
        <v>2</v>
      </c>
      <c r="H1026" t="str">
        <f t="shared" si="15"/>
        <v>1-10 km</v>
      </c>
      <c r="I1026">
        <v>4</v>
      </c>
      <c r="J1026" t="str" cm="1">
        <f t="array" ref="J1026">_xlfn.IFS(I1026=1,"Below College",I1026=2,"College",I1026=3,"Bachelor",I1026=4,"Master",I1026=5,"Doctor")</f>
        <v>Master</v>
      </c>
      <c r="K1026" t="s">
        <v>47</v>
      </c>
      <c r="L1026">
        <v>1443</v>
      </c>
      <c r="M1026">
        <v>1</v>
      </c>
      <c r="N1026" t="str" cm="1">
        <f t="array" ref="N1026">_xlfn.IFS(M1026=1,"Low",M1026=2,"Medium",M1026=3,"High",M1026=4,"Very High")</f>
        <v>Low</v>
      </c>
      <c r="O1026" t="s">
        <v>36</v>
      </c>
      <c r="P1026" s="2">
        <v>82</v>
      </c>
      <c r="Q1026">
        <v>3</v>
      </c>
      <c r="R1026" t="str" cm="1">
        <f t="array" ref="R1026">_xlfn.IFS(Q1026=1,"Low",Q1026=2,"Medium",Q1026=3,"High",Q1026=4,"Very High")</f>
        <v>High</v>
      </c>
      <c r="S1026">
        <v>4</v>
      </c>
      <c r="T1026" t="str" cm="1">
        <f t="array" ref="T1026">_xlfn.IFS(S1026=1,"Entry Level",S1026=2,"Junior",S1026=3,"Mid-Level",S1026=4,"Senior",S1026=5,"Executive")</f>
        <v>Senior</v>
      </c>
      <c r="U1026" t="s">
        <v>54</v>
      </c>
      <c r="V1026">
        <v>3</v>
      </c>
      <c r="W1026" t="str" cm="1">
        <f t="array" ref="W1026">_xlfn.IFS(V1026=1,"Low",V1026=2,"Medium",V1026=3,"High",V1026=4,"Very High")</f>
        <v>High</v>
      </c>
      <c r="X1026" t="s">
        <v>44</v>
      </c>
      <c r="Y1026" s="2">
        <v>17169</v>
      </c>
      <c r="Z1026" s="2">
        <v>26703</v>
      </c>
      <c r="AA1026">
        <v>3</v>
      </c>
      <c r="AB1026" t="s">
        <v>39</v>
      </c>
      <c r="AC1026">
        <v>19</v>
      </c>
      <c r="AD1026">
        <v>3</v>
      </c>
      <c r="AE1026" t="str" cm="1">
        <f t="array" ref="AE1026">_xlfn.IFS(AD1026=1,"Low",AD1026=2,"Good",AD1026=3,"Excellent",AD1026=4,"Outstanding")</f>
        <v>Excellent</v>
      </c>
      <c r="AF1026">
        <v>2</v>
      </c>
      <c r="AG1026" t="str" cm="1">
        <f t="array" ref="AG1026">_xlfn.IFS(AF1026=1,"Low",AF1026=2,"Medium",AF1026=3,"High",AF1026=4,"Very High")</f>
        <v>Medium</v>
      </c>
      <c r="AH1026">
        <v>2</v>
      </c>
      <c r="AI1026">
        <v>26</v>
      </c>
      <c r="AJ1026">
        <v>2</v>
      </c>
      <c r="AK1026">
        <v>4</v>
      </c>
      <c r="AL1026" t="str" cm="1">
        <f t="array" ref="AL1026">_xlfn.IFS(AK1026=1,"Low",AK1026=2,"Medium",AK1026=3,"High",AK1026=4,"Very High")</f>
        <v>Very High</v>
      </c>
      <c r="AM1026">
        <v>20</v>
      </c>
      <c r="AN1026">
        <v>17</v>
      </c>
      <c r="AO1026">
        <v>5</v>
      </c>
      <c r="AP1026">
        <v>6</v>
      </c>
    </row>
    <row r="1027" spans="1:42">
      <c r="A1027">
        <v>24</v>
      </c>
      <c r="B1027" t="str" cm="1">
        <f t="array" ref="B1027">_xlfn.IFS(A1027&lt;=25,"18-25",A1027&lt;=35,"26-35",A1027&lt;=45,"36-45",A1027&lt;=55,"46-55",A1027&gt;55,"56+")</f>
        <v>18-25</v>
      </c>
      <c r="C1027" t="s">
        <v>39</v>
      </c>
      <c r="D1027" t="s">
        <v>33</v>
      </c>
      <c r="E1027" s="2">
        <v>1476</v>
      </c>
      <c r="F1027" t="s">
        <v>34</v>
      </c>
      <c r="G1027">
        <v>4</v>
      </c>
      <c r="H1027" t="str">
        <f t="shared" ref="H1027:H1090" si="16">IF(G1027&lt;=10,"1-10 km",IF(G1027&lt;=20,"11-20 km",IF(G1027&lt;=30,"21-30 km","31+ km")))</f>
        <v>1-10 km</v>
      </c>
      <c r="I1027">
        <v>1</v>
      </c>
      <c r="J1027" t="str" cm="1">
        <f t="array" ref="J1027">_xlfn.IFS(I1027=1,"Below College",I1027=2,"College",I1027=3,"Bachelor",I1027=4,"Master",I1027=5,"Doctor")</f>
        <v>Below College</v>
      </c>
      <c r="K1027" t="s">
        <v>47</v>
      </c>
      <c r="L1027">
        <v>1445</v>
      </c>
      <c r="M1027">
        <v>4</v>
      </c>
      <c r="N1027" t="str" cm="1">
        <f t="array" ref="N1027">_xlfn.IFS(M1027=1,"Low",M1027=2,"Medium",M1027=3,"High",M1027=4,"Very High")</f>
        <v>Very High</v>
      </c>
      <c r="O1027" t="s">
        <v>36</v>
      </c>
      <c r="P1027" s="2">
        <v>42</v>
      </c>
      <c r="Q1027">
        <v>3</v>
      </c>
      <c r="R1027" t="str" cm="1">
        <f t="array" ref="R1027">_xlfn.IFS(Q1027=1,"Low",Q1027=2,"Medium",Q1027=3,"High",Q1027=4,"Very High")</f>
        <v>High</v>
      </c>
      <c r="S1027">
        <v>2</v>
      </c>
      <c r="T1027" t="str" cm="1">
        <f t="array" ref="T1027">_xlfn.IFS(S1027=1,"Entry Level",S1027=2,"Junior",S1027=3,"Mid-Level",S1027=4,"Senior",S1027=5,"Executive")</f>
        <v>Junior</v>
      </c>
      <c r="U1027" t="s">
        <v>37</v>
      </c>
      <c r="V1027">
        <v>3</v>
      </c>
      <c r="W1027" t="str" cm="1">
        <f t="array" ref="W1027">_xlfn.IFS(V1027=1,"Low",V1027=2,"Medium",V1027=3,"High",V1027=4,"Very High")</f>
        <v>High</v>
      </c>
      <c r="X1027" t="s">
        <v>44</v>
      </c>
      <c r="Y1027" s="2">
        <v>4162</v>
      </c>
      <c r="Z1027" s="2">
        <v>15211</v>
      </c>
      <c r="AA1027">
        <v>1</v>
      </c>
      <c r="AB1027" t="s">
        <v>32</v>
      </c>
      <c r="AC1027">
        <v>12</v>
      </c>
      <c r="AD1027">
        <v>3</v>
      </c>
      <c r="AE1027" t="str" cm="1">
        <f t="array" ref="AE1027">_xlfn.IFS(AD1027=1,"Low",AD1027=2,"Good",AD1027=3,"Excellent",AD1027=4,"Outstanding")</f>
        <v>Excellent</v>
      </c>
      <c r="AF1027">
        <v>3</v>
      </c>
      <c r="AG1027" t="str" cm="1">
        <f t="array" ref="AG1027">_xlfn.IFS(AF1027=1,"Low",AF1027=2,"Medium",AF1027=3,"High",AF1027=4,"Very High")</f>
        <v>High</v>
      </c>
      <c r="AH1027">
        <v>2</v>
      </c>
      <c r="AI1027">
        <v>5</v>
      </c>
      <c r="AJ1027">
        <v>3</v>
      </c>
      <c r="AK1027">
        <v>3</v>
      </c>
      <c r="AL1027" t="str" cm="1">
        <f t="array" ref="AL1027">_xlfn.IFS(AK1027=1,"Low",AK1027=2,"Medium",AK1027=3,"High",AK1027=4,"Very High")</f>
        <v>High</v>
      </c>
      <c r="AM1027">
        <v>5</v>
      </c>
      <c r="AN1027">
        <v>4</v>
      </c>
      <c r="AO1027">
        <v>0</v>
      </c>
      <c r="AP1027">
        <v>3</v>
      </c>
    </row>
    <row r="1028" spans="1:42">
      <c r="A1028">
        <v>32</v>
      </c>
      <c r="B1028" t="str" cm="1">
        <f t="array" ref="B1028">_xlfn.IFS(A1028&lt;=25,"18-25",A1028&lt;=35,"26-35",A1028&lt;=45,"36-45",A1028&lt;=55,"46-55",A1028&gt;55,"56+")</f>
        <v>26-35</v>
      </c>
      <c r="C1028" t="s">
        <v>39</v>
      </c>
      <c r="D1028" t="s">
        <v>33</v>
      </c>
      <c r="E1028" s="2">
        <v>601</v>
      </c>
      <c r="F1028" t="s">
        <v>34</v>
      </c>
      <c r="G1028">
        <v>7</v>
      </c>
      <c r="H1028" t="str">
        <f t="shared" si="16"/>
        <v>1-10 km</v>
      </c>
      <c r="I1028">
        <v>5</v>
      </c>
      <c r="J1028" t="str" cm="1">
        <f t="array" ref="J1028">_xlfn.IFS(I1028=1,"Below College",I1028=2,"College",I1028=3,"Bachelor",I1028=4,"Master",I1028=5,"Doctor")</f>
        <v>Doctor</v>
      </c>
      <c r="K1028" t="s">
        <v>55</v>
      </c>
      <c r="L1028">
        <v>1446</v>
      </c>
      <c r="M1028">
        <v>4</v>
      </c>
      <c r="N1028" t="str" cm="1">
        <f t="array" ref="N1028">_xlfn.IFS(M1028=1,"Low",M1028=2,"Medium",M1028=3,"High",M1028=4,"Very High")</f>
        <v>Very High</v>
      </c>
      <c r="O1028" t="s">
        <v>42</v>
      </c>
      <c r="P1028" s="2">
        <v>97</v>
      </c>
      <c r="Q1028">
        <v>3</v>
      </c>
      <c r="R1028" t="str" cm="1">
        <f t="array" ref="R1028">_xlfn.IFS(Q1028=1,"Low",Q1028=2,"Medium",Q1028=3,"High",Q1028=4,"Very High")</f>
        <v>High</v>
      </c>
      <c r="S1028">
        <v>2</v>
      </c>
      <c r="T1028" t="str" cm="1">
        <f t="array" ref="T1028">_xlfn.IFS(S1028=1,"Entry Level",S1028=2,"Junior",S1028=3,"Mid-Level",S1028=4,"Senior",S1028=5,"Executive")</f>
        <v>Junior</v>
      </c>
      <c r="U1028" t="s">
        <v>37</v>
      </c>
      <c r="V1028">
        <v>4</v>
      </c>
      <c r="W1028" t="str" cm="1">
        <f t="array" ref="W1028">_xlfn.IFS(V1028=1,"Low",V1028=2,"Medium",V1028=3,"High",V1028=4,"Very High")</f>
        <v>Very High</v>
      </c>
      <c r="X1028" t="s">
        <v>44</v>
      </c>
      <c r="Y1028" s="2">
        <v>9204</v>
      </c>
      <c r="Z1028" s="2">
        <v>23343</v>
      </c>
      <c r="AA1028">
        <v>4</v>
      </c>
      <c r="AB1028" t="s">
        <v>39</v>
      </c>
      <c r="AC1028">
        <v>12</v>
      </c>
      <c r="AD1028">
        <v>3</v>
      </c>
      <c r="AE1028" t="str" cm="1">
        <f t="array" ref="AE1028">_xlfn.IFS(AD1028=1,"Low",AD1028=2,"Good",AD1028=3,"Excellent",AD1028=4,"Outstanding")</f>
        <v>Excellent</v>
      </c>
      <c r="AF1028">
        <v>3</v>
      </c>
      <c r="AG1028" t="str" cm="1">
        <f t="array" ref="AG1028">_xlfn.IFS(AF1028=1,"Low",AF1028=2,"Medium",AF1028=3,"High",AF1028=4,"Very High")</f>
        <v>High</v>
      </c>
      <c r="AH1028">
        <v>1</v>
      </c>
      <c r="AI1028">
        <v>7</v>
      </c>
      <c r="AJ1028">
        <v>3</v>
      </c>
      <c r="AK1028">
        <v>2</v>
      </c>
      <c r="AL1028" t="str" cm="1">
        <f t="array" ref="AL1028">_xlfn.IFS(AK1028=1,"Low",AK1028=2,"Medium",AK1028=3,"High",AK1028=4,"Very High")</f>
        <v>Medium</v>
      </c>
      <c r="AM1028">
        <v>4</v>
      </c>
      <c r="AN1028">
        <v>3</v>
      </c>
      <c r="AO1028">
        <v>0</v>
      </c>
      <c r="AP1028">
        <v>3</v>
      </c>
    </row>
    <row r="1029" spans="1:42">
      <c r="A1029">
        <v>34</v>
      </c>
      <c r="B1029" t="str" cm="1">
        <f t="array" ref="B1029">_xlfn.IFS(A1029&lt;=25,"18-25",A1029&lt;=35,"26-35",A1029&lt;=45,"36-45",A1029&lt;=55,"46-55",A1029&gt;55,"56+")</f>
        <v>26-35</v>
      </c>
      <c r="C1029" t="s">
        <v>39</v>
      </c>
      <c r="D1029" t="s">
        <v>33</v>
      </c>
      <c r="E1029" s="2">
        <v>401</v>
      </c>
      <c r="F1029" t="s">
        <v>41</v>
      </c>
      <c r="G1029">
        <v>1</v>
      </c>
      <c r="H1029" t="str">
        <f t="shared" si="16"/>
        <v>1-10 km</v>
      </c>
      <c r="I1029">
        <v>3</v>
      </c>
      <c r="J1029" t="str" cm="1">
        <f t="array" ref="J1029">_xlfn.IFS(I1029=1,"Below College",I1029=2,"College",I1029=3,"Bachelor",I1029=4,"Master",I1029=5,"Doctor")</f>
        <v>Bachelor</v>
      </c>
      <c r="K1029" t="s">
        <v>35</v>
      </c>
      <c r="L1029">
        <v>1447</v>
      </c>
      <c r="M1029">
        <v>4</v>
      </c>
      <c r="N1029" t="str" cm="1">
        <f t="array" ref="N1029">_xlfn.IFS(M1029=1,"Low",M1029=2,"Medium",M1029=3,"High",M1029=4,"Very High")</f>
        <v>Very High</v>
      </c>
      <c r="O1029" t="s">
        <v>36</v>
      </c>
      <c r="P1029" s="2">
        <v>86</v>
      </c>
      <c r="Q1029">
        <v>2</v>
      </c>
      <c r="R1029" t="str" cm="1">
        <f t="array" ref="R1029">_xlfn.IFS(Q1029=1,"Low",Q1029=2,"Medium",Q1029=3,"High",Q1029=4,"Very High")</f>
        <v>Medium</v>
      </c>
      <c r="S1029">
        <v>1</v>
      </c>
      <c r="T1029" t="str" cm="1">
        <f t="array" ref="T1029">_xlfn.IFS(S1029=1,"Entry Level",S1029=2,"Junior",S1029=3,"Mid-Level",S1029=4,"Senior",S1029=5,"Executive")</f>
        <v>Entry Level</v>
      </c>
      <c r="U1029" t="s">
        <v>46</v>
      </c>
      <c r="V1029">
        <v>2</v>
      </c>
      <c r="W1029" t="str" cm="1">
        <f t="array" ref="W1029">_xlfn.IFS(V1029=1,"Low",V1029=2,"Medium",V1029=3,"High",V1029=4,"Very High")</f>
        <v>Medium</v>
      </c>
      <c r="X1029" t="s">
        <v>44</v>
      </c>
      <c r="Y1029" s="2">
        <v>3294</v>
      </c>
      <c r="Z1029" s="2">
        <v>3708</v>
      </c>
      <c r="AA1029">
        <v>5</v>
      </c>
      <c r="AB1029" t="s">
        <v>39</v>
      </c>
      <c r="AC1029">
        <v>17</v>
      </c>
      <c r="AD1029">
        <v>3</v>
      </c>
      <c r="AE1029" t="str" cm="1">
        <f t="array" ref="AE1029">_xlfn.IFS(AD1029=1,"Low",AD1029=2,"Good",AD1029=3,"Excellent",AD1029=4,"Outstanding")</f>
        <v>Excellent</v>
      </c>
      <c r="AF1029">
        <v>1</v>
      </c>
      <c r="AG1029" t="str" cm="1">
        <f t="array" ref="AG1029">_xlfn.IFS(AF1029=1,"Low",AF1029=2,"Medium",AF1029=3,"High",AF1029=4,"Very High")</f>
        <v>Low</v>
      </c>
      <c r="AH1029">
        <v>1</v>
      </c>
      <c r="AI1029">
        <v>7</v>
      </c>
      <c r="AJ1029">
        <v>2</v>
      </c>
      <c r="AK1029">
        <v>2</v>
      </c>
      <c r="AL1029" t="str" cm="1">
        <f t="array" ref="AL1029">_xlfn.IFS(AK1029=1,"Low",AK1029=2,"Medium",AK1029=3,"High",AK1029=4,"Very High")</f>
        <v>Medium</v>
      </c>
      <c r="AM1029">
        <v>5</v>
      </c>
      <c r="AN1029">
        <v>4</v>
      </c>
      <c r="AO1029">
        <v>0</v>
      </c>
      <c r="AP1029">
        <v>2</v>
      </c>
    </row>
    <row r="1030" spans="1:42">
      <c r="A1030">
        <v>41</v>
      </c>
      <c r="B1030" t="str" cm="1">
        <f t="array" ref="B1030">_xlfn.IFS(A1030&lt;=25,"18-25",A1030&lt;=35,"26-35",A1030&lt;=45,"36-45",A1030&lt;=55,"46-55",A1030&gt;55,"56+")</f>
        <v>36-45</v>
      </c>
      <c r="C1030" t="s">
        <v>39</v>
      </c>
      <c r="D1030" t="s">
        <v>33</v>
      </c>
      <c r="E1030" s="2">
        <v>1283</v>
      </c>
      <c r="F1030" t="s">
        <v>41</v>
      </c>
      <c r="G1030">
        <v>5</v>
      </c>
      <c r="H1030" t="str">
        <f t="shared" si="16"/>
        <v>1-10 km</v>
      </c>
      <c r="I1030">
        <v>5</v>
      </c>
      <c r="J1030" t="str" cm="1">
        <f t="array" ref="J1030">_xlfn.IFS(I1030=1,"Below College",I1030=2,"College",I1030=3,"Bachelor",I1030=4,"Master",I1030=5,"Doctor")</f>
        <v>Doctor</v>
      </c>
      <c r="K1030" t="s">
        <v>47</v>
      </c>
      <c r="L1030">
        <v>1448</v>
      </c>
      <c r="M1030">
        <v>2</v>
      </c>
      <c r="N1030" t="str" cm="1">
        <f t="array" ref="N1030">_xlfn.IFS(M1030=1,"Low",M1030=2,"Medium",M1030=3,"High",M1030=4,"Very High")</f>
        <v>Medium</v>
      </c>
      <c r="O1030" t="s">
        <v>42</v>
      </c>
      <c r="P1030" s="2">
        <v>90</v>
      </c>
      <c r="Q1030">
        <v>4</v>
      </c>
      <c r="R1030" t="str" cm="1">
        <f t="array" ref="R1030">_xlfn.IFS(Q1030=1,"Low",Q1030=2,"Medium",Q1030=3,"High",Q1030=4,"Very High")</f>
        <v>Very High</v>
      </c>
      <c r="S1030">
        <v>1</v>
      </c>
      <c r="T1030" t="str" cm="1">
        <f t="array" ref="T1030">_xlfn.IFS(S1030=1,"Entry Level",S1030=2,"Junior",S1030=3,"Mid-Level",S1030=4,"Senior",S1030=5,"Executive")</f>
        <v>Entry Level</v>
      </c>
      <c r="U1030" t="s">
        <v>43</v>
      </c>
      <c r="V1030">
        <v>3</v>
      </c>
      <c r="W1030" t="str" cm="1">
        <f t="array" ref="W1030">_xlfn.IFS(V1030=1,"Low",V1030=2,"Medium",V1030=3,"High",V1030=4,"Very High")</f>
        <v>High</v>
      </c>
      <c r="X1030" t="s">
        <v>44</v>
      </c>
      <c r="Y1030" s="2">
        <v>2127</v>
      </c>
      <c r="Z1030" s="2">
        <v>5561</v>
      </c>
      <c r="AA1030">
        <v>2</v>
      </c>
      <c r="AB1030" t="s">
        <v>32</v>
      </c>
      <c r="AC1030">
        <v>12</v>
      </c>
      <c r="AD1030">
        <v>3</v>
      </c>
      <c r="AE1030" t="str" cm="1">
        <f t="array" ref="AE1030">_xlfn.IFS(AD1030=1,"Low",AD1030=2,"Good",AD1030=3,"Excellent",AD1030=4,"Outstanding")</f>
        <v>Excellent</v>
      </c>
      <c r="AF1030">
        <v>1</v>
      </c>
      <c r="AG1030" t="str" cm="1">
        <f t="array" ref="AG1030">_xlfn.IFS(AF1030=1,"Low",AF1030=2,"Medium",AF1030=3,"High",AF1030=4,"Very High")</f>
        <v>Low</v>
      </c>
      <c r="AH1030">
        <v>0</v>
      </c>
      <c r="AI1030">
        <v>7</v>
      </c>
      <c r="AJ1030">
        <v>5</v>
      </c>
      <c r="AK1030">
        <v>2</v>
      </c>
      <c r="AL1030" t="str" cm="1">
        <f t="array" ref="AL1030">_xlfn.IFS(AK1030=1,"Low",AK1030=2,"Medium",AK1030=3,"High",AK1030=4,"Very High")</f>
        <v>Medium</v>
      </c>
      <c r="AM1030">
        <v>4</v>
      </c>
      <c r="AN1030">
        <v>2</v>
      </c>
      <c r="AO1030">
        <v>0</v>
      </c>
      <c r="AP1030">
        <v>3</v>
      </c>
    </row>
    <row r="1031" spans="1:42">
      <c r="A1031">
        <v>40</v>
      </c>
      <c r="B1031" t="str" cm="1">
        <f t="array" ref="B1031">_xlfn.IFS(A1031&lt;=25,"18-25",A1031&lt;=35,"26-35",A1031&lt;=45,"36-45",A1031&lt;=55,"46-55",A1031&gt;55,"56+")</f>
        <v>36-45</v>
      </c>
      <c r="C1031" t="s">
        <v>39</v>
      </c>
      <c r="D1031" t="s">
        <v>51</v>
      </c>
      <c r="E1031" s="2">
        <v>663</v>
      </c>
      <c r="F1031" t="s">
        <v>41</v>
      </c>
      <c r="G1031">
        <v>9</v>
      </c>
      <c r="H1031" t="str">
        <f t="shared" si="16"/>
        <v>1-10 km</v>
      </c>
      <c r="I1031">
        <v>4</v>
      </c>
      <c r="J1031" t="str" cm="1">
        <f t="array" ref="J1031">_xlfn.IFS(I1031=1,"Below College",I1031=2,"College",I1031=3,"Bachelor",I1031=4,"Master",I1031=5,"Doctor")</f>
        <v>Master</v>
      </c>
      <c r="K1031" t="s">
        <v>45</v>
      </c>
      <c r="L1031">
        <v>1449</v>
      </c>
      <c r="M1031">
        <v>3</v>
      </c>
      <c r="N1031" t="str" cm="1">
        <f t="array" ref="N1031">_xlfn.IFS(M1031=1,"Low",M1031=2,"Medium",M1031=3,"High",M1031=4,"Very High")</f>
        <v>High</v>
      </c>
      <c r="O1031" t="s">
        <v>42</v>
      </c>
      <c r="P1031" s="2">
        <v>81</v>
      </c>
      <c r="Q1031">
        <v>3</v>
      </c>
      <c r="R1031" t="str" cm="1">
        <f t="array" ref="R1031">_xlfn.IFS(Q1031=1,"Low",Q1031=2,"Medium",Q1031=3,"High",Q1031=4,"Very High")</f>
        <v>High</v>
      </c>
      <c r="S1031">
        <v>2</v>
      </c>
      <c r="T1031" t="str" cm="1">
        <f t="array" ref="T1031">_xlfn.IFS(S1031=1,"Entry Level",S1031=2,"Junior",S1031=3,"Mid-Level",S1031=4,"Senior",S1031=5,"Executive")</f>
        <v>Junior</v>
      </c>
      <c r="U1031" t="s">
        <v>46</v>
      </c>
      <c r="V1031">
        <v>3</v>
      </c>
      <c r="W1031" t="str" cm="1">
        <f t="array" ref="W1031">_xlfn.IFS(V1031=1,"Low",V1031=2,"Medium",V1031=3,"High",V1031=4,"Very High")</f>
        <v>High</v>
      </c>
      <c r="X1031" t="s">
        <v>48</v>
      </c>
      <c r="Y1031" s="2">
        <v>3975</v>
      </c>
      <c r="Z1031" s="2">
        <v>23099</v>
      </c>
      <c r="AA1031">
        <v>3</v>
      </c>
      <c r="AB1031" t="s">
        <v>39</v>
      </c>
      <c r="AC1031">
        <v>11</v>
      </c>
      <c r="AD1031">
        <v>3</v>
      </c>
      <c r="AE1031" t="str" cm="1">
        <f t="array" ref="AE1031">_xlfn.IFS(AD1031=1,"Low",AD1031=2,"Good",AD1031=3,"Excellent",AD1031=4,"Outstanding")</f>
        <v>Excellent</v>
      </c>
      <c r="AF1031">
        <v>3</v>
      </c>
      <c r="AG1031" t="str" cm="1">
        <f t="array" ref="AG1031">_xlfn.IFS(AF1031=1,"Low",AF1031=2,"Medium",AF1031=3,"High",AF1031=4,"Very High")</f>
        <v>High</v>
      </c>
      <c r="AH1031">
        <v>2</v>
      </c>
      <c r="AI1031">
        <v>11</v>
      </c>
      <c r="AJ1031">
        <v>2</v>
      </c>
      <c r="AK1031">
        <v>4</v>
      </c>
      <c r="AL1031" t="str" cm="1">
        <f t="array" ref="AL1031">_xlfn.IFS(AK1031=1,"Low",AK1031=2,"Medium",AK1031=3,"High",AK1031=4,"Very High")</f>
        <v>Very High</v>
      </c>
      <c r="AM1031">
        <v>8</v>
      </c>
      <c r="AN1031">
        <v>7</v>
      </c>
      <c r="AO1031">
        <v>0</v>
      </c>
      <c r="AP1031">
        <v>7</v>
      </c>
    </row>
    <row r="1032" spans="1:42">
      <c r="A1032">
        <v>31</v>
      </c>
      <c r="B1032" t="str" cm="1">
        <f t="array" ref="B1032">_xlfn.IFS(A1032&lt;=25,"18-25",A1032&lt;=35,"26-35",A1032&lt;=45,"36-45",A1032&lt;=55,"46-55",A1032&gt;55,"56+")</f>
        <v>26-35</v>
      </c>
      <c r="C1032" t="s">
        <v>39</v>
      </c>
      <c r="D1032" t="s">
        <v>33</v>
      </c>
      <c r="E1032" s="2">
        <v>326</v>
      </c>
      <c r="F1032" t="s">
        <v>34</v>
      </c>
      <c r="G1032">
        <v>8</v>
      </c>
      <c r="H1032" t="str">
        <f t="shared" si="16"/>
        <v>1-10 km</v>
      </c>
      <c r="I1032">
        <v>2</v>
      </c>
      <c r="J1032" t="str" cm="1">
        <f t="array" ref="J1032">_xlfn.IFS(I1032=1,"Below College",I1032=2,"College",I1032=3,"Bachelor",I1032=4,"Master",I1032=5,"Doctor")</f>
        <v>College</v>
      </c>
      <c r="K1032" t="s">
        <v>35</v>
      </c>
      <c r="L1032">
        <v>1453</v>
      </c>
      <c r="M1032">
        <v>1</v>
      </c>
      <c r="N1032" t="str" cm="1">
        <f t="array" ref="N1032">_xlfn.IFS(M1032=1,"Low",M1032=2,"Medium",M1032=3,"High",M1032=4,"Very High")</f>
        <v>Low</v>
      </c>
      <c r="O1032" t="s">
        <v>42</v>
      </c>
      <c r="P1032" s="2">
        <v>31</v>
      </c>
      <c r="Q1032">
        <v>3</v>
      </c>
      <c r="R1032" t="str" cm="1">
        <f t="array" ref="R1032">_xlfn.IFS(Q1032=1,"Low",Q1032=2,"Medium",Q1032=3,"High",Q1032=4,"Very High")</f>
        <v>High</v>
      </c>
      <c r="S1032">
        <v>3</v>
      </c>
      <c r="T1032" t="str" cm="1">
        <f t="array" ref="T1032">_xlfn.IFS(S1032=1,"Entry Level",S1032=2,"Junior",S1032=3,"Mid-Level",S1032=4,"Senior",S1032=5,"Executive")</f>
        <v>Mid-Level</v>
      </c>
      <c r="U1032" t="s">
        <v>37</v>
      </c>
      <c r="V1032">
        <v>4</v>
      </c>
      <c r="W1032" t="str" cm="1">
        <f t="array" ref="W1032">_xlfn.IFS(V1032=1,"Low",V1032=2,"Medium",V1032=3,"High",V1032=4,"Very High")</f>
        <v>Very High</v>
      </c>
      <c r="X1032" t="s">
        <v>48</v>
      </c>
      <c r="Y1032" s="2">
        <v>10793</v>
      </c>
      <c r="Z1032" s="2">
        <v>8386</v>
      </c>
      <c r="AA1032">
        <v>1</v>
      </c>
      <c r="AB1032" t="s">
        <v>39</v>
      </c>
      <c r="AC1032">
        <v>18</v>
      </c>
      <c r="AD1032">
        <v>3</v>
      </c>
      <c r="AE1032" t="str" cm="1">
        <f t="array" ref="AE1032">_xlfn.IFS(AD1032=1,"Low",AD1032=2,"Good",AD1032=3,"Excellent",AD1032=4,"Outstanding")</f>
        <v>Excellent</v>
      </c>
      <c r="AF1032">
        <v>1</v>
      </c>
      <c r="AG1032" t="str" cm="1">
        <f t="array" ref="AG1032">_xlfn.IFS(AF1032=1,"Low",AF1032=2,"Medium",AF1032=3,"High",AF1032=4,"Very High")</f>
        <v>Low</v>
      </c>
      <c r="AH1032">
        <v>1</v>
      </c>
      <c r="AI1032">
        <v>13</v>
      </c>
      <c r="AJ1032">
        <v>5</v>
      </c>
      <c r="AK1032">
        <v>3</v>
      </c>
      <c r="AL1032" t="str" cm="1">
        <f t="array" ref="AL1032">_xlfn.IFS(AK1032=1,"Low",AK1032=2,"Medium",AK1032=3,"High",AK1032=4,"Very High")</f>
        <v>High</v>
      </c>
      <c r="AM1032">
        <v>13</v>
      </c>
      <c r="AN1032">
        <v>7</v>
      </c>
      <c r="AO1032">
        <v>9</v>
      </c>
      <c r="AP1032">
        <v>9</v>
      </c>
    </row>
    <row r="1033" spans="1:42">
      <c r="A1033">
        <v>46</v>
      </c>
      <c r="B1033" t="str" cm="1">
        <f t="array" ref="B1033">_xlfn.IFS(A1033&lt;=25,"18-25",A1033&lt;=35,"26-35",A1033&lt;=45,"36-45",A1033&lt;=55,"46-55",A1033&gt;55,"56+")</f>
        <v>46-55</v>
      </c>
      <c r="C1033" t="s">
        <v>32</v>
      </c>
      <c r="D1033" t="s">
        <v>33</v>
      </c>
      <c r="E1033" s="2">
        <v>377</v>
      </c>
      <c r="F1033" t="s">
        <v>34</v>
      </c>
      <c r="G1033">
        <v>9</v>
      </c>
      <c r="H1033" t="str">
        <f t="shared" si="16"/>
        <v>1-10 km</v>
      </c>
      <c r="I1033">
        <v>3</v>
      </c>
      <c r="J1033" t="str" cm="1">
        <f t="array" ref="J1033">_xlfn.IFS(I1033=1,"Below College",I1033=2,"College",I1033=3,"Bachelor",I1033=4,"Master",I1033=5,"Doctor")</f>
        <v>Bachelor</v>
      </c>
      <c r="K1033" t="s">
        <v>55</v>
      </c>
      <c r="L1033">
        <v>1457</v>
      </c>
      <c r="M1033">
        <v>1</v>
      </c>
      <c r="N1033" t="str" cm="1">
        <f t="array" ref="N1033">_xlfn.IFS(M1033=1,"Low",M1033=2,"Medium",M1033=3,"High",M1033=4,"Very High")</f>
        <v>Low</v>
      </c>
      <c r="O1033" t="s">
        <v>42</v>
      </c>
      <c r="P1033" s="2">
        <v>52</v>
      </c>
      <c r="Q1033">
        <v>3</v>
      </c>
      <c r="R1033" t="str" cm="1">
        <f t="array" ref="R1033">_xlfn.IFS(Q1033=1,"Low",Q1033=2,"Medium",Q1033=3,"High",Q1033=4,"Very High")</f>
        <v>High</v>
      </c>
      <c r="S1033">
        <v>3</v>
      </c>
      <c r="T1033" t="str" cm="1">
        <f t="array" ref="T1033">_xlfn.IFS(S1033=1,"Entry Level",S1033=2,"Junior",S1033=3,"Mid-Level",S1033=4,"Senior",S1033=5,"Executive")</f>
        <v>Mid-Level</v>
      </c>
      <c r="U1033" t="s">
        <v>37</v>
      </c>
      <c r="V1033">
        <v>4</v>
      </c>
      <c r="W1033" t="str" cm="1">
        <f t="array" ref="W1033">_xlfn.IFS(V1033=1,"Low",V1033=2,"Medium",V1033=3,"High",V1033=4,"Very High")</f>
        <v>Very High</v>
      </c>
      <c r="X1033" t="s">
        <v>48</v>
      </c>
      <c r="Y1033" s="2">
        <v>10096</v>
      </c>
      <c r="Z1033" s="2">
        <v>15986</v>
      </c>
      <c r="AA1033">
        <v>4</v>
      </c>
      <c r="AB1033" t="s">
        <v>39</v>
      </c>
      <c r="AC1033">
        <v>11</v>
      </c>
      <c r="AD1033">
        <v>3</v>
      </c>
      <c r="AE1033" t="str" cm="1">
        <f t="array" ref="AE1033">_xlfn.IFS(AD1033=1,"Low",AD1033=2,"Good",AD1033=3,"Excellent",AD1033=4,"Outstanding")</f>
        <v>Excellent</v>
      </c>
      <c r="AF1033">
        <v>1</v>
      </c>
      <c r="AG1033" t="str" cm="1">
        <f t="array" ref="AG1033">_xlfn.IFS(AF1033=1,"Low",AF1033=2,"Medium",AF1033=3,"High",AF1033=4,"Very High")</f>
        <v>Low</v>
      </c>
      <c r="AH1033">
        <v>1</v>
      </c>
      <c r="AI1033">
        <v>28</v>
      </c>
      <c r="AJ1033">
        <v>1</v>
      </c>
      <c r="AK1033">
        <v>4</v>
      </c>
      <c r="AL1033" t="str" cm="1">
        <f t="array" ref="AL1033">_xlfn.IFS(AK1033=1,"Low",AK1033=2,"Medium",AK1033=3,"High",AK1033=4,"Very High")</f>
        <v>Very High</v>
      </c>
      <c r="AM1033">
        <v>7</v>
      </c>
      <c r="AN1033">
        <v>7</v>
      </c>
      <c r="AO1033">
        <v>4</v>
      </c>
      <c r="AP1033">
        <v>3</v>
      </c>
    </row>
    <row r="1034" spans="1:42">
      <c r="A1034">
        <v>39</v>
      </c>
      <c r="B1034" t="str" cm="1">
        <f t="array" ref="B1034">_xlfn.IFS(A1034&lt;=25,"18-25",A1034&lt;=35,"26-35",A1034&lt;=45,"36-45",A1034&lt;=55,"46-55",A1034&gt;55,"56+")</f>
        <v>36-45</v>
      </c>
      <c r="C1034" t="s">
        <v>32</v>
      </c>
      <c r="D1034" t="s">
        <v>51</v>
      </c>
      <c r="E1034" s="2">
        <v>592</v>
      </c>
      <c r="F1034" t="s">
        <v>41</v>
      </c>
      <c r="G1034">
        <v>2</v>
      </c>
      <c r="H1034" t="str">
        <f t="shared" si="16"/>
        <v>1-10 km</v>
      </c>
      <c r="I1034">
        <v>3</v>
      </c>
      <c r="J1034" t="str" cm="1">
        <f t="array" ref="J1034">_xlfn.IFS(I1034=1,"Below College",I1034=2,"College",I1034=3,"Bachelor",I1034=4,"Master",I1034=5,"Doctor")</f>
        <v>Bachelor</v>
      </c>
      <c r="K1034" t="s">
        <v>35</v>
      </c>
      <c r="L1034">
        <v>1458</v>
      </c>
      <c r="M1034">
        <v>1</v>
      </c>
      <c r="N1034" t="str" cm="1">
        <f t="array" ref="N1034">_xlfn.IFS(M1034=1,"Low",M1034=2,"Medium",M1034=3,"High",M1034=4,"Very High")</f>
        <v>Low</v>
      </c>
      <c r="O1034" t="s">
        <v>36</v>
      </c>
      <c r="P1034" s="2">
        <v>54</v>
      </c>
      <c r="Q1034">
        <v>2</v>
      </c>
      <c r="R1034" t="str" cm="1">
        <f t="array" ref="R1034">_xlfn.IFS(Q1034=1,"Low",Q1034=2,"Medium",Q1034=3,"High",Q1034=4,"Very High")</f>
        <v>Medium</v>
      </c>
      <c r="S1034">
        <v>1</v>
      </c>
      <c r="T1034" t="str" cm="1">
        <f t="array" ref="T1034">_xlfn.IFS(S1034=1,"Entry Level",S1034=2,"Junior",S1034=3,"Mid-Level",S1034=4,"Senior",S1034=5,"Executive")</f>
        <v>Entry Level</v>
      </c>
      <c r="U1034" t="s">
        <v>46</v>
      </c>
      <c r="V1034">
        <v>1</v>
      </c>
      <c r="W1034" t="str" cm="1">
        <f t="array" ref="W1034">_xlfn.IFS(V1034=1,"Low",V1034=2,"Medium",V1034=3,"High",V1034=4,"Very High")</f>
        <v>Low</v>
      </c>
      <c r="X1034" t="s">
        <v>38</v>
      </c>
      <c r="Y1034" s="2">
        <v>3646</v>
      </c>
      <c r="Z1034" s="2">
        <v>17181</v>
      </c>
      <c r="AA1034">
        <v>2</v>
      </c>
      <c r="AB1034" t="s">
        <v>32</v>
      </c>
      <c r="AC1034">
        <v>23</v>
      </c>
      <c r="AD1034">
        <v>4</v>
      </c>
      <c r="AE1034" t="str" cm="1">
        <f t="array" ref="AE1034">_xlfn.IFS(AD1034=1,"Low",AD1034=2,"Good",AD1034=3,"Excellent",AD1034=4,"Outstanding")</f>
        <v>Outstanding</v>
      </c>
      <c r="AF1034">
        <v>2</v>
      </c>
      <c r="AG1034" t="str" cm="1">
        <f t="array" ref="AG1034">_xlfn.IFS(AF1034=1,"Low",AF1034=2,"Medium",AF1034=3,"High",AF1034=4,"Very High")</f>
        <v>Medium</v>
      </c>
      <c r="AH1034">
        <v>0</v>
      </c>
      <c r="AI1034">
        <v>11</v>
      </c>
      <c r="AJ1034">
        <v>2</v>
      </c>
      <c r="AK1034">
        <v>4</v>
      </c>
      <c r="AL1034" t="str" cm="1">
        <f t="array" ref="AL1034">_xlfn.IFS(AK1034=1,"Low",AK1034=2,"Medium",AK1034=3,"High",AK1034=4,"Very High")</f>
        <v>Very High</v>
      </c>
      <c r="AM1034">
        <v>1</v>
      </c>
      <c r="AN1034">
        <v>0</v>
      </c>
      <c r="AO1034">
        <v>0</v>
      </c>
      <c r="AP1034">
        <v>0</v>
      </c>
    </row>
    <row r="1035" spans="1:42">
      <c r="A1035">
        <v>31</v>
      </c>
      <c r="B1035" t="str" cm="1">
        <f t="array" ref="B1035">_xlfn.IFS(A1035&lt;=25,"18-25",A1035&lt;=35,"26-35",A1035&lt;=45,"36-45",A1035&lt;=55,"46-55",A1035&gt;55,"56+")</f>
        <v>26-35</v>
      </c>
      <c r="C1035" t="s">
        <v>32</v>
      </c>
      <c r="D1035" t="s">
        <v>40</v>
      </c>
      <c r="E1035" s="2">
        <v>1445</v>
      </c>
      <c r="F1035" t="s">
        <v>41</v>
      </c>
      <c r="G1035">
        <v>1</v>
      </c>
      <c r="H1035" t="str">
        <f t="shared" si="16"/>
        <v>1-10 km</v>
      </c>
      <c r="I1035">
        <v>5</v>
      </c>
      <c r="J1035" t="str" cm="1">
        <f t="array" ref="J1035">_xlfn.IFS(I1035=1,"Below College",I1035=2,"College",I1035=3,"Bachelor",I1035=4,"Master",I1035=5,"Doctor")</f>
        <v>Doctor</v>
      </c>
      <c r="K1035" t="s">
        <v>35</v>
      </c>
      <c r="L1035">
        <v>1459</v>
      </c>
      <c r="M1035">
        <v>3</v>
      </c>
      <c r="N1035" t="str" cm="1">
        <f t="array" ref="N1035">_xlfn.IFS(M1035=1,"Low",M1035=2,"Medium",M1035=3,"High",M1035=4,"Very High")</f>
        <v>High</v>
      </c>
      <c r="O1035" t="s">
        <v>36</v>
      </c>
      <c r="P1035" s="2">
        <v>100</v>
      </c>
      <c r="Q1035">
        <v>4</v>
      </c>
      <c r="R1035" t="str" cm="1">
        <f t="array" ref="R1035">_xlfn.IFS(Q1035=1,"Low",Q1035=2,"Medium",Q1035=3,"High",Q1035=4,"Very High")</f>
        <v>Very High</v>
      </c>
      <c r="S1035">
        <v>3</v>
      </c>
      <c r="T1035" t="str" cm="1">
        <f t="array" ref="T1035">_xlfn.IFS(S1035=1,"Entry Level",S1035=2,"Junior",S1035=3,"Mid-Level",S1035=4,"Senior",S1035=5,"Executive")</f>
        <v>Mid-Level</v>
      </c>
      <c r="U1035" t="s">
        <v>49</v>
      </c>
      <c r="V1035">
        <v>2</v>
      </c>
      <c r="W1035" t="str" cm="1">
        <f t="array" ref="W1035">_xlfn.IFS(V1035=1,"Low",V1035=2,"Medium",V1035=3,"High",V1035=4,"Very High")</f>
        <v>Medium</v>
      </c>
      <c r="X1035" t="s">
        <v>38</v>
      </c>
      <c r="Y1035" s="2">
        <v>7446</v>
      </c>
      <c r="Z1035" s="2">
        <v>8931</v>
      </c>
      <c r="AA1035">
        <v>1</v>
      </c>
      <c r="AB1035" t="s">
        <v>39</v>
      </c>
      <c r="AC1035">
        <v>11</v>
      </c>
      <c r="AD1035">
        <v>3</v>
      </c>
      <c r="AE1035" t="str" cm="1">
        <f t="array" ref="AE1035">_xlfn.IFS(AD1035=1,"Low",AD1035=2,"Good",AD1035=3,"Excellent",AD1035=4,"Outstanding")</f>
        <v>Excellent</v>
      </c>
      <c r="AF1035">
        <v>1</v>
      </c>
      <c r="AG1035" t="str" cm="1">
        <f t="array" ref="AG1035">_xlfn.IFS(AF1035=1,"Low",AF1035=2,"Medium",AF1035=3,"High",AF1035=4,"Very High")</f>
        <v>Low</v>
      </c>
      <c r="AH1035">
        <v>0</v>
      </c>
      <c r="AI1035">
        <v>10</v>
      </c>
      <c r="AJ1035">
        <v>2</v>
      </c>
      <c r="AK1035">
        <v>3</v>
      </c>
      <c r="AL1035" t="str" cm="1">
        <f t="array" ref="AL1035">_xlfn.IFS(AK1035=1,"Low",AK1035=2,"Medium",AK1035=3,"High",AK1035=4,"Very High")</f>
        <v>High</v>
      </c>
      <c r="AM1035">
        <v>10</v>
      </c>
      <c r="AN1035">
        <v>8</v>
      </c>
      <c r="AO1035">
        <v>4</v>
      </c>
      <c r="AP1035">
        <v>7</v>
      </c>
    </row>
    <row r="1036" spans="1:42">
      <c r="A1036">
        <v>45</v>
      </c>
      <c r="B1036" t="str" cm="1">
        <f t="array" ref="B1036">_xlfn.IFS(A1036&lt;=25,"18-25",A1036&lt;=35,"26-35",A1036&lt;=45,"36-45",A1036&lt;=55,"46-55",A1036&gt;55,"56+")</f>
        <v>36-45</v>
      </c>
      <c r="C1036" t="s">
        <v>39</v>
      </c>
      <c r="D1036" t="s">
        <v>33</v>
      </c>
      <c r="E1036" s="2">
        <v>1038</v>
      </c>
      <c r="F1036" t="s">
        <v>41</v>
      </c>
      <c r="G1036">
        <v>20</v>
      </c>
      <c r="H1036" t="str">
        <f t="shared" si="16"/>
        <v>11-20 km</v>
      </c>
      <c r="I1036">
        <v>3</v>
      </c>
      <c r="J1036" t="str" cm="1">
        <f t="array" ref="J1036">_xlfn.IFS(I1036=1,"Below College",I1036=2,"College",I1036=3,"Bachelor",I1036=4,"Master",I1036=5,"Doctor")</f>
        <v>Bachelor</v>
      </c>
      <c r="K1036" t="s">
        <v>47</v>
      </c>
      <c r="L1036">
        <v>1460</v>
      </c>
      <c r="M1036">
        <v>2</v>
      </c>
      <c r="N1036" t="str" cm="1">
        <f t="array" ref="N1036">_xlfn.IFS(M1036=1,"Low",M1036=2,"Medium",M1036=3,"High",M1036=4,"Very High")</f>
        <v>Medium</v>
      </c>
      <c r="O1036" t="s">
        <v>42</v>
      </c>
      <c r="P1036" s="2">
        <v>95</v>
      </c>
      <c r="Q1036">
        <v>1</v>
      </c>
      <c r="R1036" t="str" cm="1">
        <f t="array" ref="R1036">_xlfn.IFS(Q1036=1,"Low",Q1036=2,"Medium",Q1036=3,"High",Q1036=4,"Very High")</f>
        <v>Low</v>
      </c>
      <c r="S1036">
        <v>3</v>
      </c>
      <c r="T1036" t="str" cm="1">
        <f t="array" ref="T1036">_xlfn.IFS(S1036=1,"Entry Level",S1036=2,"Junior",S1036=3,"Mid-Level",S1036=4,"Senior",S1036=5,"Executive")</f>
        <v>Mid-Level</v>
      </c>
      <c r="U1036" t="s">
        <v>50</v>
      </c>
      <c r="V1036">
        <v>1</v>
      </c>
      <c r="W1036" t="str" cm="1">
        <f t="array" ref="W1036">_xlfn.IFS(V1036=1,"Low",V1036=2,"Medium",V1036=3,"High",V1036=4,"Very High")</f>
        <v>Low</v>
      </c>
      <c r="X1036" t="s">
        <v>48</v>
      </c>
      <c r="Y1036" s="2">
        <v>10851</v>
      </c>
      <c r="Z1036" s="2">
        <v>19863</v>
      </c>
      <c r="AA1036">
        <v>2</v>
      </c>
      <c r="AB1036" t="s">
        <v>32</v>
      </c>
      <c r="AC1036">
        <v>18</v>
      </c>
      <c r="AD1036">
        <v>3</v>
      </c>
      <c r="AE1036" t="str" cm="1">
        <f t="array" ref="AE1036">_xlfn.IFS(AD1036=1,"Low",AD1036=2,"Good",AD1036=3,"Excellent",AD1036=4,"Outstanding")</f>
        <v>Excellent</v>
      </c>
      <c r="AF1036">
        <v>2</v>
      </c>
      <c r="AG1036" t="str" cm="1">
        <f t="array" ref="AG1036">_xlfn.IFS(AF1036=1,"Low",AF1036=2,"Medium",AF1036=3,"High",AF1036=4,"Very High")</f>
        <v>Medium</v>
      </c>
      <c r="AH1036">
        <v>1</v>
      </c>
      <c r="AI1036">
        <v>24</v>
      </c>
      <c r="AJ1036">
        <v>2</v>
      </c>
      <c r="AK1036">
        <v>3</v>
      </c>
      <c r="AL1036" t="str" cm="1">
        <f t="array" ref="AL1036">_xlfn.IFS(AK1036=1,"Low",AK1036=2,"Medium",AK1036=3,"High",AK1036=4,"Very High")</f>
        <v>High</v>
      </c>
      <c r="AM1036">
        <v>7</v>
      </c>
      <c r="AN1036">
        <v>7</v>
      </c>
      <c r="AO1036">
        <v>0</v>
      </c>
      <c r="AP1036">
        <v>7</v>
      </c>
    </row>
    <row r="1037" spans="1:42">
      <c r="A1037">
        <v>31</v>
      </c>
      <c r="B1037" t="str" cm="1">
        <f t="array" ref="B1037">_xlfn.IFS(A1037&lt;=25,"18-25",A1037&lt;=35,"26-35",A1037&lt;=45,"36-45",A1037&lt;=55,"46-55",A1037&gt;55,"56+")</f>
        <v>26-35</v>
      </c>
      <c r="C1037" t="s">
        <v>39</v>
      </c>
      <c r="D1037" t="s">
        <v>33</v>
      </c>
      <c r="E1037" s="2">
        <v>1398</v>
      </c>
      <c r="F1037" t="s">
        <v>57</v>
      </c>
      <c r="G1037">
        <v>8</v>
      </c>
      <c r="H1037" t="str">
        <f t="shared" si="16"/>
        <v>1-10 km</v>
      </c>
      <c r="I1037">
        <v>2</v>
      </c>
      <c r="J1037" t="str" cm="1">
        <f t="array" ref="J1037">_xlfn.IFS(I1037=1,"Below College",I1037=2,"College",I1037=3,"Bachelor",I1037=4,"Master",I1037=5,"Doctor")</f>
        <v>College</v>
      </c>
      <c r="K1037" t="s">
        <v>47</v>
      </c>
      <c r="L1037">
        <v>1461</v>
      </c>
      <c r="M1037">
        <v>4</v>
      </c>
      <c r="N1037" t="str" cm="1">
        <f t="array" ref="N1037">_xlfn.IFS(M1037=1,"Low",M1037=2,"Medium",M1037=3,"High",M1037=4,"Very High")</f>
        <v>Very High</v>
      </c>
      <c r="O1037" t="s">
        <v>36</v>
      </c>
      <c r="P1037" s="2">
        <v>96</v>
      </c>
      <c r="Q1037">
        <v>4</v>
      </c>
      <c r="R1037" t="str" cm="1">
        <f t="array" ref="R1037">_xlfn.IFS(Q1037=1,"Low",Q1037=2,"Medium",Q1037=3,"High",Q1037=4,"Very High")</f>
        <v>Very High</v>
      </c>
      <c r="S1037">
        <v>1</v>
      </c>
      <c r="T1037" t="str" cm="1">
        <f t="array" ref="T1037">_xlfn.IFS(S1037=1,"Entry Level",S1037=2,"Junior",S1037=3,"Mid-Level",S1037=4,"Senior",S1037=5,"Executive")</f>
        <v>Entry Level</v>
      </c>
      <c r="U1037" t="s">
        <v>57</v>
      </c>
      <c r="V1037">
        <v>2</v>
      </c>
      <c r="W1037" t="str" cm="1">
        <f t="array" ref="W1037">_xlfn.IFS(V1037=1,"Low",V1037=2,"Medium",V1037=3,"High",V1037=4,"Very High")</f>
        <v>Medium</v>
      </c>
      <c r="X1037" t="s">
        <v>38</v>
      </c>
      <c r="Y1037" s="2">
        <v>2109</v>
      </c>
      <c r="Z1037" s="2">
        <v>24609</v>
      </c>
      <c r="AA1037">
        <v>9</v>
      </c>
      <c r="AB1037" t="s">
        <v>39</v>
      </c>
      <c r="AC1037">
        <v>18</v>
      </c>
      <c r="AD1037">
        <v>3</v>
      </c>
      <c r="AE1037" t="str" cm="1">
        <f t="array" ref="AE1037">_xlfn.IFS(AD1037=1,"Low",AD1037=2,"Good",AD1037=3,"Excellent",AD1037=4,"Outstanding")</f>
        <v>Excellent</v>
      </c>
      <c r="AF1037">
        <v>4</v>
      </c>
      <c r="AG1037" t="str" cm="1">
        <f t="array" ref="AG1037">_xlfn.IFS(AF1037=1,"Low",AF1037=2,"Medium",AF1037=3,"High",AF1037=4,"Very High")</f>
        <v>Very High</v>
      </c>
      <c r="AH1037">
        <v>0</v>
      </c>
      <c r="AI1037">
        <v>8</v>
      </c>
      <c r="AJ1037">
        <v>3</v>
      </c>
      <c r="AK1037">
        <v>3</v>
      </c>
      <c r="AL1037" t="str" cm="1">
        <f t="array" ref="AL1037">_xlfn.IFS(AK1037=1,"Low",AK1037=2,"Medium",AK1037=3,"High",AK1037=4,"Very High")</f>
        <v>High</v>
      </c>
      <c r="AM1037">
        <v>3</v>
      </c>
      <c r="AN1037">
        <v>2</v>
      </c>
      <c r="AO1037">
        <v>0</v>
      </c>
      <c r="AP1037">
        <v>2</v>
      </c>
    </row>
    <row r="1038" spans="1:42">
      <c r="A1038">
        <v>31</v>
      </c>
      <c r="B1038" t="str" cm="1">
        <f t="array" ref="B1038">_xlfn.IFS(A1038&lt;=25,"18-25",A1038&lt;=35,"26-35",A1038&lt;=45,"36-45",A1038&lt;=55,"46-55",A1038&gt;55,"56+")</f>
        <v>26-35</v>
      </c>
      <c r="C1038" t="s">
        <v>32</v>
      </c>
      <c r="D1038" t="s">
        <v>40</v>
      </c>
      <c r="E1038" s="2">
        <v>523</v>
      </c>
      <c r="F1038" t="s">
        <v>41</v>
      </c>
      <c r="G1038">
        <v>2</v>
      </c>
      <c r="H1038" t="str">
        <f t="shared" si="16"/>
        <v>1-10 km</v>
      </c>
      <c r="I1038">
        <v>3</v>
      </c>
      <c r="J1038" t="str" cm="1">
        <f t="array" ref="J1038">_xlfn.IFS(I1038=1,"Below College",I1038=2,"College",I1038=3,"Bachelor",I1038=4,"Master",I1038=5,"Doctor")</f>
        <v>Bachelor</v>
      </c>
      <c r="K1038" t="s">
        <v>35</v>
      </c>
      <c r="L1038">
        <v>1464</v>
      </c>
      <c r="M1038">
        <v>2</v>
      </c>
      <c r="N1038" t="str" cm="1">
        <f t="array" ref="N1038">_xlfn.IFS(M1038=1,"Low",M1038=2,"Medium",M1038=3,"High",M1038=4,"Very High")</f>
        <v>Medium</v>
      </c>
      <c r="O1038" t="s">
        <v>42</v>
      </c>
      <c r="P1038" s="2">
        <v>94</v>
      </c>
      <c r="Q1038">
        <v>3</v>
      </c>
      <c r="R1038" t="str" cm="1">
        <f t="array" ref="R1038">_xlfn.IFS(Q1038=1,"Low",Q1038=2,"Medium",Q1038=3,"High",Q1038=4,"Very High")</f>
        <v>High</v>
      </c>
      <c r="S1038">
        <v>1</v>
      </c>
      <c r="T1038" t="str" cm="1">
        <f t="array" ref="T1038">_xlfn.IFS(S1038=1,"Entry Level",S1038=2,"Junior",S1038=3,"Mid-Level",S1038=4,"Senior",S1038=5,"Executive")</f>
        <v>Entry Level</v>
      </c>
      <c r="U1038" t="s">
        <v>46</v>
      </c>
      <c r="V1038">
        <v>4</v>
      </c>
      <c r="W1038" t="str" cm="1">
        <f t="array" ref="W1038">_xlfn.IFS(V1038=1,"Low",V1038=2,"Medium",V1038=3,"High",V1038=4,"Very High")</f>
        <v>Very High</v>
      </c>
      <c r="X1038" t="s">
        <v>44</v>
      </c>
      <c r="Y1038" s="2">
        <v>3722</v>
      </c>
      <c r="Z1038" s="2">
        <v>21081</v>
      </c>
      <c r="AA1038">
        <v>6</v>
      </c>
      <c r="AB1038" t="s">
        <v>32</v>
      </c>
      <c r="AC1038">
        <v>13</v>
      </c>
      <c r="AD1038">
        <v>3</v>
      </c>
      <c r="AE1038" t="str" cm="1">
        <f t="array" ref="AE1038">_xlfn.IFS(AD1038=1,"Low",AD1038=2,"Good",AD1038=3,"Excellent",AD1038=4,"Outstanding")</f>
        <v>Excellent</v>
      </c>
      <c r="AF1038">
        <v>3</v>
      </c>
      <c r="AG1038" t="str" cm="1">
        <f t="array" ref="AG1038">_xlfn.IFS(AF1038=1,"Low",AF1038=2,"Medium",AF1038=3,"High",AF1038=4,"Very High")</f>
        <v>High</v>
      </c>
      <c r="AH1038">
        <v>1</v>
      </c>
      <c r="AI1038">
        <v>7</v>
      </c>
      <c r="AJ1038">
        <v>2</v>
      </c>
      <c r="AK1038">
        <v>1</v>
      </c>
      <c r="AL1038" t="str" cm="1">
        <f t="array" ref="AL1038">_xlfn.IFS(AK1038=1,"Low",AK1038=2,"Medium",AK1038=3,"High",AK1038=4,"Very High")</f>
        <v>Low</v>
      </c>
      <c r="AM1038">
        <v>2</v>
      </c>
      <c r="AN1038">
        <v>2</v>
      </c>
      <c r="AO1038">
        <v>2</v>
      </c>
      <c r="AP1038">
        <v>2</v>
      </c>
    </row>
    <row r="1039" spans="1:42">
      <c r="A1039">
        <v>45</v>
      </c>
      <c r="B1039" t="str" cm="1">
        <f t="array" ref="B1039">_xlfn.IFS(A1039&lt;=25,"18-25",A1039&lt;=35,"26-35",A1039&lt;=45,"36-45",A1039&lt;=55,"46-55",A1039&gt;55,"56+")</f>
        <v>36-45</v>
      </c>
      <c r="C1039" t="s">
        <v>39</v>
      </c>
      <c r="D1039" t="s">
        <v>33</v>
      </c>
      <c r="E1039" s="2">
        <v>1448</v>
      </c>
      <c r="F1039" t="s">
        <v>41</v>
      </c>
      <c r="G1039">
        <v>29</v>
      </c>
      <c r="H1039" t="str">
        <f t="shared" si="16"/>
        <v>21-30 km</v>
      </c>
      <c r="I1039">
        <v>3</v>
      </c>
      <c r="J1039" t="str" cm="1">
        <f t="array" ref="J1039">_xlfn.IFS(I1039=1,"Below College",I1039=2,"College",I1039=3,"Bachelor",I1039=4,"Master",I1039=5,"Doctor")</f>
        <v>Bachelor</v>
      </c>
      <c r="K1039" t="s">
        <v>56</v>
      </c>
      <c r="L1039">
        <v>1465</v>
      </c>
      <c r="M1039">
        <v>2</v>
      </c>
      <c r="N1039" t="str" cm="1">
        <f t="array" ref="N1039">_xlfn.IFS(M1039=1,"Low",M1039=2,"Medium",M1039=3,"High",M1039=4,"Very High")</f>
        <v>Medium</v>
      </c>
      <c r="O1039" t="s">
        <v>42</v>
      </c>
      <c r="P1039" s="2">
        <v>55</v>
      </c>
      <c r="Q1039">
        <v>3</v>
      </c>
      <c r="R1039" t="str" cm="1">
        <f t="array" ref="R1039">_xlfn.IFS(Q1039=1,"Low",Q1039=2,"Medium",Q1039=3,"High",Q1039=4,"Very High")</f>
        <v>High</v>
      </c>
      <c r="S1039">
        <v>3</v>
      </c>
      <c r="T1039" t="str" cm="1">
        <f t="array" ref="T1039">_xlfn.IFS(S1039=1,"Entry Level",S1039=2,"Junior",S1039=3,"Mid-Level",S1039=4,"Senior",S1039=5,"Executive")</f>
        <v>Mid-Level</v>
      </c>
      <c r="U1039" t="s">
        <v>49</v>
      </c>
      <c r="V1039">
        <v>4</v>
      </c>
      <c r="W1039" t="str" cm="1">
        <f t="array" ref="W1039">_xlfn.IFS(V1039=1,"Low",V1039=2,"Medium",V1039=3,"High",V1039=4,"Very High")</f>
        <v>Very High</v>
      </c>
      <c r="X1039" t="s">
        <v>44</v>
      </c>
      <c r="Y1039" s="2">
        <v>9380</v>
      </c>
      <c r="Z1039" s="2">
        <v>14720</v>
      </c>
      <c r="AA1039">
        <v>4</v>
      </c>
      <c r="AB1039" t="s">
        <v>32</v>
      </c>
      <c r="AC1039">
        <v>18</v>
      </c>
      <c r="AD1039">
        <v>3</v>
      </c>
      <c r="AE1039" t="str" cm="1">
        <f t="array" ref="AE1039">_xlfn.IFS(AD1039=1,"Low",AD1039=2,"Good",AD1039=3,"Excellent",AD1039=4,"Outstanding")</f>
        <v>Excellent</v>
      </c>
      <c r="AF1039">
        <v>4</v>
      </c>
      <c r="AG1039" t="str" cm="1">
        <f t="array" ref="AG1039">_xlfn.IFS(AF1039=1,"Low",AF1039=2,"Medium",AF1039=3,"High",AF1039=4,"Very High")</f>
        <v>Very High</v>
      </c>
      <c r="AH1039">
        <v>2</v>
      </c>
      <c r="AI1039">
        <v>10</v>
      </c>
      <c r="AJ1039">
        <v>4</v>
      </c>
      <c r="AK1039">
        <v>4</v>
      </c>
      <c r="AL1039" t="str" cm="1">
        <f t="array" ref="AL1039">_xlfn.IFS(AK1039=1,"Low",AK1039=2,"Medium",AK1039=3,"High",AK1039=4,"Very High")</f>
        <v>Very High</v>
      </c>
      <c r="AM1039">
        <v>3</v>
      </c>
      <c r="AN1039">
        <v>1</v>
      </c>
      <c r="AO1039">
        <v>1</v>
      </c>
      <c r="AP1039">
        <v>2</v>
      </c>
    </row>
    <row r="1040" spans="1:42">
      <c r="A1040">
        <v>48</v>
      </c>
      <c r="B1040" t="str" cm="1">
        <f t="array" ref="B1040">_xlfn.IFS(A1040&lt;=25,"18-25",A1040&lt;=35,"26-35",A1040&lt;=45,"36-45",A1040&lt;=55,"46-55",A1040&gt;55,"56+")</f>
        <v>46-55</v>
      </c>
      <c r="C1040" t="s">
        <v>39</v>
      </c>
      <c r="D1040" t="s">
        <v>33</v>
      </c>
      <c r="E1040" s="2">
        <v>1221</v>
      </c>
      <c r="F1040" t="s">
        <v>34</v>
      </c>
      <c r="G1040">
        <v>7</v>
      </c>
      <c r="H1040" t="str">
        <f t="shared" si="16"/>
        <v>1-10 km</v>
      </c>
      <c r="I1040">
        <v>3</v>
      </c>
      <c r="J1040" t="str" cm="1">
        <f t="array" ref="J1040">_xlfn.IFS(I1040=1,"Below College",I1040=2,"College",I1040=3,"Bachelor",I1040=4,"Master",I1040=5,"Doctor")</f>
        <v>Bachelor</v>
      </c>
      <c r="K1040" t="s">
        <v>55</v>
      </c>
      <c r="L1040">
        <v>1466</v>
      </c>
      <c r="M1040">
        <v>3</v>
      </c>
      <c r="N1040" t="str" cm="1">
        <f t="array" ref="N1040">_xlfn.IFS(M1040=1,"Low",M1040=2,"Medium",M1040=3,"High",M1040=4,"Very High")</f>
        <v>High</v>
      </c>
      <c r="O1040" t="s">
        <v>42</v>
      </c>
      <c r="P1040" s="2">
        <v>96</v>
      </c>
      <c r="Q1040">
        <v>3</v>
      </c>
      <c r="R1040" t="str" cm="1">
        <f t="array" ref="R1040">_xlfn.IFS(Q1040=1,"Low",Q1040=2,"Medium",Q1040=3,"High",Q1040=4,"Very High")</f>
        <v>High</v>
      </c>
      <c r="S1040">
        <v>2</v>
      </c>
      <c r="T1040" t="str" cm="1">
        <f t="array" ref="T1040">_xlfn.IFS(S1040=1,"Entry Level",S1040=2,"Junior",S1040=3,"Mid-Level",S1040=4,"Senior",S1040=5,"Executive")</f>
        <v>Junior</v>
      </c>
      <c r="U1040" t="s">
        <v>37</v>
      </c>
      <c r="V1040">
        <v>1</v>
      </c>
      <c r="W1040" t="str" cm="1">
        <f t="array" ref="W1040">_xlfn.IFS(V1040=1,"Low",V1040=2,"Medium",V1040=3,"High",V1040=4,"Very High")</f>
        <v>Low</v>
      </c>
      <c r="X1040" t="s">
        <v>48</v>
      </c>
      <c r="Y1040" s="2">
        <v>5486</v>
      </c>
      <c r="Z1040" s="2">
        <v>24795</v>
      </c>
      <c r="AA1040">
        <v>4</v>
      </c>
      <c r="AB1040" t="s">
        <v>39</v>
      </c>
      <c r="AC1040">
        <v>11</v>
      </c>
      <c r="AD1040">
        <v>3</v>
      </c>
      <c r="AE1040" t="str" cm="1">
        <f t="array" ref="AE1040">_xlfn.IFS(AD1040=1,"Low",AD1040=2,"Good",AD1040=3,"Excellent",AD1040=4,"Outstanding")</f>
        <v>Excellent</v>
      </c>
      <c r="AF1040">
        <v>1</v>
      </c>
      <c r="AG1040" t="str" cm="1">
        <f t="array" ref="AG1040">_xlfn.IFS(AF1040=1,"Low",AF1040=2,"Medium",AF1040=3,"High",AF1040=4,"Very High")</f>
        <v>Low</v>
      </c>
      <c r="AH1040">
        <v>3</v>
      </c>
      <c r="AI1040">
        <v>15</v>
      </c>
      <c r="AJ1040">
        <v>3</v>
      </c>
      <c r="AK1040">
        <v>3</v>
      </c>
      <c r="AL1040" t="str" cm="1">
        <f t="array" ref="AL1040">_xlfn.IFS(AK1040=1,"Low",AK1040=2,"Medium",AK1040=3,"High",AK1040=4,"Very High")</f>
        <v>High</v>
      </c>
      <c r="AM1040">
        <v>2</v>
      </c>
      <c r="AN1040">
        <v>2</v>
      </c>
      <c r="AO1040">
        <v>2</v>
      </c>
      <c r="AP1040">
        <v>2</v>
      </c>
    </row>
    <row r="1041" spans="1:42">
      <c r="A1041">
        <v>34</v>
      </c>
      <c r="B1041" t="str" cm="1">
        <f t="array" ref="B1041">_xlfn.IFS(A1041&lt;=25,"18-25",A1041&lt;=35,"26-35",A1041&lt;=45,"36-45",A1041&lt;=55,"46-55",A1041&gt;55,"56+")</f>
        <v>26-35</v>
      </c>
      <c r="C1041" t="s">
        <v>32</v>
      </c>
      <c r="D1041" t="s">
        <v>33</v>
      </c>
      <c r="E1041" s="2">
        <v>1107</v>
      </c>
      <c r="F1041" t="s">
        <v>57</v>
      </c>
      <c r="G1041">
        <v>9</v>
      </c>
      <c r="H1041" t="str">
        <f t="shared" si="16"/>
        <v>1-10 km</v>
      </c>
      <c r="I1041">
        <v>4</v>
      </c>
      <c r="J1041" t="str" cm="1">
        <f t="array" ref="J1041">_xlfn.IFS(I1041=1,"Below College",I1041=2,"College",I1041=3,"Bachelor",I1041=4,"Master",I1041=5,"Doctor")</f>
        <v>Master</v>
      </c>
      <c r="K1041" t="s">
        <v>56</v>
      </c>
      <c r="L1041">
        <v>1467</v>
      </c>
      <c r="M1041">
        <v>1</v>
      </c>
      <c r="N1041" t="str" cm="1">
        <f t="array" ref="N1041">_xlfn.IFS(M1041=1,"Low",M1041=2,"Medium",M1041=3,"High",M1041=4,"Very High")</f>
        <v>Low</v>
      </c>
      <c r="O1041" t="s">
        <v>36</v>
      </c>
      <c r="P1041" s="2">
        <v>52</v>
      </c>
      <c r="Q1041">
        <v>3</v>
      </c>
      <c r="R1041" t="str" cm="1">
        <f t="array" ref="R1041">_xlfn.IFS(Q1041=1,"Low",Q1041=2,"Medium",Q1041=3,"High",Q1041=4,"Very High")</f>
        <v>High</v>
      </c>
      <c r="S1041">
        <v>1</v>
      </c>
      <c r="T1041" t="str" cm="1">
        <f t="array" ref="T1041">_xlfn.IFS(S1041=1,"Entry Level",S1041=2,"Junior",S1041=3,"Mid-Level",S1041=4,"Senior",S1041=5,"Executive")</f>
        <v>Entry Level</v>
      </c>
      <c r="U1041" t="s">
        <v>57</v>
      </c>
      <c r="V1041">
        <v>3</v>
      </c>
      <c r="W1041" t="str" cm="1">
        <f t="array" ref="W1041">_xlfn.IFS(V1041=1,"Low",V1041=2,"Medium",V1041=3,"High",V1041=4,"Very High")</f>
        <v>High</v>
      </c>
      <c r="X1041" t="s">
        <v>44</v>
      </c>
      <c r="Y1041" s="2">
        <v>2742</v>
      </c>
      <c r="Z1041" s="2">
        <v>3072</v>
      </c>
      <c r="AA1041">
        <v>1</v>
      </c>
      <c r="AB1041" t="s">
        <v>39</v>
      </c>
      <c r="AC1041">
        <v>15</v>
      </c>
      <c r="AD1041">
        <v>3</v>
      </c>
      <c r="AE1041" t="str" cm="1">
        <f t="array" ref="AE1041">_xlfn.IFS(AD1041=1,"Low",AD1041=2,"Good",AD1041=3,"Excellent",AD1041=4,"Outstanding")</f>
        <v>Excellent</v>
      </c>
      <c r="AF1041">
        <v>4</v>
      </c>
      <c r="AG1041" t="str" cm="1">
        <f t="array" ref="AG1041">_xlfn.IFS(AF1041=1,"Low",AF1041=2,"Medium",AF1041=3,"High",AF1041=4,"Very High")</f>
        <v>Very High</v>
      </c>
      <c r="AH1041">
        <v>0</v>
      </c>
      <c r="AI1041">
        <v>2</v>
      </c>
      <c r="AJ1041">
        <v>0</v>
      </c>
      <c r="AK1041">
        <v>3</v>
      </c>
      <c r="AL1041" t="str" cm="1">
        <f t="array" ref="AL1041">_xlfn.IFS(AK1041=1,"Low",AK1041=2,"Medium",AK1041=3,"High",AK1041=4,"Very High")</f>
        <v>High</v>
      </c>
      <c r="AM1041">
        <v>2</v>
      </c>
      <c r="AN1041">
        <v>2</v>
      </c>
      <c r="AO1041">
        <v>2</v>
      </c>
      <c r="AP1041">
        <v>2</v>
      </c>
    </row>
    <row r="1042" spans="1:42">
      <c r="A1042">
        <v>40</v>
      </c>
      <c r="B1042" t="str" cm="1">
        <f t="array" ref="B1042">_xlfn.IFS(A1042&lt;=25,"18-25",A1042&lt;=35,"26-35",A1042&lt;=45,"36-45",A1042&lt;=55,"46-55",A1042&gt;55,"56+")</f>
        <v>36-45</v>
      </c>
      <c r="C1042" t="s">
        <v>39</v>
      </c>
      <c r="D1042" t="s">
        <v>51</v>
      </c>
      <c r="E1042" s="2">
        <v>218</v>
      </c>
      <c r="F1042" t="s">
        <v>41</v>
      </c>
      <c r="G1042">
        <v>8</v>
      </c>
      <c r="H1042" t="str">
        <f t="shared" si="16"/>
        <v>1-10 km</v>
      </c>
      <c r="I1042">
        <v>1</v>
      </c>
      <c r="J1042" t="str" cm="1">
        <f t="array" ref="J1042">_xlfn.IFS(I1042=1,"Below College",I1042=2,"College",I1042=3,"Bachelor",I1042=4,"Master",I1042=5,"Doctor")</f>
        <v>Below College</v>
      </c>
      <c r="K1042" t="s">
        <v>47</v>
      </c>
      <c r="L1042">
        <v>1468</v>
      </c>
      <c r="M1042">
        <v>4</v>
      </c>
      <c r="N1042" t="str" cm="1">
        <f t="array" ref="N1042">_xlfn.IFS(M1042=1,"Low",M1042=2,"Medium",M1042=3,"High",M1042=4,"Very High")</f>
        <v>Very High</v>
      </c>
      <c r="O1042" t="s">
        <v>42</v>
      </c>
      <c r="P1042" s="2">
        <v>55</v>
      </c>
      <c r="Q1042">
        <v>2</v>
      </c>
      <c r="R1042" t="str" cm="1">
        <f t="array" ref="R1042">_xlfn.IFS(Q1042=1,"Low",Q1042=2,"Medium",Q1042=3,"High",Q1042=4,"Very High")</f>
        <v>Medium</v>
      </c>
      <c r="S1042">
        <v>3</v>
      </c>
      <c r="T1042" t="str" cm="1">
        <f t="array" ref="T1042">_xlfn.IFS(S1042=1,"Entry Level",S1042=2,"Junior",S1042=3,"Mid-Level",S1042=4,"Senior",S1042=5,"Executive")</f>
        <v>Mid-Level</v>
      </c>
      <c r="U1042" t="s">
        <v>54</v>
      </c>
      <c r="V1042">
        <v>2</v>
      </c>
      <c r="W1042" t="str" cm="1">
        <f t="array" ref="W1042">_xlfn.IFS(V1042=1,"Low",V1042=2,"Medium",V1042=3,"High",V1042=4,"Very High")</f>
        <v>Medium</v>
      </c>
      <c r="X1042" t="s">
        <v>48</v>
      </c>
      <c r="Y1042" s="2">
        <v>13757</v>
      </c>
      <c r="Z1042" s="2">
        <v>25178</v>
      </c>
      <c r="AA1042">
        <v>2</v>
      </c>
      <c r="AB1042" t="s">
        <v>39</v>
      </c>
      <c r="AC1042">
        <v>11</v>
      </c>
      <c r="AD1042">
        <v>3</v>
      </c>
      <c r="AE1042" t="str" cm="1">
        <f t="array" ref="AE1042">_xlfn.IFS(AD1042=1,"Low",AD1042=2,"Good",AD1042=3,"Excellent",AD1042=4,"Outstanding")</f>
        <v>Excellent</v>
      </c>
      <c r="AF1042">
        <v>3</v>
      </c>
      <c r="AG1042" t="str" cm="1">
        <f t="array" ref="AG1042">_xlfn.IFS(AF1042=1,"Low",AF1042=2,"Medium",AF1042=3,"High",AF1042=4,"Very High")</f>
        <v>High</v>
      </c>
      <c r="AH1042">
        <v>1</v>
      </c>
      <c r="AI1042">
        <v>16</v>
      </c>
      <c r="AJ1042">
        <v>5</v>
      </c>
      <c r="AK1042">
        <v>3</v>
      </c>
      <c r="AL1042" t="str" cm="1">
        <f t="array" ref="AL1042">_xlfn.IFS(AK1042=1,"Low",AK1042=2,"Medium",AK1042=3,"High",AK1042=4,"Very High")</f>
        <v>High</v>
      </c>
      <c r="AM1042">
        <v>9</v>
      </c>
      <c r="AN1042">
        <v>8</v>
      </c>
      <c r="AO1042">
        <v>4</v>
      </c>
      <c r="AP1042">
        <v>8</v>
      </c>
    </row>
    <row r="1043" spans="1:42">
      <c r="A1043">
        <v>28</v>
      </c>
      <c r="B1043" t="str" cm="1">
        <f t="array" ref="B1043">_xlfn.IFS(A1043&lt;=25,"18-25",A1043&lt;=35,"26-35",A1043&lt;=45,"36-45",A1043&lt;=55,"46-55",A1043&gt;55,"56+")</f>
        <v>26-35</v>
      </c>
      <c r="C1043" t="s">
        <v>39</v>
      </c>
      <c r="D1043" t="s">
        <v>33</v>
      </c>
      <c r="E1043" s="2">
        <v>866</v>
      </c>
      <c r="F1043" t="s">
        <v>34</v>
      </c>
      <c r="G1043">
        <v>5</v>
      </c>
      <c r="H1043" t="str">
        <f t="shared" si="16"/>
        <v>1-10 km</v>
      </c>
      <c r="I1043">
        <v>3</v>
      </c>
      <c r="J1043" t="str" cm="1">
        <f t="array" ref="J1043">_xlfn.IFS(I1043=1,"Below College",I1043=2,"College",I1043=3,"Bachelor",I1043=4,"Master",I1043=5,"Doctor")</f>
        <v>Bachelor</v>
      </c>
      <c r="K1043" t="s">
        <v>47</v>
      </c>
      <c r="L1043">
        <v>1469</v>
      </c>
      <c r="M1043">
        <v>4</v>
      </c>
      <c r="N1043" t="str" cm="1">
        <f t="array" ref="N1043">_xlfn.IFS(M1043=1,"Low",M1043=2,"Medium",M1043=3,"High",M1043=4,"Very High")</f>
        <v>Very High</v>
      </c>
      <c r="O1043" t="s">
        <v>42</v>
      </c>
      <c r="P1043" s="2">
        <v>84</v>
      </c>
      <c r="Q1043">
        <v>3</v>
      </c>
      <c r="R1043" t="str" cm="1">
        <f t="array" ref="R1043">_xlfn.IFS(Q1043=1,"Low",Q1043=2,"Medium",Q1043=3,"High",Q1043=4,"Very High")</f>
        <v>High</v>
      </c>
      <c r="S1043">
        <v>2</v>
      </c>
      <c r="T1043" t="str" cm="1">
        <f t="array" ref="T1043">_xlfn.IFS(S1043=1,"Entry Level",S1043=2,"Junior",S1043=3,"Mid-Level",S1043=4,"Senior",S1043=5,"Executive")</f>
        <v>Junior</v>
      </c>
      <c r="U1043" t="s">
        <v>37</v>
      </c>
      <c r="V1043">
        <v>1</v>
      </c>
      <c r="W1043" t="str" cm="1">
        <f t="array" ref="W1043">_xlfn.IFS(V1043=1,"Low",V1043=2,"Medium",V1043=3,"High",V1043=4,"Very High")</f>
        <v>Low</v>
      </c>
      <c r="X1043" t="s">
        <v>38</v>
      </c>
      <c r="Y1043" s="2">
        <v>8463</v>
      </c>
      <c r="Z1043" s="2">
        <v>23490</v>
      </c>
      <c r="AA1043">
        <v>0</v>
      </c>
      <c r="AB1043" t="s">
        <v>39</v>
      </c>
      <c r="AC1043">
        <v>18</v>
      </c>
      <c r="AD1043">
        <v>3</v>
      </c>
      <c r="AE1043" t="str" cm="1">
        <f t="array" ref="AE1043">_xlfn.IFS(AD1043=1,"Low",AD1043=2,"Good",AD1043=3,"Excellent",AD1043=4,"Outstanding")</f>
        <v>Excellent</v>
      </c>
      <c r="AF1043">
        <v>4</v>
      </c>
      <c r="AG1043" t="str" cm="1">
        <f t="array" ref="AG1043">_xlfn.IFS(AF1043=1,"Low",AF1043=2,"Medium",AF1043=3,"High",AF1043=4,"Very High")</f>
        <v>Very High</v>
      </c>
      <c r="AH1043">
        <v>0</v>
      </c>
      <c r="AI1043">
        <v>6</v>
      </c>
      <c r="AJ1043">
        <v>4</v>
      </c>
      <c r="AK1043">
        <v>3</v>
      </c>
      <c r="AL1043" t="str" cm="1">
        <f t="array" ref="AL1043">_xlfn.IFS(AK1043=1,"Low",AK1043=2,"Medium",AK1043=3,"High",AK1043=4,"Very High")</f>
        <v>High</v>
      </c>
      <c r="AM1043">
        <v>5</v>
      </c>
      <c r="AN1043">
        <v>4</v>
      </c>
      <c r="AO1043">
        <v>1</v>
      </c>
      <c r="AP1043">
        <v>3</v>
      </c>
    </row>
    <row r="1044" spans="1:42">
      <c r="A1044">
        <v>44</v>
      </c>
      <c r="B1044" t="str" cm="1">
        <f t="array" ref="B1044">_xlfn.IFS(A1044&lt;=25,"18-25",A1044&lt;=35,"26-35",A1044&lt;=45,"36-45",A1044&lt;=55,"46-55",A1044&gt;55,"56+")</f>
        <v>36-45</v>
      </c>
      <c r="C1044" t="s">
        <v>39</v>
      </c>
      <c r="D1044" t="s">
        <v>51</v>
      </c>
      <c r="E1044" s="2">
        <v>981</v>
      </c>
      <c r="F1044" t="s">
        <v>41</v>
      </c>
      <c r="G1044">
        <v>5</v>
      </c>
      <c r="H1044" t="str">
        <f t="shared" si="16"/>
        <v>1-10 km</v>
      </c>
      <c r="I1044">
        <v>3</v>
      </c>
      <c r="J1044" t="str" cm="1">
        <f t="array" ref="J1044">_xlfn.IFS(I1044=1,"Below College",I1044=2,"College",I1044=3,"Bachelor",I1044=4,"Master",I1044=5,"Doctor")</f>
        <v>Bachelor</v>
      </c>
      <c r="K1044" t="s">
        <v>35</v>
      </c>
      <c r="L1044">
        <v>1471</v>
      </c>
      <c r="M1044">
        <v>3</v>
      </c>
      <c r="N1044" t="str" cm="1">
        <f t="array" ref="N1044">_xlfn.IFS(M1044=1,"Low",M1044=2,"Medium",M1044=3,"High",M1044=4,"Very High")</f>
        <v>High</v>
      </c>
      <c r="O1044" t="s">
        <v>42</v>
      </c>
      <c r="P1044" s="2">
        <v>90</v>
      </c>
      <c r="Q1044">
        <v>2</v>
      </c>
      <c r="R1044" t="str" cm="1">
        <f t="array" ref="R1044">_xlfn.IFS(Q1044=1,"Low",Q1044=2,"Medium",Q1044=3,"High",Q1044=4,"Very High")</f>
        <v>Medium</v>
      </c>
      <c r="S1044">
        <v>1</v>
      </c>
      <c r="T1044" t="str" cm="1">
        <f t="array" ref="T1044">_xlfn.IFS(S1044=1,"Entry Level",S1044=2,"Junior",S1044=3,"Mid-Level",S1044=4,"Senior",S1044=5,"Executive")</f>
        <v>Entry Level</v>
      </c>
      <c r="U1044" t="s">
        <v>46</v>
      </c>
      <c r="V1044">
        <v>3</v>
      </c>
      <c r="W1044" t="str" cm="1">
        <f t="array" ref="W1044">_xlfn.IFS(V1044=1,"Low",V1044=2,"Medium",V1044=3,"High",V1044=4,"Very High")</f>
        <v>High</v>
      </c>
      <c r="X1044" t="s">
        <v>38</v>
      </c>
      <c r="Y1044" s="2">
        <v>3162</v>
      </c>
      <c r="Z1044" s="2">
        <v>7973</v>
      </c>
      <c r="AA1044">
        <v>3</v>
      </c>
      <c r="AB1044" t="s">
        <v>39</v>
      </c>
      <c r="AC1044">
        <v>14</v>
      </c>
      <c r="AD1044">
        <v>3</v>
      </c>
      <c r="AE1044" t="str" cm="1">
        <f t="array" ref="AE1044">_xlfn.IFS(AD1044=1,"Low",AD1044=2,"Good",AD1044=3,"Excellent",AD1044=4,"Outstanding")</f>
        <v>Excellent</v>
      </c>
      <c r="AF1044">
        <v>4</v>
      </c>
      <c r="AG1044" t="str" cm="1">
        <f t="array" ref="AG1044">_xlfn.IFS(AF1044=1,"Low",AF1044=2,"Medium",AF1044=3,"High",AF1044=4,"Very High")</f>
        <v>Very High</v>
      </c>
      <c r="AH1044">
        <v>0</v>
      </c>
      <c r="AI1044">
        <v>7</v>
      </c>
      <c r="AJ1044">
        <v>5</v>
      </c>
      <c r="AK1044">
        <v>3</v>
      </c>
      <c r="AL1044" t="str" cm="1">
        <f t="array" ref="AL1044">_xlfn.IFS(AK1044=1,"Low",AK1044=2,"Medium",AK1044=3,"High",AK1044=4,"Very High")</f>
        <v>High</v>
      </c>
      <c r="AM1044">
        <v>5</v>
      </c>
      <c r="AN1044">
        <v>2</v>
      </c>
      <c r="AO1044">
        <v>0</v>
      </c>
      <c r="AP1044">
        <v>3</v>
      </c>
    </row>
    <row r="1045" spans="1:42">
      <c r="A1045">
        <v>53</v>
      </c>
      <c r="B1045" t="str" cm="1">
        <f t="array" ref="B1045">_xlfn.IFS(A1045&lt;=25,"18-25",A1045&lt;=35,"26-35",A1045&lt;=45,"36-45",A1045&lt;=55,"46-55",A1045&gt;55,"56+")</f>
        <v>46-55</v>
      </c>
      <c r="C1045" t="s">
        <v>39</v>
      </c>
      <c r="D1045" t="s">
        <v>33</v>
      </c>
      <c r="E1045" s="2">
        <v>447</v>
      </c>
      <c r="F1045" t="s">
        <v>41</v>
      </c>
      <c r="G1045">
        <v>2</v>
      </c>
      <c r="H1045" t="str">
        <f t="shared" si="16"/>
        <v>1-10 km</v>
      </c>
      <c r="I1045">
        <v>3</v>
      </c>
      <c r="J1045" t="str" cm="1">
        <f t="array" ref="J1045">_xlfn.IFS(I1045=1,"Below College",I1045=2,"College",I1045=3,"Bachelor",I1045=4,"Master",I1045=5,"Doctor")</f>
        <v>Bachelor</v>
      </c>
      <c r="K1045" t="s">
        <v>47</v>
      </c>
      <c r="L1045">
        <v>1472</v>
      </c>
      <c r="M1045">
        <v>4</v>
      </c>
      <c r="N1045" t="str" cm="1">
        <f t="array" ref="N1045">_xlfn.IFS(M1045=1,"Low",M1045=2,"Medium",M1045=3,"High",M1045=4,"Very High")</f>
        <v>Very High</v>
      </c>
      <c r="O1045" t="s">
        <v>42</v>
      </c>
      <c r="P1045" s="2">
        <v>39</v>
      </c>
      <c r="Q1045">
        <v>4</v>
      </c>
      <c r="R1045" t="str" cm="1">
        <f t="array" ref="R1045">_xlfn.IFS(Q1045=1,"Low",Q1045=2,"Medium",Q1045=3,"High",Q1045=4,"Very High")</f>
        <v>Very High</v>
      </c>
      <c r="S1045">
        <v>4</v>
      </c>
      <c r="T1045" t="str" cm="1">
        <f t="array" ref="T1045">_xlfn.IFS(S1045=1,"Entry Level",S1045=2,"Junior",S1045=3,"Mid-Level",S1045=4,"Senior",S1045=5,"Executive")</f>
        <v>Senior</v>
      </c>
      <c r="U1045" t="s">
        <v>54</v>
      </c>
      <c r="V1045">
        <v>2</v>
      </c>
      <c r="W1045" t="str" cm="1">
        <f t="array" ref="W1045">_xlfn.IFS(V1045=1,"Low",V1045=2,"Medium",V1045=3,"High",V1045=4,"Very High")</f>
        <v>Medium</v>
      </c>
      <c r="X1045" t="s">
        <v>38</v>
      </c>
      <c r="Y1045" s="2">
        <v>16598</v>
      </c>
      <c r="Z1045" s="2">
        <v>19764</v>
      </c>
      <c r="AA1045">
        <v>4</v>
      </c>
      <c r="AB1045" t="s">
        <v>39</v>
      </c>
      <c r="AC1045">
        <v>12</v>
      </c>
      <c r="AD1045">
        <v>3</v>
      </c>
      <c r="AE1045" t="str" cm="1">
        <f t="array" ref="AE1045">_xlfn.IFS(AD1045=1,"Low",AD1045=2,"Good",AD1045=3,"Excellent",AD1045=4,"Outstanding")</f>
        <v>Excellent</v>
      </c>
      <c r="AF1045">
        <v>2</v>
      </c>
      <c r="AG1045" t="str" cm="1">
        <f t="array" ref="AG1045">_xlfn.IFS(AF1045=1,"Low",AF1045=2,"Medium",AF1045=3,"High",AF1045=4,"Very High")</f>
        <v>Medium</v>
      </c>
      <c r="AH1045">
        <v>0</v>
      </c>
      <c r="AI1045">
        <v>35</v>
      </c>
      <c r="AJ1045">
        <v>2</v>
      </c>
      <c r="AK1045">
        <v>2</v>
      </c>
      <c r="AL1045" t="str" cm="1">
        <f t="array" ref="AL1045">_xlfn.IFS(AK1045=1,"Low",AK1045=2,"Medium",AK1045=3,"High",AK1045=4,"Very High")</f>
        <v>Medium</v>
      </c>
      <c r="AM1045">
        <v>9</v>
      </c>
      <c r="AN1045">
        <v>8</v>
      </c>
      <c r="AO1045">
        <v>8</v>
      </c>
      <c r="AP1045">
        <v>8</v>
      </c>
    </row>
    <row r="1046" spans="1:42">
      <c r="A1046">
        <v>49</v>
      </c>
      <c r="B1046" t="str" cm="1">
        <f t="array" ref="B1046">_xlfn.IFS(A1046&lt;=25,"18-25",A1046&lt;=35,"26-35",A1046&lt;=45,"36-45",A1046&lt;=55,"46-55",A1046&gt;55,"56+")</f>
        <v>46-55</v>
      </c>
      <c r="C1046" t="s">
        <v>39</v>
      </c>
      <c r="D1046" t="s">
        <v>33</v>
      </c>
      <c r="E1046" s="2">
        <v>1495</v>
      </c>
      <c r="F1046" t="s">
        <v>41</v>
      </c>
      <c r="G1046">
        <v>5</v>
      </c>
      <c r="H1046" t="str">
        <f t="shared" si="16"/>
        <v>1-10 km</v>
      </c>
      <c r="I1046">
        <v>4</v>
      </c>
      <c r="J1046" t="str" cm="1">
        <f t="array" ref="J1046">_xlfn.IFS(I1046=1,"Below College",I1046=2,"College",I1046=3,"Bachelor",I1046=4,"Master",I1046=5,"Doctor")</f>
        <v>Master</v>
      </c>
      <c r="K1046" t="s">
        <v>56</v>
      </c>
      <c r="L1046">
        <v>1473</v>
      </c>
      <c r="M1046">
        <v>1</v>
      </c>
      <c r="N1046" t="str" cm="1">
        <f t="array" ref="N1046">_xlfn.IFS(M1046=1,"Low",M1046=2,"Medium",M1046=3,"High",M1046=4,"Very High")</f>
        <v>Low</v>
      </c>
      <c r="O1046" t="s">
        <v>42</v>
      </c>
      <c r="P1046" s="2">
        <v>96</v>
      </c>
      <c r="Q1046">
        <v>3</v>
      </c>
      <c r="R1046" t="str" cm="1">
        <f t="array" ref="R1046">_xlfn.IFS(Q1046=1,"Low",Q1046=2,"Medium",Q1046=3,"High",Q1046=4,"Very High")</f>
        <v>High</v>
      </c>
      <c r="S1046">
        <v>2</v>
      </c>
      <c r="T1046" t="str" cm="1">
        <f t="array" ref="T1046">_xlfn.IFS(S1046=1,"Entry Level",S1046=2,"Junior",S1046=3,"Mid-Level",S1046=4,"Senior",S1046=5,"Executive")</f>
        <v>Junior</v>
      </c>
      <c r="U1046" t="s">
        <v>50</v>
      </c>
      <c r="V1046">
        <v>3</v>
      </c>
      <c r="W1046" t="str" cm="1">
        <f t="array" ref="W1046">_xlfn.IFS(V1046=1,"Low",V1046=2,"Medium",V1046=3,"High",V1046=4,"Very High")</f>
        <v>High</v>
      </c>
      <c r="X1046" t="s">
        <v>44</v>
      </c>
      <c r="Y1046" s="2">
        <v>6651</v>
      </c>
      <c r="Z1046" s="2">
        <v>21534</v>
      </c>
      <c r="AA1046">
        <v>2</v>
      </c>
      <c r="AB1046" t="s">
        <v>39</v>
      </c>
      <c r="AC1046">
        <v>14</v>
      </c>
      <c r="AD1046">
        <v>3</v>
      </c>
      <c r="AE1046" t="str" cm="1">
        <f t="array" ref="AE1046">_xlfn.IFS(AD1046=1,"Low",AD1046=2,"Good",AD1046=3,"Excellent",AD1046=4,"Outstanding")</f>
        <v>Excellent</v>
      </c>
      <c r="AF1046">
        <v>2</v>
      </c>
      <c r="AG1046" t="str" cm="1">
        <f t="array" ref="AG1046">_xlfn.IFS(AF1046=1,"Low",AF1046=2,"Medium",AF1046=3,"High",AF1046=4,"Very High")</f>
        <v>Medium</v>
      </c>
      <c r="AH1046">
        <v>1</v>
      </c>
      <c r="AI1046">
        <v>20</v>
      </c>
      <c r="AJ1046">
        <v>0</v>
      </c>
      <c r="AK1046">
        <v>2</v>
      </c>
      <c r="AL1046" t="str" cm="1">
        <f t="array" ref="AL1046">_xlfn.IFS(AK1046=1,"Low",AK1046=2,"Medium",AK1046=3,"High",AK1046=4,"Very High")</f>
        <v>Medium</v>
      </c>
      <c r="AM1046">
        <v>3</v>
      </c>
      <c r="AN1046">
        <v>2</v>
      </c>
      <c r="AO1046">
        <v>1</v>
      </c>
      <c r="AP1046">
        <v>2</v>
      </c>
    </row>
    <row r="1047" spans="1:42">
      <c r="A1047">
        <v>40</v>
      </c>
      <c r="B1047" t="str" cm="1">
        <f t="array" ref="B1047">_xlfn.IFS(A1047&lt;=25,"18-25",A1047&lt;=35,"26-35",A1047&lt;=45,"36-45",A1047&lt;=55,"46-55",A1047&gt;55,"56+")</f>
        <v>36-45</v>
      </c>
      <c r="C1047" t="s">
        <v>39</v>
      </c>
      <c r="D1047" t="s">
        <v>33</v>
      </c>
      <c r="E1047" s="2">
        <v>896</v>
      </c>
      <c r="F1047" t="s">
        <v>41</v>
      </c>
      <c r="G1047">
        <v>2</v>
      </c>
      <c r="H1047" t="str">
        <f t="shared" si="16"/>
        <v>1-10 km</v>
      </c>
      <c r="I1047">
        <v>3</v>
      </c>
      <c r="J1047" t="str" cm="1">
        <f t="array" ref="J1047">_xlfn.IFS(I1047=1,"Below College",I1047=2,"College",I1047=3,"Bachelor",I1047=4,"Master",I1047=5,"Doctor")</f>
        <v>Bachelor</v>
      </c>
      <c r="K1047" t="s">
        <v>47</v>
      </c>
      <c r="L1047">
        <v>1474</v>
      </c>
      <c r="M1047">
        <v>3</v>
      </c>
      <c r="N1047" t="str" cm="1">
        <f t="array" ref="N1047">_xlfn.IFS(M1047=1,"Low",M1047=2,"Medium",M1047=3,"High",M1047=4,"Very High")</f>
        <v>High</v>
      </c>
      <c r="O1047" t="s">
        <v>42</v>
      </c>
      <c r="P1047" s="2">
        <v>68</v>
      </c>
      <c r="Q1047">
        <v>3</v>
      </c>
      <c r="R1047" t="str" cm="1">
        <f t="array" ref="R1047">_xlfn.IFS(Q1047=1,"Low",Q1047=2,"Medium",Q1047=3,"High",Q1047=4,"Very High")</f>
        <v>High</v>
      </c>
      <c r="S1047">
        <v>1</v>
      </c>
      <c r="T1047" t="str" cm="1">
        <f t="array" ref="T1047">_xlfn.IFS(S1047=1,"Entry Level",S1047=2,"Junior",S1047=3,"Mid-Level",S1047=4,"Senior",S1047=5,"Executive")</f>
        <v>Entry Level</v>
      </c>
      <c r="U1047" t="s">
        <v>43</v>
      </c>
      <c r="V1047">
        <v>3</v>
      </c>
      <c r="W1047" t="str" cm="1">
        <f t="array" ref="W1047">_xlfn.IFS(V1047=1,"Low",V1047=2,"Medium",V1047=3,"High",V1047=4,"Very High")</f>
        <v>High</v>
      </c>
      <c r="X1047" t="s">
        <v>48</v>
      </c>
      <c r="Y1047" s="2">
        <v>2345</v>
      </c>
      <c r="Z1047" s="2">
        <v>8045</v>
      </c>
      <c r="AA1047">
        <v>2</v>
      </c>
      <c r="AB1047" t="s">
        <v>39</v>
      </c>
      <c r="AC1047">
        <v>14</v>
      </c>
      <c r="AD1047">
        <v>3</v>
      </c>
      <c r="AE1047" t="str" cm="1">
        <f t="array" ref="AE1047">_xlfn.IFS(AD1047=1,"Low",AD1047=2,"Good",AD1047=3,"Excellent",AD1047=4,"Outstanding")</f>
        <v>Excellent</v>
      </c>
      <c r="AF1047">
        <v>3</v>
      </c>
      <c r="AG1047" t="str" cm="1">
        <f t="array" ref="AG1047">_xlfn.IFS(AF1047=1,"Low",AF1047=2,"Medium",AF1047=3,"High",AF1047=4,"Very High")</f>
        <v>High</v>
      </c>
      <c r="AH1047">
        <v>1</v>
      </c>
      <c r="AI1047">
        <v>8</v>
      </c>
      <c r="AJ1047">
        <v>3</v>
      </c>
      <c r="AK1047">
        <v>4</v>
      </c>
      <c r="AL1047" t="str" cm="1">
        <f t="array" ref="AL1047">_xlfn.IFS(AK1047=1,"Low",AK1047=2,"Medium",AK1047=3,"High",AK1047=4,"Very High")</f>
        <v>Very High</v>
      </c>
      <c r="AM1047">
        <v>3</v>
      </c>
      <c r="AN1047">
        <v>1</v>
      </c>
      <c r="AO1047">
        <v>1</v>
      </c>
      <c r="AP1047">
        <v>2</v>
      </c>
    </row>
    <row r="1048" spans="1:42">
      <c r="A1048">
        <v>44</v>
      </c>
      <c r="B1048" t="str" cm="1">
        <f t="array" ref="B1048">_xlfn.IFS(A1048&lt;=25,"18-25",A1048&lt;=35,"26-35",A1048&lt;=45,"36-45",A1048&lt;=55,"46-55",A1048&gt;55,"56+")</f>
        <v>36-45</v>
      </c>
      <c r="C1048" t="s">
        <v>39</v>
      </c>
      <c r="D1048" t="s">
        <v>33</v>
      </c>
      <c r="E1048" s="2">
        <v>1467</v>
      </c>
      <c r="F1048" t="s">
        <v>41</v>
      </c>
      <c r="G1048">
        <v>20</v>
      </c>
      <c r="H1048" t="str">
        <f t="shared" si="16"/>
        <v>11-20 km</v>
      </c>
      <c r="I1048">
        <v>3</v>
      </c>
      <c r="J1048" t="str" cm="1">
        <f t="array" ref="J1048">_xlfn.IFS(I1048=1,"Below College",I1048=2,"College",I1048=3,"Bachelor",I1048=4,"Master",I1048=5,"Doctor")</f>
        <v>Bachelor</v>
      </c>
      <c r="K1048" t="s">
        <v>35</v>
      </c>
      <c r="L1048">
        <v>1475</v>
      </c>
      <c r="M1048">
        <v>4</v>
      </c>
      <c r="N1048" t="str" cm="1">
        <f t="array" ref="N1048">_xlfn.IFS(M1048=1,"Low",M1048=2,"Medium",M1048=3,"High",M1048=4,"Very High")</f>
        <v>Very High</v>
      </c>
      <c r="O1048" t="s">
        <v>42</v>
      </c>
      <c r="P1048" s="2">
        <v>49</v>
      </c>
      <c r="Q1048">
        <v>3</v>
      </c>
      <c r="R1048" t="str" cm="1">
        <f t="array" ref="R1048">_xlfn.IFS(Q1048=1,"Low",Q1048=2,"Medium",Q1048=3,"High",Q1048=4,"Very High")</f>
        <v>High</v>
      </c>
      <c r="S1048">
        <v>1</v>
      </c>
      <c r="T1048" t="str" cm="1">
        <f t="array" ref="T1048">_xlfn.IFS(S1048=1,"Entry Level",S1048=2,"Junior",S1048=3,"Mid-Level",S1048=4,"Senior",S1048=5,"Executive")</f>
        <v>Entry Level</v>
      </c>
      <c r="U1048" t="s">
        <v>43</v>
      </c>
      <c r="V1048">
        <v>2</v>
      </c>
      <c r="W1048" t="str" cm="1">
        <f t="array" ref="W1048">_xlfn.IFS(V1048=1,"Low",V1048=2,"Medium",V1048=3,"High",V1048=4,"Very High")</f>
        <v>Medium</v>
      </c>
      <c r="X1048" t="s">
        <v>38</v>
      </c>
      <c r="Y1048" s="2">
        <v>3420</v>
      </c>
      <c r="Z1048" s="2">
        <v>21158</v>
      </c>
      <c r="AA1048">
        <v>1</v>
      </c>
      <c r="AB1048" t="s">
        <v>39</v>
      </c>
      <c r="AC1048">
        <v>13</v>
      </c>
      <c r="AD1048">
        <v>3</v>
      </c>
      <c r="AE1048" t="str" cm="1">
        <f t="array" ref="AE1048">_xlfn.IFS(AD1048=1,"Low",AD1048=2,"Good",AD1048=3,"Excellent",AD1048=4,"Outstanding")</f>
        <v>Excellent</v>
      </c>
      <c r="AF1048">
        <v>3</v>
      </c>
      <c r="AG1048" t="str" cm="1">
        <f t="array" ref="AG1048">_xlfn.IFS(AF1048=1,"Low",AF1048=2,"Medium",AF1048=3,"High",AF1048=4,"Very High")</f>
        <v>High</v>
      </c>
      <c r="AH1048">
        <v>0</v>
      </c>
      <c r="AI1048">
        <v>6</v>
      </c>
      <c r="AJ1048">
        <v>3</v>
      </c>
      <c r="AK1048">
        <v>2</v>
      </c>
      <c r="AL1048" t="str" cm="1">
        <f t="array" ref="AL1048">_xlfn.IFS(AK1048=1,"Low",AK1048=2,"Medium",AK1048=3,"High",AK1048=4,"Very High")</f>
        <v>Medium</v>
      </c>
      <c r="AM1048">
        <v>5</v>
      </c>
      <c r="AN1048">
        <v>2</v>
      </c>
      <c r="AO1048">
        <v>1</v>
      </c>
      <c r="AP1048">
        <v>3</v>
      </c>
    </row>
    <row r="1049" spans="1:42">
      <c r="A1049">
        <v>33</v>
      </c>
      <c r="B1049" t="str" cm="1">
        <f t="array" ref="B1049">_xlfn.IFS(A1049&lt;=25,"18-25",A1049&lt;=35,"26-35",A1049&lt;=45,"36-45",A1049&lt;=55,"46-55",A1049&gt;55,"56+")</f>
        <v>26-35</v>
      </c>
      <c r="C1049" t="s">
        <v>39</v>
      </c>
      <c r="D1049" t="s">
        <v>40</v>
      </c>
      <c r="E1049" s="2">
        <v>430</v>
      </c>
      <c r="F1049" t="s">
        <v>34</v>
      </c>
      <c r="G1049">
        <v>7</v>
      </c>
      <c r="H1049" t="str">
        <f t="shared" si="16"/>
        <v>1-10 km</v>
      </c>
      <c r="I1049">
        <v>3</v>
      </c>
      <c r="J1049" t="str" cm="1">
        <f t="array" ref="J1049">_xlfn.IFS(I1049=1,"Below College",I1049=2,"College",I1049=3,"Bachelor",I1049=4,"Master",I1049=5,"Doctor")</f>
        <v>Bachelor</v>
      </c>
      <c r="K1049" t="s">
        <v>47</v>
      </c>
      <c r="L1049">
        <v>1477</v>
      </c>
      <c r="M1049">
        <v>4</v>
      </c>
      <c r="N1049" t="str" cm="1">
        <f t="array" ref="N1049">_xlfn.IFS(M1049=1,"Low",M1049=2,"Medium",M1049=3,"High",M1049=4,"Very High")</f>
        <v>Very High</v>
      </c>
      <c r="O1049" t="s">
        <v>42</v>
      </c>
      <c r="P1049" s="2">
        <v>54</v>
      </c>
      <c r="Q1049">
        <v>3</v>
      </c>
      <c r="R1049" t="str" cm="1">
        <f t="array" ref="R1049">_xlfn.IFS(Q1049=1,"Low",Q1049=2,"Medium",Q1049=3,"High",Q1049=4,"Very High")</f>
        <v>High</v>
      </c>
      <c r="S1049">
        <v>2</v>
      </c>
      <c r="T1049" t="str" cm="1">
        <f t="array" ref="T1049">_xlfn.IFS(S1049=1,"Entry Level",S1049=2,"Junior",S1049=3,"Mid-Level",S1049=4,"Senior",S1049=5,"Executive")</f>
        <v>Junior</v>
      </c>
      <c r="U1049" t="s">
        <v>37</v>
      </c>
      <c r="V1049">
        <v>1</v>
      </c>
      <c r="W1049" t="str" cm="1">
        <f t="array" ref="W1049">_xlfn.IFS(V1049=1,"Low",V1049=2,"Medium",V1049=3,"High",V1049=4,"Very High")</f>
        <v>Low</v>
      </c>
      <c r="X1049" t="s">
        <v>44</v>
      </c>
      <c r="Y1049" s="2">
        <v>4373</v>
      </c>
      <c r="Z1049" s="2">
        <v>17456</v>
      </c>
      <c r="AA1049">
        <v>0</v>
      </c>
      <c r="AB1049" t="s">
        <v>39</v>
      </c>
      <c r="AC1049">
        <v>14</v>
      </c>
      <c r="AD1049">
        <v>3</v>
      </c>
      <c r="AE1049" t="str" cm="1">
        <f t="array" ref="AE1049">_xlfn.IFS(AD1049=1,"Low",AD1049=2,"Good",AD1049=3,"Excellent",AD1049=4,"Outstanding")</f>
        <v>Excellent</v>
      </c>
      <c r="AF1049">
        <v>1</v>
      </c>
      <c r="AG1049" t="str" cm="1">
        <f t="array" ref="AG1049">_xlfn.IFS(AF1049=1,"Low",AF1049=2,"Medium",AF1049=3,"High",AF1049=4,"Very High")</f>
        <v>Low</v>
      </c>
      <c r="AH1049">
        <v>2</v>
      </c>
      <c r="AI1049">
        <v>5</v>
      </c>
      <c r="AJ1049">
        <v>2</v>
      </c>
      <c r="AK1049">
        <v>3</v>
      </c>
      <c r="AL1049" t="str" cm="1">
        <f t="array" ref="AL1049">_xlfn.IFS(AK1049=1,"Low",AK1049=2,"Medium",AK1049=3,"High",AK1049=4,"Very High")</f>
        <v>High</v>
      </c>
      <c r="AM1049">
        <v>4</v>
      </c>
      <c r="AN1049">
        <v>3</v>
      </c>
      <c r="AO1049">
        <v>0</v>
      </c>
      <c r="AP1049">
        <v>3</v>
      </c>
    </row>
    <row r="1050" spans="1:42">
      <c r="A1050">
        <v>34</v>
      </c>
      <c r="B1050" t="str" cm="1">
        <f t="array" ref="B1050">_xlfn.IFS(A1050&lt;=25,"18-25",A1050&lt;=35,"26-35",A1050&lt;=45,"36-45",A1050&lt;=55,"46-55",A1050&gt;55,"56+")</f>
        <v>26-35</v>
      </c>
      <c r="C1050" t="s">
        <v>39</v>
      </c>
      <c r="D1050" t="s">
        <v>33</v>
      </c>
      <c r="E1050" s="2">
        <v>1326</v>
      </c>
      <c r="F1050" t="s">
        <v>34</v>
      </c>
      <c r="G1050">
        <v>3</v>
      </c>
      <c r="H1050" t="str">
        <f t="shared" si="16"/>
        <v>1-10 km</v>
      </c>
      <c r="I1050">
        <v>3</v>
      </c>
      <c r="J1050" t="str" cm="1">
        <f t="array" ref="J1050">_xlfn.IFS(I1050=1,"Below College",I1050=2,"College",I1050=3,"Bachelor",I1050=4,"Master",I1050=5,"Doctor")</f>
        <v>Bachelor</v>
      </c>
      <c r="K1050" t="s">
        <v>45</v>
      </c>
      <c r="L1050">
        <v>1478</v>
      </c>
      <c r="M1050">
        <v>4</v>
      </c>
      <c r="N1050" t="str" cm="1">
        <f t="array" ref="N1050">_xlfn.IFS(M1050=1,"Low",M1050=2,"Medium",M1050=3,"High",M1050=4,"Very High")</f>
        <v>Very High</v>
      </c>
      <c r="O1050" t="s">
        <v>42</v>
      </c>
      <c r="P1050" s="2">
        <v>81</v>
      </c>
      <c r="Q1050">
        <v>1</v>
      </c>
      <c r="R1050" t="str" cm="1">
        <f t="array" ref="R1050">_xlfn.IFS(Q1050=1,"Low",Q1050=2,"Medium",Q1050=3,"High",Q1050=4,"Very High")</f>
        <v>Low</v>
      </c>
      <c r="S1050">
        <v>2</v>
      </c>
      <c r="T1050" t="str" cm="1">
        <f t="array" ref="T1050">_xlfn.IFS(S1050=1,"Entry Level",S1050=2,"Junior",S1050=3,"Mid-Level",S1050=4,"Senior",S1050=5,"Executive")</f>
        <v>Junior</v>
      </c>
      <c r="U1050" t="s">
        <v>37</v>
      </c>
      <c r="V1050">
        <v>1</v>
      </c>
      <c r="W1050" t="str" cm="1">
        <f t="array" ref="W1050">_xlfn.IFS(V1050=1,"Low",V1050=2,"Medium",V1050=3,"High",V1050=4,"Very High")</f>
        <v>Low</v>
      </c>
      <c r="X1050" t="s">
        <v>38</v>
      </c>
      <c r="Y1050" s="2">
        <v>4759</v>
      </c>
      <c r="Z1050" s="2">
        <v>15891</v>
      </c>
      <c r="AA1050">
        <v>3</v>
      </c>
      <c r="AB1050" t="s">
        <v>39</v>
      </c>
      <c r="AC1050">
        <v>18</v>
      </c>
      <c r="AD1050">
        <v>3</v>
      </c>
      <c r="AE1050" t="str" cm="1">
        <f t="array" ref="AE1050">_xlfn.IFS(AD1050=1,"Low",AD1050=2,"Good",AD1050=3,"Excellent",AD1050=4,"Outstanding")</f>
        <v>Excellent</v>
      </c>
      <c r="AF1050">
        <v>4</v>
      </c>
      <c r="AG1050" t="str" cm="1">
        <f t="array" ref="AG1050">_xlfn.IFS(AF1050=1,"Low",AF1050=2,"Medium",AF1050=3,"High",AF1050=4,"Very High")</f>
        <v>Very High</v>
      </c>
      <c r="AH1050">
        <v>0</v>
      </c>
      <c r="AI1050">
        <v>15</v>
      </c>
      <c r="AJ1050">
        <v>2</v>
      </c>
      <c r="AK1050">
        <v>3</v>
      </c>
      <c r="AL1050" t="str" cm="1">
        <f t="array" ref="AL1050">_xlfn.IFS(AK1050=1,"Low",AK1050=2,"Medium",AK1050=3,"High",AK1050=4,"Very High")</f>
        <v>High</v>
      </c>
      <c r="AM1050">
        <v>13</v>
      </c>
      <c r="AN1050">
        <v>9</v>
      </c>
      <c r="AO1050">
        <v>3</v>
      </c>
      <c r="AP1050">
        <v>12</v>
      </c>
    </row>
    <row r="1051" spans="1:42">
      <c r="A1051">
        <v>30</v>
      </c>
      <c r="B1051" t="str" cm="1">
        <f t="array" ref="B1051">_xlfn.IFS(A1051&lt;=25,"18-25",A1051&lt;=35,"26-35",A1051&lt;=45,"36-45",A1051&lt;=55,"46-55",A1051&gt;55,"56+")</f>
        <v>26-35</v>
      </c>
      <c r="C1051" t="s">
        <v>39</v>
      </c>
      <c r="D1051" t="s">
        <v>33</v>
      </c>
      <c r="E1051" s="2">
        <v>1358</v>
      </c>
      <c r="F1051" t="s">
        <v>34</v>
      </c>
      <c r="G1051">
        <v>16</v>
      </c>
      <c r="H1051" t="str">
        <f t="shared" si="16"/>
        <v>11-20 km</v>
      </c>
      <c r="I1051">
        <v>1</v>
      </c>
      <c r="J1051" t="str" cm="1">
        <f t="array" ref="J1051">_xlfn.IFS(I1051=1,"Below College",I1051=2,"College",I1051=3,"Bachelor",I1051=4,"Master",I1051=5,"Doctor")</f>
        <v>Below College</v>
      </c>
      <c r="K1051" t="s">
        <v>35</v>
      </c>
      <c r="L1051">
        <v>1479</v>
      </c>
      <c r="M1051">
        <v>4</v>
      </c>
      <c r="N1051" t="str" cm="1">
        <f t="array" ref="N1051">_xlfn.IFS(M1051=1,"Low",M1051=2,"Medium",M1051=3,"High",M1051=4,"Very High")</f>
        <v>Very High</v>
      </c>
      <c r="O1051" t="s">
        <v>42</v>
      </c>
      <c r="P1051" s="2">
        <v>96</v>
      </c>
      <c r="Q1051">
        <v>3</v>
      </c>
      <c r="R1051" t="str" cm="1">
        <f t="array" ref="R1051">_xlfn.IFS(Q1051=1,"Low",Q1051=2,"Medium",Q1051=3,"High",Q1051=4,"Very High")</f>
        <v>High</v>
      </c>
      <c r="S1051">
        <v>2</v>
      </c>
      <c r="T1051" t="str" cm="1">
        <f t="array" ref="T1051">_xlfn.IFS(S1051=1,"Entry Level",S1051=2,"Junior",S1051=3,"Mid-Level",S1051=4,"Senior",S1051=5,"Executive")</f>
        <v>Junior</v>
      </c>
      <c r="U1051" t="s">
        <v>37</v>
      </c>
      <c r="V1051">
        <v>3</v>
      </c>
      <c r="W1051" t="str" cm="1">
        <f t="array" ref="W1051">_xlfn.IFS(V1051=1,"Low",V1051=2,"Medium",V1051=3,"High",V1051=4,"Very High")</f>
        <v>High</v>
      </c>
      <c r="X1051" t="s">
        <v>44</v>
      </c>
      <c r="Y1051" s="2">
        <v>5301</v>
      </c>
      <c r="Z1051" s="2">
        <v>2939</v>
      </c>
      <c r="AA1051">
        <v>8</v>
      </c>
      <c r="AB1051" t="s">
        <v>39</v>
      </c>
      <c r="AC1051">
        <v>15</v>
      </c>
      <c r="AD1051">
        <v>3</v>
      </c>
      <c r="AE1051" t="str" cm="1">
        <f t="array" ref="AE1051">_xlfn.IFS(AD1051=1,"Low",AD1051=2,"Good",AD1051=3,"Excellent",AD1051=4,"Outstanding")</f>
        <v>Excellent</v>
      </c>
      <c r="AF1051">
        <v>3</v>
      </c>
      <c r="AG1051" t="str" cm="1">
        <f t="array" ref="AG1051">_xlfn.IFS(AF1051=1,"Low",AF1051=2,"Medium",AF1051=3,"High",AF1051=4,"Very High")</f>
        <v>High</v>
      </c>
      <c r="AH1051">
        <v>2</v>
      </c>
      <c r="AI1051">
        <v>4</v>
      </c>
      <c r="AJ1051">
        <v>2</v>
      </c>
      <c r="AK1051">
        <v>2</v>
      </c>
      <c r="AL1051" t="str" cm="1">
        <f t="array" ref="AL1051">_xlfn.IFS(AK1051=1,"Low",AK1051=2,"Medium",AK1051=3,"High",AK1051=4,"Very High")</f>
        <v>Medium</v>
      </c>
      <c r="AM1051">
        <v>2</v>
      </c>
      <c r="AN1051">
        <v>1</v>
      </c>
      <c r="AO1051">
        <v>2</v>
      </c>
      <c r="AP1051">
        <v>2</v>
      </c>
    </row>
    <row r="1052" spans="1:42">
      <c r="A1052">
        <v>42</v>
      </c>
      <c r="B1052" t="str" cm="1">
        <f t="array" ref="B1052">_xlfn.IFS(A1052&lt;=25,"18-25",A1052&lt;=35,"26-35",A1052&lt;=45,"36-45",A1052&lt;=55,"46-55",A1052&gt;55,"56+")</f>
        <v>36-45</v>
      </c>
      <c r="C1052" t="s">
        <v>39</v>
      </c>
      <c r="D1052" t="s">
        <v>40</v>
      </c>
      <c r="E1052" s="2">
        <v>748</v>
      </c>
      <c r="F1052" t="s">
        <v>41</v>
      </c>
      <c r="G1052">
        <v>9</v>
      </c>
      <c r="H1052" t="str">
        <f t="shared" si="16"/>
        <v>1-10 km</v>
      </c>
      <c r="I1052">
        <v>2</v>
      </c>
      <c r="J1052" t="str" cm="1">
        <f t="array" ref="J1052">_xlfn.IFS(I1052=1,"Below College",I1052=2,"College",I1052=3,"Bachelor",I1052=4,"Master",I1052=5,"Doctor")</f>
        <v>College</v>
      </c>
      <c r="K1052" t="s">
        <v>47</v>
      </c>
      <c r="L1052">
        <v>1480</v>
      </c>
      <c r="M1052">
        <v>1</v>
      </c>
      <c r="N1052" t="str" cm="1">
        <f t="array" ref="N1052">_xlfn.IFS(M1052=1,"Low",M1052=2,"Medium",M1052=3,"High",M1052=4,"Very High")</f>
        <v>Low</v>
      </c>
      <c r="O1052" t="s">
        <v>36</v>
      </c>
      <c r="P1052" s="2">
        <v>74</v>
      </c>
      <c r="Q1052">
        <v>3</v>
      </c>
      <c r="R1052" t="str" cm="1">
        <f t="array" ref="R1052">_xlfn.IFS(Q1052=1,"Low",Q1052=2,"Medium",Q1052=3,"High",Q1052=4,"Very High")</f>
        <v>High</v>
      </c>
      <c r="S1052">
        <v>1</v>
      </c>
      <c r="T1052" t="str" cm="1">
        <f t="array" ref="T1052">_xlfn.IFS(S1052=1,"Entry Level",S1052=2,"Junior",S1052=3,"Mid-Level",S1052=4,"Senior",S1052=5,"Executive")</f>
        <v>Entry Level</v>
      </c>
      <c r="U1052" t="s">
        <v>46</v>
      </c>
      <c r="V1052">
        <v>4</v>
      </c>
      <c r="W1052" t="str" cm="1">
        <f t="array" ref="W1052">_xlfn.IFS(V1052=1,"Low",V1052=2,"Medium",V1052=3,"High",V1052=4,"Very High")</f>
        <v>Very High</v>
      </c>
      <c r="X1052" t="s">
        <v>38</v>
      </c>
      <c r="Y1052" s="2">
        <v>3673</v>
      </c>
      <c r="Z1052" s="2">
        <v>16458</v>
      </c>
      <c r="AA1052">
        <v>1</v>
      </c>
      <c r="AB1052" t="s">
        <v>39</v>
      </c>
      <c r="AC1052">
        <v>13</v>
      </c>
      <c r="AD1052">
        <v>3</v>
      </c>
      <c r="AE1052" t="str" cm="1">
        <f t="array" ref="AE1052">_xlfn.IFS(AD1052=1,"Low",AD1052=2,"Good",AD1052=3,"Excellent",AD1052=4,"Outstanding")</f>
        <v>Excellent</v>
      </c>
      <c r="AF1052">
        <v>3</v>
      </c>
      <c r="AG1052" t="str" cm="1">
        <f t="array" ref="AG1052">_xlfn.IFS(AF1052=1,"Low",AF1052=2,"Medium",AF1052=3,"High",AF1052=4,"Very High")</f>
        <v>High</v>
      </c>
      <c r="AH1052">
        <v>0</v>
      </c>
      <c r="AI1052">
        <v>12</v>
      </c>
      <c r="AJ1052">
        <v>3</v>
      </c>
      <c r="AK1052">
        <v>3</v>
      </c>
      <c r="AL1052" t="str" cm="1">
        <f t="array" ref="AL1052">_xlfn.IFS(AK1052=1,"Low",AK1052=2,"Medium",AK1052=3,"High",AK1052=4,"Very High")</f>
        <v>High</v>
      </c>
      <c r="AM1052">
        <v>12</v>
      </c>
      <c r="AN1052">
        <v>9</v>
      </c>
      <c r="AO1052">
        <v>5</v>
      </c>
      <c r="AP1052">
        <v>8</v>
      </c>
    </row>
    <row r="1053" spans="1:42">
      <c r="A1053">
        <v>44</v>
      </c>
      <c r="B1053" t="str" cm="1">
        <f t="array" ref="B1053">_xlfn.IFS(A1053&lt;=25,"18-25",A1053&lt;=35,"26-35",A1053&lt;=45,"36-45",A1053&lt;=55,"46-55",A1053&gt;55,"56+")</f>
        <v>36-45</v>
      </c>
      <c r="C1053" t="s">
        <v>39</v>
      </c>
      <c r="D1053" t="s">
        <v>40</v>
      </c>
      <c r="E1053" s="2">
        <v>383</v>
      </c>
      <c r="F1053" t="s">
        <v>34</v>
      </c>
      <c r="G1053">
        <v>1</v>
      </c>
      <c r="H1053" t="str">
        <f t="shared" si="16"/>
        <v>1-10 km</v>
      </c>
      <c r="I1053">
        <v>5</v>
      </c>
      <c r="J1053" t="str" cm="1">
        <f t="array" ref="J1053">_xlfn.IFS(I1053=1,"Below College",I1053=2,"College",I1053=3,"Bachelor",I1053=4,"Master",I1053=5,"Doctor")</f>
        <v>Doctor</v>
      </c>
      <c r="K1053" t="s">
        <v>55</v>
      </c>
      <c r="L1053">
        <v>1481</v>
      </c>
      <c r="M1053">
        <v>1</v>
      </c>
      <c r="N1053" t="str" cm="1">
        <f t="array" ref="N1053">_xlfn.IFS(M1053=1,"Low",M1053=2,"Medium",M1053=3,"High",M1053=4,"Very High")</f>
        <v>Low</v>
      </c>
      <c r="O1053" t="s">
        <v>36</v>
      </c>
      <c r="P1053" s="2">
        <v>79</v>
      </c>
      <c r="Q1053">
        <v>3</v>
      </c>
      <c r="R1053" t="str" cm="1">
        <f t="array" ref="R1053">_xlfn.IFS(Q1053=1,"Low",Q1053=2,"Medium",Q1053=3,"High",Q1053=4,"Very High")</f>
        <v>High</v>
      </c>
      <c r="S1053">
        <v>2</v>
      </c>
      <c r="T1053" t="str" cm="1">
        <f t="array" ref="T1053">_xlfn.IFS(S1053=1,"Entry Level",S1053=2,"Junior",S1053=3,"Mid-Level",S1053=4,"Senior",S1053=5,"Executive")</f>
        <v>Junior</v>
      </c>
      <c r="U1053" t="s">
        <v>37</v>
      </c>
      <c r="V1053">
        <v>3</v>
      </c>
      <c r="W1053" t="str" cm="1">
        <f t="array" ref="W1053">_xlfn.IFS(V1053=1,"Low",V1053=2,"Medium",V1053=3,"High",V1053=4,"Very High")</f>
        <v>High</v>
      </c>
      <c r="X1053" t="s">
        <v>44</v>
      </c>
      <c r="Y1053" s="2">
        <v>4768</v>
      </c>
      <c r="Z1053" s="2">
        <v>9282</v>
      </c>
      <c r="AA1053">
        <v>7</v>
      </c>
      <c r="AB1053" t="s">
        <v>39</v>
      </c>
      <c r="AC1053">
        <v>12</v>
      </c>
      <c r="AD1053">
        <v>3</v>
      </c>
      <c r="AE1053" t="str" cm="1">
        <f t="array" ref="AE1053">_xlfn.IFS(AD1053=1,"Low",AD1053=2,"Good",AD1053=3,"Excellent",AD1053=4,"Outstanding")</f>
        <v>Excellent</v>
      </c>
      <c r="AF1053">
        <v>3</v>
      </c>
      <c r="AG1053" t="str" cm="1">
        <f t="array" ref="AG1053">_xlfn.IFS(AF1053=1,"Low",AF1053=2,"Medium",AF1053=3,"High",AF1053=4,"Very High")</f>
        <v>High</v>
      </c>
      <c r="AH1053">
        <v>1</v>
      </c>
      <c r="AI1053">
        <v>11</v>
      </c>
      <c r="AJ1053">
        <v>4</v>
      </c>
      <c r="AK1053">
        <v>2</v>
      </c>
      <c r="AL1053" t="str" cm="1">
        <f t="array" ref="AL1053">_xlfn.IFS(AK1053=1,"Low",AK1053=2,"Medium",AK1053=3,"High",AK1053=4,"Very High")</f>
        <v>Medium</v>
      </c>
      <c r="AM1053">
        <v>1</v>
      </c>
      <c r="AN1053">
        <v>0</v>
      </c>
      <c r="AO1053">
        <v>0</v>
      </c>
      <c r="AP1053">
        <v>0</v>
      </c>
    </row>
    <row r="1054" spans="1:42">
      <c r="A1054">
        <v>30</v>
      </c>
      <c r="B1054" t="str" cm="1">
        <f t="array" ref="B1054">_xlfn.IFS(A1054&lt;=25,"18-25",A1054&lt;=35,"26-35",A1054&lt;=45,"36-45",A1054&lt;=55,"46-55",A1054&gt;55,"56+")</f>
        <v>26-35</v>
      </c>
      <c r="C1054" t="s">
        <v>39</v>
      </c>
      <c r="D1054" t="s">
        <v>51</v>
      </c>
      <c r="E1054" s="2">
        <v>990</v>
      </c>
      <c r="F1054" t="s">
        <v>41</v>
      </c>
      <c r="G1054">
        <v>7</v>
      </c>
      <c r="H1054" t="str">
        <f t="shared" si="16"/>
        <v>1-10 km</v>
      </c>
      <c r="I1054">
        <v>3</v>
      </c>
      <c r="J1054" t="str" cm="1">
        <f t="array" ref="J1054">_xlfn.IFS(I1054=1,"Below College",I1054=2,"College",I1054=3,"Bachelor",I1054=4,"Master",I1054=5,"Doctor")</f>
        <v>Bachelor</v>
      </c>
      <c r="K1054" t="s">
        <v>56</v>
      </c>
      <c r="L1054">
        <v>1482</v>
      </c>
      <c r="M1054">
        <v>3</v>
      </c>
      <c r="N1054" t="str" cm="1">
        <f t="array" ref="N1054">_xlfn.IFS(M1054=1,"Low",M1054=2,"Medium",M1054=3,"High",M1054=4,"Very High")</f>
        <v>High</v>
      </c>
      <c r="O1054" t="s">
        <v>42</v>
      </c>
      <c r="P1054" s="2">
        <v>64</v>
      </c>
      <c r="Q1054">
        <v>3</v>
      </c>
      <c r="R1054" t="str" cm="1">
        <f t="array" ref="R1054">_xlfn.IFS(Q1054=1,"Low",Q1054=2,"Medium",Q1054=3,"High",Q1054=4,"Very High")</f>
        <v>High</v>
      </c>
      <c r="S1054">
        <v>1</v>
      </c>
      <c r="T1054" t="str" cm="1">
        <f t="array" ref="T1054">_xlfn.IFS(S1054=1,"Entry Level",S1054=2,"Junior",S1054=3,"Mid-Level",S1054=4,"Senior",S1054=5,"Executive")</f>
        <v>Entry Level</v>
      </c>
      <c r="U1054" t="s">
        <v>43</v>
      </c>
      <c r="V1054">
        <v>3</v>
      </c>
      <c r="W1054" t="str" cm="1">
        <f t="array" ref="W1054">_xlfn.IFS(V1054=1,"Low",V1054=2,"Medium",V1054=3,"High",V1054=4,"Very High")</f>
        <v>High</v>
      </c>
      <c r="X1054" t="s">
        <v>48</v>
      </c>
      <c r="Y1054" s="2">
        <v>1274</v>
      </c>
      <c r="Z1054" s="2">
        <v>7152</v>
      </c>
      <c r="AA1054">
        <v>1</v>
      </c>
      <c r="AB1054" t="s">
        <v>39</v>
      </c>
      <c r="AC1054">
        <v>13</v>
      </c>
      <c r="AD1054">
        <v>3</v>
      </c>
      <c r="AE1054" t="str" cm="1">
        <f t="array" ref="AE1054">_xlfn.IFS(AD1054=1,"Low",AD1054=2,"Good",AD1054=3,"Excellent",AD1054=4,"Outstanding")</f>
        <v>Excellent</v>
      </c>
      <c r="AF1054">
        <v>2</v>
      </c>
      <c r="AG1054" t="str" cm="1">
        <f t="array" ref="AG1054">_xlfn.IFS(AF1054=1,"Low",AF1054=2,"Medium",AF1054=3,"High",AF1054=4,"Very High")</f>
        <v>Medium</v>
      </c>
      <c r="AH1054">
        <v>2</v>
      </c>
      <c r="AI1054">
        <v>1</v>
      </c>
      <c r="AJ1054">
        <v>2</v>
      </c>
      <c r="AK1054">
        <v>2</v>
      </c>
      <c r="AL1054" t="str" cm="1">
        <f t="array" ref="AL1054">_xlfn.IFS(AK1054=1,"Low",AK1054=2,"Medium",AK1054=3,"High",AK1054=4,"Very High")</f>
        <v>Medium</v>
      </c>
      <c r="AM1054">
        <v>1</v>
      </c>
      <c r="AN1054">
        <v>0</v>
      </c>
      <c r="AO1054">
        <v>0</v>
      </c>
      <c r="AP1054">
        <v>0</v>
      </c>
    </row>
    <row r="1055" spans="1:42">
      <c r="A1055">
        <v>57</v>
      </c>
      <c r="B1055" t="str" cm="1">
        <f t="array" ref="B1055">_xlfn.IFS(A1055&lt;=25,"18-25",A1055&lt;=35,"26-35",A1055&lt;=45,"36-45",A1055&lt;=55,"46-55",A1055&gt;55,"56+")</f>
        <v>56+</v>
      </c>
      <c r="C1055" t="s">
        <v>39</v>
      </c>
      <c r="D1055" t="s">
        <v>33</v>
      </c>
      <c r="E1055" s="2">
        <v>405</v>
      </c>
      <c r="F1055" t="s">
        <v>41</v>
      </c>
      <c r="G1055">
        <v>1</v>
      </c>
      <c r="H1055" t="str">
        <f t="shared" si="16"/>
        <v>1-10 km</v>
      </c>
      <c r="I1055">
        <v>2</v>
      </c>
      <c r="J1055" t="str" cm="1">
        <f t="array" ref="J1055">_xlfn.IFS(I1055=1,"Below College",I1055=2,"College",I1055=3,"Bachelor",I1055=4,"Master",I1055=5,"Doctor")</f>
        <v>College</v>
      </c>
      <c r="K1055" t="s">
        <v>35</v>
      </c>
      <c r="L1055">
        <v>1483</v>
      </c>
      <c r="M1055">
        <v>2</v>
      </c>
      <c r="N1055" t="str" cm="1">
        <f t="array" ref="N1055">_xlfn.IFS(M1055=1,"Low",M1055=2,"Medium",M1055=3,"High",M1055=4,"Very High")</f>
        <v>Medium</v>
      </c>
      <c r="O1055" t="s">
        <v>42</v>
      </c>
      <c r="P1055" s="2">
        <v>93</v>
      </c>
      <c r="Q1055">
        <v>4</v>
      </c>
      <c r="R1055" t="str" cm="1">
        <f t="array" ref="R1055">_xlfn.IFS(Q1055=1,"Low",Q1055=2,"Medium",Q1055=3,"High",Q1055=4,"Very High")</f>
        <v>Very High</v>
      </c>
      <c r="S1055">
        <v>2</v>
      </c>
      <c r="T1055" t="str" cm="1">
        <f t="array" ref="T1055">_xlfn.IFS(S1055=1,"Entry Level",S1055=2,"Junior",S1055=3,"Mid-Level",S1055=4,"Senior",S1055=5,"Executive")</f>
        <v>Junior</v>
      </c>
      <c r="U1055" t="s">
        <v>43</v>
      </c>
      <c r="V1055">
        <v>3</v>
      </c>
      <c r="W1055" t="str" cm="1">
        <f t="array" ref="W1055">_xlfn.IFS(V1055=1,"Low",V1055=2,"Medium",V1055=3,"High",V1055=4,"Very High")</f>
        <v>High</v>
      </c>
      <c r="X1055" t="s">
        <v>44</v>
      </c>
      <c r="Y1055" s="2">
        <v>4900</v>
      </c>
      <c r="Z1055" s="2">
        <v>2721</v>
      </c>
      <c r="AA1055">
        <v>0</v>
      </c>
      <c r="AB1055" t="s">
        <v>39</v>
      </c>
      <c r="AC1055">
        <v>24</v>
      </c>
      <c r="AD1055">
        <v>4</v>
      </c>
      <c r="AE1055" t="str" cm="1">
        <f t="array" ref="AE1055">_xlfn.IFS(AD1055=1,"Low",AD1055=2,"Good",AD1055=3,"Excellent",AD1055=4,"Outstanding")</f>
        <v>Outstanding</v>
      </c>
      <c r="AF1055">
        <v>1</v>
      </c>
      <c r="AG1055" t="str" cm="1">
        <f t="array" ref="AG1055">_xlfn.IFS(AF1055=1,"Low",AF1055=2,"Medium",AF1055=3,"High",AF1055=4,"Very High")</f>
        <v>Low</v>
      </c>
      <c r="AH1055">
        <v>1</v>
      </c>
      <c r="AI1055">
        <v>13</v>
      </c>
      <c r="AJ1055">
        <v>2</v>
      </c>
      <c r="AK1055">
        <v>2</v>
      </c>
      <c r="AL1055" t="str" cm="1">
        <f t="array" ref="AL1055">_xlfn.IFS(AK1055=1,"Low",AK1055=2,"Medium",AK1055=3,"High",AK1055=4,"Very High")</f>
        <v>Medium</v>
      </c>
      <c r="AM1055">
        <v>12</v>
      </c>
      <c r="AN1055">
        <v>9</v>
      </c>
      <c r="AO1055">
        <v>2</v>
      </c>
      <c r="AP1055">
        <v>8</v>
      </c>
    </row>
    <row r="1056" spans="1:42">
      <c r="A1056">
        <v>49</v>
      </c>
      <c r="B1056" t="str" cm="1">
        <f t="array" ref="B1056">_xlfn.IFS(A1056&lt;=25,"18-25",A1056&lt;=35,"26-35",A1056&lt;=45,"36-45",A1056&lt;=55,"46-55",A1056&gt;55,"56+")</f>
        <v>46-55</v>
      </c>
      <c r="C1056" t="s">
        <v>39</v>
      </c>
      <c r="D1056" t="s">
        <v>33</v>
      </c>
      <c r="E1056" s="2">
        <v>1490</v>
      </c>
      <c r="F1056" t="s">
        <v>41</v>
      </c>
      <c r="G1056">
        <v>7</v>
      </c>
      <c r="H1056" t="str">
        <f t="shared" si="16"/>
        <v>1-10 km</v>
      </c>
      <c r="I1056">
        <v>4</v>
      </c>
      <c r="J1056" t="str" cm="1">
        <f t="array" ref="J1056">_xlfn.IFS(I1056=1,"Below College",I1056=2,"College",I1056=3,"Bachelor",I1056=4,"Master",I1056=5,"Doctor")</f>
        <v>Master</v>
      </c>
      <c r="K1056" t="s">
        <v>35</v>
      </c>
      <c r="L1056">
        <v>1484</v>
      </c>
      <c r="M1056">
        <v>3</v>
      </c>
      <c r="N1056" t="str" cm="1">
        <f t="array" ref="N1056">_xlfn.IFS(M1056=1,"Low",M1056=2,"Medium",M1056=3,"High",M1056=4,"Very High")</f>
        <v>High</v>
      </c>
      <c r="O1056" t="s">
        <v>42</v>
      </c>
      <c r="P1056" s="2">
        <v>35</v>
      </c>
      <c r="Q1056">
        <v>3</v>
      </c>
      <c r="R1056" t="str" cm="1">
        <f t="array" ref="R1056">_xlfn.IFS(Q1056=1,"Low",Q1056=2,"Medium",Q1056=3,"High",Q1056=4,"Very High")</f>
        <v>High</v>
      </c>
      <c r="S1056">
        <v>3</v>
      </c>
      <c r="T1056" t="str" cm="1">
        <f t="array" ref="T1056">_xlfn.IFS(S1056=1,"Entry Level",S1056=2,"Junior",S1056=3,"Mid-Level",S1056=4,"Senior",S1056=5,"Executive")</f>
        <v>Mid-Level</v>
      </c>
      <c r="U1056" t="s">
        <v>50</v>
      </c>
      <c r="V1056">
        <v>2</v>
      </c>
      <c r="W1056" t="str" cm="1">
        <f t="array" ref="W1056">_xlfn.IFS(V1056=1,"Low",V1056=2,"Medium",V1056=3,"High",V1056=4,"Very High")</f>
        <v>Medium</v>
      </c>
      <c r="X1056" t="s">
        <v>48</v>
      </c>
      <c r="Y1056" s="2">
        <v>10466</v>
      </c>
      <c r="Z1056" s="2">
        <v>20948</v>
      </c>
      <c r="AA1056">
        <v>3</v>
      </c>
      <c r="AB1056" t="s">
        <v>39</v>
      </c>
      <c r="AC1056">
        <v>14</v>
      </c>
      <c r="AD1056">
        <v>3</v>
      </c>
      <c r="AE1056" t="str" cm="1">
        <f t="array" ref="AE1056">_xlfn.IFS(AD1056=1,"Low",AD1056=2,"Good",AD1056=3,"Excellent",AD1056=4,"Outstanding")</f>
        <v>Excellent</v>
      </c>
      <c r="AF1056">
        <v>2</v>
      </c>
      <c r="AG1056" t="str" cm="1">
        <f t="array" ref="AG1056">_xlfn.IFS(AF1056=1,"Low",AF1056=2,"Medium",AF1056=3,"High",AF1056=4,"Very High")</f>
        <v>Medium</v>
      </c>
      <c r="AH1056">
        <v>2</v>
      </c>
      <c r="AI1056">
        <v>29</v>
      </c>
      <c r="AJ1056">
        <v>3</v>
      </c>
      <c r="AK1056">
        <v>3</v>
      </c>
      <c r="AL1056" t="str" cm="1">
        <f t="array" ref="AL1056">_xlfn.IFS(AK1056=1,"Low",AK1056=2,"Medium",AK1056=3,"High",AK1056=4,"Very High")</f>
        <v>High</v>
      </c>
      <c r="AM1056">
        <v>8</v>
      </c>
      <c r="AN1056">
        <v>7</v>
      </c>
      <c r="AO1056">
        <v>0</v>
      </c>
      <c r="AP1056">
        <v>7</v>
      </c>
    </row>
    <row r="1057" spans="1:42">
      <c r="A1057">
        <v>34</v>
      </c>
      <c r="B1057" t="str" cm="1">
        <f t="array" ref="B1057">_xlfn.IFS(A1057&lt;=25,"18-25",A1057&lt;=35,"26-35",A1057&lt;=45,"36-45",A1057&lt;=55,"46-55",A1057&gt;55,"56+")</f>
        <v>26-35</v>
      </c>
      <c r="C1057" t="s">
        <v>39</v>
      </c>
      <c r="D1057" t="s">
        <v>40</v>
      </c>
      <c r="E1057" s="2">
        <v>829</v>
      </c>
      <c r="F1057" t="s">
        <v>41</v>
      </c>
      <c r="G1057">
        <v>15</v>
      </c>
      <c r="H1057" t="str">
        <f t="shared" si="16"/>
        <v>11-20 km</v>
      </c>
      <c r="I1057">
        <v>3</v>
      </c>
      <c r="J1057" t="str" cm="1">
        <f t="array" ref="J1057">_xlfn.IFS(I1057=1,"Below College",I1057=2,"College",I1057=3,"Bachelor",I1057=4,"Master",I1057=5,"Doctor")</f>
        <v>Bachelor</v>
      </c>
      <c r="K1057" t="s">
        <v>47</v>
      </c>
      <c r="L1057">
        <v>1485</v>
      </c>
      <c r="M1057">
        <v>2</v>
      </c>
      <c r="N1057" t="str" cm="1">
        <f t="array" ref="N1057">_xlfn.IFS(M1057=1,"Low",M1057=2,"Medium",M1057=3,"High",M1057=4,"Very High")</f>
        <v>Medium</v>
      </c>
      <c r="O1057" t="s">
        <v>42</v>
      </c>
      <c r="P1057" s="2">
        <v>71</v>
      </c>
      <c r="Q1057">
        <v>3</v>
      </c>
      <c r="R1057" t="str" cm="1">
        <f t="array" ref="R1057">_xlfn.IFS(Q1057=1,"Low",Q1057=2,"Medium",Q1057=3,"High",Q1057=4,"Very High")</f>
        <v>High</v>
      </c>
      <c r="S1057">
        <v>4</v>
      </c>
      <c r="T1057" t="str" cm="1">
        <f t="array" ref="T1057">_xlfn.IFS(S1057=1,"Entry Level",S1057=2,"Junior",S1057=3,"Mid-Level",S1057=4,"Senior",S1057=5,"Executive")</f>
        <v>Senior</v>
      </c>
      <c r="U1057" t="s">
        <v>54</v>
      </c>
      <c r="V1057">
        <v>1</v>
      </c>
      <c r="W1057" t="str" cm="1">
        <f t="array" ref="W1057">_xlfn.IFS(V1057=1,"Low",V1057=2,"Medium",V1057=3,"High",V1057=4,"Very High")</f>
        <v>Low</v>
      </c>
      <c r="X1057" t="s">
        <v>48</v>
      </c>
      <c r="Y1057" s="2">
        <v>17007</v>
      </c>
      <c r="Z1057" s="2">
        <v>11929</v>
      </c>
      <c r="AA1057">
        <v>7</v>
      </c>
      <c r="AB1057" t="s">
        <v>39</v>
      </c>
      <c r="AC1057">
        <v>14</v>
      </c>
      <c r="AD1057">
        <v>3</v>
      </c>
      <c r="AE1057" t="str" cm="1">
        <f t="array" ref="AE1057">_xlfn.IFS(AD1057=1,"Low",AD1057=2,"Good",AD1057=3,"Excellent",AD1057=4,"Outstanding")</f>
        <v>Excellent</v>
      </c>
      <c r="AF1057">
        <v>4</v>
      </c>
      <c r="AG1057" t="str" cm="1">
        <f t="array" ref="AG1057">_xlfn.IFS(AF1057=1,"Low",AF1057=2,"Medium",AF1057=3,"High",AF1057=4,"Very High")</f>
        <v>Very High</v>
      </c>
      <c r="AH1057">
        <v>2</v>
      </c>
      <c r="AI1057">
        <v>16</v>
      </c>
      <c r="AJ1057">
        <v>3</v>
      </c>
      <c r="AK1057">
        <v>2</v>
      </c>
      <c r="AL1057" t="str" cm="1">
        <f t="array" ref="AL1057">_xlfn.IFS(AK1057=1,"Low",AK1057=2,"Medium",AK1057=3,"High",AK1057=4,"Very High")</f>
        <v>Medium</v>
      </c>
      <c r="AM1057">
        <v>14</v>
      </c>
      <c r="AN1057">
        <v>8</v>
      </c>
      <c r="AO1057">
        <v>6</v>
      </c>
      <c r="AP1057">
        <v>9</v>
      </c>
    </row>
    <row r="1058" spans="1:42">
      <c r="A1058">
        <v>28</v>
      </c>
      <c r="B1058" t="str" cm="1">
        <f t="array" ref="B1058">_xlfn.IFS(A1058&lt;=25,"18-25",A1058&lt;=35,"26-35",A1058&lt;=45,"36-45",A1058&lt;=55,"46-55",A1058&gt;55,"56+")</f>
        <v>26-35</v>
      </c>
      <c r="C1058" t="s">
        <v>32</v>
      </c>
      <c r="D1058" t="s">
        <v>40</v>
      </c>
      <c r="E1058" s="2">
        <v>1496</v>
      </c>
      <c r="F1058" t="s">
        <v>34</v>
      </c>
      <c r="G1058">
        <v>1</v>
      </c>
      <c r="H1058" t="str">
        <f t="shared" si="16"/>
        <v>1-10 km</v>
      </c>
      <c r="I1058">
        <v>3</v>
      </c>
      <c r="J1058" t="str" cm="1">
        <f t="array" ref="J1058">_xlfn.IFS(I1058=1,"Below College",I1058=2,"College",I1058=3,"Bachelor",I1058=4,"Master",I1058=5,"Doctor")</f>
        <v>Bachelor</v>
      </c>
      <c r="K1058" t="s">
        <v>56</v>
      </c>
      <c r="L1058">
        <v>1486</v>
      </c>
      <c r="M1058">
        <v>1</v>
      </c>
      <c r="N1058" t="str" cm="1">
        <f t="array" ref="N1058">_xlfn.IFS(M1058=1,"Low",M1058=2,"Medium",M1058=3,"High",M1058=4,"Very High")</f>
        <v>Low</v>
      </c>
      <c r="O1058" t="s">
        <v>42</v>
      </c>
      <c r="P1058" s="2">
        <v>92</v>
      </c>
      <c r="Q1058">
        <v>3</v>
      </c>
      <c r="R1058" t="str" cm="1">
        <f t="array" ref="R1058">_xlfn.IFS(Q1058=1,"Low",Q1058=2,"Medium",Q1058=3,"High",Q1058=4,"Very High")</f>
        <v>High</v>
      </c>
      <c r="S1058">
        <v>1</v>
      </c>
      <c r="T1058" t="str" cm="1">
        <f t="array" ref="T1058">_xlfn.IFS(S1058=1,"Entry Level",S1058=2,"Junior",S1058=3,"Mid-Level",S1058=4,"Senior",S1058=5,"Executive")</f>
        <v>Entry Level</v>
      </c>
      <c r="U1058" t="s">
        <v>53</v>
      </c>
      <c r="V1058">
        <v>3</v>
      </c>
      <c r="W1058" t="str" cm="1">
        <f t="array" ref="W1058">_xlfn.IFS(V1058=1,"Low",V1058=2,"Medium",V1058=3,"High",V1058=4,"Very High")</f>
        <v>High</v>
      </c>
      <c r="X1058" t="s">
        <v>44</v>
      </c>
      <c r="Y1058" s="2">
        <v>2909</v>
      </c>
      <c r="Z1058" s="2">
        <v>15747</v>
      </c>
      <c r="AA1058">
        <v>3</v>
      </c>
      <c r="AB1058" t="s">
        <v>39</v>
      </c>
      <c r="AC1058">
        <v>15</v>
      </c>
      <c r="AD1058">
        <v>3</v>
      </c>
      <c r="AE1058" t="str" cm="1">
        <f t="array" ref="AE1058">_xlfn.IFS(AD1058=1,"Low",AD1058=2,"Good",AD1058=3,"Excellent",AD1058=4,"Outstanding")</f>
        <v>Excellent</v>
      </c>
      <c r="AF1058">
        <v>4</v>
      </c>
      <c r="AG1058" t="str" cm="1">
        <f t="array" ref="AG1058">_xlfn.IFS(AF1058=1,"Low",AF1058=2,"Medium",AF1058=3,"High",AF1058=4,"Very High")</f>
        <v>Very High</v>
      </c>
      <c r="AH1058">
        <v>1</v>
      </c>
      <c r="AI1058">
        <v>5</v>
      </c>
      <c r="AJ1058">
        <v>3</v>
      </c>
      <c r="AK1058">
        <v>4</v>
      </c>
      <c r="AL1058" t="str" cm="1">
        <f t="array" ref="AL1058">_xlfn.IFS(AK1058=1,"Low",AK1058=2,"Medium",AK1058=3,"High",AK1058=4,"Very High")</f>
        <v>Very High</v>
      </c>
      <c r="AM1058">
        <v>3</v>
      </c>
      <c r="AN1058">
        <v>2</v>
      </c>
      <c r="AO1058">
        <v>1</v>
      </c>
      <c r="AP1058">
        <v>2</v>
      </c>
    </row>
    <row r="1059" spans="1:42">
      <c r="A1059">
        <v>29</v>
      </c>
      <c r="B1059" t="str" cm="1">
        <f t="array" ref="B1059">_xlfn.IFS(A1059&lt;=25,"18-25",A1059&lt;=35,"26-35",A1059&lt;=45,"36-45",A1059&lt;=55,"46-55",A1059&gt;55,"56+")</f>
        <v>26-35</v>
      </c>
      <c r="C1059" t="s">
        <v>32</v>
      </c>
      <c r="D1059" t="s">
        <v>40</v>
      </c>
      <c r="E1059" s="2">
        <v>115</v>
      </c>
      <c r="F1059" t="s">
        <v>34</v>
      </c>
      <c r="G1059">
        <v>13</v>
      </c>
      <c r="H1059" t="str">
        <f t="shared" si="16"/>
        <v>11-20 km</v>
      </c>
      <c r="I1059">
        <v>3</v>
      </c>
      <c r="J1059" t="str" cm="1">
        <f t="array" ref="J1059">_xlfn.IFS(I1059=1,"Below College",I1059=2,"College",I1059=3,"Bachelor",I1059=4,"Master",I1059=5,"Doctor")</f>
        <v>Bachelor</v>
      </c>
      <c r="K1059" t="s">
        <v>56</v>
      </c>
      <c r="L1059">
        <v>1487</v>
      </c>
      <c r="M1059">
        <v>1</v>
      </c>
      <c r="N1059" t="str" cm="1">
        <f t="array" ref="N1059">_xlfn.IFS(M1059=1,"Low",M1059=2,"Medium",M1059=3,"High",M1059=4,"Very High")</f>
        <v>Low</v>
      </c>
      <c r="O1059" t="s">
        <v>36</v>
      </c>
      <c r="P1059" s="2">
        <v>51</v>
      </c>
      <c r="Q1059">
        <v>3</v>
      </c>
      <c r="R1059" t="str" cm="1">
        <f t="array" ref="R1059">_xlfn.IFS(Q1059=1,"Low",Q1059=2,"Medium",Q1059=3,"High",Q1059=4,"Very High")</f>
        <v>High</v>
      </c>
      <c r="S1059">
        <v>2</v>
      </c>
      <c r="T1059" t="str" cm="1">
        <f t="array" ref="T1059">_xlfn.IFS(S1059=1,"Entry Level",S1059=2,"Junior",S1059=3,"Mid-Level",S1059=4,"Senior",S1059=5,"Executive")</f>
        <v>Junior</v>
      </c>
      <c r="U1059" t="s">
        <v>37</v>
      </c>
      <c r="V1059">
        <v>2</v>
      </c>
      <c r="W1059" t="str" cm="1">
        <f t="array" ref="W1059">_xlfn.IFS(V1059=1,"Low",V1059=2,"Medium",V1059=3,"High",V1059=4,"Very High")</f>
        <v>Medium</v>
      </c>
      <c r="X1059" t="s">
        <v>38</v>
      </c>
      <c r="Y1059" s="2">
        <v>5765</v>
      </c>
      <c r="Z1059" s="2">
        <v>17485</v>
      </c>
      <c r="AA1059">
        <v>5</v>
      </c>
      <c r="AB1059" t="s">
        <v>39</v>
      </c>
      <c r="AC1059">
        <v>11</v>
      </c>
      <c r="AD1059">
        <v>3</v>
      </c>
      <c r="AE1059" t="str" cm="1">
        <f t="array" ref="AE1059">_xlfn.IFS(AD1059=1,"Low",AD1059=2,"Good",AD1059=3,"Excellent",AD1059=4,"Outstanding")</f>
        <v>Excellent</v>
      </c>
      <c r="AF1059">
        <v>1</v>
      </c>
      <c r="AG1059" t="str" cm="1">
        <f t="array" ref="AG1059">_xlfn.IFS(AF1059=1,"Low",AF1059=2,"Medium",AF1059=3,"High",AF1059=4,"Very High")</f>
        <v>Low</v>
      </c>
      <c r="AH1059">
        <v>0</v>
      </c>
      <c r="AI1059">
        <v>7</v>
      </c>
      <c r="AJ1059">
        <v>4</v>
      </c>
      <c r="AK1059">
        <v>1</v>
      </c>
      <c r="AL1059" t="str" cm="1">
        <f t="array" ref="AL1059">_xlfn.IFS(AK1059=1,"Low",AK1059=2,"Medium",AK1059=3,"High",AK1059=4,"Very High")</f>
        <v>Low</v>
      </c>
      <c r="AM1059">
        <v>5</v>
      </c>
      <c r="AN1059">
        <v>3</v>
      </c>
      <c r="AO1059">
        <v>0</v>
      </c>
      <c r="AP1059">
        <v>0</v>
      </c>
    </row>
    <row r="1060" spans="1:42">
      <c r="A1060">
        <v>34</v>
      </c>
      <c r="B1060" t="str" cm="1">
        <f t="array" ref="B1060">_xlfn.IFS(A1060&lt;=25,"18-25",A1060&lt;=35,"26-35",A1060&lt;=45,"36-45",A1060&lt;=55,"46-55",A1060&gt;55,"56+")</f>
        <v>26-35</v>
      </c>
      <c r="C1060" t="s">
        <v>32</v>
      </c>
      <c r="D1060" t="s">
        <v>33</v>
      </c>
      <c r="E1060" s="2">
        <v>790</v>
      </c>
      <c r="F1060" t="s">
        <v>34</v>
      </c>
      <c r="G1060">
        <v>24</v>
      </c>
      <c r="H1060" t="str">
        <f t="shared" si="16"/>
        <v>21-30 km</v>
      </c>
      <c r="I1060">
        <v>4</v>
      </c>
      <c r="J1060" t="str" cm="1">
        <f t="array" ref="J1060">_xlfn.IFS(I1060=1,"Below College",I1060=2,"College",I1060=3,"Bachelor",I1060=4,"Master",I1060=5,"Doctor")</f>
        <v>Master</v>
      </c>
      <c r="K1060" t="s">
        <v>47</v>
      </c>
      <c r="L1060">
        <v>1489</v>
      </c>
      <c r="M1060">
        <v>1</v>
      </c>
      <c r="N1060" t="str" cm="1">
        <f t="array" ref="N1060">_xlfn.IFS(M1060=1,"Low",M1060=2,"Medium",M1060=3,"High",M1060=4,"Very High")</f>
        <v>Low</v>
      </c>
      <c r="O1060" t="s">
        <v>36</v>
      </c>
      <c r="P1060" s="2">
        <v>40</v>
      </c>
      <c r="Q1060">
        <v>2</v>
      </c>
      <c r="R1060" t="str" cm="1">
        <f t="array" ref="R1060">_xlfn.IFS(Q1060=1,"Low",Q1060=2,"Medium",Q1060=3,"High",Q1060=4,"Very High")</f>
        <v>Medium</v>
      </c>
      <c r="S1060">
        <v>2</v>
      </c>
      <c r="T1060" t="str" cm="1">
        <f t="array" ref="T1060">_xlfn.IFS(S1060=1,"Entry Level",S1060=2,"Junior",S1060=3,"Mid-Level",S1060=4,"Senior",S1060=5,"Executive")</f>
        <v>Junior</v>
      </c>
      <c r="U1060" t="s">
        <v>37</v>
      </c>
      <c r="V1060">
        <v>2</v>
      </c>
      <c r="W1060" t="str" cm="1">
        <f t="array" ref="W1060">_xlfn.IFS(V1060=1,"Low",V1060=2,"Medium",V1060=3,"High",V1060=4,"Very High")</f>
        <v>Medium</v>
      </c>
      <c r="X1060" t="s">
        <v>38</v>
      </c>
      <c r="Y1060" s="2">
        <v>4599</v>
      </c>
      <c r="Z1060" s="2">
        <v>7815</v>
      </c>
      <c r="AA1060">
        <v>0</v>
      </c>
      <c r="AB1060" t="s">
        <v>32</v>
      </c>
      <c r="AC1060">
        <v>23</v>
      </c>
      <c r="AD1060">
        <v>4</v>
      </c>
      <c r="AE1060" t="str" cm="1">
        <f t="array" ref="AE1060">_xlfn.IFS(AD1060=1,"Low",AD1060=2,"Good",AD1060=3,"Excellent",AD1060=4,"Outstanding")</f>
        <v>Outstanding</v>
      </c>
      <c r="AF1060">
        <v>3</v>
      </c>
      <c r="AG1060" t="str" cm="1">
        <f t="array" ref="AG1060">_xlfn.IFS(AF1060=1,"Low",AF1060=2,"Medium",AF1060=3,"High",AF1060=4,"Very High")</f>
        <v>High</v>
      </c>
      <c r="AH1060">
        <v>0</v>
      </c>
      <c r="AI1060">
        <v>16</v>
      </c>
      <c r="AJ1060">
        <v>2</v>
      </c>
      <c r="AK1060">
        <v>4</v>
      </c>
      <c r="AL1060" t="str" cm="1">
        <f t="array" ref="AL1060">_xlfn.IFS(AK1060=1,"Low",AK1060=2,"Medium",AK1060=3,"High",AK1060=4,"Very High")</f>
        <v>Very High</v>
      </c>
      <c r="AM1060">
        <v>15</v>
      </c>
      <c r="AN1060">
        <v>9</v>
      </c>
      <c r="AO1060">
        <v>10</v>
      </c>
      <c r="AP1060">
        <v>10</v>
      </c>
    </row>
    <row r="1061" spans="1:42">
      <c r="A1061">
        <v>35</v>
      </c>
      <c r="B1061" t="str" cm="1">
        <f t="array" ref="B1061">_xlfn.IFS(A1061&lt;=25,"18-25",A1061&lt;=35,"26-35",A1061&lt;=45,"36-45",A1061&lt;=55,"46-55",A1061&gt;55,"56+")</f>
        <v>26-35</v>
      </c>
      <c r="C1061" t="s">
        <v>39</v>
      </c>
      <c r="D1061" t="s">
        <v>33</v>
      </c>
      <c r="E1061" s="2">
        <v>660</v>
      </c>
      <c r="F1061" t="s">
        <v>34</v>
      </c>
      <c r="G1061">
        <v>7</v>
      </c>
      <c r="H1061" t="str">
        <f t="shared" si="16"/>
        <v>1-10 km</v>
      </c>
      <c r="I1061">
        <v>1</v>
      </c>
      <c r="J1061" t="str" cm="1">
        <f t="array" ref="J1061">_xlfn.IFS(I1061=1,"Below College",I1061=2,"College",I1061=3,"Bachelor",I1061=4,"Master",I1061=5,"Doctor")</f>
        <v>Below College</v>
      </c>
      <c r="K1061" t="s">
        <v>35</v>
      </c>
      <c r="L1061">
        <v>1492</v>
      </c>
      <c r="M1061">
        <v>4</v>
      </c>
      <c r="N1061" t="str" cm="1">
        <f t="array" ref="N1061">_xlfn.IFS(M1061=1,"Low",M1061=2,"Medium",M1061=3,"High",M1061=4,"Very High")</f>
        <v>Very High</v>
      </c>
      <c r="O1061" t="s">
        <v>42</v>
      </c>
      <c r="P1061" s="2">
        <v>76</v>
      </c>
      <c r="Q1061">
        <v>3</v>
      </c>
      <c r="R1061" t="str" cm="1">
        <f t="array" ref="R1061">_xlfn.IFS(Q1061=1,"Low",Q1061=2,"Medium",Q1061=3,"High",Q1061=4,"Very High")</f>
        <v>High</v>
      </c>
      <c r="S1061">
        <v>1</v>
      </c>
      <c r="T1061" t="str" cm="1">
        <f t="array" ref="T1061">_xlfn.IFS(S1061=1,"Entry Level",S1061=2,"Junior",S1061=3,"Mid-Level",S1061=4,"Senior",S1061=5,"Executive")</f>
        <v>Entry Level</v>
      </c>
      <c r="U1061" t="s">
        <v>53</v>
      </c>
      <c r="V1061">
        <v>3</v>
      </c>
      <c r="W1061" t="str" cm="1">
        <f t="array" ref="W1061">_xlfn.IFS(V1061=1,"Low",V1061=2,"Medium",V1061=3,"High",V1061=4,"Very High")</f>
        <v>High</v>
      </c>
      <c r="X1061" t="s">
        <v>44</v>
      </c>
      <c r="Y1061" s="2">
        <v>2404</v>
      </c>
      <c r="Z1061" s="2">
        <v>16192</v>
      </c>
      <c r="AA1061">
        <v>1</v>
      </c>
      <c r="AB1061" t="s">
        <v>39</v>
      </c>
      <c r="AC1061">
        <v>13</v>
      </c>
      <c r="AD1061">
        <v>3</v>
      </c>
      <c r="AE1061" t="str" cm="1">
        <f t="array" ref="AE1061">_xlfn.IFS(AD1061=1,"Low",AD1061=2,"Good",AD1061=3,"Excellent",AD1061=4,"Outstanding")</f>
        <v>Excellent</v>
      </c>
      <c r="AF1061">
        <v>1</v>
      </c>
      <c r="AG1061" t="str" cm="1">
        <f t="array" ref="AG1061">_xlfn.IFS(AF1061=1,"Low",AF1061=2,"Medium",AF1061=3,"High",AF1061=4,"Very High")</f>
        <v>Low</v>
      </c>
      <c r="AH1061">
        <v>1</v>
      </c>
      <c r="AI1061">
        <v>1</v>
      </c>
      <c r="AJ1061">
        <v>3</v>
      </c>
      <c r="AK1061">
        <v>3</v>
      </c>
      <c r="AL1061" t="str" cm="1">
        <f t="array" ref="AL1061">_xlfn.IFS(AK1061=1,"Low",AK1061=2,"Medium",AK1061=3,"High",AK1061=4,"Very High")</f>
        <v>High</v>
      </c>
      <c r="AM1061">
        <v>1</v>
      </c>
      <c r="AN1061">
        <v>0</v>
      </c>
      <c r="AO1061">
        <v>0</v>
      </c>
      <c r="AP1061">
        <v>0</v>
      </c>
    </row>
    <row r="1062" spans="1:42">
      <c r="A1062">
        <v>24</v>
      </c>
      <c r="B1062" t="str" cm="1">
        <f t="array" ref="B1062">_xlfn.IFS(A1062&lt;=25,"18-25",A1062&lt;=35,"26-35",A1062&lt;=45,"36-45",A1062&lt;=55,"46-55",A1062&gt;55,"56+")</f>
        <v>18-25</v>
      </c>
      <c r="C1062" t="s">
        <v>32</v>
      </c>
      <c r="D1062" t="s">
        <v>40</v>
      </c>
      <c r="E1062" s="2">
        <v>381</v>
      </c>
      <c r="F1062" t="s">
        <v>41</v>
      </c>
      <c r="G1062">
        <v>9</v>
      </c>
      <c r="H1062" t="str">
        <f t="shared" si="16"/>
        <v>1-10 km</v>
      </c>
      <c r="I1062">
        <v>3</v>
      </c>
      <c r="J1062" t="str" cm="1">
        <f t="array" ref="J1062">_xlfn.IFS(I1062=1,"Below College",I1062=2,"College",I1062=3,"Bachelor",I1062=4,"Master",I1062=5,"Doctor")</f>
        <v>Bachelor</v>
      </c>
      <c r="K1062" t="s">
        <v>47</v>
      </c>
      <c r="L1062">
        <v>1494</v>
      </c>
      <c r="M1062">
        <v>2</v>
      </c>
      <c r="N1062" t="str" cm="1">
        <f t="array" ref="N1062">_xlfn.IFS(M1062=1,"Low",M1062=2,"Medium",M1062=3,"High",M1062=4,"Very High")</f>
        <v>Medium</v>
      </c>
      <c r="O1062" t="s">
        <v>42</v>
      </c>
      <c r="P1062" s="2">
        <v>89</v>
      </c>
      <c r="Q1062">
        <v>3</v>
      </c>
      <c r="R1062" t="str" cm="1">
        <f t="array" ref="R1062">_xlfn.IFS(Q1062=1,"Low",Q1062=2,"Medium",Q1062=3,"High",Q1062=4,"Very High")</f>
        <v>High</v>
      </c>
      <c r="S1062">
        <v>1</v>
      </c>
      <c r="T1062" t="str" cm="1">
        <f t="array" ref="T1062">_xlfn.IFS(S1062=1,"Entry Level",S1062=2,"Junior",S1062=3,"Mid-Level",S1062=4,"Senior",S1062=5,"Executive")</f>
        <v>Entry Level</v>
      </c>
      <c r="U1062" t="s">
        <v>46</v>
      </c>
      <c r="V1062">
        <v>1</v>
      </c>
      <c r="W1062" t="str" cm="1">
        <f t="array" ref="W1062">_xlfn.IFS(V1062=1,"Low",V1062=2,"Medium",V1062=3,"High",V1062=4,"Very High")</f>
        <v>Low</v>
      </c>
      <c r="X1062" t="s">
        <v>38</v>
      </c>
      <c r="Y1062" s="2">
        <v>3172</v>
      </c>
      <c r="Z1062" s="2">
        <v>16998</v>
      </c>
      <c r="AA1062">
        <v>2</v>
      </c>
      <c r="AB1062" t="s">
        <v>32</v>
      </c>
      <c r="AC1062">
        <v>11</v>
      </c>
      <c r="AD1062">
        <v>3</v>
      </c>
      <c r="AE1062" t="str" cm="1">
        <f t="array" ref="AE1062">_xlfn.IFS(AD1062=1,"Low",AD1062=2,"Good",AD1062=3,"Excellent",AD1062=4,"Outstanding")</f>
        <v>Excellent</v>
      </c>
      <c r="AF1062">
        <v>3</v>
      </c>
      <c r="AG1062" t="str" cm="1">
        <f t="array" ref="AG1062">_xlfn.IFS(AF1062=1,"Low",AF1062=2,"Medium",AF1062=3,"High",AF1062=4,"Very High")</f>
        <v>High</v>
      </c>
      <c r="AH1062">
        <v>0</v>
      </c>
      <c r="AI1062">
        <v>4</v>
      </c>
      <c r="AJ1062">
        <v>2</v>
      </c>
      <c r="AK1062">
        <v>2</v>
      </c>
      <c r="AL1062" t="str" cm="1">
        <f t="array" ref="AL1062">_xlfn.IFS(AK1062=1,"Low",AK1062=2,"Medium",AK1062=3,"High",AK1062=4,"Very High")</f>
        <v>Medium</v>
      </c>
      <c r="AM1062">
        <v>0</v>
      </c>
      <c r="AN1062">
        <v>0</v>
      </c>
      <c r="AO1062">
        <v>0</v>
      </c>
      <c r="AP1062">
        <v>0</v>
      </c>
    </row>
    <row r="1063" spans="1:42">
      <c r="A1063">
        <v>24</v>
      </c>
      <c r="B1063" t="str" cm="1">
        <f t="array" ref="B1063">_xlfn.IFS(A1063&lt;=25,"18-25",A1063&lt;=35,"26-35",A1063&lt;=45,"36-45",A1063&lt;=55,"46-55",A1063&gt;55,"56+")</f>
        <v>18-25</v>
      </c>
      <c r="C1063" t="s">
        <v>39</v>
      </c>
      <c r="D1063" t="s">
        <v>51</v>
      </c>
      <c r="E1063" s="2">
        <v>830</v>
      </c>
      <c r="F1063" t="s">
        <v>34</v>
      </c>
      <c r="G1063">
        <v>13</v>
      </c>
      <c r="H1063" t="str">
        <f t="shared" si="16"/>
        <v>11-20 km</v>
      </c>
      <c r="I1063">
        <v>2</v>
      </c>
      <c r="J1063" t="str" cm="1">
        <f t="array" ref="J1063">_xlfn.IFS(I1063=1,"Below College",I1063=2,"College",I1063=3,"Bachelor",I1063=4,"Master",I1063=5,"Doctor")</f>
        <v>College</v>
      </c>
      <c r="K1063" t="s">
        <v>35</v>
      </c>
      <c r="L1063">
        <v>1495</v>
      </c>
      <c r="M1063">
        <v>4</v>
      </c>
      <c r="N1063" t="str" cm="1">
        <f t="array" ref="N1063">_xlfn.IFS(M1063=1,"Low",M1063=2,"Medium",M1063=3,"High",M1063=4,"Very High")</f>
        <v>Very High</v>
      </c>
      <c r="O1063" t="s">
        <v>36</v>
      </c>
      <c r="P1063" s="2">
        <v>78</v>
      </c>
      <c r="Q1063">
        <v>3</v>
      </c>
      <c r="R1063" t="str" cm="1">
        <f t="array" ref="R1063">_xlfn.IFS(Q1063=1,"Low",Q1063=2,"Medium",Q1063=3,"High",Q1063=4,"Very High")</f>
        <v>High</v>
      </c>
      <c r="S1063">
        <v>1</v>
      </c>
      <c r="T1063" t="str" cm="1">
        <f t="array" ref="T1063">_xlfn.IFS(S1063=1,"Entry Level",S1063=2,"Junior",S1063=3,"Mid-Level",S1063=4,"Senior",S1063=5,"Executive")</f>
        <v>Entry Level</v>
      </c>
      <c r="U1063" t="s">
        <v>53</v>
      </c>
      <c r="V1063">
        <v>2</v>
      </c>
      <c r="W1063" t="str" cm="1">
        <f t="array" ref="W1063">_xlfn.IFS(V1063=1,"Low",V1063=2,"Medium",V1063=3,"High",V1063=4,"Very High")</f>
        <v>Medium</v>
      </c>
      <c r="X1063" t="s">
        <v>44</v>
      </c>
      <c r="Y1063" s="2">
        <v>2033</v>
      </c>
      <c r="Z1063" s="2">
        <v>7103</v>
      </c>
      <c r="AA1063">
        <v>1</v>
      </c>
      <c r="AB1063" t="s">
        <v>39</v>
      </c>
      <c r="AC1063">
        <v>13</v>
      </c>
      <c r="AD1063">
        <v>3</v>
      </c>
      <c r="AE1063" t="str" cm="1">
        <f t="array" ref="AE1063">_xlfn.IFS(AD1063=1,"Low",AD1063=2,"Good",AD1063=3,"Excellent",AD1063=4,"Outstanding")</f>
        <v>Excellent</v>
      </c>
      <c r="AF1063">
        <v>3</v>
      </c>
      <c r="AG1063" t="str" cm="1">
        <f t="array" ref="AG1063">_xlfn.IFS(AF1063=1,"Low",AF1063=2,"Medium",AF1063=3,"High",AF1063=4,"Very High")</f>
        <v>High</v>
      </c>
      <c r="AH1063">
        <v>1</v>
      </c>
      <c r="AI1063">
        <v>1</v>
      </c>
      <c r="AJ1063">
        <v>2</v>
      </c>
      <c r="AK1063">
        <v>3</v>
      </c>
      <c r="AL1063" t="str" cm="1">
        <f t="array" ref="AL1063">_xlfn.IFS(AK1063=1,"Low",AK1063=2,"Medium",AK1063=3,"High",AK1063=4,"Very High")</f>
        <v>High</v>
      </c>
      <c r="AM1063">
        <v>1</v>
      </c>
      <c r="AN1063">
        <v>0</v>
      </c>
      <c r="AO1063">
        <v>0</v>
      </c>
      <c r="AP1063">
        <v>0</v>
      </c>
    </row>
    <row r="1064" spans="1:42">
      <c r="A1064">
        <v>44</v>
      </c>
      <c r="B1064" t="str" cm="1">
        <f t="array" ref="B1064">_xlfn.IFS(A1064&lt;=25,"18-25",A1064&lt;=35,"26-35",A1064&lt;=45,"36-45",A1064&lt;=55,"46-55",A1064&gt;55,"56+")</f>
        <v>36-45</v>
      </c>
      <c r="C1064" t="s">
        <v>39</v>
      </c>
      <c r="D1064" t="s">
        <v>40</v>
      </c>
      <c r="E1064" s="2">
        <v>1193</v>
      </c>
      <c r="F1064" t="s">
        <v>41</v>
      </c>
      <c r="G1064">
        <v>2</v>
      </c>
      <c r="H1064" t="str">
        <f t="shared" si="16"/>
        <v>1-10 km</v>
      </c>
      <c r="I1064">
        <v>1</v>
      </c>
      <c r="J1064" t="str" cm="1">
        <f t="array" ref="J1064">_xlfn.IFS(I1064=1,"Below College",I1064=2,"College",I1064=3,"Bachelor",I1064=4,"Master",I1064=5,"Doctor")</f>
        <v>Below College</v>
      </c>
      <c r="K1064" t="s">
        <v>47</v>
      </c>
      <c r="L1064">
        <v>1496</v>
      </c>
      <c r="M1064">
        <v>2</v>
      </c>
      <c r="N1064" t="str" cm="1">
        <f t="array" ref="N1064">_xlfn.IFS(M1064=1,"Low",M1064=2,"Medium",M1064=3,"High",M1064=4,"Very High")</f>
        <v>Medium</v>
      </c>
      <c r="O1064" t="s">
        <v>42</v>
      </c>
      <c r="P1064" s="2">
        <v>86</v>
      </c>
      <c r="Q1064">
        <v>3</v>
      </c>
      <c r="R1064" t="str" cm="1">
        <f t="array" ref="R1064">_xlfn.IFS(Q1064=1,"Low",Q1064=2,"Medium",Q1064=3,"High",Q1064=4,"Very High")</f>
        <v>High</v>
      </c>
      <c r="S1064">
        <v>3</v>
      </c>
      <c r="T1064" t="str" cm="1">
        <f t="array" ref="T1064">_xlfn.IFS(S1064=1,"Entry Level",S1064=2,"Junior",S1064=3,"Mid-Level",S1064=4,"Senior",S1064=5,"Executive")</f>
        <v>Mid-Level</v>
      </c>
      <c r="U1064" t="s">
        <v>49</v>
      </c>
      <c r="V1064">
        <v>3</v>
      </c>
      <c r="W1064" t="str" cm="1">
        <f t="array" ref="W1064">_xlfn.IFS(V1064=1,"Low",V1064=2,"Medium",V1064=3,"High",V1064=4,"Very High")</f>
        <v>High</v>
      </c>
      <c r="X1064" t="s">
        <v>38</v>
      </c>
      <c r="Y1064" s="2">
        <v>10209</v>
      </c>
      <c r="Z1064" s="2">
        <v>19719</v>
      </c>
      <c r="AA1064">
        <v>5</v>
      </c>
      <c r="AB1064" t="s">
        <v>32</v>
      </c>
      <c r="AC1064">
        <v>18</v>
      </c>
      <c r="AD1064">
        <v>3</v>
      </c>
      <c r="AE1064" t="str" cm="1">
        <f t="array" ref="AE1064">_xlfn.IFS(AD1064=1,"Low",AD1064=2,"Good",AD1064=3,"Excellent",AD1064=4,"Outstanding")</f>
        <v>Excellent</v>
      </c>
      <c r="AF1064">
        <v>2</v>
      </c>
      <c r="AG1064" t="str" cm="1">
        <f t="array" ref="AG1064">_xlfn.IFS(AF1064=1,"Low",AF1064=2,"Medium",AF1064=3,"High",AF1064=4,"Very High")</f>
        <v>Medium</v>
      </c>
      <c r="AH1064">
        <v>0</v>
      </c>
      <c r="AI1064">
        <v>16</v>
      </c>
      <c r="AJ1064">
        <v>2</v>
      </c>
      <c r="AK1064">
        <v>2</v>
      </c>
      <c r="AL1064" t="str" cm="1">
        <f t="array" ref="AL1064">_xlfn.IFS(AK1064=1,"Low",AK1064=2,"Medium",AK1064=3,"High",AK1064=4,"Very High")</f>
        <v>Medium</v>
      </c>
      <c r="AM1064">
        <v>2</v>
      </c>
      <c r="AN1064">
        <v>2</v>
      </c>
      <c r="AO1064">
        <v>2</v>
      </c>
      <c r="AP1064">
        <v>2</v>
      </c>
    </row>
    <row r="1065" spans="1:42">
      <c r="A1065">
        <v>29</v>
      </c>
      <c r="B1065" t="str" cm="1">
        <f t="array" ref="B1065">_xlfn.IFS(A1065&lt;=25,"18-25",A1065&lt;=35,"26-35",A1065&lt;=45,"36-45",A1065&lt;=55,"46-55",A1065&gt;55,"56+")</f>
        <v>26-35</v>
      </c>
      <c r="C1065" t="s">
        <v>39</v>
      </c>
      <c r="D1065" t="s">
        <v>33</v>
      </c>
      <c r="E1065" s="2">
        <v>1246</v>
      </c>
      <c r="F1065" t="s">
        <v>34</v>
      </c>
      <c r="G1065">
        <v>19</v>
      </c>
      <c r="H1065" t="str">
        <f t="shared" si="16"/>
        <v>11-20 km</v>
      </c>
      <c r="I1065">
        <v>3</v>
      </c>
      <c r="J1065" t="str" cm="1">
        <f t="array" ref="J1065">_xlfn.IFS(I1065=1,"Below College",I1065=2,"College",I1065=3,"Bachelor",I1065=4,"Master",I1065=5,"Doctor")</f>
        <v>Bachelor</v>
      </c>
      <c r="K1065" t="s">
        <v>35</v>
      </c>
      <c r="L1065">
        <v>1497</v>
      </c>
      <c r="M1065">
        <v>3</v>
      </c>
      <c r="N1065" t="str" cm="1">
        <f t="array" ref="N1065">_xlfn.IFS(M1065=1,"Low",M1065=2,"Medium",M1065=3,"High",M1065=4,"Very High")</f>
        <v>High</v>
      </c>
      <c r="O1065" t="s">
        <v>42</v>
      </c>
      <c r="P1065" s="2">
        <v>77</v>
      </c>
      <c r="Q1065">
        <v>2</v>
      </c>
      <c r="R1065" t="str" cm="1">
        <f t="array" ref="R1065">_xlfn.IFS(Q1065=1,"Low",Q1065=2,"Medium",Q1065=3,"High",Q1065=4,"Very High")</f>
        <v>Medium</v>
      </c>
      <c r="S1065">
        <v>2</v>
      </c>
      <c r="T1065" t="str" cm="1">
        <f t="array" ref="T1065">_xlfn.IFS(S1065=1,"Entry Level",S1065=2,"Junior",S1065=3,"Mid-Level",S1065=4,"Senior",S1065=5,"Executive")</f>
        <v>Junior</v>
      </c>
      <c r="U1065" t="s">
        <v>37</v>
      </c>
      <c r="V1065">
        <v>3</v>
      </c>
      <c r="W1065" t="str" cm="1">
        <f t="array" ref="W1065">_xlfn.IFS(V1065=1,"Low",V1065=2,"Medium",V1065=3,"High",V1065=4,"Very High")</f>
        <v>High</v>
      </c>
      <c r="X1065" t="s">
        <v>48</v>
      </c>
      <c r="Y1065" s="2">
        <v>8620</v>
      </c>
      <c r="Z1065" s="2">
        <v>23757</v>
      </c>
      <c r="AA1065">
        <v>1</v>
      </c>
      <c r="AB1065" t="s">
        <v>39</v>
      </c>
      <c r="AC1065">
        <v>14</v>
      </c>
      <c r="AD1065">
        <v>3</v>
      </c>
      <c r="AE1065" t="str" cm="1">
        <f t="array" ref="AE1065">_xlfn.IFS(AD1065=1,"Low",AD1065=2,"Good",AD1065=3,"Excellent",AD1065=4,"Outstanding")</f>
        <v>Excellent</v>
      </c>
      <c r="AF1065">
        <v>3</v>
      </c>
      <c r="AG1065" t="str" cm="1">
        <f t="array" ref="AG1065">_xlfn.IFS(AF1065=1,"Low",AF1065=2,"Medium",AF1065=3,"High",AF1065=4,"Very High")</f>
        <v>High</v>
      </c>
      <c r="AH1065">
        <v>2</v>
      </c>
      <c r="AI1065">
        <v>10</v>
      </c>
      <c r="AJ1065">
        <v>3</v>
      </c>
      <c r="AK1065">
        <v>3</v>
      </c>
      <c r="AL1065" t="str" cm="1">
        <f t="array" ref="AL1065">_xlfn.IFS(AK1065=1,"Low",AK1065=2,"Medium",AK1065=3,"High",AK1065=4,"Very High")</f>
        <v>High</v>
      </c>
      <c r="AM1065">
        <v>10</v>
      </c>
      <c r="AN1065">
        <v>7</v>
      </c>
      <c r="AO1065">
        <v>0</v>
      </c>
      <c r="AP1065">
        <v>4</v>
      </c>
    </row>
    <row r="1066" spans="1:42">
      <c r="A1066">
        <v>30</v>
      </c>
      <c r="B1066" t="str" cm="1">
        <f t="array" ref="B1066">_xlfn.IFS(A1066&lt;=25,"18-25",A1066&lt;=35,"26-35",A1066&lt;=45,"36-45",A1066&lt;=55,"46-55",A1066&gt;55,"56+")</f>
        <v>26-35</v>
      </c>
      <c r="C1066" t="s">
        <v>39</v>
      </c>
      <c r="D1066" t="s">
        <v>33</v>
      </c>
      <c r="E1066" s="2">
        <v>330</v>
      </c>
      <c r="F1066" t="s">
        <v>57</v>
      </c>
      <c r="G1066">
        <v>1</v>
      </c>
      <c r="H1066" t="str">
        <f t="shared" si="16"/>
        <v>1-10 km</v>
      </c>
      <c r="I1066">
        <v>3</v>
      </c>
      <c r="J1066" t="str" cm="1">
        <f t="array" ref="J1066">_xlfn.IFS(I1066=1,"Below College",I1066=2,"College",I1066=3,"Bachelor",I1066=4,"Master",I1066=5,"Doctor")</f>
        <v>Bachelor</v>
      </c>
      <c r="K1066" t="s">
        <v>35</v>
      </c>
      <c r="L1066">
        <v>1499</v>
      </c>
      <c r="M1066">
        <v>3</v>
      </c>
      <c r="N1066" t="str" cm="1">
        <f t="array" ref="N1066">_xlfn.IFS(M1066=1,"Low",M1066=2,"Medium",M1066=3,"High",M1066=4,"Very High")</f>
        <v>High</v>
      </c>
      <c r="O1066" t="s">
        <v>42</v>
      </c>
      <c r="P1066" s="2">
        <v>46</v>
      </c>
      <c r="Q1066">
        <v>3</v>
      </c>
      <c r="R1066" t="str" cm="1">
        <f t="array" ref="R1066">_xlfn.IFS(Q1066=1,"Low",Q1066=2,"Medium",Q1066=3,"High",Q1066=4,"Very High")</f>
        <v>High</v>
      </c>
      <c r="S1066">
        <v>1</v>
      </c>
      <c r="T1066" t="str" cm="1">
        <f t="array" ref="T1066">_xlfn.IFS(S1066=1,"Entry Level",S1066=2,"Junior",S1066=3,"Mid-Level",S1066=4,"Senior",S1066=5,"Executive")</f>
        <v>Entry Level</v>
      </c>
      <c r="U1066" t="s">
        <v>57</v>
      </c>
      <c r="V1066">
        <v>3</v>
      </c>
      <c r="W1066" t="str" cm="1">
        <f t="array" ref="W1066">_xlfn.IFS(V1066=1,"Low",V1066=2,"Medium",V1066=3,"High",V1066=4,"Very High")</f>
        <v>High</v>
      </c>
      <c r="X1066" t="s">
        <v>48</v>
      </c>
      <c r="Y1066" s="2">
        <v>2064</v>
      </c>
      <c r="Z1066" s="2">
        <v>15428</v>
      </c>
      <c r="AA1066">
        <v>0</v>
      </c>
      <c r="AB1066" t="s">
        <v>39</v>
      </c>
      <c r="AC1066">
        <v>21</v>
      </c>
      <c r="AD1066">
        <v>4</v>
      </c>
      <c r="AE1066" t="str" cm="1">
        <f t="array" ref="AE1066">_xlfn.IFS(AD1066=1,"Low",AD1066=2,"Good",AD1066=3,"Excellent",AD1066=4,"Outstanding")</f>
        <v>Outstanding</v>
      </c>
      <c r="AF1066">
        <v>1</v>
      </c>
      <c r="AG1066" t="str" cm="1">
        <f t="array" ref="AG1066">_xlfn.IFS(AF1066=1,"Low",AF1066=2,"Medium",AF1066=3,"High",AF1066=4,"Very High")</f>
        <v>Low</v>
      </c>
      <c r="AH1066">
        <v>1</v>
      </c>
      <c r="AI1066">
        <v>6</v>
      </c>
      <c r="AJ1066">
        <v>3</v>
      </c>
      <c r="AK1066">
        <v>4</v>
      </c>
      <c r="AL1066" t="str" cm="1">
        <f t="array" ref="AL1066">_xlfn.IFS(AK1066=1,"Low",AK1066=2,"Medium",AK1066=3,"High",AK1066=4,"Very High")</f>
        <v>Very High</v>
      </c>
      <c r="AM1066">
        <v>5</v>
      </c>
      <c r="AN1066">
        <v>3</v>
      </c>
      <c r="AO1066">
        <v>1</v>
      </c>
      <c r="AP1066">
        <v>3</v>
      </c>
    </row>
    <row r="1067" spans="1:42">
      <c r="A1067">
        <v>55</v>
      </c>
      <c r="B1067" t="str" cm="1">
        <f t="array" ref="B1067">_xlfn.IFS(A1067&lt;=25,"18-25",A1067&lt;=35,"26-35",A1067&lt;=45,"36-45",A1067&lt;=55,"46-55",A1067&gt;55,"56+")</f>
        <v>46-55</v>
      </c>
      <c r="C1067" t="s">
        <v>39</v>
      </c>
      <c r="D1067" t="s">
        <v>33</v>
      </c>
      <c r="E1067" s="2">
        <v>1229</v>
      </c>
      <c r="F1067" t="s">
        <v>41</v>
      </c>
      <c r="G1067">
        <v>4</v>
      </c>
      <c r="H1067" t="str">
        <f t="shared" si="16"/>
        <v>1-10 km</v>
      </c>
      <c r="I1067">
        <v>4</v>
      </c>
      <c r="J1067" t="str" cm="1">
        <f t="array" ref="J1067">_xlfn.IFS(I1067=1,"Below College",I1067=2,"College",I1067=3,"Bachelor",I1067=4,"Master",I1067=5,"Doctor")</f>
        <v>Master</v>
      </c>
      <c r="K1067" t="s">
        <v>35</v>
      </c>
      <c r="L1067">
        <v>1501</v>
      </c>
      <c r="M1067">
        <v>4</v>
      </c>
      <c r="N1067" t="str" cm="1">
        <f t="array" ref="N1067">_xlfn.IFS(M1067=1,"Low",M1067=2,"Medium",M1067=3,"High",M1067=4,"Very High")</f>
        <v>Very High</v>
      </c>
      <c r="O1067" t="s">
        <v>42</v>
      </c>
      <c r="P1067" s="2">
        <v>30</v>
      </c>
      <c r="Q1067">
        <v>3</v>
      </c>
      <c r="R1067" t="str" cm="1">
        <f t="array" ref="R1067">_xlfn.IFS(Q1067=1,"Low",Q1067=2,"Medium",Q1067=3,"High",Q1067=4,"Very High")</f>
        <v>High</v>
      </c>
      <c r="S1067">
        <v>2</v>
      </c>
      <c r="T1067" t="str" cm="1">
        <f t="array" ref="T1067">_xlfn.IFS(S1067=1,"Entry Level",S1067=2,"Junior",S1067=3,"Mid-Level",S1067=4,"Senior",S1067=5,"Executive")</f>
        <v>Junior</v>
      </c>
      <c r="U1067" t="s">
        <v>50</v>
      </c>
      <c r="V1067">
        <v>3</v>
      </c>
      <c r="W1067" t="str" cm="1">
        <f t="array" ref="W1067">_xlfn.IFS(V1067=1,"Low",V1067=2,"Medium",V1067=3,"High",V1067=4,"Very High")</f>
        <v>High</v>
      </c>
      <c r="X1067" t="s">
        <v>44</v>
      </c>
      <c r="Y1067" s="2">
        <v>4035</v>
      </c>
      <c r="Z1067" s="2">
        <v>16143</v>
      </c>
      <c r="AA1067">
        <v>0</v>
      </c>
      <c r="AB1067" t="s">
        <v>32</v>
      </c>
      <c r="AC1067">
        <v>16</v>
      </c>
      <c r="AD1067">
        <v>3</v>
      </c>
      <c r="AE1067" t="str" cm="1">
        <f t="array" ref="AE1067">_xlfn.IFS(AD1067=1,"Low",AD1067=2,"Good",AD1067=3,"Excellent",AD1067=4,"Outstanding")</f>
        <v>Excellent</v>
      </c>
      <c r="AF1067">
        <v>2</v>
      </c>
      <c r="AG1067" t="str" cm="1">
        <f t="array" ref="AG1067">_xlfn.IFS(AF1067=1,"Low",AF1067=2,"Medium",AF1067=3,"High",AF1067=4,"Very High")</f>
        <v>Medium</v>
      </c>
      <c r="AH1067">
        <v>0</v>
      </c>
      <c r="AI1067">
        <v>4</v>
      </c>
      <c r="AJ1067">
        <v>2</v>
      </c>
      <c r="AK1067">
        <v>3</v>
      </c>
      <c r="AL1067" t="str" cm="1">
        <f t="array" ref="AL1067">_xlfn.IFS(AK1067=1,"Low",AK1067=2,"Medium",AK1067=3,"High",AK1067=4,"Very High")</f>
        <v>High</v>
      </c>
      <c r="AM1067">
        <v>3</v>
      </c>
      <c r="AN1067">
        <v>2</v>
      </c>
      <c r="AO1067">
        <v>1</v>
      </c>
      <c r="AP1067">
        <v>2</v>
      </c>
    </row>
    <row r="1068" spans="1:42">
      <c r="A1068">
        <v>33</v>
      </c>
      <c r="B1068" t="str" cm="1">
        <f t="array" ref="B1068">_xlfn.IFS(A1068&lt;=25,"18-25",A1068&lt;=35,"26-35",A1068&lt;=45,"36-45",A1068&lt;=55,"46-55",A1068&gt;55,"56+")</f>
        <v>26-35</v>
      </c>
      <c r="C1068" t="s">
        <v>39</v>
      </c>
      <c r="D1068" t="s">
        <v>33</v>
      </c>
      <c r="E1068" s="2">
        <v>1099</v>
      </c>
      <c r="F1068" t="s">
        <v>41</v>
      </c>
      <c r="G1068">
        <v>4</v>
      </c>
      <c r="H1068" t="str">
        <f t="shared" si="16"/>
        <v>1-10 km</v>
      </c>
      <c r="I1068">
        <v>4</v>
      </c>
      <c r="J1068" t="str" cm="1">
        <f t="array" ref="J1068">_xlfn.IFS(I1068=1,"Below College",I1068=2,"College",I1068=3,"Bachelor",I1068=4,"Master",I1068=5,"Doctor")</f>
        <v>Master</v>
      </c>
      <c r="K1068" t="s">
        <v>47</v>
      </c>
      <c r="L1068">
        <v>1502</v>
      </c>
      <c r="M1068">
        <v>1</v>
      </c>
      <c r="N1068" t="str" cm="1">
        <f t="array" ref="N1068">_xlfn.IFS(M1068=1,"Low",M1068=2,"Medium",M1068=3,"High",M1068=4,"Very High")</f>
        <v>Low</v>
      </c>
      <c r="O1068" t="s">
        <v>36</v>
      </c>
      <c r="P1068" s="2">
        <v>82</v>
      </c>
      <c r="Q1068">
        <v>2</v>
      </c>
      <c r="R1068" t="str" cm="1">
        <f t="array" ref="R1068">_xlfn.IFS(Q1068=1,"Low",Q1068=2,"Medium",Q1068=3,"High",Q1068=4,"Very High")</f>
        <v>Medium</v>
      </c>
      <c r="S1068">
        <v>1</v>
      </c>
      <c r="T1068" t="str" cm="1">
        <f t="array" ref="T1068">_xlfn.IFS(S1068=1,"Entry Level",S1068=2,"Junior",S1068=3,"Mid-Level",S1068=4,"Senior",S1068=5,"Executive")</f>
        <v>Entry Level</v>
      </c>
      <c r="U1068" t="s">
        <v>46</v>
      </c>
      <c r="V1068">
        <v>2</v>
      </c>
      <c r="W1068" t="str" cm="1">
        <f t="array" ref="W1068">_xlfn.IFS(V1068=1,"Low",V1068=2,"Medium",V1068=3,"High",V1068=4,"Very High")</f>
        <v>Medium</v>
      </c>
      <c r="X1068" t="s">
        <v>44</v>
      </c>
      <c r="Y1068" s="2">
        <v>3838</v>
      </c>
      <c r="Z1068" s="2">
        <v>8192</v>
      </c>
      <c r="AA1068">
        <v>8</v>
      </c>
      <c r="AB1068" t="s">
        <v>39</v>
      </c>
      <c r="AC1068">
        <v>11</v>
      </c>
      <c r="AD1068">
        <v>3</v>
      </c>
      <c r="AE1068" t="str" cm="1">
        <f t="array" ref="AE1068">_xlfn.IFS(AD1068=1,"Low",AD1068=2,"Good",AD1068=3,"Excellent",AD1068=4,"Outstanding")</f>
        <v>Excellent</v>
      </c>
      <c r="AF1068">
        <v>4</v>
      </c>
      <c r="AG1068" t="str" cm="1">
        <f t="array" ref="AG1068">_xlfn.IFS(AF1068=1,"Low",AF1068=2,"Medium",AF1068=3,"High",AF1068=4,"Very High")</f>
        <v>Very High</v>
      </c>
      <c r="AH1068">
        <v>0</v>
      </c>
      <c r="AI1068">
        <v>8</v>
      </c>
      <c r="AJ1068">
        <v>5</v>
      </c>
      <c r="AK1068">
        <v>3</v>
      </c>
      <c r="AL1068" t="str" cm="1">
        <f t="array" ref="AL1068">_xlfn.IFS(AK1068=1,"Low",AK1068=2,"Medium",AK1068=3,"High",AK1068=4,"Very High")</f>
        <v>High</v>
      </c>
      <c r="AM1068">
        <v>5</v>
      </c>
      <c r="AN1068">
        <v>4</v>
      </c>
      <c r="AO1068">
        <v>0</v>
      </c>
      <c r="AP1068">
        <v>2</v>
      </c>
    </row>
    <row r="1069" spans="1:42">
      <c r="A1069">
        <v>47</v>
      </c>
      <c r="B1069" t="str" cm="1">
        <f t="array" ref="B1069">_xlfn.IFS(A1069&lt;=25,"18-25",A1069&lt;=35,"26-35",A1069&lt;=45,"36-45",A1069&lt;=55,"46-55",A1069&gt;55,"56+")</f>
        <v>46-55</v>
      </c>
      <c r="C1069" t="s">
        <v>39</v>
      </c>
      <c r="D1069" t="s">
        <v>33</v>
      </c>
      <c r="E1069" s="2">
        <v>571</v>
      </c>
      <c r="F1069" t="s">
        <v>34</v>
      </c>
      <c r="G1069">
        <v>14</v>
      </c>
      <c r="H1069" t="str">
        <f t="shared" si="16"/>
        <v>11-20 km</v>
      </c>
      <c r="I1069">
        <v>3</v>
      </c>
      <c r="J1069" t="str" cm="1">
        <f t="array" ref="J1069">_xlfn.IFS(I1069=1,"Below College",I1069=2,"College",I1069=3,"Bachelor",I1069=4,"Master",I1069=5,"Doctor")</f>
        <v>Bachelor</v>
      </c>
      <c r="K1069" t="s">
        <v>47</v>
      </c>
      <c r="L1069">
        <v>1503</v>
      </c>
      <c r="M1069">
        <v>3</v>
      </c>
      <c r="N1069" t="str" cm="1">
        <f t="array" ref="N1069">_xlfn.IFS(M1069=1,"Low",M1069=2,"Medium",M1069=3,"High",M1069=4,"Very High")</f>
        <v>High</v>
      </c>
      <c r="O1069" t="s">
        <v>36</v>
      </c>
      <c r="P1069" s="2">
        <v>78</v>
      </c>
      <c r="Q1069">
        <v>3</v>
      </c>
      <c r="R1069" t="str" cm="1">
        <f t="array" ref="R1069">_xlfn.IFS(Q1069=1,"Low",Q1069=2,"Medium",Q1069=3,"High",Q1069=4,"Very High")</f>
        <v>High</v>
      </c>
      <c r="S1069">
        <v>2</v>
      </c>
      <c r="T1069" t="str" cm="1">
        <f t="array" ref="T1069">_xlfn.IFS(S1069=1,"Entry Level",S1069=2,"Junior",S1069=3,"Mid-Level",S1069=4,"Senior",S1069=5,"Executive")</f>
        <v>Junior</v>
      </c>
      <c r="U1069" t="s">
        <v>37</v>
      </c>
      <c r="V1069">
        <v>3</v>
      </c>
      <c r="W1069" t="str" cm="1">
        <f t="array" ref="W1069">_xlfn.IFS(V1069=1,"Low",V1069=2,"Medium",V1069=3,"High",V1069=4,"Very High")</f>
        <v>High</v>
      </c>
      <c r="X1069" t="s">
        <v>44</v>
      </c>
      <c r="Y1069" s="2">
        <v>4591</v>
      </c>
      <c r="Z1069" s="2">
        <v>24200</v>
      </c>
      <c r="AA1069">
        <v>3</v>
      </c>
      <c r="AB1069" t="s">
        <v>32</v>
      </c>
      <c r="AC1069">
        <v>17</v>
      </c>
      <c r="AD1069">
        <v>3</v>
      </c>
      <c r="AE1069" t="str" cm="1">
        <f t="array" ref="AE1069">_xlfn.IFS(AD1069=1,"Low",AD1069=2,"Good",AD1069=3,"Excellent",AD1069=4,"Outstanding")</f>
        <v>Excellent</v>
      </c>
      <c r="AF1069">
        <v>3</v>
      </c>
      <c r="AG1069" t="str" cm="1">
        <f t="array" ref="AG1069">_xlfn.IFS(AF1069=1,"Low",AF1069=2,"Medium",AF1069=3,"High",AF1069=4,"Very High")</f>
        <v>High</v>
      </c>
      <c r="AH1069">
        <v>1</v>
      </c>
      <c r="AI1069">
        <v>11</v>
      </c>
      <c r="AJ1069">
        <v>4</v>
      </c>
      <c r="AK1069">
        <v>2</v>
      </c>
      <c r="AL1069" t="str" cm="1">
        <f t="array" ref="AL1069">_xlfn.IFS(AK1069=1,"Low",AK1069=2,"Medium",AK1069=3,"High",AK1069=4,"Very High")</f>
        <v>Medium</v>
      </c>
      <c r="AM1069">
        <v>5</v>
      </c>
      <c r="AN1069">
        <v>4</v>
      </c>
      <c r="AO1069">
        <v>1</v>
      </c>
      <c r="AP1069">
        <v>2</v>
      </c>
    </row>
    <row r="1070" spans="1:42">
      <c r="A1070">
        <v>28</v>
      </c>
      <c r="B1070" t="str" cm="1">
        <f t="array" ref="B1070">_xlfn.IFS(A1070&lt;=25,"18-25",A1070&lt;=35,"26-35",A1070&lt;=45,"36-45",A1070&lt;=55,"46-55",A1070&gt;55,"56+")</f>
        <v>26-35</v>
      </c>
      <c r="C1070" t="s">
        <v>32</v>
      </c>
      <c r="D1070" t="s">
        <v>40</v>
      </c>
      <c r="E1070" s="2">
        <v>289</v>
      </c>
      <c r="F1070" t="s">
        <v>41</v>
      </c>
      <c r="G1070">
        <v>2</v>
      </c>
      <c r="H1070" t="str">
        <f t="shared" si="16"/>
        <v>1-10 km</v>
      </c>
      <c r="I1070">
        <v>2</v>
      </c>
      <c r="J1070" t="str" cm="1">
        <f t="array" ref="J1070">_xlfn.IFS(I1070=1,"Below College",I1070=2,"College",I1070=3,"Bachelor",I1070=4,"Master",I1070=5,"Doctor")</f>
        <v>College</v>
      </c>
      <c r="K1070" t="s">
        <v>47</v>
      </c>
      <c r="L1070">
        <v>1504</v>
      </c>
      <c r="M1070">
        <v>3</v>
      </c>
      <c r="N1070" t="str" cm="1">
        <f t="array" ref="N1070">_xlfn.IFS(M1070=1,"Low",M1070=2,"Medium",M1070=3,"High",M1070=4,"Very High")</f>
        <v>High</v>
      </c>
      <c r="O1070" t="s">
        <v>42</v>
      </c>
      <c r="P1070" s="2">
        <v>38</v>
      </c>
      <c r="Q1070">
        <v>2</v>
      </c>
      <c r="R1070" t="str" cm="1">
        <f t="array" ref="R1070">_xlfn.IFS(Q1070=1,"Low",Q1070=2,"Medium",Q1070=3,"High",Q1070=4,"Very High")</f>
        <v>Medium</v>
      </c>
      <c r="S1070">
        <v>1</v>
      </c>
      <c r="T1070" t="str" cm="1">
        <f t="array" ref="T1070">_xlfn.IFS(S1070=1,"Entry Level",S1070=2,"Junior",S1070=3,"Mid-Level",S1070=4,"Senior",S1070=5,"Executive")</f>
        <v>Entry Level</v>
      </c>
      <c r="U1070" t="s">
        <v>46</v>
      </c>
      <c r="V1070">
        <v>1</v>
      </c>
      <c r="W1070" t="str" cm="1">
        <f t="array" ref="W1070">_xlfn.IFS(V1070=1,"Low",V1070=2,"Medium",V1070=3,"High",V1070=4,"Very High")</f>
        <v>Low</v>
      </c>
      <c r="X1070" t="s">
        <v>38</v>
      </c>
      <c r="Y1070" s="2">
        <v>2561</v>
      </c>
      <c r="Z1070" s="2">
        <v>5355</v>
      </c>
      <c r="AA1070">
        <v>7</v>
      </c>
      <c r="AB1070" t="s">
        <v>39</v>
      </c>
      <c r="AC1070">
        <v>11</v>
      </c>
      <c r="AD1070">
        <v>3</v>
      </c>
      <c r="AE1070" t="str" cm="1">
        <f t="array" ref="AE1070">_xlfn.IFS(AD1070=1,"Low",AD1070=2,"Good",AD1070=3,"Excellent",AD1070=4,"Outstanding")</f>
        <v>Excellent</v>
      </c>
      <c r="AF1070">
        <v>3</v>
      </c>
      <c r="AG1070" t="str" cm="1">
        <f t="array" ref="AG1070">_xlfn.IFS(AF1070=1,"Low",AF1070=2,"Medium",AF1070=3,"High",AF1070=4,"Very High")</f>
        <v>High</v>
      </c>
      <c r="AH1070">
        <v>0</v>
      </c>
      <c r="AI1070">
        <v>8</v>
      </c>
      <c r="AJ1070">
        <v>2</v>
      </c>
      <c r="AK1070">
        <v>2</v>
      </c>
      <c r="AL1070" t="str" cm="1">
        <f t="array" ref="AL1070">_xlfn.IFS(AK1070=1,"Low",AK1070=2,"Medium",AK1070=3,"High",AK1070=4,"Very High")</f>
        <v>Medium</v>
      </c>
      <c r="AM1070">
        <v>0</v>
      </c>
      <c r="AN1070">
        <v>0</v>
      </c>
      <c r="AO1070">
        <v>0</v>
      </c>
      <c r="AP1070">
        <v>0</v>
      </c>
    </row>
    <row r="1071" spans="1:42">
      <c r="A1071">
        <v>28</v>
      </c>
      <c r="B1071" t="str" cm="1">
        <f t="array" ref="B1071">_xlfn.IFS(A1071&lt;=25,"18-25",A1071&lt;=35,"26-35",A1071&lt;=45,"36-45",A1071&lt;=55,"46-55",A1071&gt;55,"56+")</f>
        <v>26-35</v>
      </c>
      <c r="C1071" t="s">
        <v>39</v>
      </c>
      <c r="D1071" t="s">
        <v>33</v>
      </c>
      <c r="E1071" s="2">
        <v>1423</v>
      </c>
      <c r="F1071" t="s">
        <v>41</v>
      </c>
      <c r="G1071">
        <v>1</v>
      </c>
      <c r="H1071" t="str">
        <f t="shared" si="16"/>
        <v>1-10 km</v>
      </c>
      <c r="I1071">
        <v>3</v>
      </c>
      <c r="J1071" t="str" cm="1">
        <f t="array" ref="J1071">_xlfn.IFS(I1071=1,"Below College",I1071=2,"College",I1071=3,"Bachelor",I1071=4,"Master",I1071=5,"Doctor")</f>
        <v>Bachelor</v>
      </c>
      <c r="K1071" t="s">
        <v>35</v>
      </c>
      <c r="L1071">
        <v>1506</v>
      </c>
      <c r="M1071">
        <v>1</v>
      </c>
      <c r="N1071" t="str" cm="1">
        <f t="array" ref="N1071">_xlfn.IFS(M1071=1,"Low",M1071=2,"Medium",M1071=3,"High",M1071=4,"Very High")</f>
        <v>Low</v>
      </c>
      <c r="O1071" t="s">
        <v>42</v>
      </c>
      <c r="P1071" s="2">
        <v>72</v>
      </c>
      <c r="Q1071">
        <v>2</v>
      </c>
      <c r="R1071" t="str" cm="1">
        <f t="array" ref="R1071">_xlfn.IFS(Q1071=1,"Low",Q1071=2,"Medium",Q1071=3,"High",Q1071=4,"Very High")</f>
        <v>Medium</v>
      </c>
      <c r="S1071">
        <v>1</v>
      </c>
      <c r="T1071" t="str" cm="1">
        <f t="array" ref="T1071">_xlfn.IFS(S1071=1,"Entry Level",S1071=2,"Junior",S1071=3,"Mid-Level",S1071=4,"Senior",S1071=5,"Executive")</f>
        <v>Entry Level</v>
      </c>
      <c r="U1071" t="s">
        <v>43</v>
      </c>
      <c r="V1071">
        <v>3</v>
      </c>
      <c r="W1071" t="str" cm="1">
        <f t="array" ref="W1071">_xlfn.IFS(V1071=1,"Low",V1071=2,"Medium",V1071=3,"High",V1071=4,"Very High")</f>
        <v>High</v>
      </c>
      <c r="X1071" t="s">
        <v>48</v>
      </c>
      <c r="Y1071" s="2">
        <v>1563</v>
      </c>
      <c r="Z1071" s="2">
        <v>12530</v>
      </c>
      <c r="AA1071">
        <v>1</v>
      </c>
      <c r="AB1071" t="s">
        <v>39</v>
      </c>
      <c r="AC1071">
        <v>14</v>
      </c>
      <c r="AD1071">
        <v>3</v>
      </c>
      <c r="AE1071" t="str" cm="1">
        <f t="array" ref="AE1071">_xlfn.IFS(AD1071=1,"Low",AD1071=2,"Good",AD1071=3,"Excellent",AD1071=4,"Outstanding")</f>
        <v>Excellent</v>
      </c>
      <c r="AF1071">
        <v>4</v>
      </c>
      <c r="AG1071" t="str" cm="1">
        <f t="array" ref="AG1071">_xlfn.IFS(AF1071=1,"Low",AF1071=2,"Medium",AF1071=3,"High",AF1071=4,"Very High")</f>
        <v>Very High</v>
      </c>
      <c r="AH1071">
        <v>1</v>
      </c>
      <c r="AI1071">
        <v>1</v>
      </c>
      <c r="AJ1071">
        <v>2</v>
      </c>
      <c r="AK1071">
        <v>1</v>
      </c>
      <c r="AL1071" t="str" cm="1">
        <f t="array" ref="AL1071">_xlfn.IFS(AK1071=1,"Low",AK1071=2,"Medium",AK1071=3,"High",AK1071=4,"Very High")</f>
        <v>Low</v>
      </c>
      <c r="AM1071">
        <v>1</v>
      </c>
      <c r="AN1071">
        <v>0</v>
      </c>
      <c r="AO1071">
        <v>0</v>
      </c>
      <c r="AP1071">
        <v>0</v>
      </c>
    </row>
    <row r="1072" spans="1:42">
      <c r="A1072">
        <v>28</v>
      </c>
      <c r="B1072" t="str" cm="1">
        <f t="array" ref="B1072">_xlfn.IFS(A1072&lt;=25,"18-25",A1072&lt;=35,"26-35",A1072&lt;=45,"36-45",A1072&lt;=55,"46-55",A1072&gt;55,"56+")</f>
        <v>26-35</v>
      </c>
      <c r="C1072" t="s">
        <v>39</v>
      </c>
      <c r="D1072" t="s">
        <v>40</v>
      </c>
      <c r="E1072" s="2">
        <v>467</v>
      </c>
      <c r="F1072" t="s">
        <v>34</v>
      </c>
      <c r="G1072">
        <v>7</v>
      </c>
      <c r="H1072" t="str">
        <f t="shared" si="16"/>
        <v>1-10 km</v>
      </c>
      <c r="I1072">
        <v>3</v>
      </c>
      <c r="J1072" t="str" cm="1">
        <f t="array" ref="J1072">_xlfn.IFS(I1072=1,"Below College",I1072=2,"College",I1072=3,"Bachelor",I1072=4,"Master",I1072=5,"Doctor")</f>
        <v>Bachelor</v>
      </c>
      <c r="K1072" t="s">
        <v>35</v>
      </c>
      <c r="L1072">
        <v>1507</v>
      </c>
      <c r="M1072">
        <v>3</v>
      </c>
      <c r="N1072" t="str" cm="1">
        <f t="array" ref="N1072">_xlfn.IFS(M1072=1,"Low",M1072=2,"Medium",M1072=3,"High",M1072=4,"Very High")</f>
        <v>High</v>
      </c>
      <c r="O1072" t="s">
        <v>42</v>
      </c>
      <c r="P1072" s="2">
        <v>55</v>
      </c>
      <c r="Q1072">
        <v>3</v>
      </c>
      <c r="R1072" t="str" cm="1">
        <f t="array" ref="R1072">_xlfn.IFS(Q1072=1,"Low",Q1072=2,"Medium",Q1072=3,"High",Q1072=4,"Very High")</f>
        <v>High</v>
      </c>
      <c r="S1072">
        <v>2</v>
      </c>
      <c r="T1072" t="str" cm="1">
        <f t="array" ref="T1072">_xlfn.IFS(S1072=1,"Entry Level",S1072=2,"Junior",S1072=3,"Mid-Level",S1072=4,"Senior",S1072=5,"Executive")</f>
        <v>Junior</v>
      </c>
      <c r="U1072" t="s">
        <v>37</v>
      </c>
      <c r="V1072">
        <v>1</v>
      </c>
      <c r="W1072" t="str" cm="1">
        <f t="array" ref="W1072">_xlfn.IFS(V1072=1,"Low",V1072=2,"Medium",V1072=3,"High",V1072=4,"Very High")</f>
        <v>Low</v>
      </c>
      <c r="X1072" t="s">
        <v>38</v>
      </c>
      <c r="Y1072" s="2">
        <v>4898</v>
      </c>
      <c r="Z1072" s="2">
        <v>11827</v>
      </c>
      <c r="AA1072">
        <v>0</v>
      </c>
      <c r="AB1072" t="s">
        <v>39</v>
      </c>
      <c r="AC1072">
        <v>14</v>
      </c>
      <c r="AD1072">
        <v>3</v>
      </c>
      <c r="AE1072" t="str" cm="1">
        <f t="array" ref="AE1072">_xlfn.IFS(AD1072=1,"Low",AD1072=2,"Good",AD1072=3,"Excellent",AD1072=4,"Outstanding")</f>
        <v>Excellent</v>
      </c>
      <c r="AF1072">
        <v>4</v>
      </c>
      <c r="AG1072" t="str" cm="1">
        <f t="array" ref="AG1072">_xlfn.IFS(AF1072=1,"Low",AF1072=2,"Medium",AF1072=3,"High",AF1072=4,"Very High")</f>
        <v>Very High</v>
      </c>
      <c r="AH1072">
        <v>0</v>
      </c>
      <c r="AI1072">
        <v>5</v>
      </c>
      <c r="AJ1072">
        <v>5</v>
      </c>
      <c r="AK1072">
        <v>3</v>
      </c>
      <c r="AL1072" t="str" cm="1">
        <f t="array" ref="AL1072">_xlfn.IFS(AK1072=1,"Low",AK1072=2,"Medium",AK1072=3,"High",AK1072=4,"Very High")</f>
        <v>High</v>
      </c>
      <c r="AM1072">
        <v>4</v>
      </c>
      <c r="AN1072">
        <v>2</v>
      </c>
      <c r="AO1072">
        <v>1</v>
      </c>
      <c r="AP1072">
        <v>3</v>
      </c>
    </row>
    <row r="1073" spans="1:42">
      <c r="A1073">
        <v>49</v>
      </c>
      <c r="B1073" t="str" cm="1">
        <f t="array" ref="B1073">_xlfn.IFS(A1073&lt;=25,"18-25",A1073&lt;=35,"26-35",A1073&lt;=45,"36-45",A1073&lt;=55,"46-55",A1073&gt;55,"56+")</f>
        <v>46-55</v>
      </c>
      <c r="C1073" t="s">
        <v>39</v>
      </c>
      <c r="D1073" t="s">
        <v>33</v>
      </c>
      <c r="E1073" s="2">
        <v>271</v>
      </c>
      <c r="F1073" t="s">
        <v>41</v>
      </c>
      <c r="G1073">
        <v>3</v>
      </c>
      <c r="H1073" t="str">
        <f t="shared" si="16"/>
        <v>1-10 km</v>
      </c>
      <c r="I1073">
        <v>2</v>
      </c>
      <c r="J1073" t="str" cm="1">
        <f t="array" ref="J1073">_xlfn.IFS(I1073=1,"Below College",I1073=2,"College",I1073=3,"Bachelor",I1073=4,"Master",I1073=5,"Doctor")</f>
        <v>College</v>
      </c>
      <c r="K1073" t="s">
        <v>47</v>
      </c>
      <c r="L1073">
        <v>1509</v>
      </c>
      <c r="M1073">
        <v>3</v>
      </c>
      <c r="N1073" t="str" cm="1">
        <f t="array" ref="N1073">_xlfn.IFS(M1073=1,"Low",M1073=2,"Medium",M1073=3,"High",M1073=4,"Very High")</f>
        <v>High</v>
      </c>
      <c r="O1073" t="s">
        <v>36</v>
      </c>
      <c r="P1073" s="2">
        <v>43</v>
      </c>
      <c r="Q1073">
        <v>2</v>
      </c>
      <c r="R1073" t="str" cm="1">
        <f t="array" ref="R1073">_xlfn.IFS(Q1073=1,"Low",Q1073=2,"Medium",Q1073=3,"High",Q1073=4,"Very High")</f>
        <v>Medium</v>
      </c>
      <c r="S1073">
        <v>2</v>
      </c>
      <c r="T1073" t="str" cm="1">
        <f t="array" ref="T1073">_xlfn.IFS(S1073=1,"Entry Level",S1073=2,"Junior",S1073=3,"Mid-Level",S1073=4,"Senior",S1073=5,"Executive")</f>
        <v>Junior</v>
      </c>
      <c r="U1073" t="s">
        <v>46</v>
      </c>
      <c r="V1073">
        <v>1</v>
      </c>
      <c r="W1073" t="str" cm="1">
        <f t="array" ref="W1073">_xlfn.IFS(V1073=1,"Low",V1073=2,"Medium",V1073=3,"High",V1073=4,"Very High")</f>
        <v>Low</v>
      </c>
      <c r="X1073" t="s">
        <v>44</v>
      </c>
      <c r="Y1073" s="2">
        <v>4789</v>
      </c>
      <c r="Z1073" s="2">
        <v>23070</v>
      </c>
      <c r="AA1073">
        <v>4</v>
      </c>
      <c r="AB1073" t="s">
        <v>39</v>
      </c>
      <c r="AC1073">
        <v>25</v>
      </c>
      <c r="AD1073">
        <v>4</v>
      </c>
      <c r="AE1073" t="str" cm="1">
        <f t="array" ref="AE1073">_xlfn.IFS(AD1073=1,"Low",AD1073=2,"Good",AD1073=3,"Excellent",AD1073=4,"Outstanding")</f>
        <v>Outstanding</v>
      </c>
      <c r="AF1073">
        <v>1</v>
      </c>
      <c r="AG1073" t="str" cm="1">
        <f t="array" ref="AG1073">_xlfn.IFS(AF1073=1,"Low",AF1073=2,"Medium",AF1073=3,"High",AF1073=4,"Very High")</f>
        <v>Low</v>
      </c>
      <c r="AH1073">
        <v>1</v>
      </c>
      <c r="AI1073">
        <v>10</v>
      </c>
      <c r="AJ1073">
        <v>3</v>
      </c>
      <c r="AK1073">
        <v>3</v>
      </c>
      <c r="AL1073" t="str" cm="1">
        <f t="array" ref="AL1073">_xlfn.IFS(AK1073=1,"Low",AK1073=2,"Medium",AK1073=3,"High",AK1073=4,"Very High")</f>
        <v>High</v>
      </c>
      <c r="AM1073">
        <v>3</v>
      </c>
      <c r="AN1073">
        <v>2</v>
      </c>
      <c r="AO1073">
        <v>1</v>
      </c>
      <c r="AP1073">
        <v>2</v>
      </c>
    </row>
    <row r="1074" spans="1:42">
      <c r="A1074">
        <v>29</v>
      </c>
      <c r="B1074" t="str" cm="1">
        <f t="array" ref="B1074">_xlfn.IFS(A1074&lt;=25,"18-25",A1074&lt;=35,"26-35",A1074&lt;=45,"36-45",A1074&lt;=55,"46-55",A1074&gt;55,"56+")</f>
        <v>26-35</v>
      </c>
      <c r="C1074" t="s">
        <v>39</v>
      </c>
      <c r="D1074" t="s">
        <v>40</v>
      </c>
      <c r="E1074" s="2">
        <v>410</v>
      </c>
      <c r="F1074" t="s">
        <v>41</v>
      </c>
      <c r="G1074">
        <v>2</v>
      </c>
      <c r="H1074" t="str">
        <f t="shared" si="16"/>
        <v>1-10 km</v>
      </c>
      <c r="I1074">
        <v>1</v>
      </c>
      <c r="J1074" t="str" cm="1">
        <f t="array" ref="J1074">_xlfn.IFS(I1074=1,"Below College",I1074=2,"College",I1074=3,"Bachelor",I1074=4,"Master",I1074=5,"Doctor")</f>
        <v>Below College</v>
      </c>
      <c r="K1074" t="s">
        <v>35</v>
      </c>
      <c r="L1074">
        <v>1513</v>
      </c>
      <c r="M1074">
        <v>4</v>
      </c>
      <c r="N1074" t="str" cm="1">
        <f t="array" ref="N1074">_xlfn.IFS(M1074=1,"Low",M1074=2,"Medium",M1074=3,"High",M1074=4,"Very High")</f>
        <v>Very High</v>
      </c>
      <c r="O1074" t="s">
        <v>36</v>
      </c>
      <c r="P1074" s="2">
        <v>97</v>
      </c>
      <c r="Q1074">
        <v>3</v>
      </c>
      <c r="R1074" t="str" cm="1">
        <f t="array" ref="R1074">_xlfn.IFS(Q1074=1,"Low",Q1074=2,"Medium",Q1074=3,"High",Q1074=4,"Very High")</f>
        <v>High</v>
      </c>
      <c r="S1074">
        <v>1</v>
      </c>
      <c r="T1074" t="str" cm="1">
        <f t="array" ref="T1074">_xlfn.IFS(S1074=1,"Entry Level",S1074=2,"Junior",S1074=3,"Mid-Level",S1074=4,"Senior",S1074=5,"Executive")</f>
        <v>Entry Level</v>
      </c>
      <c r="U1074" t="s">
        <v>46</v>
      </c>
      <c r="V1074">
        <v>2</v>
      </c>
      <c r="W1074" t="str" cm="1">
        <f t="array" ref="W1074">_xlfn.IFS(V1074=1,"Low",V1074=2,"Medium",V1074=3,"High",V1074=4,"Very High")</f>
        <v>Medium</v>
      </c>
      <c r="X1074" t="s">
        <v>44</v>
      </c>
      <c r="Y1074" s="2">
        <v>3180</v>
      </c>
      <c r="Z1074" s="2">
        <v>4668</v>
      </c>
      <c r="AA1074">
        <v>0</v>
      </c>
      <c r="AB1074" t="s">
        <v>39</v>
      </c>
      <c r="AC1074">
        <v>13</v>
      </c>
      <c r="AD1074">
        <v>3</v>
      </c>
      <c r="AE1074" t="str" cm="1">
        <f t="array" ref="AE1074">_xlfn.IFS(AD1074=1,"Low",AD1074=2,"Good",AD1074=3,"Excellent",AD1074=4,"Outstanding")</f>
        <v>Excellent</v>
      </c>
      <c r="AF1074">
        <v>3</v>
      </c>
      <c r="AG1074" t="str" cm="1">
        <f t="array" ref="AG1074">_xlfn.IFS(AF1074=1,"Low",AF1074=2,"Medium",AF1074=3,"High",AF1074=4,"Very High")</f>
        <v>High</v>
      </c>
      <c r="AH1074">
        <v>3</v>
      </c>
      <c r="AI1074">
        <v>4</v>
      </c>
      <c r="AJ1074">
        <v>3</v>
      </c>
      <c r="AK1074">
        <v>3</v>
      </c>
      <c r="AL1074" t="str" cm="1">
        <f t="array" ref="AL1074">_xlfn.IFS(AK1074=1,"Low",AK1074=2,"Medium",AK1074=3,"High",AK1074=4,"Very High")</f>
        <v>High</v>
      </c>
      <c r="AM1074">
        <v>3</v>
      </c>
      <c r="AN1074">
        <v>2</v>
      </c>
      <c r="AO1074">
        <v>0</v>
      </c>
      <c r="AP1074">
        <v>2</v>
      </c>
    </row>
    <row r="1075" spans="1:42">
      <c r="A1075">
        <v>28</v>
      </c>
      <c r="B1075" t="str" cm="1">
        <f t="array" ref="B1075">_xlfn.IFS(A1075&lt;=25,"18-25",A1075&lt;=35,"26-35",A1075&lt;=45,"36-45",A1075&lt;=55,"46-55",A1075&gt;55,"56+")</f>
        <v>26-35</v>
      </c>
      <c r="C1075" t="s">
        <v>39</v>
      </c>
      <c r="D1075" t="s">
        <v>33</v>
      </c>
      <c r="E1075" s="2">
        <v>1083</v>
      </c>
      <c r="F1075" t="s">
        <v>41</v>
      </c>
      <c r="G1075">
        <v>29</v>
      </c>
      <c r="H1075" t="str">
        <f t="shared" si="16"/>
        <v>21-30 km</v>
      </c>
      <c r="I1075">
        <v>1</v>
      </c>
      <c r="J1075" t="str" cm="1">
        <f t="array" ref="J1075">_xlfn.IFS(I1075=1,"Below College",I1075=2,"College",I1075=3,"Bachelor",I1075=4,"Master",I1075=5,"Doctor")</f>
        <v>Below College</v>
      </c>
      <c r="K1075" t="s">
        <v>35</v>
      </c>
      <c r="L1075">
        <v>1514</v>
      </c>
      <c r="M1075">
        <v>3</v>
      </c>
      <c r="N1075" t="str" cm="1">
        <f t="array" ref="N1075">_xlfn.IFS(M1075=1,"Low",M1075=2,"Medium",M1075=3,"High",M1075=4,"Very High")</f>
        <v>High</v>
      </c>
      <c r="O1075" t="s">
        <v>42</v>
      </c>
      <c r="P1075" s="2">
        <v>96</v>
      </c>
      <c r="Q1075">
        <v>1</v>
      </c>
      <c r="R1075" t="str" cm="1">
        <f t="array" ref="R1075">_xlfn.IFS(Q1075=1,"Low",Q1075=2,"Medium",Q1075=3,"High",Q1075=4,"Very High")</f>
        <v>Low</v>
      </c>
      <c r="S1075">
        <v>2</v>
      </c>
      <c r="T1075" t="str" cm="1">
        <f t="array" ref="T1075">_xlfn.IFS(S1075=1,"Entry Level",S1075=2,"Junior",S1075=3,"Mid-Level",S1075=4,"Senior",S1075=5,"Executive")</f>
        <v>Junior</v>
      </c>
      <c r="U1075" t="s">
        <v>49</v>
      </c>
      <c r="V1075">
        <v>2</v>
      </c>
      <c r="W1075" t="str" cm="1">
        <f t="array" ref="W1075">_xlfn.IFS(V1075=1,"Low",V1075=2,"Medium",V1075=3,"High",V1075=4,"Very High")</f>
        <v>Medium</v>
      </c>
      <c r="X1075" t="s">
        <v>44</v>
      </c>
      <c r="Y1075" s="2">
        <v>6549</v>
      </c>
      <c r="Z1075" s="2">
        <v>3173</v>
      </c>
      <c r="AA1075">
        <v>1</v>
      </c>
      <c r="AB1075" t="s">
        <v>39</v>
      </c>
      <c r="AC1075">
        <v>14</v>
      </c>
      <c r="AD1075">
        <v>3</v>
      </c>
      <c r="AE1075" t="str" cm="1">
        <f t="array" ref="AE1075">_xlfn.IFS(AD1075=1,"Low",AD1075=2,"Good",AD1075=3,"Excellent",AD1075=4,"Outstanding")</f>
        <v>Excellent</v>
      </c>
      <c r="AF1075">
        <v>2</v>
      </c>
      <c r="AG1075" t="str" cm="1">
        <f t="array" ref="AG1075">_xlfn.IFS(AF1075=1,"Low",AF1075=2,"Medium",AF1075=3,"High",AF1075=4,"Very High")</f>
        <v>Medium</v>
      </c>
      <c r="AH1075">
        <v>2</v>
      </c>
      <c r="AI1075">
        <v>8</v>
      </c>
      <c r="AJ1075">
        <v>2</v>
      </c>
      <c r="AK1075">
        <v>2</v>
      </c>
      <c r="AL1075" t="str" cm="1">
        <f t="array" ref="AL1075">_xlfn.IFS(AK1075=1,"Low",AK1075=2,"Medium",AK1075=3,"High",AK1075=4,"Very High")</f>
        <v>Medium</v>
      </c>
      <c r="AM1075">
        <v>8</v>
      </c>
      <c r="AN1075">
        <v>6</v>
      </c>
      <c r="AO1075">
        <v>1</v>
      </c>
      <c r="AP1075">
        <v>7</v>
      </c>
    </row>
    <row r="1076" spans="1:42">
      <c r="A1076">
        <v>33</v>
      </c>
      <c r="B1076" t="str" cm="1">
        <f t="array" ref="B1076">_xlfn.IFS(A1076&lt;=25,"18-25",A1076&lt;=35,"26-35",A1076&lt;=45,"36-45",A1076&lt;=55,"46-55",A1076&gt;55,"56+")</f>
        <v>26-35</v>
      </c>
      <c r="C1076" t="s">
        <v>39</v>
      </c>
      <c r="D1076" t="s">
        <v>33</v>
      </c>
      <c r="E1076" s="2">
        <v>516</v>
      </c>
      <c r="F1076" t="s">
        <v>41</v>
      </c>
      <c r="G1076">
        <v>8</v>
      </c>
      <c r="H1076" t="str">
        <f t="shared" si="16"/>
        <v>1-10 km</v>
      </c>
      <c r="I1076">
        <v>5</v>
      </c>
      <c r="J1076" t="str" cm="1">
        <f t="array" ref="J1076">_xlfn.IFS(I1076=1,"Below College",I1076=2,"College",I1076=3,"Bachelor",I1076=4,"Master",I1076=5,"Doctor")</f>
        <v>Doctor</v>
      </c>
      <c r="K1076" t="s">
        <v>35</v>
      </c>
      <c r="L1076">
        <v>1515</v>
      </c>
      <c r="M1076">
        <v>4</v>
      </c>
      <c r="N1076" t="str" cm="1">
        <f t="array" ref="N1076">_xlfn.IFS(M1076=1,"Low",M1076=2,"Medium",M1076=3,"High",M1076=4,"Very High")</f>
        <v>Very High</v>
      </c>
      <c r="O1076" t="s">
        <v>42</v>
      </c>
      <c r="P1076" s="2">
        <v>69</v>
      </c>
      <c r="Q1076">
        <v>3</v>
      </c>
      <c r="R1076" t="str" cm="1">
        <f t="array" ref="R1076">_xlfn.IFS(Q1076=1,"Low",Q1076=2,"Medium",Q1076=3,"High",Q1076=4,"Very High")</f>
        <v>High</v>
      </c>
      <c r="S1076">
        <v>2</v>
      </c>
      <c r="T1076" t="str" cm="1">
        <f t="array" ref="T1076">_xlfn.IFS(S1076=1,"Entry Level",S1076=2,"Junior",S1076=3,"Mid-Level",S1076=4,"Senior",S1076=5,"Executive")</f>
        <v>Junior</v>
      </c>
      <c r="U1076" t="s">
        <v>50</v>
      </c>
      <c r="V1076">
        <v>3</v>
      </c>
      <c r="W1076" t="str" cm="1">
        <f t="array" ref="W1076">_xlfn.IFS(V1076=1,"Low",V1076=2,"Medium",V1076=3,"High",V1076=4,"Very High")</f>
        <v>High</v>
      </c>
      <c r="X1076" t="s">
        <v>38</v>
      </c>
      <c r="Y1076" s="2">
        <v>6388</v>
      </c>
      <c r="Z1076" s="2">
        <v>22049</v>
      </c>
      <c r="AA1076">
        <v>2</v>
      </c>
      <c r="AB1076" t="s">
        <v>32</v>
      </c>
      <c r="AC1076">
        <v>17</v>
      </c>
      <c r="AD1076">
        <v>3</v>
      </c>
      <c r="AE1076" t="str" cm="1">
        <f t="array" ref="AE1076">_xlfn.IFS(AD1076=1,"Low",AD1076=2,"Good",AD1076=3,"Excellent",AD1076=4,"Outstanding")</f>
        <v>Excellent</v>
      </c>
      <c r="AF1076">
        <v>1</v>
      </c>
      <c r="AG1076" t="str" cm="1">
        <f t="array" ref="AG1076">_xlfn.IFS(AF1076=1,"Low",AF1076=2,"Medium",AF1076=3,"High",AF1076=4,"Very High")</f>
        <v>Low</v>
      </c>
      <c r="AH1076">
        <v>0</v>
      </c>
      <c r="AI1076">
        <v>14</v>
      </c>
      <c r="AJ1076">
        <v>6</v>
      </c>
      <c r="AK1076">
        <v>3</v>
      </c>
      <c r="AL1076" t="str" cm="1">
        <f t="array" ref="AL1076">_xlfn.IFS(AK1076=1,"Low",AK1076=2,"Medium",AK1076=3,"High",AK1076=4,"Very High")</f>
        <v>High</v>
      </c>
      <c r="AM1076">
        <v>0</v>
      </c>
      <c r="AN1076">
        <v>0</v>
      </c>
      <c r="AO1076">
        <v>0</v>
      </c>
      <c r="AP1076">
        <v>0</v>
      </c>
    </row>
    <row r="1077" spans="1:42">
      <c r="A1077">
        <v>32</v>
      </c>
      <c r="B1077" t="str" cm="1">
        <f t="array" ref="B1077">_xlfn.IFS(A1077&lt;=25,"18-25",A1077&lt;=35,"26-35",A1077&lt;=45,"36-45",A1077&lt;=55,"46-55",A1077&gt;55,"56+")</f>
        <v>26-35</v>
      </c>
      <c r="C1077" t="s">
        <v>39</v>
      </c>
      <c r="D1077" t="s">
        <v>33</v>
      </c>
      <c r="E1077" s="2">
        <v>495</v>
      </c>
      <c r="F1077" t="s">
        <v>41</v>
      </c>
      <c r="G1077">
        <v>10</v>
      </c>
      <c r="H1077" t="str">
        <f t="shared" si="16"/>
        <v>1-10 km</v>
      </c>
      <c r="I1077">
        <v>3</v>
      </c>
      <c r="J1077" t="str" cm="1">
        <f t="array" ref="J1077">_xlfn.IFS(I1077=1,"Below College",I1077=2,"College",I1077=3,"Bachelor",I1077=4,"Master",I1077=5,"Doctor")</f>
        <v>Bachelor</v>
      </c>
      <c r="K1077" t="s">
        <v>47</v>
      </c>
      <c r="L1077">
        <v>1516</v>
      </c>
      <c r="M1077">
        <v>3</v>
      </c>
      <c r="N1077" t="str" cm="1">
        <f t="array" ref="N1077">_xlfn.IFS(M1077=1,"Low",M1077=2,"Medium",M1077=3,"High",M1077=4,"Very High")</f>
        <v>High</v>
      </c>
      <c r="O1077" t="s">
        <v>42</v>
      </c>
      <c r="P1077" s="2">
        <v>64</v>
      </c>
      <c r="Q1077">
        <v>3</v>
      </c>
      <c r="R1077" t="str" cm="1">
        <f t="array" ref="R1077">_xlfn.IFS(Q1077=1,"Low",Q1077=2,"Medium",Q1077=3,"High",Q1077=4,"Very High")</f>
        <v>High</v>
      </c>
      <c r="S1077">
        <v>3</v>
      </c>
      <c r="T1077" t="str" cm="1">
        <f t="array" ref="T1077">_xlfn.IFS(S1077=1,"Entry Level",S1077=2,"Junior",S1077=3,"Mid-Level",S1077=4,"Senior",S1077=5,"Executive")</f>
        <v>Mid-Level</v>
      </c>
      <c r="U1077" t="s">
        <v>52</v>
      </c>
      <c r="V1077">
        <v>4</v>
      </c>
      <c r="W1077" t="str" cm="1">
        <f t="array" ref="W1077">_xlfn.IFS(V1077=1,"Low",V1077=2,"Medium",V1077=3,"High",V1077=4,"Very High")</f>
        <v>Very High</v>
      </c>
      <c r="X1077" t="s">
        <v>38</v>
      </c>
      <c r="Y1077" s="2">
        <v>11244</v>
      </c>
      <c r="Z1077" s="2">
        <v>21072</v>
      </c>
      <c r="AA1077">
        <v>2</v>
      </c>
      <c r="AB1077" t="s">
        <v>39</v>
      </c>
      <c r="AC1077">
        <v>25</v>
      </c>
      <c r="AD1077">
        <v>4</v>
      </c>
      <c r="AE1077" t="str" cm="1">
        <f t="array" ref="AE1077">_xlfn.IFS(AD1077=1,"Low",AD1077=2,"Good",AD1077=3,"Excellent",AD1077=4,"Outstanding")</f>
        <v>Outstanding</v>
      </c>
      <c r="AF1077">
        <v>2</v>
      </c>
      <c r="AG1077" t="str" cm="1">
        <f t="array" ref="AG1077">_xlfn.IFS(AF1077=1,"Low",AF1077=2,"Medium",AF1077=3,"High",AF1077=4,"Very High")</f>
        <v>Medium</v>
      </c>
      <c r="AH1077">
        <v>0</v>
      </c>
      <c r="AI1077">
        <v>10</v>
      </c>
      <c r="AJ1077">
        <v>5</v>
      </c>
      <c r="AK1077">
        <v>4</v>
      </c>
      <c r="AL1077" t="str" cm="1">
        <f t="array" ref="AL1077">_xlfn.IFS(AK1077=1,"Low",AK1077=2,"Medium",AK1077=3,"High",AK1077=4,"Very High")</f>
        <v>Very High</v>
      </c>
      <c r="AM1077">
        <v>5</v>
      </c>
      <c r="AN1077">
        <v>2</v>
      </c>
      <c r="AO1077">
        <v>0</v>
      </c>
      <c r="AP1077">
        <v>0</v>
      </c>
    </row>
    <row r="1078" spans="1:42">
      <c r="A1078">
        <v>54</v>
      </c>
      <c r="B1078" t="str" cm="1">
        <f t="array" ref="B1078">_xlfn.IFS(A1078&lt;=25,"18-25",A1078&lt;=35,"26-35",A1078&lt;=45,"36-45",A1078&lt;=55,"46-55",A1078&gt;55,"56+")</f>
        <v>46-55</v>
      </c>
      <c r="C1078" t="s">
        <v>39</v>
      </c>
      <c r="D1078" t="s">
        <v>40</v>
      </c>
      <c r="E1078" s="2">
        <v>1050</v>
      </c>
      <c r="F1078" t="s">
        <v>41</v>
      </c>
      <c r="G1078">
        <v>11</v>
      </c>
      <c r="H1078" t="str">
        <f t="shared" si="16"/>
        <v>11-20 km</v>
      </c>
      <c r="I1078">
        <v>4</v>
      </c>
      <c r="J1078" t="str" cm="1">
        <f t="array" ref="J1078">_xlfn.IFS(I1078=1,"Below College",I1078=2,"College",I1078=3,"Bachelor",I1078=4,"Master",I1078=5,"Doctor")</f>
        <v>Master</v>
      </c>
      <c r="K1078" t="s">
        <v>47</v>
      </c>
      <c r="L1078">
        <v>1520</v>
      </c>
      <c r="M1078">
        <v>2</v>
      </c>
      <c r="N1078" t="str" cm="1">
        <f t="array" ref="N1078">_xlfn.IFS(M1078=1,"Low",M1078=2,"Medium",M1078=3,"High",M1078=4,"Very High")</f>
        <v>Medium</v>
      </c>
      <c r="O1078" t="s">
        <v>36</v>
      </c>
      <c r="P1078" s="2">
        <v>87</v>
      </c>
      <c r="Q1078">
        <v>3</v>
      </c>
      <c r="R1078" t="str" cm="1">
        <f t="array" ref="R1078">_xlfn.IFS(Q1078=1,"Low",Q1078=2,"Medium",Q1078=3,"High",Q1078=4,"Very High")</f>
        <v>High</v>
      </c>
      <c r="S1078">
        <v>4</v>
      </c>
      <c r="T1078" t="str" cm="1">
        <f t="array" ref="T1078">_xlfn.IFS(S1078=1,"Entry Level",S1078=2,"Junior",S1078=3,"Mid-Level",S1078=4,"Senior",S1078=5,"Executive")</f>
        <v>Senior</v>
      </c>
      <c r="U1078" t="s">
        <v>52</v>
      </c>
      <c r="V1078">
        <v>4</v>
      </c>
      <c r="W1078" t="str" cm="1">
        <f t="array" ref="W1078">_xlfn.IFS(V1078=1,"Low",V1078=2,"Medium",V1078=3,"High",V1078=4,"Very High")</f>
        <v>Very High</v>
      </c>
      <c r="X1078" t="s">
        <v>48</v>
      </c>
      <c r="Y1078" s="2">
        <v>16032</v>
      </c>
      <c r="Z1078" s="2">
        <v>24456</v>
      </c>
      <c r="AA1078">
        <v>3</v>
      </c>
      <c r="AB1078" t="s">
        <v>39</v>
      </c>
      <c r="AC1078">
        <v>20</v>
      </c>
      <c r="AD1078">
        <v>4</v>
      </c>
      <c r="AE1078" t="str" cm="1">
        <f t="array" ref="AE1078">_xlfn.IFS(AD1078=1,"Low",AD1078=2,"Good",AD1078=3,"Excellent",AD1078=4,"Outstanding")</f>
        <v>Outstanding</v>
      </c>
      <c r="AF1078">
        <v>1</v>
      </c>
      <c r="AG1078" t="str" cm="1">
        <f t="array" ref="AG1078">_xlfn.IFS(AF1078=1,"Low",AF1078=2,"Medium",AF1078=3,"High",AF1078=4,"Very High")</f>
        <v>Low</v>
      </c>
      <c r="AH1078">
        <v>1</v>
      </c>
      <c r="AI1078">
        <v>26</v>
      </c>
      <c r="AJ1078">
        <v>2</v>
      </c>
      <c r="AK1078">
        <v>3</v>
      </c>
      <c r="AL1078" t="str" cm="1">
        <f t="array" ref="AL1078">_xlfn.IFS(AK1078=1,"Low",AK1078=2,"Medium",AK1078=3,"High",AK1078=4,"Very High")</f>
        <v>High</v>
      </c>
      <c r="AM1078">
        <v>14</v>
      </c>
      <c r="AN1078">
        <v>9</v>
      </c>
      <c r="AO1078">
        <v>1</v>
      </c>
      <c r="AP1078">
        <v>12</v>
      </c>
    </row>
    <row r="1079" spans="1:42">
      <c r="A1079">
        <v>29</v>
      </c>
      <c r="B1079" t="str" cm="1">
        <f t="array" ref="B1079">_xlfn.IFS(A1079&lt;=25,"18-25",A1079&lt;=35,"26-35",A1079&lt;=45,"36-45",A1079&lt;=55,"46-55",A1079&gt;55,"56+")</f>
        <v>26-35</v>
      </c>
      <c r="C1079" t="s">
        <v>32</v>
      </c>
      <c r="D1079" t="s">
        <v>33</v>
      </c>
      <c r="E1079" s="2">
        <v>224</v>
      </c>
      <c r="F1079" t="s">
        <v>41</v>
      </c>
      <c r="G1079">
        <v>1</v>
      </c>
      <c r="H1079" t="str">
        <f t="shared" si="16"/>
        <v>1-10 km</v>
      </c>
      <c r="I1079">
        <v>4</v>
      </c>
      <c r="J1079" t="str" cm="1">
        <f t="array" ref="J1079">_xlfn.IFS(I1079=1,"Below College",I1079=2,"College",I1079=3,"Bachelor",I1079=4,"Master",I1079=5,"Doctor")</f>
        <v>Master</v>
      </c>
      <c r="K1079" t="s">
        <v>56</v>
      </c>
      <c r="L1079">
        <v>1522</v>
      </c>
      <c r="M1079">
        <v>1</v>
      </c>
      <c r="N1079" t="str" cm="1">
        <f t="array" ref="N1079">_xlfn.IFS(M1079=1,"Low",M1079=2,"Medium",M1079=3,"High",M1079=4,"Very High")</f>
        <v>Low</v>
      </c>
      <c r="O1079" t="s">
        <v>42</v>
      </c>
      <c r="P1079" s="2">
        <v>100</v>
      </c>
      <c r="Q1079">
        <v>2</v>
      </c>
      <c r="R1079" t="str" cm="1">
        <f t="array" ref="R1079">_xlfn.IFS(Q1079=1,"Low",Q1079=2,"Medium",Q1079=3,"High",Q1079=4,"Very High")</f>
        <v>Medium</v>
      </c>
      <c r="S1079">
        <v>1</v>
      </c>
      <c r="T1079" t="str" cm="1">
        <f t="array" ref="T1079">_xlfn.IFS(S1079=1,"Entry Level",S1079=2,"Junior",S1079=3,"Mid-Level",S1079=4,"Senior",S1079=5,"Executive")</f>
        <v>Entry Level</v>
      </c>
      <c r="U1079" t="s">
        <v>43</v>
      </c>
      <c r="V1079">
        <v>1</v>
      </c>
      <c r="W1079" t="str" cm="1">
        <f t="array" ref="W1079">_xlfn.IFS(V1079=1,"Low",V1079=2,"Medium",V1079=3,"High",V1079=4,"Very High")</f>
        <v>Low</v>
      </c>
      <c r="X1079" t="s">
        <v>38</v>
      </c>
      <c r="Y1079" s="2">
        <v>2362</v>
      </c>
      <c r="Z1079" s="2">
        <v>7568</v>
      </c>
      <c r="AA1079">
        <v>6</v>
      </c>
      <c r="AB1079" t="s">
        <v>39</v>
      </c>
      <c r="AC1079">
        <v>13</v>
      </c>
      <c r="AD1079">
        <v>3</v>
      </c>
      <c r="AE1079" t="str" cm="1">
        <f t="array" ref="AE1079">_xlfn.IFS(AD1079=1,"Low",AD1079=2,"Good",AD1079=3,"Excellent",AD1079=4,"Outstanding")</f>
        <v>Excellent</v>
      </c>
      <c r="AF1079">
        <v>3</v>
      </c>
      <c r="AG1079" t="str" cm="1">
        <f t="array" ref="AG1079">_xlfn.IFS(AF1079=1,"Low",AF1079=2,"Medium",AF1079=3,"High",AF1079=4,"Very High")</f>
        <v>High</v>
      </c>
      <c r="AH1079">
        <v>0</v>
      </c>
      <c r="AI1079">
        <v>11</v>
      </c>
      <c r="AJ1079">
        <v>2</v>
      </c>
      <c r="AK1079">
        <v>1</v>
      </c>
      <c r="AL1079" t="str" cm="1">
        <f t="array" ref="AL1079">_xlfn.IFS(AK1079=1,"Low",AK1079=2,"Medium",AK1079=3,"High",AK1079=4,"Very High")</f>
        <v>Low</v>
      </c>
      <c r="AM1079">
        <v>9</v>
      </c>
      <c r="AN1079">
        <v>7</v>
      </c>
      <c r="AO1079">
        <v>0</v>
      </c>
      <c r="AP1079">
        <v>7</v>
      </c>
    </row>
    <row r="1080" spans="1:42">
      <c r="A1080">
        <v>44</v>
      </c>
      <c r="B1080" t="str" cm="1">
        <f t="array" ref="B1080">_xlfn.IFS(A1080&lt;=25,"18-25",A1080&lt;=35,"26-35",A1080&lt;=45,"36-45",A1080&lt;=55,"46-55",A1080&gt;55,"56+")</f>
        <v>36-45</v>
      </c>
      <c r="C1080" t="s">
        <v>39</v>
      </c>
      <c r="D1080" t="s">
        <v>33</v>
      </c>
      <c r="E1080" s="2">
        <v>136</v>
      </c>
      <c r="F1080" t="s">
        <v>41</v>
      </c>
      <c r="G1080">
        <v>28</v>
      </c>
      <c r="H1080" t="str">
        <f t="shared" si="16"/>
        <v>21-30 km</v>
      </c>
      <c r="I1080">
        <v>3</v>
      </c>
      <c r="J1080" t="str" cm="1">
        <f t="array" ref="J1080">_xlfn.IFS(I1080=1,"Below College",I1080=2,"College",I1080=3,"Bachelor",I1080=4,"Master",I1080=5,"Doctor")</f>
        <v>Bachelor</v>
      </c>
      <c r="K1080" t="s">
        <v>35</v>
      </c>
      <c r="L1080">
        <v>1523</v>
      </c>
      <c r="M1080">
        <v>4</v>
      </c>
      <c r="N1080" t="str" cm="1">
        <f t="array" ref="N1080">_xlfn.IFS(M1080=1,"Low",M1080=2,"Medium",M1080=3,"High",M1080=4,"Very High")</f>
        <v>Very High</v>
      </c>
      <c r="O1080" t="s">
        <v>42</v>
      </c>
      <c r="P1080" s="2">
        <v>32</v>
      </c>
      <c r="Q1080">
        <v>3</v>
      </c>
      <c r="R1080" t="str" cm="1">
        <f t="array" ref="R1080">_xlfn.IFS(Q1080=1,"Low",Q1080=2,"Medium",Q1080=3,"High",Q1080=4,"Very High")</f>
        <v>High</v>
      </c>
      <c r="S1080">
        <v>4</v>
      </c>
      <c r="T1080" t="str" cm="1">
        <f t="array" ref="T1080">_xlfn.IFS(S1080=1,"Entry Level",S1080=2,"Junior",S1080=3,"Mid-Level",S1080=4,"Senior",S1080=5,"Executive")</f>
        <v>Senior</v>
      </c>
      <c r="U1080" t="s">
        <v>54</v>
      </c>
      <c r="V1080">
        <v>1</v>
      </c>
      <c r="W1080" t="str" cm="1">
        <f t="array" ref="W1080">_xlfn.IFS(V1080=1,"Low",V1080=2,"Medium",V1080=3,"High",V1080=4,"Very High")</f>
        <v>Low</v>
      </c>
      <c r="X1080" t="s">
        <v>44</v>
      </c>
      <c r="Y1080" s="2">
        <v>16328</v>
      </c>
      <c r="Z1080" s="2">
        <v>22074</v>
      </c>
      <c r="AA1080">
        <v>3</v>
      </c>
      <c r="AB1080" t="s">
        <v>39</v>
      </c>
      <c r="AC1080">
        <v>13</v>
      </c>
      <c r="AD1080">
        <v>3</v>
      </c>
      <c r="AE1080" t="str" cm="1">
        <f t="array" ref="AE1080">_xlfn.IFS(AD1080=1,"Low",AD1080=2,"Good",AD1080=3,"Excellent",AD1080=4,"Outstanding")</f>
        <v>Excellent</v>
      </c>
      <c r="AF1080">
        <v>3</v>
      </c>
      <c r="AG1080" t="str" cm="1">
        <f t="array" ref="AG1080">_xlfn.IFS(AF1080=1,"Low",AF1080=2,"Medium",AF1080=3,"High",AF1080=4,"Very High")</f>
        <v>High</v>
      </c>
      <c r="AH1080">
        <v>1</v>
      </c>
      <c r="AI1080">
        <v>24</v>
      </c>
      <c r="AJ1080">
        <v>1</v>
      </c>
      <c r="AK1080">
        <v>4</v>
      </c>
      <c r="AL1080" t="str" cm="1">
        <f t="array" ref="AL1080">_xlfn.IFS(AK1080=1,"Low",AK1080=2,"Medium",AK1080=3,"High",AK1080=4,"Very High")</f>
        <v>Very High</v>
      </c>
      <c r="AM1080">
        <v>20</v>
      </c>
      <c r="AN1080">
        <v>6</v>
      </c>
      <c r="AO1080">
        <v>14</v>
      </c>
      <c r="AP1080">
        <v>17</v>
      </c>
    </row>
    <row r="1081" spans="1:42">
      <c r="A1081">
        <v>39</v>
      </c>
      <c r="B1081" t="str" cm="1">
        <f t="array" ref="B1081">_xlfn.IFS(A1081&lt;=25,"18-25",A1081&lt;=35,"26-35",A1081&lt;=45,"36-45",A1081&lt;=55,"46-55",A1081&gt;55,"56+")</f>
        <v>36-45</v>
      </c>
      <c r="C1081" t="s">
        <v>39</v>
      </c>
      <c r="D1081" t="s">
        <v>33</v>
      </c>
      <c r="E1081" s="2">
        <v>1089</v>
      </c>
      <c r="F1081" t="s">
        <v>41</v>
      </c>
      <c r="G1081">
        <v>6</v>
      </c>
      <c r="H1081" t="str">
        <f t="shared" si="16"/>
        <v>1-10 km</v>
      </c>
      <c r="I1081">
        <v>3</v>
      </c>
      <c r="J1081" t="str" cm="1">
        <f t="array" ref="J1081">_xlfn.IFS(I1081=1,"Below College",I1081=2,"College",I1081=3,"Bachelor",I1081=4,"Master",I1081=5,"Doctor")</f>
        <v>Bachelor</v>
      </c>
      <c r="K1081" t="s">
        <v>35</v>
      </c>
      <c r="L1081">
        <v>1525</v>
      </c>
      <c r="M1081">
        <v>2</v>
      </c>
      <c r="N1081" t="str" cm="1">
        <f t="array" ref="N1081">_xlfn.IFS(M1081=1,"Low",M1081=2,"Medium",M1081=3,"High",M1081=4,"Very High")</f>
        <v>Medium</v>
      </c>
      <c r="O1081" t="s">
        <v>36</v>
      </c>
      <c r="P1081" s="2">
        <v>32</v>
      </c>
      <c r="Q1081">
        <v>3</v>
      </c>
      <c r="R1081" t="str" cm="1">
        <f t="array" ref="R1081">_xlfn.IFS(Q1081=1,"Low",Q1081=2,"Medium",Q1081=3,"High",Q1081=4,"Very High")</f>
        <v>High</v>
      </c>
      <c r="S1081">
        <v>3</v>
      </c>
      <c r="T1081" t="str" cm="1">
        <f t="array" ref="T1081">_xlfn.IFS(S1081=1,"Entry Level",S1081=2,"Junior",S1081=3,"Mid-Level",S1081=4,"Senior",S1081=5,"Executive")</f>
        <v>Mid-Level</v>
      </c>
      <c r="U1081" t="s">
        <v>49</v>
      </c>
      <c r="V1081">
        <v>2</v>
      </c>
      <c r="W1081" t="str" cm="1">
        <f t="array" ref="W1081">_xlfn.IFS(V1081=1,"Low",V1081=2,"Medium",V1081=3,"High",V1081=4,"Very High")</f>
        <v>Medium</v>
      </c>
      <c r="X1081" t="s">
        <v>38</v>
      </c>
      <c r="Y1081" s="2">
        <v>8376</v>
      </c>
      <c r="Z1081" s="2">
        <v>9150</v>
      </c>
      <c r="AA1081">
        <v>4</v>
      </c>
      <c r="AB1081" t="s">
        <v>39</v>
      </c>
      <c r="AC1081">
        <v>18</v>
      </c>
      <c r="AD1081">
        <v>3</v>
      </c>
      <c r="AE1081" t="str" cm="1">
        <f t="array" ref="AE1081">_xlfn.IFS(AD1081=1,"Low",AD1081=2,"Good",AD1081=3,"Excellent",AD1081=4,"Outstanding")</f>
        <v>Excellent</v>
      </c>
      <c r="AF1081">
        <v>4</v>
      </c>
      <c r="AG1081" t="str" cm="1">
        <f t="array" ref="AG1081">_xlfn.IFS(AF1081=1,"Low",AF1081=2,"Medium",AF1081=3,"High",AF1081=4,"Very High")</f>
        <v>Very High</v>
      </c>
      <c r="AH1081">
        <v>0</v>
      </c>
      <c r="AI1081">
        <v>9</v>
      </c>
      <c r="AJ1081">
        <v>3</v>
      </c>
      <c r="AK1081">
        <v>3</v>
      </c>
      <c r="AL1081" t="str" cm="1">
        <f t="array" ref="AL1081">_xlfn.IFS(AK1081=1,"Low",AK1081=2,"Medium",AK1081=3,"High",AK1081=4,"Very High")</f>
        <v>High</v>
      </c>
      <c r="AM1081">
        <v>2</v>
      </c>
      <c r="AN1081">
        <v>0</v>
      </c>
      <c r="AO1081">
        <v>2</v>
      </c>
      <c r="AP1081">
        <v>2</v>
      </c>
    </row>
    <row r="1082" spans="1:42">
      <c r="A1082">
        <v>46</v>
      </c>
      <c r="B1082" t="str" cm="1">
        <f t="array" ref="B1082">_xlfn.IFS(A1082&lt;=25,"18-25",A1082&lt;=35,"26-35",A1082&lt;=45,"36-45",A1082&lt;=55,"46-55",A1082&gt;55,"56+")</f>
        <v>46-55</v>
      </c>
      <c r="C1082" t="s">
        <v>39</v>
      </c>
      <c r="D1082" t="s">
        <v>33</v>
      </c>
      <c r="E1082" s="2">
        <v>228</v>
      </c>
      <c r="F1082" t="s">
        <v>34</v>
      </c>
      <c r="G1082">
        <v>3</v>
      </c>
      <c r="H1082" t="str">
        <f t="shared" si="16"/>
        <v>1-10 km</v>
      </c>
      <c r="I1082">
        <v>3</v>
      </c>
      <c r="J1082" t="str" cm="1">
        <f t="array" ref="J1082">_xlfn.IFS(I1082=1,"Below College",I1082=2,"College",I1082=3,"Bachelor",I1082=4,"Master",I1082=5,"Doctor")</f>
        <v>Bachelor</v>
      </c>
      <c r="K1082" t="s">
        <v>35</v>
      </c>
      <c r="L1082">
        <v>1527</v>
      </c>
      <c r="M1082">
        <v>3</v>
      </c>
      <c r="N1082" t="str" cm="1">
        <f t="array" ref="N1082">_xlfn.IFS(M1082=1,"Low",M1082=2,"Medium",M1082=3,"High",M1082=4,"Very High")</f>
        <v>High</v>
      </c>
      <c r="O1082" t="s">
        <v>36</v>
      </c>
      <c r="P1082" s="2">
        <v>51</v>
      </c>
      <c r="Q1082">
        <v>3</v>
      </c>
      <c r="R1082" t="str" cm="1">
        <f t="array" ref="R1082">_xlfn.IFS(Q1082=1,"Low",Q1082=2,"Medium",Q1082=3,"High",Q1082=4,"Very High")</f>
        <v>High</v>
      </c>
      <c r="S1082">
        <v>4</v>
      </c>
      <c r="T1082" t="str" cm="1">
        <f t="array" ref="T1082">_xlfn.IFS(S1082=1,"Entry Level",S1082=2,"Junior",S1082=3,"Mid-Level",S1082=4,"Senior",S1082=5,"Executive")</f>
        <v>Senior</v>
      </c>
      <c r="U1082" t="s">
        <v>52</v>
      </c>
      <c r="V1082">
        <v>2</v>
      </c>
      <c r="W1082" t="str" cm="1">
        <f t="array" ref="W1082">_xlfn.IFS(V1082=1,"Low",V1082=2,"Medium",V1082=3,"High",V1082=4,"Very High")</f>
        <v>Medium</v>
      </c>
      <c r="X1082" t="s">
        <v>44</v>
      </c>
      <c r="Y1082" s="2">
        <v>16606</v>
      </c>
      <c r="Z1082" s="2">
        <v>11380</v>
      </c>
      <c r="AA1082">
        <v>8</v>
      </c>
      <c r="AB1082" t="s">
        <v>39</v>
      </c>
      <c r="AC1082">
        <v>12</v>
      </c>
      <c r="AD1082">
        <v>3</v>
      </c>
      <c r="AE1082" t="str" cm="1">
        <f t="array" ref="AE1082">_xlfn.IFS(AD1082=1,"Low",AD1082=2,"Good",AD1082=3,"Excellent",AD1082=4,"Outstanding")</f>
        <v>Excellent</v>
      </c>
      <c r="AF1082">
        <v>4</v>
      </c>
      <c r="AG1082" t="str" cm="1">
        <f t="array" ref="AG1082">_xlfn.IFS(AF1082=1,"Low",AF1082=2,"Medium",AF1082=3,"High",AF1082=4,"Very High")</f>
        <v>Very High</v>
      </c>
      <c r="AH1082">
        <v>1</v>
      </c>
      <c r="AI1082">
        <v>23</v>
      </c>
      <c r="AJ1082">
        <v>2</v>
      </c>
      <c r="AK1082">
        <v>4</v>
      </c>
      <c r="AL1082" t="str" cm="1">
        <f t="array" ref="AL1082">_xlfn.IFS(AK1082=1,"Low",AK1082=2,"Medium",AK1082=3,"High",AK1082=4,"Very High")</f>
        <v>Very High</v>
      </c>
      <c r="AM1082">
        <v>13</v>
      </c>
      <c r="AN1082">
        <v>12</v>
      </c>
      <c r="AO1082">
        <v>5</v>
      </c>
      <c r="AP1082">
        <v>1</v>
      </c>
    </row>
    <row r="1083" spans="1:42">
      <c r="A1083">
        <v>35</v>
      </c>
      <c r="B1083" t="str" cm="1">
        <f t="array" ref="B1083">_xlfn.IFS(A1083&lt;=25,"18-25",A1083&lt;=35,"26-35",A1083&lt;=45,"36-45",A1083&lt;=55,"46-55",A1083&gt;55,"56+")</f>
        <v>26-35</v>
      </c>
      <c r="C1083" t="s">
        <v>39</v>
      </c>
      <c r="D1083" t="s">
        <v>33</v>
      </c>
      <c r="E1083" s="2">
        <v>1029</v>
      </c>
      <c r="F1083" t="s">
        <v>41</v>
      </c>
      <c r="G1083">
        <v>16</v>
      </c>
      <c r="H1083" t="str">
        <f t="shared" si="16"/>
        <v>11-20 km</v>
      </c>
      <c r="I1083">
        <v>3</v>
      </c>
      <c r="J1083" t="str" cm="1">
        <f t="array" ref="J1083">_xlfn.IFS(I1083=1,"Below College",I1083=2,"College",I1083=3,"Bachelor",I1083=4,"Master",I1083=5,"Doctor")</f>
        <v>Bachelor</v>
      </c>
      <c r="K1083" t="s">
        <v>35</v>
      </c>
      <c r="L1083">
        <v>1529</v>
      </c>
      <c r="M1083">
        <v>4</v>
      </c>
      <c r="N1083" t="str" cm="1">
        <f t="array" ref="N1083">_xlfn.IFS(M1083=1,"Low",M1083=2,"Medium",M1083=3,"High",M1083=4,"Very High")</f>
        <v>Very High</v>
      </c>
      <c r="O1083" t="s">
        <v>36</v>
      </c>
      <c r="P1083" s="2">
        <v>91</v>
      </c>
      <c r="Q1083">
        <v>2</v>
      </c>
      <c r="R1083" t="str" cm="1">
        <f t="array" ref="R1083">_xlfn.IFS(Q1083=1,"Low",Q1083=2,"Medium",Q1083=3,"High",Q1083=4,"Very High")</f>
        <v>Medium</v>
      </c>
      <c r="S1083">
        <v>3</v>
      </c>
      <c r="T1083" t="str" cm="1">
        <f t="array" ref="T1083">_xlfn.IFS(S1083=1,"Entry Level",S1083=2,"Junior",S1083=3,"Mid-Level",S1083=4,"Senior",S1083=5,"Executive")</f>
        <v>Mid-Level</v>
      </c>
      <c r="U1083" t="s">
        <v>50</v>
      </c>
      <c r="V1083">
        <v>2</v>
      </c>
      <c r="W1083" t="str" cm="1">
        <f t="array" ref="W1083">_xlfn.IFS(V1083=1,"Low",V1083=2,"Medium",V1083=3,"High",V1083=4,"Very High")</f>
        <v>Medium</v>
      </c>
      <c r="X1083" t="s">
        <v>38</v>
      </c>
      <c r="Y1083" s="2">
        <v>8606</v>
      </c>
      <c r="Z1083" s="2">
        <v>21195</v>
      </c>
      <c r="AA1083">
        <v>1</v>
      </c>
      <c r="AB1083" t="s">
        <v>39</v>
      </c>
      <c r="AC1083">
        <v>19</v>
      </c>
      <c r="AD1083">
        <v>3</v>
      </c>
      <c r="AE1083" t="str" cm="1">
        <f t="array" ref="AE1083">_xlfn.IFS(AD1083=1,"Low",AD1083=2,"Good",AD1083=3,"Excellent",AD1083=4,"Outstanding")</f>
        <v>Excellent</v>
      </c>
      <c r="AF1083">
        <v>4</v>
      </c>
      <c r="AG1083" t="str" cm="1">
        <f t="array" ref="AG1083">_xlfn.IFS(AF1083=1,"Low",AF1083=2,"Medium",AF1083=3,"High",AF1083=4,"Very High")</f>
        <v>Very High</v>
      </c>
      <c r="AH1083">
        <v>0</v>
      </c>
      <c r="AI1083">
        <v>11</v>
      </c>
      <c r="AJ1083">
        <v>3</v>
      </c>
      <c r="AK1083">
        <v>1</v>
      </c>
      <c r="AL1083" t="str" cm="1">
        <f t="array" ref="AL1083">_xlfn.IFS(AK1083=1,"Low",AK1083=2,"Medium",AK1083=3,"High",AK1083=4,"Very High")</f>
        <v>Low</v>
      </c>
      <c r="AM1083">
        <v>11</v>
      </c>
      <c r="AN1083">
        <v>8</v>
      </c>
      <c r="AO1083">
        <v>3</v>
      </c>
      <c r="AP1083">
        <v>3</v>
      </c>
    </row>
    <row r="1084" spans="1:42">
      <c r="A1084">
        <v>23</v>
      </c>
      <c r="B1084" t="str" cm="1">
        <f t="array" ref="B1084">_xlfn.IFS(A1084&lt;=25,"18-25",A1084&lt;=35,"26-35",A1084&lt;=45,"36-45",A1084&lt;=55,"46-55",A1084&gt;55,"56+")</f>
        <v>18-25</v>
      </c>
      <c r="C1084" t="s">
        <v>39</v>
      </c>
      <c r="D1084" t="s">
        <v>33</v>
      </c>
      <c r="E1084" s="2">
        <v>507</v>
      </c>
      <c r="F1084" t="s">
        <v>41</v>
      </c>
      <c r="G1084">
        <v>20</v>
      </c>
      <c r="H1084" t="str">
        <f t="shared" si="16"/>
        <v>11-20 km</v>
      </c>
      <c r="I1084">
        <v>1</v>
      </c>
      <c r="J1084" t="str" cm="1">
        <f t="array" ref="J1084">_xlfn.IFS(I1084=1,"Below College",I1084=2,"College",I1084=3,"Bachelor",I1084=4,"Master",I1084=5,"Doctor")</f>
        <v>Below College</v>
      </c>
      <c r="K1084" t="s">
        <v>35</v>
      </c>
      <c r="L1084">
        <v>1533</v>
      </c>
      <c r="M1084">
        <v>1</v>
      </c>
      <c r="N1084" t="str" cm="1">
        <f t="array" ref="N1084">_xlfn.IFS(M1084=1,"Low",M1084=2,"Medium",M1084=3,"High",M1084=4,"Very High")</f>
        <v>Low</v>
      </c>
      <c r="O1084" t="s">
        <v>42</v>
      </c>
      <c r="P1084" s="2">
        <v>97</v>
      </c>
      <c r="Q1084">
        <v>3</v>
      </c>
      <c r="R1084" t="str" cm="1">
        <f t="array" ref="R1084">_xlfn.IFS(Q1084=1,"Low",Q1084=2,"Medium",Q1084=3,"High",Q1084=4,"Very High")</f>
        <v>High</v>
      </c>
      <c r="S1084">
        <v>2</v>
      </c>
      <c r="T1084" t="str" cm="1">
        <f t="array" ref="T1084">_xlfn.IFS(S1084=1,"Entry Level",S1084=2,"Junior",S1084=3,"Mid-Level",S1084=4,"Senior",S1084=5,"Executive")</f>
        <v>Junior</v>
      </c>
      <c r="U1084" t="s">
        <v>46</v>
      </c>
      <c r="V1084">
        <v>3</v>
      </c>
      <c r="W1084" t="str" cm="1">
        <f t="array" ref="W1084">_xlfn.IFS(V1084=1,"Low",V1084=2,"Medium",V1084=3,"High",V1084=4,"Very High")</f>
        <v>High</v>
      </c>
      <c r="X1084" t="s">
        <v>38</v>
      </c>
      <c r="Y1084" s="2">
        <v>2272</v>
      </c>
      <c r="Z1084" s="2">
        <v>24812</v>
      </c>
      <c r="AA1084">
        <v>0</v>
      </c>
      <c r="AB1084" t="s">
        <v>39</v>
      </c>
      <c r="AC1084">
        <v>14</v>
      </c>
      <c r="AD1084">
        <v>3</v>
      </c>
      <c r="AE1084" t="str" cm="1">
        <f t="array" ref="AE1084">_xlfn.IFS(AD1084=1,"Low",AD1084=2,"Good",AD1084=3,"Excellent",AD1084=4,"Outstanding")</f>
        <v>Excellent</v>
      </c>
      <c r="AF1084">
        <v>2</v>
      </c>
      <c r="AG1084" t="str" cm="1">
        <f t="array" ref="AG1084">_xlfn.IFS(AF1084=1,"Low",AF1084=2,"Medium",AF1084=3,"High",AF1084=4,"Very High")</f>
        <v>Medium</v>
      </c>
      <c r="AH1084">
        <v>0</v>
      </c>
      <c r="AI1084">
        <v>5</v>
      </c>
      <c r="AJ1084">
        <v>2</v>
      </c>
      <c r="AK1084">
        <v>3</v>
      </c>
      <c r="AL1084" t="str" cm="1">
        <f t="array" ref="AL1084">_xlfn.IFS(AK1084=1,"Low",AK1084=2,"Medium",AK1084=3,"High",AK1084=4,"Very High")</f>
        <v>High</v>
      </c>
      <c r="AM1084">
        <v>4</v>
      </c>
      <c r="AN1084">
        <v>3</v>
      </c>
      <c r="AO1084">
        <v>1</v>
      </c>
      <c r="AP1084">
        <v>2</v>
      </c>
    </row>
    <row r="1085" spans="1:42">
      <c r="A1085">
        <v>40</v>
      </c>
      <c r="B1085" t="str" cm="1">
        <f t="array" ref="B1085">_xlfn.IFS(A1085&lt;=25,"18-25",A1085&lt;=35,"26-35",A1085&lt;=45,"36-45",A1085&lt;=55,"46-55",A1085&gt;55,"56+")</f>
        <v>36-45</v>
      </c>
      <c r="C1085" t="s">
        <v>32</v>
      </c>
      <c r="D1085" t="s">
        <v>33</v>
      </c>
      <c r="E1085" s="2">
        <v>676</v>
      </c>
      <c r="F1085" t="s">
        <v>41</v>
      </c>
      <c r="G1085">
        <v>9</v>
      </c>
      <c r="H1085" t="str">
        <f t="shared" si="16"/>
        <v>1-10 km</v>
      </c>
      <c r="I1085">
        <v>4</v>
      </c>
      <c r="J1085" t="str" cm="1">
        <f t="array" ref="J1085">_xlfn.IFS(I1085=1,"Below College",I1085=2,"College",I1085=3,"Bachelor",I1085=4,"Master",I1085=5,"Doctor")</f>
        <v>Master</v>
      </c>
      <c r="K1085" t="s">
        <v>35</v>
      </c>
      <c r="L1085">
        <v>1534</v>
      </c>
      <c r="M1085">
        <v>4</v>
      </c>
      <c r="N1085" t="str" cm="1">
        <f t="array" ref="N1085">_xlfn.IFS(M1085=1,"Low",M1085=2,"Medium",M1085=3,"High",M1085=4,"Very High")</f>
        <v>Very High</v>
      </c>
      <c r="O1085" t="s">
        <v>42</v>
      </c>
      <c r="P1085" s="2">
        <v>86</v>
      </c>
      <c r="Q1085">
        <v>3</v>
      </c>
      <c r="R1085" t="str" cm="1">
        <f t="array" ref="R1085">_xlfn.IFS(Q1085=1,"Low",Q1085=2,"Medium",Q1085=3,"High",Q1085=4,"Very High")</f>
        <v>High</v>
      </c>
      <c r="S1085">
        <v>1</v>
      </c>
      <c r="T1085" t="str" cm="1">
        <f t="array" ref="T1085">_xlfn.IFS(S1085=1,"Entry Level",S1085=2,"Junior",S1085=3,"Mid-Level",S1085=4,"Senior",S1085=5,"Executive")</f>
        <v>Entry Level</v>
      </c>
      <c r="U1085" t="s">
        <v>46</v>
      </c>
      <c r="V1085">
        <v>1</v>
      </c>
      <c r="W1085" t="str" cm="1">
        <f t="array" ref="W1085">_xlfn.IFS(V1085=1,"Low",V1085=2,"Medium",V1085=3,"High",V1085=4,"Very High")</f>
        <v>Low</v>
      </c>
      <c r="X1085" t="s">
        <v>38</v>
      </c>
      <c r="Y1085" s="2">
        <v>2018</v>
      </c>
      <c r="Z1085" s="2">
        <v>21831</v>
      </c>
      <c r="AA1085">
        <v>3</v>
      </c>
      <c r="AB1085" t="s">
        <v>39</v>
      </c>
      <c r="AC1085">
        <v>14</v>
      </c>
      <c r="AD1085">
        <v>3</v>
      </c>
      <c r="AE1085" t="str" cm="1">
        <f t="array" ref="AE1085">_xlfn.IFS(AD1085=1,"Low",AD1085=2,"Good",AD1085=3,"Excellent",AD1085=4,"Outstanding")</f>
        <v>Excellent</v>
      </c>
      <c r="AF1085">
        <v>2</v>
      </c>
      <c r="AG1085" t="str" cm="1">
        <f t="array" ref="AG1085">_xlfn.IFS(AF1085=1,"Low",AF1085=2,"Medium",AF1085=3,"High",AF1085=4,"Very High")</f>
        <v>Medium</v>
      </c>
      <c r="AH1085">
        <v>0</v>
      </c>
      <c r="AI1085">
        <v>15</v>
      </c>
      <c r="AJ1085">
        <v>3</v>
      </c>
      <c r="AK1085">
        <v>1</v>
      </c>
      <c r="AL1085" t="str" cm="1">
        <f t="array" ref="AL1085">_xlfn.IFS(AK1085=1,"Low",AK1085=2,"Medium",AK1085=3,"High",AK1085=4,"Very High")</f>
        <v>Low</v>
      </c>
      <c r="AM1085">
        <v>5</v>
      </c>
      <c r="AN1085">
        <v>4</v>
      </c>
      <c r="AO1085">
        <v>1</v>
      </c>
      <c r="AP1085">
        <v>0</v>
      </c>
    </row>
    <row r="1086" spans="1:42">
      <c r="A1086">
        <v>34</v>
      </c>
      <c r="B1086" t="str" cm="1">
        <f t="array" ref="B1086">_xlfn.IFS(A1086&lt;=25,"18-25",A1086&lt;=35,"26-35",A1086&lt;=45,"36-45",A1086&lt;=55,"46-55",A1086&gt;55,"56+")</f>
        <v>26-35</v>
      </c>
      <c r="C1086" t="s">
        <v>39</v>
      </c>
      <c r="D1086" t="s">
        <v>33</v>
      </c>
      <c r="E1086" s="2">
        <v>971</v>
      </c>
      <c r="F1086" t="s">
        <v>34</v>
      </c>
      <c r="G1086">
        <v>1</v>
      </c>
      <c r="H1086" t="str">
        <f t="shared" si="16"/>
        <v>1-10 km</v>
      </c>
      <c r="I1086">
        <v>3</v>
      </c>
      <c r="J1086" t="str" cm="1">
        <f t="array" ref="J1086">_xlfn.IFS(I1086=1,"Below College",I1086=2,"College",I1086=3,"Bachelor",I1086=4,"Master",I1086=5,"Doctor")</f>
        <v>Bachelor</v>
      </c>
      <c r="K1086" t="s">
        <v>56</v>
      </c>
      <c r="L1086">
        <v>1535</v>
      </c>
      <c r="M1086">
        <v>4</v>
      </c>
      <c r="N1086" t="str" cm="1">
        <f t="array" ref="N1086">_xlfn.IFS(M1086=1,"Low",M1086=2,"Medium",M1086=3,"High",M1086=4,"Very High")</f>
        <v>Very High</v>
      </c>
      <c r="O1086" t="s">
        <v>42</v>
      </c>
      <c r="P1086" s="2">
        <v>64</v>
      </c>
      <c r="Q1086">
        <v>2</v>
      </c>
      <c r="R1086" t="str" cm="1">
        <f t="array" ref="R1086">_xlfn.IFS(Q1086=1,"Low",Q1086=2,"Medium",Q1086=3,"High",Q1086=4,"Very High")</f>
        <v>Medium</v>
      </c>
      <c r="S1086">
        <v>3</v>
      </c>
      <c r="T1086" t="str" cm="1">
        <f t="array" ref="T1086">_xlfn.IFS(S1086=1,"Entry Level",S1086=2,"Junior",S1086=3,"Mid-Level",S1086=4,"Senior",S1086=5,"Executive")</f>
        <v>Mid-Level</v>
      </c>
      <c r="U1086" t="s">
        <v>37</v>
      </c>
      <c r="V1086">
        <v>3</v>
      </c>
      <c r="W1086" t="str" cm="1">
        <f t="array" ref="W1086">_xlfn.IFS(V1086=1,"Low",V1086=2,"Medium",V1086=3,"High",V1086=4,"Very High")</f>
        <v>High</v>
      </c>
      <c r="X1086" t="s">
        <v>44</v>
      </c>
      <c r="Y1086" s="2">
        <v>7083</v>
      </c>
      <c r="Z1086" s="2">
        <v>12288</v>
      </c>
      <c r="AA1086">
        <v>1</v>
      </c>
      <c r="AB1086" t="s">
        <v>32</v>
      </c>
      <c r="AC1086">
        <v>14</v>
      </c>
      <c r="AD1086">
        <v>3</v>
      </c>
      <c r="AE1086" t="str" cm="1">
        <f t="array" ref="AE1086">_xlfn.IFS(AD1086=1,"Low",AD1086=2,"Good",AD1086=3,"Excellent",AD1086=4,"Outstanding")</f>
        <v>Excellent</v>
      </c>
      <c r="AF1086">
        <v>4</v>
      </c>
      <c r="AG1086" t="str" cm="1">
        <f t="array" ref="AG1086">_xlfn.IFS(AF1086=1,"Low",AF1086=2,"Medium",AF1086=3,"High",AF1086=4,"Very High")</f>
        <v>Very High</v>
      </c>
      <c r="AH1086">
        <v>0</v>
      </c>
      <c r="AI1086">
        <v>10</v>
      </c>
      <c r="AJ1086">
        <v>3</v>
      </c>
      <c r="AK1086">
        <v>3</v>
      </c>
      <c r="AL1086" t="str" cm="1">
        <f t="array" ref="AL1086">_xlfn.IFS(AK1086=1,"Low",AK1086=2,"Medium",AK1086=3,"High",AK1086=4,"Very High")</f>
        <v>High</v>
      </c>
      <c r="AM1086">
        <v>10</v>
      </c>
      <c r="AN1086">
        <v>9</v>
      </c>
      <c r="AO1086">
        <v>8</v>
      </c>
      <c r="AP1086">
        <v>6</v>
      </c>
    </row>
    <row r="1087" spans="1:42">
      <c r="A1087">
        <v>31</v>
      </c>
      <c r="B1087" t="str" cm="1">
        <f t="array" ref="B1087">_xlfn.IFS(A1087&lt;=25,"18-25",A1087&lt;=35,"26-35",A1087&lt;=45,"36-45",A1087&lt;=55,"46-55",A1087&gt;55,"56+")</f>
        <v>26-35</v>
      </c>
      <c r="C1087" t="s">
        <v>32</v>
      </c>
      <c r="D1087" t="s">
        <v>40</v>
      </c>
      <c r="E1087" s="2">
        <v>561</v>
      </c>
      <c r="F1087" t="s">
        <v>41</v>
      </c>
      <c r="G1087">
        <v>3</v>
      </c>
      <c r="H1087" t="str">
        <f t="shared" si="16"/>
        <v>1-10 km</v>
      </c>
      <c r="I1087">
        <v>3</v>
      </c>
      <c r="J1087" t="str" cm="1">
        <f t="array" ref="J1087">_xlfn.IFS(I1087=1,"Below College",I1087=2,"College",I1087=3,"Bachelor",I1087=4,"Master",I1087=5,"Doctor")</f>
        <v>Bachelor</v>
      </c>
      <c r="K1087" t="s">
        <v>35</v>
      </c>
      <c r="L1087">
        <v>1537</v>
      </c>
      <c r="M1087">
        <v>4</v>
      </c>
      <c r="N1087" t="str" cm="1">
        <f t="array" ref="N1087">_xlfn.IFS(M1087=1,"Low",M1087=2,"Medium",M1087=3,"High",M1087=4,"Very High")</f>
        <v>Very High</v>
      </c>
      <c r="O1087" t="s">
        <v>36</v>
      </c>
      <c r="P1087" s="2">
        <v>33</v>
      </c>
      <c r="Q1087">
        <v>3</v>
      </c>
      <c r="R1087" t="str" cm="1">
        <f t="array" ref="R1087">_xlfn.IFS(Q1087=1,"Low",Q1087=2,"Medium",Q1087=3,"High",Q1087=4,"Very High")</f>
        <v>High</v>
      </c>
      <c r="S1087">
        <v>1</v>
      </c>
      <c r="T1087" t="str" cm="1">
        <f t="array" ref="T1087">_xlfn.IFS(S1087=1,"Entry Level",S1087=2,"Junior",S1087=3,"Mid-Level",S1087=4,"Senior",S1087=5,"Executive")</f>
        <v>Entry Level</v>
      </c>
      <c r="U1087" t="s">
        <v>43</v>
      </c>
      <c r="V1087">
        <v>3</v>
      </c>
      <c r="W1087" t="str" cm="1">
        <f t="array" ref="W1087">_xlfn.IFS(V1087=1,"Low",V1087=2,"Medium",V1087=3,"High",V1087=4,"Very High")</f>
        <v>High</v>
      </c>
      <c r="X1087" t="s">
        <v>38</v>
      </c>
      <c r="Y1087" s="2">
        <v>4084</v>
      </c>
      <c r="Z1087" s="2">
        <v>4156</v>
      </c>
      <c r="AA1087">
        <v>1</v>
      </c>
      <c r="AB1087" t="s">
        <v>39</v>
      </c>
      <c r="AC1087">
        <v>12</v>
      </c>
      <c r="AD1087">
        <v>3</v>
      </c>
      <c r="AE1087" t="str" cm="1">
        <f t="array" ref="AE1087">_xlfn.IFS(AD1087=1,"Low",AD1087=2,"Good",AD1087=3,"Excellent",AD1087=4,"Outstanding")</f>
        <v>Excellent</v>
      </c>
      <c r="AF1087">
        <v>1</v>
      </c>
      <c r="AG1087" t="str" cm="1">
        <f t="array" ref="AG1087">_xlfn.IFS(AF1087=1,"Low",AF1087=2,"Medium",AF1087=3,"High",AF1087=4,"Very High")</f>
        <v>Low</v>
      </c>
      <c r="AH1087">
        <v>0</v>
      </c>
      <c r="AI1087">
        <v>7</v>
      </c>
      <c r="AJ1087">
        <v>2</v>
      </c>
      <c r="AK1087">
        <v>1</v>
      </c>
      <c r="AL1087" t="str" cm="1">
        <f t="array" ref="AL1087">_xlfn.IFS(AK1087=1,"Low",AK1087=2,"Medium",AK1087=3,"High",AK1087=4,"Very High")</f>
        <v>Low</v>
      </c>
      <c r="AM1087">
        <v>7</v>
      </c>
      <c r="AN1087">
        <v>2</v>
      </c>
      <c r="AO1087">
        <v>7</v>
      </c>
      <c r="AP1087">
        <v>7</v>
      </c>
    </row>
    <row r="1088" spans="1:42">
      <c r="A1088">
        <v>50</v>
      </c>
      <c r="B1088" t="str" cm="1">
        <f t="array" ref="B1088">_xlfn.IFS(A1088&lt;=25,"18-25",A1088&lt;=35,"26-35",A1088&lt;=45,"36-45",A1088&lt;=55,"46-55",A1088&gt;55,"56+")</f>
        <v>46-55</v>
      </c>
      <c r="C1088" t="s">
        <v>39</v>
      </c>
      <c r="D1088" t="s">
        <v>40</v>
      </c>
      <c r="E1088" s="2">
        <v>333</v>
      </c>
      <c r="F1088" t="s">
        <v>41</v>
      </c>
      <c r="G1088">
        <v>22</v>
      </c>
      <c r="H1088" t="str">
        <f t="shared" si="16"/>
        <v>21-30 km</v>
      </c>
      <c r="I1088">
        <v>5</v>
      </c>
      <c r="J1088" t="str" cm="1">
        <f t="array" ref="J1088">_xlfn.IFS(I1088=1,"Below College",I1088=2,"College",I1088=3,"Bachelor",I1088=4,"Master",I1088=5,"Doctor")</f>
        <v>Doctor</v>
      </c>
      <c r="K1088" t="s">
        <v>47</v>
      </c>
      <c r="L1088">
        <v>1539</v>
      </c>
      <c r="M1088">
        <v>3</v>
      </c>
      <c r="N1088" t="str" cm="1">
        <f t="array" ref="N1088">_xlfn.IFS(M1088=1,"Low",M1088=2,"Medium",M1088=3,"High",M1088=4,"Very High")</f>
        <v>High</v>
      </c>
      <c r="O1088" t="s">
        <v>42</v>
      </c>
      <c r="P1088" s="2">
        <v>88</v>
      </c>
      <c r="Q1088">
        <v>1</v>
      </c>
      <c r="R1088" t="str" cm="1">
        <f t="array" ref="R1088">_xlfn.IFS(Q1088=1,"Low",Q1088=2,"Medium",Q1088=3,"High",Q1088=4,"Very High")</f>
        <v>Low</v>
      </c>
      <c r="S1088">
        <v>4</v>
      </c>
      <c r="T1088" t="str" cm="1">
        <f t="array" ref="T1088">_xlfn.IFS(S1088=1,"Entry Level",S1088=2,"Junior",S1088=3,"Mid-Level",S1088=4,"Senior",S1088=5,"Executive")</f>
        <v>Senior</v>
      </c>
      <c r="U1088" t="s">
        <v>54</v>
      </c>
      <c r="V1088">
        <v>4</v>
      </c>
      <c r="W1088" t="str" cm="1">
        <f t="array" ref="W1088">_xlfn.IFS(V1088=1,"Low",V1088=2,"Medium",V1088=3,"High",V1088=4,"Very High")</f>
        <v>Very High</v>
      </c>
      <c r="X1088" t="s">
        <v>38</v>
      </c>
      <c r="Y1088" s="2">
        <v>14411</v>
      </c>
      <c r="Z1088" s="2">
        <v>24450</v>
      </c>
      <c r="AA1088">
        <v>1</v>
      </c>
      <c r="AB1088" t="s">
        <v>32</v>
      </c>
      <c r="AC1088">
        <v>13</v>
      </c>
      <c r="AD1088">
        <v>3</v>
      </c>
      <c r="AE1088" t="str" cm="1">
        <f t="array" ref="AE1088">_xlfn.IFS(AD1088=1,"Low",AD1088=2,"Good",AD1088=3,"Excellent",AD1088=4,"Outstanding")</f>
        <v>Excellent</v>
      </c>
      <c r="AF1088">
        <v>4</v>
      </c>
      <c r="AG1088" t="str" cm="1">
        <f t="array" ref="AG1088">_xlfn.IFS(AF1088=1,"Low",AF1088=2,"Medium",AF1088=3,"High",AF1088=4,"Very High")</f>
        <v>Very High</v>
      </c>
      <c r="AH1088">
        <v>0</v>
      </c>
      <c r="AI1088">
        <v>32</v>
      </c>
      <c r="AJ1088">
        <v>2</v>
      </c>
      <c r="AK1088">
        <v>3</v>
      </c>
      <c r="AL1088" t="str" cm="1">
        <f t="array" ref="AL1088">_xlfn.IFS(AK1088=1,"Low",AK1088=2,"Medium",AK1088=3,"High",AK1088=4,"Very High")</f>
        <v>High</v>
      </c>
      <c r="AM1088">
        <v>32</v>
      </c>
      <c r="AN1088">
        <v>6</v>
      </c>
      <c r="AO1088">
        <v>13</v>
      </c>
      <c r="AP1088">
        <v>9</v>
      </c>
    </row>
    <row r="1089" spans="1:42">
      <c r="A1089">
        <v>34</v>
      </c>
      <c r="B1089" t="str" cm="1">
        <f t="array" ref="B1089">_xlfn.IFS(A1089&lt;=25,"18-25",A1089&lt;=35,"26-35",A1089&lt;=45,"36-45",A1089&lt;=55,"46-55",A1089&gt;55,"56+")</f>
        <v>26-35</v>
      </c>
      <c r="C1089" t="s">
        <v>39</v>
      </c>
      <c r="D1089" t="s">
        <v>33</v>
      </c>
      <c r="E1089" s="2">
        <v>1440</v>
      </c>
      <c r="F1089" t="s">
        <v>34</v>
      </c>
      <c r="G1089">
        <v>7</v>
      </c>
      <c r="H1089" t="str">
        <f t="shared" si="16"/>
        <v>1-10 km</v>
      </c>
      <c r="I1089">
        <v>2</v>
      </c>
      <c r="J1089" t="str" cm="1">
        <f t="array" ref="J1089">_xlfn.IFS(I1089=1,"Below College",I1089=2,"College",I1089=3,"Bachelor",I1089=4,"Master",I1089=5,"Doctor")</f>
        <v>College</v>
      </c>
      <c r="K1089" t="s">
        <v>56</v>
      </c>
      <c r="L1089">
        <v>1541</v>
      </c>
      <c r="M1089">
        <v>2</v>
      </c>
      <c r="N1089" t="str" cm="1">
        <f t="array" ref="N1089">_xlfn.IFS(M1089=1,"Low",M1089=2,"Medium",M1089=3,"High",M1089=4,"Very High")</f>
        <v>Medium</v>
      </c>
      <c r="O1089" t="s">
        <v>42</v>
      </c>
      <c r="P1089" s="2">
        <v>55</v>
      </c>
      <c r="Q1089">
        <v>3</v>
      </c>
      <c r="R1089" t="str" cm="1">
        <f t="array" ref="R1089">_xlfn.IFS(Q1089=1,"Low",Q1089=2,"Medium",Q1089=3,"High",Q1089=4,"Very High")</f>
        <v>High</v>
      </c>
      <c r="S1089">
        <v>1</v>
      </c>
      <c r="T1089" t="str" cm="1">
        <f t="array" ref="T1089">_xlfn.IFS(S1089=1,"Entry Level",S1089=2,"Junior",S1089=3,"Mid-Level",S1089=4,"Senior",S1089=5,"Executive")</f>
        <v>Entry Level</v>
      </c>
      <c r="U1089" t="s">
        <v>53</v>
      </c>
      <c r="V1089">
        <v>3</v>
      </c>
      <c r="W1089" t="str" cm="1">
        <f t="array" ref="W1089">_xlfn.IFS(V1089=1,"Low",V1089=2,"Medium",V1089=3,"High",V1089=4,"Very High")</f>
        <v>High</v>
      </c>
      <c r="X1089" t="s">
        <v>44</v>
      </c>
      <c r="Y1089" s="2">
        <v>2308</v>
      </c>
      <c r="Z1089" s="2">
        <v>4944</v>
      </c>
      <c r="AA1089">
        <v>0</v>
      </c>
      <c r="AB1089" t="s">
        <v>32</v>
      </c>
      <c r="AC1089">
        <v>25</v>
      </c>
      <c r="AD1089">
        <v>4</v>
      </c>
      <c r="AE1089" t="str" cm="1">
        <f t="array" ref="AE1089">_xlfn.IFS(AD1089=1,"Low",AD1089=2,"Good",AD1089=3,"Excellent",AD1089=4,"Outstanding")</f>
        <v>Outstanding</v>
      </c>
      <c r="AF1089">
        <v>2</v>
      </c>
      <c r="AG1089" t="str" cm="1">
        <f t="array" ref="AG1089">_xlfn.IFS(AF1089=1,"Low",AF1089=2,"Medium",AF1089=3,"High",AF1089=4,"Very High")</f>
        <v>Medium</v>
      </c>
      <c r="AH1089">
        <v>1</v>
      </c>
      <c r="AI1089">
        <v>12</v>
      </c>
      <c r="AJ1089">
        <v>4</v>
      </c>
      <c r="AK1089">
        <v>3</v>
      </c>
      <c r="AL1089" t="str" cm="1">
        <f t="array" ref="AL1089">_xlfn.IFS(AK1089=1,"Low",AK1089=2,"Medium",AK1089=3,"High",AK1089=4,"Very High")</f>
        <v>High</v>
      </c>
      <c r="AM1089">
        <v>11</v>
      </c>
      <c r="AN1089">
        <v>10</v>
      </c>
      <c r="AO1089">
        <v>5</v>
      </c>
      <c r="AP1089">
        <v>7</v>
      </c>
    </row>
    <row r="1090" spans="1:42">
      <c r="A1090">
        <v>42</v>
      </c>
      <c r="B1090" t="str" cm="1">
        <f t="array" ref="B1090">_xlfn.IFS(A1090&lt;=25,"18-25",A1090&lt;=35,"26-35",A1090&lt;=45,"36-45",A1090&lt;=55,"46-55",A1090&gt;55,"56+")</f>
        <v>36-45</v>
      </c>
      <c r="C1090" t="s">
        <v>39</v>
      </c>
      <c r="D1090" t="s">
        <v>33</v>
      </c>
      <c r="E1090" s="2">
        <v>1210</v>
      </c>
      <c r="F1090" t="s">
        <v>41</v>
      </c>
      <c r="G1090">
        <v>2</v>
      </c>
      <c r="H1090" t="str">
        <f t="shared" si="16"/>
        <v>1-10 km</v>
      </c>
      <c r="I1090">
        <v>3</v>
      </c>
      <c r="J1090" t="str" cm="1">
        <f t="array" ref="J1090">_xlfn.IFS(I1090=1,"Below College",I1090=2,"College",I1090=3,"Bachelor",I1090=4,"Master",I1090=5,"Doctor")</f>
        <v>Bachelor</v>
      </c>
      <c r="K1090" t="s">
        <v>47</v>
      </c>
      <c r="L1090">
        <v>1542</v>
      </c>
      <c r="M1090">
        <v>3</v>
      </c>
      <c r="N1090" t="str" cm="1">
        <f t="array" ref="N1090">_xlfn.IFS(M1090=1,"Low",M1090=2,"Medium",M1090=3,"High",M1090=4,"Very High")</f>
        <v>High</v>
      </c>
      <c r="O1090" t="s">
        <v>42</v>
      </c>
      <c r="P1090" s="2">
        <v>68</v>
      </c>
      <c r="Q1090">
        <v>2</v>
      </c>
      <c r="R1090" t="str" cm="1">
        <f t="array" ref="R1090">_xlfn.IFS(Q1090=1,"Low",Q1090=2,"Medium",Q1090=3,"High",Q1090=4,"Very High")</f>
        <v>Medium</v>
      </c>
      <c r="S1090">
        <v>1</v>
      </c>
      <c r="T1090" t="str" cm="1">
        <f t="array" ref="T1090">_xlfn.IFS(S1090=1,"Entry Level",S1090=2,"Junior",S1090=3,"Mid-Level",S1090=4,"Senior",S1090=5,"Executive")</f>
        <v>Entry Level</v>
      </c>
      <c r="U1090" t="s">
        <v>46</v>
      </c>
      <c r="V1090">
        <v>2</v>
      </c>
      <c r="W1090" t="str" cm="1">
        <f t="array" ref="W1090">_xlfn.IFS(V1090=1,"Low",V1090=2,"Medium",V1090=3,"High",V1090=4,"Very High")</f>
        <v>Medium</v>
      </c>
      <c r="X1090" t="s">
        <v>44</v>
      </c>
      <c r="Y1090" s="2">
        <v>4841</v>
      </c>
      <c r="Z1090" s="2">
        <v>24052</v>
      </c>
      <c r="AA1090">
        <v>4</v>
      </c>
      <c r="AB1090" t="s">
        <v>39</v>
      </c>
      <c r="AC1090">
        <v>14</v>
      </c>
      <c r="AD1090">
        <v>3</v>
      </c>
      <c r="AE1090" t="str" cm="1">
        <f t="array" ref="AE1090">_xlfn.IFS(AD1090=1,"Low",AD1090=2,"Good",AD1090=3,"Excellent",AD1090=4,"Outstanding")</f>
        <v>Excellent</v>
      </c>
      <c r="AF1090">
        <v>2</v>
      </c>
      <c r="AG1090" t="str" cm="1">
        <f t="array" ref="AG1090">_xlfn.IFS(AF1090=1,"Low",AF1090=2,"Medium",AF1090=3,"High",AF1090=4,"Very High")</f>
        <v>Medium</v>
      </c>
      <c r="AH1090">
        <v>1</v>
      </c>
      <c r="AI1090">
        <v>4</v>
      </c>
      <c r="AJ1090">
        <v>3</v>
      </c>
      <c r="AK1090">
        <v>3</v>
      </c>
      <c r="AL1090" t="str" cm="1">
        <f t="array" ref="AL1090">_xlfn.IFS(AK1090=1,"Low",AK1090=2,"Medium",AK1090=3,"High",AK1090=4,"Very High")</f>
        <v>High</v>
      </c>
      <c r="AM1090">
        <v>1</v>
      </c>
      <c r="AN1090">
        <v>0</v>
      </c>
      <c r="AO1090">
        <v>0</v>
      </c>
      <c r="AP1090">
        <v>0</v>
      </c>
    </row>
    <row r="1091" spans="1:42">
      <c r="A1091">
        <v>37</v>
      </c>
      <c r="B1091" t="str" cm="1">
        <f t="array" ref="B1091">_xlfn.IFS(A1091&lt;=25,"18-25",A1091&lt;=35,"26-35",A1091&lt;=45,"36-45",A1091&lt;=55,"46-55",A1091&gt;55,"56+")</f>
        <v>36-45</v>
      </c>
      <c r="C1091" t="s">
        <v>39</v>
      </c>
      <c r="D1091" t="s">
        <v>33</v>
      </c>
      <c r="E1091" s="2">
        <v>674</v>
      </c>
      <c r="F1091" t="s">
        <v>41</v>
      </c>
      <c r="G1091">
        <v>13</v>
      </c>
      <c r="H1091" t="str">
        <f t="shared" ref="H1091:H1154" si="17">IF(G1091&lt;=10,"1-10 km",IF(G1091&lt;=20,"11-20 km",IF(G1091&lt;=30,"21-30 km","31+ km")))</f>
        <v>11-20 km</v>
      </c>
      <c r="I1091">
        <v>3</v>
      </c>
      <c r="J1091" t="str" cm="1">
        <f t="array" ref="J1091">_xlfn.IFS(I1091=1,"Below College",I1091=2,"College",I1091=3,"Bachelor",I1091=4,"Master",I1091=5,"Doctor")</f>
        <v>Bachelor</v>
      </c>
      <c r="K1091" t="s">
        <v>47</v>
      </c>
      <c r="L1091">
        <v>1543</v>
      </c>
      <c r="M1091">
        <v>1</v>
      </c>
      <c r="N1091" t="str" cm="1">
        <f t="array" ref="N1091">_xlfn.IFS(M1091=1,"Low",M1091=2,"Medium",M1091=3,"High",M1091=4,"Very High")</f>
        <v>Low</v>
      </c>
      <c r="O1091" t="s">
        <v>42</v>
      </c>
      <c r="P1091" s="2">
        <v>47</v>
      </c>
      <c r="Q1091">
        <v>3</v>
      </c>
      <c r="R1091" t="str" cm="1">
        <f t="array" ref="R1091">_xlfn.IFS(Q1091=1,"Low",Q1091=2,"Medium",Q1091=3,"High",Q1091=4,"Very High")</f>
        <v>High</v>
      </c>
      <c r="S1091">
        <v>2</v>
      </c>
      <c r="T1091" t="str" cm="1">
        <f t="array" ref="T1091">_xlfn.IFS(S1091=1,"Entry Level",S1091=2,"Junior",S1091=3,"Mid-Level",S1091=4,"Senior",S1091=5,"Executive")</f>
        <v>Junior</v>
      </c>
      <c r="U1091" t="s">
        <v>43</v>
      </c>
      <c r="V1091">
        <v>4</v>
      </c>
      <c r="W1091" t="str" cm="1">
        <f t="array" ref="W1091">_xlfn.IFS(V1091=1,"Low",V1091=2,"Medium",V1091=3,"High",V1091=4,"Very High")</f>
        <v>Very High</v>
      </c>
      <c r="X1091" t="s">
        <v>44</v>
      </c>
      <c r="Y1091" s="2">
        <v>4285</v>
      </c>
      <c r="Z1091" s="2">
        <v>3031</v>
      </c>
      <c r="AA1091">
        <v>1</v>
      </c>
      <c r="AB1091" t="s">
        <v>39</v>
      </c>
      <c r="AC1091">
        <v>17</v>
      </c>
      <c r="AD1091">
        <v>3</v>
      </c>
      <c r="AE1091" t="str" cm="1">
        <f t="array" ref="AE1091">_xlfn.IFS(AD1091=1,"Low",AD1091=2,"Good",AD1091=3,"Excellent",AD1091=4,"Outstanding")</f>
        <v>Excellent</v>
      </c>
      <c r="AF1091">
        <v>1</v>
      </c>
      <c r="AG1091" t="str" cm="1">
        <f t="array" ref="AG1091">_xlfn.IFS(AF1091=1,"Low",AF1091=2,"Medium",AF1091=3,"High",AF1091=4,"Very High")</f>
        <v>Low</v>
      </c>
      <c r="AH1091">
        <v>0</v>
      </c>
      <c r="AI1091">
        <v>10</v>
      </c>
      <c r="AJ1091">
        <v>2</v>
      </c>
      <c r="AK1091">
        <v>3</v>
      </c>
      <c r="AL1091" t="str" cm="1">
        <f t="array" ref="AL1091">_xlfn.IFS(AK1091=1,"Low",AK1091=2,"Medium",AK1091=3,"High",AK1091=4,"Very High")</f>
        <v>High</v>
      </c>
      <c r="AM1091">
        <v>10</v>
      </c>
      <c r="AN1091">
        <v>8</v>
      </c>
      <c r="AO1091">
        <v>3</v>
      </c>
      <c r="AP1091">
        <v>7</v>
      </c>
    </row>
    <row r="1092" spans="1:42">
      <c r="A1092">
        <v>29</v>
      </c>
      <c r="B1092" t="str" cm="1">
        <f t="array" ref="B1092">_xlfn.IFS(A1092&lt;=25,"18-25",A1092&lt;=35,"26-35",A1092&lt;=45,"36-45",A1092&lt;=55,"46-55",A1092&gt;55,"56+")</f>
        <v>26-35</v>
      </c>
      <c r="C1092" t="s">
        <v>39</v>
      </c>
      <c r="D1092" t="s">
        <v>33</v>
      </c>
      <c r="E1092" s="2">
        <v>441</v>
      </c>
      <c r="F1092" t="s">
        <v>41</v>
      </c>
      <c r="G1092">
        <v>8</v>
      </c>
      <c r="H1092" t="str">
        <f t="shared" si="17"/>
        <v>1-10 km</v>
      </c>
      <c r="I1092">
        <v>1</v>
      </c>
      <c r="J1092" t="str" cm="1">
        <f t="array" ref="J1092">_xlfn.IFS(I1092=1,"Below College",I1092=2,"College",I1092=3,"Bachelor",I1092=4,"Master",I1092=5,"Doctor")</f>
        <v>Below College</v>
      </c>
      <c r="K1092" t="s">
        <v>45</v>
      </c>
      <c r="L1092">
        <v>1544</v>
      </c>
      <c r="M1092">
        <v>3</v>
      </c>
      <c r="N1092" t="str" cm="1">
        <f t="array" ref="N1092">_xlfn.IFS(M1092=1,"Low",M1092=2,"Medium",M1092=3,"High",M1092=4,"Very High")</f>
        <v>High</v>
      </c>
      <c r="O1092" t="s">
        <v>36</v>
      </c>
      <c r="P1092" s="2">
        <v>39</v>
      </c>
      <c r="Q1092">
        <v>1</v>
      </c>
      <c r="R1092" t="str" cm="1">
        <f t="array" ref="R1092">_xlfn.IFS(Q1092=1,"Low",Q1092=2,"Medium",Q1092=3,"High",Q1092=4,"Very High")</f>
        <v>Low</v>
      </c>
      <c r="S1092">
        <v>2</v>
      </c>
      <c r="T1092" t="str" cm="1">
        <f t="array" ref="T1092">_xlfn.IFS(S1092=1,"Entry Level",S1092=2,"Junior",S1092=3,"Mid-Level",S1092=4,"Senior",S1092=5,"Executive")</f>
        <v>Junior</v>
      </c>
      <c r="U1092" t="s">
        <v>50</v>
      </c>
      <c r="V1092">
        <v>1</v>
      </c>
      <c r="W1092" t="str" cm="1">
        <f t="array" ref="W1092">_xlfn.IFS(V1092=1,"Low",V1092=2,"Medium",V1092=3,"High",V1092=4,"Very High")</f>
        <v>Low</v>
      </c>
      <c r="X1092" t="s">
        <v>44</v>
      </c>
      <c r="Y1092" s="2">
        <v>9715</v>
      </c>
      <c r="Z1092" s="2">
        <v>7288</v>
      </c>
      <c r="AA1092">
        <v>3</v>
      </c>
      <c r="AB1092" t="s">
        <v>39</v>
      </c>
      <c r="AC1092">
        <v>13</v>
      </c>
      <c r="AD1092">
        <v>3</v>
      </c>
      <c r="AE1092" t="str" cm="1">
        <f t="array" ref="AE1092">_xlfn.IFS(AD1092=1,"Low",AD1092=2,"Good",AD1092=3,"Excellent",AD1092=4,"Outstanding")</f>
        <v>Excellent</v>
      </c>
      <c r="AF1092">
        <v>3</v>
      </c>
      <c r="AG1092" t="str" cm="1">
        <f t="array" ref="AG1092">_xlfn.IFS(AF1092=1,"Low",AF1092=2,"Medium",AF1092=3,"High",AF1092=4,"Very High")</f>
        <v>High</v>
      </c>
      <c r="AH1092">
        <v>1</v>
      </c>
      <c r="AI1092">
        <v>9</v>
      </c>
      <c r="AJ1092">
        <v>3</v>
      </c>
      <c r="AK1092">
        <v>3</v>
      </c>
      <c r="AL1092" t="str" cm="1">
        <f t="array" ref="AL1092">_xlfn.IFS(AK1092=1,"Low",AK1092=2,"Medium",AK1092=3,"High",AK1092=4,"Very High")</f>
        <v>High</v>
      </c>
      <c r="AM1092">
        <v>7</v>
      </c>
      <c r="AN1092">
        <v>7</v>
      </c>
      <c r="AO1092">
        <v>0</v>
      </c>
      <c r="AP1092">
        <v>7</v>
      </c>
    </row>
    <row r="1093" spans="1:42">
      <c r="A1093">
        <v>33</v>
      </c>
      <c r="B1093" t="str" cm="1">
        <f t="array" ref="B1093">_xlfn.IFS(A1093&lt;=25,"18-25",A1093&lt;=35,"26-35",A1093&lt;=45,"36-45",A1093&lt;=55,"46-55",A1093&gt;55,"56+")</f>
        <v>26-35</v>
      </c>
      <c r="C1093" t="s">
        <v>39</v>
      </c>
      <c r="D1093" t="s">
        <v>33</v>
      </c>
      <c r="E1093" s="2">
        <v>575</v>
      </c>
      <c r="F1093" t="s">
        <v>41</v>
      </c>
      <c r="G1093">
        <v>25</v>
      </c>
      <c r="H1093" t="str">
        <f t="shared" si="17"/>
        <v>21-30 km</v>
      </c>
      <c r="I1093">
        <v>3</v>
      </c>
      <c r="J1093" t="str" cm="1">
        <f t="array" ref="J1093">_xlfn.IFS(I1093=1,"Below College",I1093=2,"College",I1093=3,"Bachelor",I1093=4,"Master",I1093=5,"Doctor")</f>
        <v>Bachelor</v>
      </c>
      <c r="K1093" t="s">
        <v>35</v>
      </c>
      <c r="L1093">
        <v>1545</v>
      </c>
      <c r="M1093">
        <v>4</v>
      </c>
      <c r="N1093" t="str" cm="1">
        <f t="array" ref="N1093">_xlfn.IFS(M1093=1,"Low",M1093=2,"Medium",M1093=3,"High",M1093=4,"Very High")</f>
        <v>Very High</v>
      </c>
      <c r="O1093" t="s">
        <v>42</v>
      </c>
      <c r="P1093" s="2">
        <v>44</v>
      </c>
      <c r="Q1093">
        <v>2</v>
      </c>
      <c r="R1093" t="str" cm="1">
        <f t="array" ref="R1093">_xlfn.IFS(Q1093=1,"Low",Q1093=2,"Medium",Q1093=3,"High",Q1093=4,"Very High")</f>
        <v>Medium</v>
      </c>
      <c r="S1093">
        <v>2</v>
      </c>
      <c r="T1093" t="str" cm="1">
        <f t="array" ref="T1093">_xlfn.IFS(S1093=1,"Entry Level",S1093=2,"Junior",S1093=3,"Mid-Level",S1093=4,"Senior",S1093=5,"Executive")</f>
        <v>Junior</v>
      </c>
      <c r="U1093" t="s">
        <v>49</v>
      </c>
      <c r="V1093">
        <v>2</v>
      </c>
      <c r="W1093" t="str" cm="1">
        <f t="array" ref="W1093">_xlfn.IFS(V1093=1,"Low",V1093=2,"Medium",V1093=3,"High",V1093=4,"Very High")</f>
        <v>Medium</v>
      </c>
      <c r="X1093" t="s">
        <v>38</v>
      </c>
      <c r="Y1093" s="2">
        <v>4320</v>
      </c>
      <c r="Z1093" s="2">
        <v>24152</v>
      </c>
      <c r="AA1093">
        <v>1</v>
      </c>
      <c r="AB1093" t="s">
        <v>39</v>
      </c>
      <c r="AC1093">
        <v>13</v>
      </c>
      <c r="AD1093">
        <v>3</v>
      </c>
      <c r="AE1093" t="str" cm="1">
        <f t="array" ref="AE1093">_xlfn.IFS(AD1093=1,"Low",AD1093=2,"Good",AD1093=3,"Excellent",AD1093=4,"Outstanding")</f>
        <v>Excellent</v>
      </c>
      <c r="AF1093">
        <v>4</v>
      </c>
      <c r="AG1093" t="str" cm="1">
        <f t="array" ref="AG1093">_xlfn.IFS(AF1093=1,"Low",AF1093=2,"Medium",AF1093=3,"High",AF1093=4,"Very High")</f>
        <v>Very High</v>
      </c>
      <c r="AH1093">
        <v>0</v>
      </c>
      <c r="AI1093">
        <v>5</v>
      </c>
      <c r="AJ1093">
        <v>2</v>
      </c>
      <c r="AK1093">
        <v>3</v>
      </c>
      <c r="AL1093" t="str" cm="1">
        <f t="array" ref="AL1093">_xlfn.IFS(AK1093=1,"Low",AK1093=2,"Medium",AK1093=3,"High",AK1093=4,"Very High")</f>
        <v>High</v>
      </c>
      <c r="AM1093">
        <v>5</v>
      </c>
      <c r="AN1093">
        <v>3</v>
      </c>
      <c r="AO1093">
        <v>0</v>
      </c>
      <c r="AP1093">
        <v>2</v>
      </c>
    </row>
    <row r="1094" spans="1:42">
      <c r="A1094">
        <v>45</v>
      </c>
      <c r="B1094" t="str" cm="1">
        <f t="array" ref="B1094">_xlfn.IFS(A1094&lt;=25,"18-25",A1094&lt;=35,"26-35",A1094&lt;=45,"36-45",A1094&lt;=55,"46-55",A1094&gt;55,"56+")</f>
        <v>36-45</v>
      </c>
      <c r="C1094" t="s">
        <v>39</v>
      </c>
      <c r="D1094" t="s">
        <v>33</v>
      </c>
      <c r="E1094" s="2">
        <v>950</v>
      </c>
      <c r="F1094" t="s">
        <v>41</v>
      </c>
      <c r="G1094">
        <v>28</v>
      </c>
      <c r="H1094" t="str">
        <f t="shared" si="17"/>
        <v>21-30 km</v>
      </c>
      <c r="I1094">
        <v>3</v>
      </c>
      <c r="J1094" t="str" cm="1">
        <f t="array" ref="J1094">_xlfn.IFS(I1094=1,"Below College",I1094=2,"College",I1094=3,"Bachelor",I1094=4,"Master",I1094=5,"Doctor")</f>
        <v>Bachelor</v>
      </c>
      <c r="K1094" t="s">
        <v>56</v>
      </c>
      <c r="L1094">
        <v>1546</v>
      </c>
      <c r="M1094">
        <v>4</v>
      </c>
      <c r="N1094" t="str" cm="1">
        <f t="array" ref="N1094">_xlfn.IFS(M1094=1,"Low",M1094=2,"Medium",M1094=3,"High",M1094=4,"Very High")</f>
        <v>Very High</v>
      </c>
      <c r="O1094" t="s">
        <v>42</v>
      </c>
      <c r="P1094" s="2">
        <v>97</v>
      </c>
      <c r="Q1094">
        <v>3</v>
      </c>
      <c r="R1094" t="str" cm="1">
        <f t="array" ref="R1094">_xlfn.IFS(Q1094=1,"Low",Q1094=2,"Medium",Q1094=3,"High",Q1094=4,"Very High")</f>
        <v>High</v>
      </c>
      <c r="S1094">
        <v>1</v>
      </c>
      <c r="T1094" t="str" cm="1">
        <f t="array" ref="T1094">_xlfn.IFS(S1094=1,"Entry Level",S1094=2,"Junior",S1094=3,"Mid-Level",S1094=4,"Senior",S1094=5,"Executive")</f>
        <v>Entry Level</v>
      </c>
      <c r="U1094" t="s">
        <v>43</v>
      </c>
      <c r="V1094">
        <v>4</v>
      </c>
      <c r="W1094" t="str" cm="1">
        <f t="array" ref="W1094">_xlfn.IFS(V1094=1,"Low",V1094=2,"Medium",V1094=3,"High",V1094=4,"Very High")</f>
        <v>Very High</v>
      </c>
      <c r="X1094" t="s">
        <v>44</v>
      </c>
      <c r="Y1094" s="2">
        <v>2132</v>
      </c>
      <c r="Z1094" s="2">
        <v>4585</v>
      </c>
      <c r="AA1094">
        <v>4</v>
      </c>
      <c r="AB1094" t="s">
        <v>39</v>
      </c>
      <c r="AC1094">
        <v>20</v>
      </c>
      <c r="AD1094">
        <v>4</v>
      </c>
      <c r="AE1094" t="str" cm="1">
        <f t="array" ref="AE1094">_xlfn.IFS(AD1094=1,"Low",AD1094=2,"Good",AD1094=3,"Excellent",AD1094=4,"Outstanding")</f>
        <v>Outstanding</v>
      </c>
      <c r="AF1094">
        <v>4</v>
      </c>
      <c r="AG1094" t="str" cm="1">
        <f t="array" ref="AG1094">_xlfn.IFS(AF1094=1,"Low",AF1094=2,"Medium",AF1094=3,"High",AF1094=4,"Very High")</f>
        <v>Very High</v>
      </c>
      <c r="AH1094">
        <v>1</v>
      </c>
      <c r="AI1094">
        <v>8</v>
      </c>
      <c r="AJ1094">
        <v>3</v>
      </c>
      <c r="AK1094">
        <v>3</v>
      </c>
      <c r="AL1094" t="str" cm="1">
        <f t="array" ref="AL1094">_xlfn.IFS(AK1094=1,"Low",AK1094=2,"Medium",AK1094=3,"High",AK1094=4,"Very High")</f>
        <v>High</v>
      </c>
      <c r="AM1094">
        <v>5</v>
      </c>
      <c r="AN1094">
        <v>4</v>
      </c>
      <c r="AO1094">
        <v>0</v>
      </c>
      <c r="AP1094">
        <v>3</v>
      </c>
    </row>
    <row r="1095" spans="1:42">
      <c r="A1095">
        <v>42</v>
      </c>
      <c r="B1095" t="str" cm="1">
        <f t="array" ref="B1095">_xlfn.IFS(A1095&lt;=25,"18-25",A1095&lt;=35,"26-35",A1095&lt;=45,"36-45",A1095&lt;=55,"46-55",A1095&gt;55,"56+")</f>
        <v>36-45</v>
      </c>
      <c r="C1095" t="s">
        <v>39</v>
      </c>
      <c r="D1095" t="s">
        <v>40</v>
      </c>
      <c r="E1095" s="2">
        <v>288</v>
      </c>
      <c r="F1095" t="s">
        <v>41</v>
      </c>
      <c r="G1095">
        <v>2</v>
      </c>
      <c r="H1095" t="str">
        <f t="shared" si="17"/>
        <v>1-10 km</v>
      </c>
      <c r="I1095">
        <v>3</v>
      </c>
      <c r="J1095" t="str" cm="1">
        <f t="array" ref="J1095">_xlfn.IFS(I1095=1,"Below College",I1095=2,"College",I1095=3,"Bachelor",I1095=4,"Master",I1095=5,"Doctor")</f>
        <v>Bachelor</v>
      </c>
      <c r="K1095" t="s">
        <v>35</v>
      </c>
      <c r="L1095">
        <v>1547</v>
      </c>
      <c r="M1095">
        <v>4</v>
      </c>
      <c r="N1095" t="str" cm="1">
        <f t="array" ref="N1095">_xlfn.IFS(M1095=1,"Low",M1095=2,"Medium",M1095=3,"High",M1095=4,"Very High")</f>
        <v>Very High</v>
      </c>
      <c r="O1095" t="s">
        <v>42</v>
      </c>
      <c r="P1095" s="2">
        <v>40</v>
      </c>
      <c r="Q1095">
        <v>3</v>
      </c>
      <c r="R1095" t="str" cm="1">
        <f t="array" ref="R1095">_xlfn.IFS(Q1095=1,"Low",Q1095=2,"Medium",Q1095=3,"High",Q1095=4,"Very High")</f>
        <v>High</v>
      </c>
      <c r="S1095">
        <v>3</v>
      </c>
      <c r="T1095" t="str" cm="1">
        <f t="array" ref="T1095">_xlfn.IFS(S1095=1,"Entry Level",S1095=2,"Junior",S1095=3,"Mid-Level",S1095=4,"Senior",S1095=5,"Executive")</f>
        <v>Mid-Level</v>
      </c>
      <c r="U1095" t="s">
        <v>50</v>
      </c>
      <c r="V1095">
        <v>4</v>
      </c>
      <c r="W1095" t="str" cm="1">
        <f t="array" ref="W1095">_xlfn.IFS(V1095=1,"Low",V1095=2,"Medium",V1095=3,"High",V1095=4,"Very High")</f>
        <v>Very High</v>
      </c>
      <c r="X1095" t="s">
        <v>44</v>
      </c>
      <c r="Y1095" s="2">
        <v>10124</v>
      </c>
      <c r="Z1095" s="2">
        <v>18611</v>
      </c>
      <c r="AA1095">
        <v>2</v>
      </c>
      <c r="AB1095" t="s">
        <v>32</v>
      </c>
      <c r="AC1095">
        <v>14</v>
      </c>
      <c r="AD1095">
        <v>3</v>
      </c>
      <c r="AE1095" t="str" cm="1">
        <f t="array" ref="AE1095">_xlfn.IFS(AD1095=1,"Low",AD1095=2,"Good",AD1095=3,"Excellent",AD1095=4,"Outstanding")</f>
        <v>Excellent</v>
      </c>
      <c r="AF1095">
        <v>3</v>
      </c>
      <c r="AG1095" t="str" cm="1">
        <f t="array" ref="AG1095">_xlfn.IFS(AF1095=1,"Low",AF1095=2,"Medium",AF1095=3,"High",AF1095=4,"Very High")</f>
        <v>High</v>
      </c>
      <c r="AH1095">
        <v>1</v>
      </c>
      <c r="AI1095">
        <v>24</v>
      </c>
      <c r="AJ1095">
        <v>3</v>
      </c>
      <c r="AK1095">
        <v>1</v>
      </c>
      <c r="AL1095" t="str" cm="1">
        <f t="array" ref="AL1095">_xlfn.IFS(AK1095=1,"Low",AK1095=2,"Medium",AK1095=3,"High",AK1095=4,"Very High")</f>
        <v>Low</v>
      </c>
      <c r="AM1095">
        <v>20</v>
      </c>
      <c r="AN1095">
        <v>8</v>
      </c>
      <c r="AO1095">
        <v>13</v>
      </c>
      <c r="AP1095">
        <v>9</v>
      </c>
    </row>
    <row r="1096" spans="1:42">
      <c r="A1096">
        <v>40</v>
      </c>
      <c r="B1096" t="str" cm="1">
        <f t="array" ref="B1096">_xlfn.IFS(A1096&lt;=25,"18-25",A1096&lt;=35,"26-35",A1096&lt;=45,"36-45",A1096&lt;=55,"46-55",A1096&gt;55,"56+")</f>
        <v>36-45</v>
      </c>
      <c r="C1096" t="s">
        <v>39</v>
      </c>
      <c r="D1096" t="s">
        <v>33</v>
      </c>
      <c r="E1096" s="2">
        <v>1342</v>
      </c>
      <c r="F1096" t="s">
        <v>34</v>
      </c>
      <c r="G1096">
        <v>9</v>
      </c>
      <c r="H1096" t="str">
        <f t="shared" si="17"/>
        <v>1-10 km</v>
      </c>
      <c r="I1096">
        <v>2</v>
      </c>
      <c r="J1096" t="str" cm="1">
        <f t="array" ref="J1096">_xlfn.IFS(I1096=1,"Below College",I1096=2,"College",I1096=3,"Bachelor",I1096=4,"Master",I1096=5,"Doctor")</f>
        <v>College</v>
      </c>
      <c r="K1096" t="s">
        <v>47</v>
      </c>
      <c r="L1096">
        <v>1548</v>
      </c>
      <c r="M1096">
        <v>1</v>
      </c>
      <c r="N1096" t="str" cm="1">
        <f t="array" ref="N1096">_xlfn.IFS(M1096=1,"Low",M1096=2,"Medium",M1096=3,"High",M1096=4,"Very High")</f>
        <v>Low</v>
      </c>
      <c r="O1096" t="s">
        <v>42</v>
      </c>
      <c r="P1096" s="2">
        <v>47</v>
      </c>
      <c r="Q1096">
        <v>3</v>
      </c>
      <c r="R1096" t="str" cm="1">
        <f t="array" ref="R1096">_xlfn.IFS(Q1096=1,"Low",Q1096=2,"Medium",Q1096=3,"High",Q1096=4,"Very High")</f>
        <v>High</v>
      </c>
      <c r="S1096">
        <v>2</v>
      </c>
      <c r="T1096" t="str" cm="1">
        <f t="array" ref="T1096">_xlfn.IFS(S1096=1,"Entry Level",S1096=2,"Junior",S1096=3,"Mid-Level",S1096=4,"Senior",S1096=5,"Executive")</f>
        <v>Junior</v>
      </c>
      <c r="U1096" t="s">
        <v>37</v>
      </c>
      <c r="V1096">
        <v>1</v>
      </c>
      <c r="W1096" t="str" cm="1">
        <f t="array" ref="W1096">_xlfn.IFS(V1096=1,"Low",V1096=2,"Medium",V1096=3,"High",V1096=4,"Very High")</f>
        <v>Low</v>
      </c>
      <c r="X1096" t="s">
        <v>44</v>
      </c>
      <c r="Y1096" s="2">
        <v>5473</v>
      </c>
      <c r="Z1096" s="2">
        <v>19345</v>
      </c>
      <c r="AA1096">
        <v>0</v>
      </c>
      <c r="AB1096" t="s">
        <v>39</v>
      </c>
      <c r="AC1096">
        <v>12</v>
      </c>
      <c r="AD1096">
        <v>3</v>
      </c>
      <c r="AE1096" t="str" cm="1">
        <f t="array" ref="AE1096">_xlfn.IFS(AD1096=1,"Low",AD1096=2,"Good",AD1096=3,"Excellent",AD1096=4,"Outstanding")</f>
        <v>Excellent</v>
      </c>
      <c r="AF1096">
        <v>4</v>
      </c>
      <c r="AG1096" t="str" cm="1">
        <f t="array" ref="AG1096">_xlfn.IFS(AF1096=1,"Low",AF1096=2,"Medium",AF1096=3,"High",AF1096=4,"Very High")</f>
        <v>Very High</v>
      </c>
      <c r="AH1096">
        <v>0</v>
      </c>
      <c r="AI1096">
        <v>9</v>
      </c>
      <c r="AJ1096">
        <v>5</v>
      </c>
      <c r="AK1096">
        <v>4</v>
      </c>
      <c r="AL1096" t="str" cm="1">
        <f t="array" ref="AL1096">_xlfn.IFS(AK1096=1,"Low",AK1096=2,"Medium",AK1096=3,"High",AK1096=4,"Very High")</f>
        <v>Very High</v>
      </c>
      <c r="AM1096">
        <v>8</v>
      </c>
      <c r="AN1096">
        <v>4</v>
      </c>
      <c r="AO1096">
        <v>7</v>
      </c>
      <c r="AP1096">
        <v>1</v>
      </c>
    </row>
    <row r="1097" spans="1:42">
      <c r="A1097">
        <v>33</v>
      </c>
      <c r="B1097" t="str" cm="1">
        <f t="array" ref="B1097">_xlfn.IFS(A1097&lt;=25,"18-25",A1097&lt;=35,"26-35",A1097&lt;=45,"36-45",A1097&lt;=55,"46-55",A1097&gt;55,"56+")</f>
        <v>26-35</v>
      </c>
      <c r="C1097" t="s">
        <v>39</v>
      </c>
      <c r="D1097" t="s">
        <v>33</v>
      </c>
      <c r="E1097" s="2">
        <v>589</v>
      </c>
      <c r="F1097" t="s">
        <v>41</v>
      </c>
      <c r="G1097">
        <v>28</v>
      </c>
      <c r="H1097" t="str">
        <f t="shared" si="17"/>
        <v>21-30 km</v>
      </c>
      <c r="I1097">
        <v>4</v>
      </c>
      <c r="J1097" t="str" cm="1">
        <f t="array" ref="J1097">_xlfn.IFS(I1097=1,"Below College",I1097=2,"College",I1097=3,"Bachelor",I1097=4,"Master",I1097=5,"Doctor")</f>
        <v>Master</v>
      </c>
      <c r="K1097" t="s">
        <v>35</v>
      </c>
      <c r="L1097">
        <v>1549</v>
      </c>
      <c r="M1097">
        <v>2</v>
      </c>
      <c r="N1097" t="str" cm="1">
        <f t="array" ref="N1097">_xlfn.IFS(M1097=1,"Low",M1097=2,"Medium",M1097=3,"High",M1097=4,"Very High")</f>
        <v>Medium</v>
      </c>
      <c r="O1097" t="s">
        <v>42</v>
      </c>
      <c r="P1097" s="2">
        <v>79</v>
      </c>
      <c r="Q1097">
        <v>3</v>
      </c>
      <c r="R1097" t="str" cm="1">
        <f t="array" ref="R1097">_xlfn.IFS(Q1097=1,"Low",Q1097=2,"Medium",Q1097=3,"High",Q1097=4,"Very High")</f>
        <v>High</v>
      </c>
      <c r="S1097">
        <v>2</v>
      </c>
      <c r="T1097" t="str" cm="1">
        <f t="array" ref="T1097">_xlfn.IFS(S1097=1,"Entry Level",S1097=2,"Junior",S1097=3,"Mid-Level",S1097=4,"Senior",S1097=5,"Executive")</f>
        <v>Junior</v>
      </c>
      <c r="U1097" t="s">
        <v>46</v>
      </c>
      <c r="V1097">
        <v>3</v>
      </c>
      <c r="W1097" t="str" cm="1">
        <f t="array" ref="W1097">_xlfn.IFS(V1097=1,"Low",V1097=2,"Medium",V1097=3,"High",V1097=4,"Very High")</f>
        <v>High</v>
      </c>
      <c r="X1097" t="s">
        <v>44</v>
      </c>
      <c r="Y1097" s="2">
        <v>5207</v>
      </c>
      <c r="Z1097" s="2">
        <v>22949</v>
      </c>
      <c r="AA1097">
        <v>1</v>
      </c>
      <c r="AB1097" t="s">
        <v>32</v>
      </c>
      <c r="AC1097">
        <v>12</v>
      </c>
      <c r="AD1097">
        <v>3</v>
      </c>
      <c r="AE1097" t="str" cm="1">
        <f t="array" ref="AE1097">_xlfn.IFS(AD1097=1,"Low",AD1097=2,"Good",AD1097=3,"Excellent",AD1097=4,"Outstanding")</f>
        <v>Excellent</v>
      </c>
      <c r="AF1097">
        <v>2</v>
      </c>
      <c r="AG1097" t="str" cm="1">
        <f t="array" ref="AG1097">_xlfn.IFS(AF1097=1,"Low",AF1097=2,"Medium",AF1097=3,"High",AF1097=4,"Very High")</f>
        <v>Medium</v>
      </c>
      <c r="AH1097">
        <v>1</v>
      </c>
      <c r="AI1097">
        <v>15</v>
      </c>
      <c r="AJ1097">
        <v>3</v>
      </c>
      <c r="AK1097">
        <v>3</v>
      </c>
      <c r="AL1097" t="str" cm="1">
        <f t="array" ref="AL1097">_xlfn.IFS(AK1097=1,"Low",AK1097=2,"Medium",AK1097=3,"High",AK1097=4,"Very High")</f>
        <v>High</v>
      </c>
      <c r="AM1097">
        <v>15</v>
      </c>
      <c r="AN1097">
        <v>14</v>
      </c>
      <c r="AO1097">
        <v>5</v>
      </c>
      <c r="AP1097">
        <v>7</v>
      </c>
    </row>
    <row r="1098" spans="1:42">
      <c r="A1098">
        <v>40</v>
      </c>
      <c r="B1098" t="str" cm="1">
        <f t="array" ref="B1098">_xlfn.IFS(A1098&lt;=25,"18-25",A1098&lt;=35,"26-35",A1098&lt;=45,"36-45",A1098&lt;=55,"46-55",A1098&gt;55,"56+")</f>
        <v>36-45</v>
      </c>
      <c r="C1098" t="s">
        <v>39</v>
      </c>
      <c r="D1098" t="s">
        <v>33</v>
      </c>
      <c r="E1098" s="2">
        <v>898</v>
      </c>
      <c r="F1098" t="s">
        <v>57</v>
      </c>
      <c r="G1098">
        <v>6</v>
      </c>
      <c r="H1098" t="str">
        <f t="shared" si="17"/>
        <v>1-10 km</v>
      </c>
      <c r="I1098">
        <v>2</v>
      </c>
      <c r="J1098" t="str" cm="1">
        <f t="array" ref="J1098">_xlfn.IFS(I1098=1,"Below College",I1098=2,"College",I1098=3,"Bachelor",I1098=4,"Master",I1098=5,"Doctor")</f>
        <v>College</v>
      </c>
      <c r="K1098" t="s">
        <v>47</v>
      </c>
      <c r="L1098">
        <v>1550</v>
      </c>
      <c r="M1098">
        <v>3</v>
      </c>
      <c r="N1098" t="str" cm="1">
        <f t="array" ref="N1098">_xlfn.IFS(M1098=1,"Low",M1098=2,"Medium",M1098=3,"High",M1098=4,"Very High")</f>
        <v>High</v>
      </c>
      <c r="O1098" t="s">
        <v>42</v>
      </c>
      <c r="P1098" s="2">
        <v>38</v>
      </c>
      <c r="Q1098">
        <v>3</v>
      </c>
      <c r="R1098" t="str" cm="1">
        <f t="array" ref="R1098">_xlfn.IFS(Q1098=1,"Low",Q1098=2,"Medium",Q1098=3,"High",Q1098=4,"Very High")</f>
        <v>High</v>
      </c>
      <c r="S1098">
        <v>4</v>
      </c>
      <c r="T1098" t="str" cm="1">
        <f t="array" ref="T1098">_xlfn.IFS(S1098=1,"Entry Level",S1098=2,"Junior",S1098=3,"Mid-Level",S1098=4,"Senior",S1098=5,"Executive")</f>
        <v>Senior</v>
      </c>
      <c r="U1098" t="s">
        <v>52</v>
      </c>
      <c r="V1098">
        <v>4</v>
      </c>
      <c r="W1098" t="str" cm="1">
        <f t="array" ref="W1098">_xlfn.IFS(V1098=1,"Low",V1098=2,"Medium",V1098=3,"High",V1098=4,"Very High")</f>
        <v>Very High</v>
      </c>
      <c r="X1098" t="s">
        <v>38</v>
      </c>
      <c r="Y1098" s="2">
        <v>16437</v>
      </c>
      <c r="Z1098" s="2">
        <v>17381</v>
      </c>
      <c r="AA1098">
        <v>1</v>
      </c>
      <c r="AB1098" t="s">
        <v>32</v>
      </c>
      <c r="AC1098">
        <v>21</v>
      </c>
      <c r="AD1098">
        <v>4</v>
      </c>
      <c r="AE1098" t="str" cm="1">
        <f t="array" ref="AE1098">_xlfn.IFS(AD1098=1,"Low",AD1098=2,"Good",AD1098=3,"Excellent",AD1098=4,"Outstanding")</f>
        <v>Outstanding</v>
      </c>
      <c r="AF1098">
        <v>4</v>
      </c>
      <c r="AG1098" t="str" cm="1">
        <f t="array" ref="AG1098">_xlfn.IFS(AF1098=1,"Low",AF1098=2,"Medium",AF1098=3,"High",AF1098=4,"Very High")</f>
        <v>Very High</v>
      </c>
      <c r="AH1098">
        <v>0</v>
      </c>
      <c r="AI1098">
        <v>21</v>
      </c>
      <c r="AJ1098">
        <v>2</v>
      </c>
      <c r="AK1098">
        <v>3</v>
      </c>
      <c r="AL1098" t="str" cm="1">
        <f t="array" ref="AL1098">_xlfn.IFS(AK1098=1,"Low",AK1098=2,"Medium",AK1098=3,"High",AK1098=4,"Very High")</f>
        <v>High</v>
      </c>
      <c r="AM1098">
        <v>21</v>
      </c>
      <c r="AN1098">
        <v>7</v>
      </c>
      <c r="AO1098">
        <v>7</v>
      </c>
      <c r="AP1098">
        <v>7</v>
      </c>
    </row>
    <row r="1099" spans="1:42">
      <c r="A1099">
        <v>24</v>
      </c>
      <c r="B1099" t="str" cm="1">
        <f t="array" ref="B1099">_xlfn.IFS(A1099&lt;=25,"18-25",A1099&lt;=35,"26-35",A1099&lt;=45,"36-45",A1099&lt;=55,"46-55",A1099&gt;55,"56+")</f>
        <v>18-25</v>
      </c>
      <c r="C1099" t="s">
        <v>39</v>
      </c>
      <c r="D1099" t="s">
        <v>33</v>
      </c>
      <c r="E1099" s="2">
        <v>350</v>
      </c>
      <c r="F1099" t="s">
        <v>41</v>
      </c>
      <c r="G1099">
        <v>21</v>
      </c>
      <c r="H1099" t="str">
        <f t="shared" si="17"/>
        <v>21-30 km</v>
      </c>
      <c r="I1099">
        <v>2</v>
      </c>
      <c r="J1099" t="str" cm="1">
        <f t="array" ref="J1099">_xlfn.IFS(I1099=1,"Below College",I1099=2,"College",I1099=3,"Bachelor",I1099=4,"Master",I1099=5,"Doctor")</f>
        <v>College</v>
      </c>
      <c r="K1099" t="s">
        <v>56</v>
      </c>
      <c r="L1099">
        <v>1551</v>
      </c>
      <c r="M1099">
        <v>3</v>
      </c>
      <c r="N1099" t="str" cm="1">
        <f t="array" ref="N1099">_xlfn.IFS(M1099=1,"Low",M1099=2,"Medium",M1099=3,"High",M1099=4,"Very High")</f>
        <v>High</v>
      </c>
      <c r="O1099" t="s">
        <v>42</v>
      </c>
      <c r="P1099" s="2">
        <v>57</v>
      </c>
      <c r="Q1099">
        <v>2</v>
      </c>
      <c r="R1099" t="str" cm="1">
        <f t="array" ref="R1099">_xlfn.IFS(Q1099=1,"Low",Q1099=2,"Medium",Q1099=3,"High",Q1099=4,"Very High")</f>
        <v>Medium</v>
      </c>
      <c r="S1099">
        <v>1</v>
      </c>
      <c r="T1099" t="str" cm="1">
        <f t="array" ref="T1099">_xlfn.IFS(S1099=1,"Entry Level",S1099=2,"Junior",S1099=3,"Mid-Level",S1099=4,"Senior",S1099=5,"Executive")</f>
        <v>Entry Level</v>
      </c>
      <c r="U1099" t="s">
        <v>46</v>
      </c>
      <c r="V1099">
        <v>1</v>
      </c>
      <c r="W1099" t="str" cm="1">
        <f t="array" ref="W1099">_xlfn.IFS(V1099=1,"Low",V1099=2,"Medium",V1099=3,"High",V1099=4,"Very High")</f>
        <v>Low</v>
      </c>
      <c r="X1099" t="s">
        <v>48</v>
      </c>
      <c r="Y1099" s="2">
        <v>2296</v>
      </c>
      <c r="Z1099" s="2">
        <v>10036</v>
      </c>
      <c r="AA1099">
        <v>0</v>
      </c>
      <c r="AB1099" t="s">
        <v>39</v>
      </c>
      <c r="AC1099">
        <v>14</v>
      </c>
      <c r="AD1099">
        <v>3</v>
      </c>
      <c r="AE1099" t="str" cm="1">
        <f t="array" ref="AE1099">_xlfn.IFS(AD1099=1,"Low",AD1099=2,"Good",AD1099=3,"Excellent",AD1099=4,"Outstanding")</f>
        <v>Excellent</v>
      </c>
      <c r="AF1099">
        <v>2</v>
      </c>
      <c r="AG1099" t="str" cm="1">
        <f t="array" ref="AG1099">_xlfn.IFS(AF1099=1,"Low",AF1099=2,"Medium",AF1099=3,"High",AF1099=4,"Very High")</f>
        <v>Medium</v>
      </c>
      <c r="AH1099">
        <v>3</v>
      </c>
      <c r="AI1099">
        <v>2</v>
      </c>
      <c r="AJ1099">
        <v>3</v>
      </c>
      <c r="AK1099">
        <v>3</v>
      </c>
      <c r="AL1099" t="str" cm="1">
        <f t="array" ref="AL1099">_xlfn.IFS(AK1099=1,"Low",AK1099=2,"Medium",AK1099=3,"High",AK1099=4,"Very High")</f>
        <v>High</v>
      </c>
      <c r="AM1099">
        <v>1</v>
      </c>
      <c r="AN1099">
        <v>1</v>
      </c>
      <c r="AO1099">
        <v>0</v>
      </c>
      <c r="AP1099">
        <v>0</v>
      </c>
    </row>
    <row r="1100" spans="1:42">
      <c r="A1100">
        <v>40</v>
      </c>
      <c r="B1100" t="str" cm="1">
        <f t="array" ref="B1100">_xlfn.IFS(A1100&lt;=25,"18-25",A1100&lt;=35,"26-35",A1100&lt;=45,"36-45",A1100&lt;=55,"46-55",A1100&gt;55,"56+")</f>
        <v>36-45</v>
      </c>
      <c r="C1100" t="s">
        <v>39</v>
      </c>
      <c r="D1100" t="s">
        <v>51</v>
      </c>
      <c r="E1100" s="2">
        <v>1142</v>
      </c>
      <c r="F1100" t="s">
        <v>41</v>
      </c>
      <c r="G1100">
        <v>8</v>
      </c>
      <c r="H1100" t="str">
        <f t="shared" si="17"/>
        <v>1-10 km</v>
      </c>
      <c r="I1100">
        <v>2</v>
      </c>
      <c r="J1100" t="str" cm="1">
        <f t="array" ref="J1100">_xlfn.IFS(I1100=1,"Below College",I1100=2,"College",I1100=3,"Bachelor",I1100=4,"Master",I1100=5,"Doctor")</f>
        <v>College</v>
      </c>
      <c r="K1100" t="s">
        <v>35</v>
      </c>
      <c r="L1100">
        <v>1552</v>
      </c>
      <c r="M1100">
        <v>4</v>
      </c>
      <c r="N1100" t="str" cm="1">
        <f t="array" ref="N1100">_xlfn.IFS(M1100=1,"Low",M1100=2,"Medium",M1100=3,"High",M1100=4,"Very High")</f>
        <v>Very High</v>
      </c>
      <c r="O1100" t="s">
        <v>42</v>
      </c>
      <c r="P1100" s="2">
        <v>72</v>
      </c>
      <c r="Q1100">
        <v>3</v>
      </c>
      <c r="R1100" t="str" cm="1">
        <f t="array" ref="R1100">_xlfn.IFS(Q1100=1,"Low",Q1100=2,"Medium",Q1100=3,"High",Q1100=4,"Very High")</f>
        <v>High</v>
      </c>
      <c r="S1100">
        <v>2</v>
      </c>
      <c r="T1100" t="str" cm="1">
        <f t="array" ref="T1100">_xlfn.IFS(S1100=1,"Entry Level",S1100=2,"Junior",S1100=3,"Mid-Level",S1100=4,"Senior",S1100=5,"Executive")</f>
        <v>Junior</v>
      </c>
      <c r="U1100" t="s">
        <v>50</v>
      </c>
      <c r="V1100">
        <v>4</v>
      </c>
      <c r="W1100" t="str" cm="1">
        <f t="array" ref="W1100">_xlfn.IFS(V1100=1,"Low",V1100=2,"Medium",V1100=3,"High",V1100=4,"Very High")</f>
        <v>Very High</v>
      </c>
      <c r="X1100" t="s">
        <v>48</v>
      </c>
      <c r="Y1100" s="2">
        <v>4069</v>
      </c>
      <c r="Z1100" s="2">
        <v>8841</v>
      </c>
      <c r="AA1100">
        <v>3</v>
      </c>
      <c r="AB1100" t="s">
        <v>32</v>
      </c>
      <c r="AC1100">
        <v>18</v>
      </c>
      <c r="AD1100">
        <v>3</v>
      </c>
      <c r="AE1100" t="str" cm="1">
        <f t="array" ref="AE1100">_xlfn.IFS(AD1100=1,"Low",AD1100=2,"Good",AD1100=3,"Excellent",AD1100=4,"Outstanding")</f>
        <v>Excellent</v>
      </c>
      <c r="AF1100">
        <v>3</v>
      </c>
      <c r="AG1100" t="str" cm="1">
        <f t="array" ref="AG1100">_xlfn.IFS(AF1100=1,"Low",AF1100=2,"Medium",AF1100=3,"High",AF1100=4,"Very High")</f>
        <v>High</v>
      </c>
      <c r="AH1100">
        <v>0</v>
      </c>
      <c r="AI1100">
        <v>8</v>
      </c>
      <c r="AJ1100">
        <v>2</v>
      </c>
      <c r="AK1100">
        <v>3</v>
      </c>
      <c r="AL1100" t="str" cm="1">
        <f t="array" ref="AL1100">_xlfn.IFS(AK1100=1,"Low",AK1100=2,"Medium",AK1100=3,"High",AK1100=4,"Very High")</f>
        <v>High</v>
      </c>
      <c r="AM1100">
        <v>2</v>
      </c>
      <c r="AN1100">
        <v>2</v>
      </c>
      <c r="AO1100">
        <v>2</v>
      </c>
      <c r="AP1100">
        <v>2</v>
      </c>
    </row>
    <row r="1101" spans="1:42">
      <c r="A1101">
        <v>45</v>
      </c>
      <c r="B1101" t="str" cm="1">
        <f t="array" ref="B1101">_xlfn.IFS(A1101&lt;=25,"18-25",A1101&lt;=35,"26-35",A1101&lt;=45,"36-45",A1101&lt;=55,"46-55",A1101&gt;55,"56+")</f>
        <v>36-45</v>
      </c>
      <c r="C1101" t="s">
        <v>39</v>
      </c>
      <c r="D1101" t="s">
        <v>33</v>
      </c>
      <c r="E1101" s="2">
        <v>538</v>
      </c>
      <c r="F1101" t="s">
        <v>41</v>
      </c>
      <c r="G1101">
        <v>1</v>
      </c>
      <c r="H1101" t="str">
        <f t="shared" si="17"/>
        <v>1-10 km</v>
      </c>
      <c r="I1101">
        <v>4</v>
      </c>
      <c r="J1101" t="str" cm="1">
        <f t="array" ref="J1101">_xlfn.IFS(I1101=1,"Below College",I1101=2,"College",I1101=3,"Bachelor",I1101=4,"Master",I1101=5,"Doctor")</f>
        <v>Master</v>
      </c>
      <c r="K1101" t="s">
        <v>56</v>
      </c>
      <c r="L1101">
        <v>1553</v>
      </c>
      <c r="M1101">
        <v>1</v>
      </c>
      <c r="N1101" t="str" cm="1">
        <f t="array" ref="N1101">_xlfn.IFS(M1101=1,"Low",M1101=2,"Medium",M1101=3,"High",M1101=4,"Very High")</f>
        <v>Low</v>
      </c>
      <c r="O1101" t="s">
        <v>42</v>
      </c>
      <c r="P1101" s="2">
        <v>66</v>
      </c>
      <c r="Q1101">
        <v>3</v>
      </c>
      <c r="R1101" t="str" cm="1">
        <f t="array" ref="R1101">_xlfn.IFS(Q1101=1,"Low",Q1101=2,"Medium",Q1101=3,"High",Q1101=4,"Very High")</f>
        <v>High</v>
      </c>
      <c r="S1101">
        <v>3</v>
      </c>
      <c r="T1101" t="str" cm="1">
        <f t="array" ref="T1101">_xlfn.IFS(S1101=1,"Entry Level",S1101=2,"Junior",S1101=3,"Mid-Level",S1101=4,"Senior",S1101=5,"Executive")</f>
        <v>Mid-Level</v>
      </c>
      <c r="U1101" t="s">
        <v>50</v>
      </c>
      <c r="V1101">
        <v>2</v>
      </c>
      <c r="W1101" t="str" cm="1">
        <f t="array" ref="W1101">_xlfn.IFS(V1101=1,"Low",V1101=2,"Medium",V1101=3,"High",V1101=4,"Very High")</f>
        <v>Medium</v>
      </c>
      <c r="X1101" t="s">
        <v>48</v>
      </c>
      <c r="Y1101" s="2">
        <v>7441</v>
      </c>
      <c r="Z1101" s="2">
        <v>20933</v>
      </c>
      <c r="AA1101">
        <v>1</v>
      </c>
      <c r="AB1101" t="s">
        <v>39</v>
      </c>
      <c r="AC1101">
        <v>12</v>
      </c>
      <c r="AD1101">
        <v>3</v>
      </c>
      <c r="AE1101" t="str" cm="1">
        <f t="array" ref="AE1101">_xlfn.IFS(AD1101=1,"Low",AD1101=2,"Good",AD1101=3,"Excellent",AD1101=4,"Outstanding")</f>
        <v>Excellent</v>
      </c>
      <c r="AF1101">
        <v>1</v>
      </c>
      <c r="AG1101" t="str" cm="1">
        <f t="array" ref="AG1101">_xlfn.IFS(AF1101=1,"Low",AF1101=2,"Medium",AF1101=3,"High",AF1101=4,"Very High")</f>
        <v>Low</v>
      </c>
      <c r="AH1101">
        <v>3</v>
      </c>
      <c r="AI1101">
        <v>10</v>
      </c>
      <c r="AJ1101">
        <v>4</v>
      </c>
      <c r="AK1101">
        <v>3</v>
      </c>
      <c r="AL1101" t="str" cm="1">
        <f t="array" ref="AL1101">_xlfn.IFS(AK1101=1,"Low",AK1101=2,"Medium",AK1101=3,"High",AK1101=4,"Very High")</f>
        <v>High</v>
      </c>
      <c r="AM1101">
        <v>10</v>
      </c>
      <c r="AN1101">
        <v>8</v>
      </c>
      <c r="AO1101">
        <v>7</v>
      </c>
      <c r="AP1101">
        <v>7</v>
      </c>
    </row>
    <row r="1102" spans="1:42">
      <c r="A1102">
        <v>35</v>
      </c>
      <c r="B1102" t="str" cm="1">
        <f t="array" ref="B1102">_xlfn.IFS(A1102&lt;=25,"18-25",A1102&lt;=35,"26-35",A1102&lt;=45,"36-45",A1102&lt;=55,"46-55",A1102&gt;55,"56+")</f>
        <v>26-35</v>
      </c>
      <c r="C1102" t="s">
        <v>39</v>
      </c>
      <c r="D1102" t="s">
        <v>33</v>
      </c>
      <c r="E1102" s="2">
        <v>1402</v>
      </c>
      <c r="F1102" t="s">
        <v>34</v>
      </c>
      <c r="G1102">
        <v>28</v>
      </c>
      <c r="H1102" t="str">
        <f t="shared" si="17"/>
        <v>21-30 km</v>
      </c>
      <c r="I1102">
        <v>4</v>
      </c>
      <c r="J1102" t="str" cm="1">
        <f t="array" ref="J1102">_xlfn.IFS(I1102=1,"Below College",I1102=2,"College",I1102=3,"Bachelor",I1102=4,"Master",I1102=5,"Doctor")</f>
        <v>Master</v>
      </c>
      <c r="K1102" t="s">
        <v>35</v>
      </c>
      <c r="L1102">
        <v>1554</v>
      </c>
      <c r="M1102">
        <v>2</v>
      </c>
      <c r="N1102" t="str" cm="1">
        <f t="array" ref="N1102">_xlfn.IFS(M1102=1,"Low",M1102=2,"Medium",M1102=3,"High",M1102=4,"Very High")</f>
        <v>Medium</v>
      </c>
      <c r="O1102" t="s">
        <v>36</v>
      </c>
      <c r="P1102" s="2">
        <v>98</v>
      </c>
      <c r="Q1102">
        <v>2</v>
      </c>
      <c r="R1102" t="str" cm="1">
        <f t="array" ref="R1102">_xlfn.IFS(Q1102=1,"Low",Q1102=2,"Medium",Q1102=3,"High",Q1102=4,"Very High")</f>
        <v>Medium</v>
      </c>
      <c r="S1102">
        <v>1</v>
      </c>
      <c r="T1102" t="str" cm="1">
        <f t="array" ref="T1102">_xlfn.IFS(S1102=1,"Entry Level",S1102=2,"Junior",S1102=3,"Mid-Level",S1102=4,"Senior",S1102=5,"Executive")</f>
        <v>Entry Level</v>
      </c>
      <c r="U1102" t="s">
        <v>53</v>
      </c>
      <c r="V1102">
        <v>3</v>
      </c>
      <c r="W1102" t="str" cm="1">
        <f t="array" ref="W1102">_xlfn.IFS(V1102=1,"Low",V1102=2,"Medium",V1102=3,"High",V1102=4,"Very High")</f>
        <v>High</v>
      </c>
      <c r="X1102" t="s">
        <v>44</v>
      </c>
      <c r="Y1102" s="2">
        <v>2430</v>
      </c>
      <c r="Z1102" s="2">
        <v>26204</v>
      </c>
      <c r="AA1102">
        <v>0</v>
      </c>
      <c r="AB1102" t="s">
        <v>39</v>
      </c>
      <c r="AC1102">
        <v>23</v>
      </c>
      <c r="AD1102">
        <v>4</v>
      </c>
      <c r="AE1102" t="str" cm="1">
        <f t="array" ref="AE1102">_xlfn.IFS(AD1102=1,"Low",AD1102=2,"Good",AD1102=3,"Excellent",AD1102=4,"Outstanding")</f>
        <v>Outstanding</v>
      </c>
      <c r="AF1102">
        <v>1</v>
      </c>
      <c r="AG1102" t="str" cm="1">
        <f t="array" ref="AG1102">_xlfn.IFS(AF1102=1,"Low",AF1102=2,"Medium",AF1102=3,"High",AF1102=4,"Very High")</f>
        <v>Low</v>
      </c>
      <c r="AH1102">
        <v>2</v>
      </c>
      <c r="AI1102">
        <v>6</v>
      </c>
      <c r="AJ1102">
        <v>5</v>
      </c>
      <c r="AK1102">
        <v>3</v>
      </c>
      <c r="AL1102" t="str" cm="1">
        <f t="array" ref="AL1102">_xlfn.IFS(AK1102=1,"Low",AK1102=2,"Medium",AK1102=3,"High",AK1102=4,"Very High")</f>
        <v>High</v>
      </c>
      <c r="AM1102">
        <v>5</v>
      </c>
      <c r="AN1102">
        <v>3</v>
      </c>
      <c r="AO1102">
        <v>4</v>
      </c>
      <c r="AP1102">
        <v>2</v>
      </c>
    </row>
    <row r="1103" spans="1:42">
      <c r="A1103">
        <v>32</v>
      </c>
      <c r="B1103" t="str" cm="1">
        <f t="array" ref="B1103">_xlfn.IFS(A1103&lt;=25,"18-25",A1103&lt;=35,"26-35",A1103&lt;=45,"36-45",A1103&lt;=55,"46-55",A1103&gt;55,"56+")</f>
        <v>26-35</v>
      </c>
      <c r="C1103" t="s">
        <v>39</v>
      </c>
      <c r="D1103" t="s">
        <v>33</v>
      </c>
      <c r="E1103" s="2">
        <v>824</v>
      </c>
      <c r="F1103" t="s">
        <v>41</v>
      </c>
      <c r="G1103">
        <v>5</v>
      </c>
      <c r="H1103" t="str">
        <f t="shared" si="17"/>
        <v>1-10 km</v>
      </c>
      <c r="I1103">
        <v>2</v>
      </c>
      <c r="J1103" t="str" cm="1">
        <f t="array" ref="J1103">_xlfn.IFS(I1103=1,"Below College",I1103=2,"College",I1103=3,"Bachelor",I1103=4,"Master",I1103=5,"Doctor")</f>
        <v>College</v>
      </c>
      <c r="K1103" t="s">
        <v>35</v>
      </c>
      <c r="L1103">
        <v>1555</v>
      </c>
      <c r="M1103">
        <v>4</v>
      </c>
      <c r="N1103" t="str" cm="1">
        <f t="array" ref="N1103">_xlfn.IFS(M1103=1,"Low",M1103=2,"Medium",M1103=3,"High",M1103=4,"Very High")</f>
        <v>Very High</v>
      </c>
      <c r="O1103" t="s">
        <v>36</v>
      </c>
      <c r="P1103" s="2">
        <v>67</v>
      </c>
      <c r="Q1103">
        <v>2</v>
      </c>
      <c r="R1103" t="str" cm="1">
        <f t="array" ref="R1103">_xlfn.IFS(Q1103=1,"Low",Q1103=2,"Medium",Q1103=3,"High",Q1103=4,"Very High")</f>
        <v>Medium</v>
      </c>
      <c r="S1103">
        <v>2</v>
      </c>
      <c r="T1103" t="str" cm="1">
        <f t="array" ref="T1103">_xlfn.IFS(S1103=1,"Entry Level",S1103=2,"Junior",S1103=3,"Mid-Level",S1103=4,"Senior",S1103=5,"Executive")</f>
        <v>Junior</v>
      </c>
      <c r="U1103" t="s">
        <v>43</v>
      </c>
      <c r="V1103">
        <v>2</v>
      </c>
      <c r="W1103" t="str" cm="1">
        <f t="array" ref="W1103">_xlfn.IFS(V1103=1,"Low",V1103=2,"Medium",V1103=3,"High",V1103=4,"Very High")</f>
        <v>Medium</v>
      </c>
      <c r="X1103" t="s">
        <v>44</v>
      </c>
      <c r="Y1103" s="2">
        <v>5878</v>
      </c>
      <c r="Z1103" s="2">
        <v>15624</v>
      </c>
      <c r="AA1103">
        <v>3</v>
      </c>
      <c r="AB1103" t="s">
        <v>39</v>
      </c>
      <c r="AC1103">
        <v>12</v>
      </c>
      <c r="AD1103">
        <v>3</v>
      </c>
      <c r="AE1103" t="str" cm="1">
        <f t="array" ref="AE1103">_xlfn.IFS(AD1103=1,"Low",AD1103=2,"Good",AD1103=3,"Excellent",AD1103=4,"Outstanding")</f>
        <v>Excellent</v>
      </c>
      <c r="AF1103">
        <v>1</v>
      </c>
      <c r="AG1103" t="str" cm="1">
        <f t="array" ref="AG1103">_xlfn.IFS(AF1103=1,"Low",AF1103=2,"Medium",AF1103=3,"High",AF1103=4,"Very High")</f>
        <v>Low</v>
      </c>
      <c r="AH1103">
        <v>1</v>
      </c>
      <c r="AI1103">
        <v>12</v>
      </c>
      <c r="AJ1103">
        <v>2</v>
      </c>
      <c r="AK1103">
        <v>3</v>
      </c>
      <c r="AL1103" t="str" cm="1">
        <f t="array" ref="AL1103">_xlfn.IFS(AK1103=1,"Low",AK1103=2,"Medium",AK1103=3,"High",AK1103=4,"Very High")</f>
        <v>High</v>
      </c>
      <c r="AM1103">
        <v>7</v>
      </c>
      <c r="AN1103">
        <v>1</v>
      </c>
      <c r="AO1103">
        <v>2</v>
      </c>
      <c r="AP1103">
        <v>5</v>
      </c>
    </row>
    <row r="1104" spans="1:42">
      <c r="A1104">
        <v>36</v>
      </c>
      <c r="B1104" t="str" cm="1">
        <f t="array" ref="B1104">_xlfn.IFS(A1104&lt;=25,"18-25",A1104&lt;=35,"26-35",A1104&lt;=45,"36-45",A1104&lt;=55,"46-55",A1104&gt;55,"56+")</f>
        <v>36-45</v>
      </c>
      <c r="C1104" t="s">
        <v>39</v>
      </c>
      <c r="D1104" t="s">
        <v>33</v>
      </c>
      <c r="E1104" s="2">
        <v>1157</v>
      </c>
      <c r="F1104" t="s">
        <v>34</v>
      </c>
      <c r="G1104">
        <v>2</v>
      </c>
      <c r="H1104" t="str">
        <f t="shared" si="17"/>
        <v>1-10 km</v>
      </c>
      <c r="I1104">
        <v>4</v>
      </c>
      <c r="J1104" t="str" cm="1">
        <f t="array" ref="J1104">_xlfn.IFS(I1104=1,"Below College",I1104=2,"College",I1104=3,"Bachelor",I1104=4,"Master",I1104=5,"Doctor")</f>
        <v>Master</v>
      </c>
      <c r="K1104" t="s">
        <v>35</v>
      </c>
      <c r="L1104">
        <v>1556</v>
      </c>
      <c r="M1104">
        <v>3</v>
      </c>
      <c r="N1104" t="str" cm="1">
        <f t="array" ref="N1104">_xlfn.IFS(M1104=1,"Low",M1104=2,"Medium",M1104=3,"High",M1104=4,"Very High")</f>
        <v>High</v>
      </c>
      <c r="O1104" t="s">
        <v>42</v>
      </c>
      <c r="P1104" s="2">
        <v>70</v>
      </c>
      <c r="Q1104">
        <v>3</v>
      </c>
      <c r="R1104" t="str" cm="1">
        <f t="array" ref="R1104">_xlfn.IFS(Q1104=1,"Low",Q1104=2,"Medium",Q1104=3,"High",Q1104=4,"Very High")</f>
        <v>High</v>
      </c>
      <c r="S1104">
        <v>1</v>
      </c>
      <c r="T1104" t="str" cm="1">
        <f t="array" ref="T1104">_xlfn.IFS(S1104=1,"Entry Level",S1104=2,"Junior",S1104=3,"Mid-Level",S1104=4,"Senior",S1104=5,"Executive")</f>
        <v>Entry Level</v>
      </c>
      <c r="U1104" t="s">
        <v>53</v>
      </c>
      <c r="V1104">
        <v>4</v>
      </c>
      <c r="W1104" t="str" cm="1">
        <f t="array" ref="W1104">_xlfn.IFS(V1104=1,"Low",V1104=2,"Medium",V1104=3,"High",V1104=4,"Very High")</f>
        <v>Very High</v>
      </c>
      <c r="X1104" t="s">
        <v>38</v>
      </c>
      <c r="Y1104" s="2">
        <v>2644</v>
      </c>
      <c r="Z1104" s="2">
        <v>17001</v>
      </c>
      <c r="AA1104">
        <v>3</v>
      </c>
      <c r="AB1104" t="s">
        <v>32</v>
      </c>
      <c r="AC1104">
        <v>21</v>
      </c>
      <c r="AD1104">
        <v>4</v>
      </c>
      <c r="AE1104" t="str" cm="1">
        <f t="array" ref="AE1104">_xlfn.IFS(AD1104=1,"Low",AD1104=2,"Good",AD1104=3,"Excellent",AD1104=4,"Outstanding")</f>
        <v>Outstanding</v>
      </c>
      <c r="AF1104">
        <v>4</v>
      </c>
      <c r="AG1104" t="str" cm="1">
        <f t="array" ref="AG1104">_xlfn.IFS(AF1104=1,"Low",AF1104=2,"Medium",AF1104=3,"High",AF1104=4,"Very High")</f>
        <v>Very High</v>
      </c>
      <c r="AH1104">
        <v>0</v>
      </c>
      <c r="AI1104">
        <v>7</v>
      </c>
      <c r="AJ1104">
        <v>3</v>
      </c>
      <c r="AK1104">
        <v>2</v>
      </c>
      <c r="AL1104" t="str" cm="1">
        <f t="array" ref="AL1104">_xlfn.IFS(AK1104=1,"Low",AK1104=2,"Medium",AK1104=3,"High",AK1104=4,"Very High")</f>
        <v>Medium</v>
      </c>
      <c r="AM1104">
        <v>3</v>
      </c>
      <c r="AN1104">
        <v>2</v>
      </c>
      <c r="AO1104">
        <v>1</v>
      </c>
      <c r="AP1104">
        <v>2</v>
      </c>
    </row>
    <row r="1105" spans="1:42">
      <c r="A1105">
        <v>48</v>
      </c>
      <c r="B1105" t="str" cm="1">
        <f t="array" ref="B1105">_xlfn.IFS(A1105&lt;=25,"18-25",A1105&lt;=35,"26-35",A1105&lt;=45,"36-45",A1105&lt;=55,"46-55",A1105&gt;55,"56+")</f>
        <v>46-55</v>
      </c>
      <c r="C1105" t="s">
        <v>39</v>
      </c>
      <c r="D1105" t="s">
        <v>33</v>
      </c>
      <c r="E1105" s="2">
        <v>492</v>
      </c>
      <c r="F1105" t="s">
        <v>34</v>
      </c>
      <c r="G1105">
        <v>16</v>
      </c>
      <c r="H1105" t="str">
        <f t="shared" si="17"/>
        <v>11-20 km</v>
      </c>
      <c r="I1105">
        <v>4</v>
      </c>
      <c r="J1105" t="str" cm="1">
        <f t="array" ref="J1105">_xlfn.IFS(I1105=1,"Below College",I1105=2,"College",I1105=3,"Bachelor",I1105=4,"Master",I1105=5,"Doctor")</f>
        <v>Master</v>
      </c>
      <c r="K1105" t="s">
        <v>35</v>
      </c>
      <c r="L1105">
        <v>1557</v>
      </c>
      <c r="M1105">
        <v>3</v>
      </c>
      <c r="N1105" t="str" cm="1">
        <f t="array" ref="N1105">_xlfn.IFS(M1105=1,"Low",M1105=2,"Medium",M1105=3,"High",M1105=4,"Very High")</f>
        <v>High</v>
      </c>
      <c r="O1105" t="s">
        <v>36</v>
      </c>
      <c r="P1105" s="2">
        <v>96</v>
      </c>
      <c r="Q1105">
        <v>3</v>
      </c>
      <c r="R1105" t="str" cm="1">
        <f t="array" ref="R1105">_xlfn.IFS(Q1105=1,"Low",Q1105=2,"Medium",Q1105=3,"High",Q1105=4,"Very High")</f>
        <v>High</v>
      </c>
      <c r="S1105">
        <v>2</v>
      </c>
      <c r="T1105" t="str" cm="1">
        <f t="array" ref="T1105">_xlfn.IFS(S1105=1,"Entry Level",S1105=2,"Junior",S1105=3,"Mid-Level",S1105=4,"Senior",S1105=5,"Executive")</f>
        <v>Junior</v>
      </c>
      <c r="U1105" t="s">
        <v>37</v>
      </c>
      <c r="V1105">
        <v>3</v>
      </c>
      <c r="W1105" t="str" cm="1">
        <f t="array" ref="W1105">_xlfn.IFS(V1105=1,"Low",V1105=2,"Medium",V1105=3,"High",V1105=4,"Very High")</f>
        <v>High</v>
      </c>
      <c r="X1105" t="s">
        <v>48</v>
      </c>
      <c r="Y1105" s="2">
        <v>6439</v>
      </c>
      <c r="Z1105" s="2">
        <v>13693</v>
      </c>
      <c r="AA1105">
        <v>8</v>
      </c>
      <c r="AB1105" t="s">
        <v>39</v>
      </c>
      <c r="AC1105">
        <v>14</v>
      </c>
      <c r="AD1105">
        <v>3</v>
      </c>
      <c r="AE1105" t="str" cm="1">
        <f t="array" ref="AE1105">_xlfn.IFS(AD1105=1,"Low",AD1105=2,"Good",AD1105=3,"Excellent",AD1105=4,"Outstanding")</f>
        <v>Excellent</v>
      </c>
      <c r="AF1105">
        <v>3</v>
      </c>
      <c r="AG1105" t="str" cm="1">
        <f t="array" ref="AG1105">_xlfn.IFS(AF1105=1,"Low",AF1105=2,"Medium",AF1105=3,"High",AF1105=4,"Very High")</f>
        <v>High</v>
      </c>
      <c r="AH1105">
        <v>1</v>
      </c>
      <c r="AI1105">
        <v>18</v>
      </c>
      <c r="AJ1105">
        <v>2</v>
      </c>
      <c r="AK1105">
        <v>3</v>
      </c>
      <c r="AL1105" t="str" cm="1">
        <f t="array" ref="AL1105">_xlfn.IFS(AK1105=1,"Low",AK1105=2,"Medium",AK1105=3,"High",AK1105=4,"Very High")</f>
        <v>High</v>
      </c>
      <c r="AM1105">
        <v>8</v>
      </c>
      <c r="AN1105">
        <v>7</v>
      </c>
      <c r="AO1105">
        <v>7</v>
      </c>
      <c r="AP1105">
        <v>7</v>
      </c>
    </row>
    <row r="1106" spans="1:42">
      <c r="A1106">
        <v>29</v>
      </c>
      <c r="B1106" t="str" cm="1">
        <f t="array" ref="B1106">_xlfn.IFS(A1106&lt;=25,"18-25",A1106&lt;=35,"26-35",A1106&lt;=45,"36-45",A1106&lt;=55,"46-55",A1106&gt;55,"56+")</f>
        <v>26-35</v>
      </c>
      <c r="C1106" t="s">
        <v>39</v>
      </c>
      <c r="D1106" t="s">
        <v>33</v>
      </c>
      <c r="E1106" s="2">
        <v>598</v>
      </c>
      <c r="F1106" t="s">
        <v>41</v>
      </c>
      <c r="G1106">
        <v>9</v>
      </c>
      <c r="H1106" t="str">
        <f t="shared" si="17"/>
        <v>1-10 km</v>
      </c>
      <c r="I1106">
        <v>3</v>
      </c>
      <c r="J1106" t="str" cm="1">
        <f t="array" ref="J1106">_xlfn.IFS(I1106=1,"Below College",I1106=2,"College",I1106=3,"Bachelor",I1106=4,"Master",I1106=5,"Doctor")</f>
        <v>Bachelor</v>
      </c>
      <c r="K1106" t="s">
        <v>35</v>
      </c>
      <c r="L1106">
        <v>1558</v>
      </c>
      <c r="M1106">
        <v>3</v>
      </c>
      <c r="N1106" t="str" cm="1">
        <f t="array" ref="N1106">_xlfn.IFS(M1106=1,"Low",M1106=2,"Medium",M1106=3,"High",M1106=4,"Very High")</f>
        <v>High</v>
      </c>
      <c r="O1106" t="s">
        <v>42</v>
      </c>
      <c r="P1106" s="2">
        <v>91</v>
      </c>
      <c r="Q1106">
        <v>4</v>
      </c>
      <c r="R1106" t="str" cm="1">
        <f t="array" ref="R1106">_xlfn.IFS(Q1106=1,"Low",Q1106=2,"Medium",Q1106=3,"High",Q1106=4,"Very High")</f>
        <v>Very High</v>
      </c>
      <c r="S1106">
        <v>1</v>
      </c>
      <c r="T1106" t="str" cm="1">
        <f t="array" ref="T1106">_xlfn.IFS(S1106=1,"Entry Level",S1106=2,"Junior",S1106=3,"Mid-Level",S1106=4,"Senior",S1106=5,"Executive")</f>
        <v>Entry Level</v>
      </c>
      <c r="U1106" t="s">
        <v>43</v>
      </c>
      <c r="V1106">
        <v>3</v>
      </c>
      <c r="W1106" t="str" cm="1">
        <f t="array" ref="W1106">_xlfn.IFS(V1106=1,"Low",V1106=2,"Medium",V1106=3,"High",V1106=4,"Very High")</f>
        <v>High</v>
      </c>
      <c r="X1106" t="s">
        <v>44</v>
      </c>
      <c r="Y1106" s="2">
        <v>2451</v>
      </c>
      <c r="Z1106" s="2">
        <v>22376</v>
      </c>
      <c r="AA1106">
        <v>6</v>
      </c>
      <c r="AB1106" t="s">
        <v>39</v>
      </c>
      <c r="AC1106">
        <v>18</v>
      </c>
      <c r="AD1106">
        <v>3</v>
      </c>
      <c r="AE1106" t="str" cm="1">
        <f t="array" ref="AE1106">_xlfn.IFS(AD1106=1,"Low",AD1106=2,"Good",AD1106=3,"Excellent",AD1106=4,"Outstanding")</f>
        <v>Excellent</v>
      </c>
      <c r="AF1106">
        <v>1</v>
      </c>
      <c r="AG1106" t="str" cm="1">
        <f t="array" ref="AG1106">_xlfn.IFS(AF1106=1,"Low",AF1106=2,"Medium",AF1106=3,"High",AF1106=4,"Very High")</f>
        <v>Low</v>
      </c>
      <c r="AH1106">
        <v>2</v>
      </c>
      <c r="AI1106">
        <v>5</v>
      </c>
      <c r="AJ1106">
        <v>2</v>
      </c>
      <c r="AK1106">
        <v>2</v>
      </c>
      <c r="AL1106" t="str" cm="1">
        <f t="array" ref="AL1106">_xlfn.IFS(AK1106=1,"Low",AK1106=2,"Medium",AK1106=3,"High",AK1106=4,"Very High")</f>
        <v>Medium</v>
      </c>
      <c r="AM1106">
        <v>1</v>
      </c>
      <c r="AN1106">
        <v>0</v>
      </c>
      <c r="AO1106">
        <v>0</v>
      </c>
      <c r="AP1106">
        <v>0</v>
      </c>
    </row>
    <row r="1107" spans="1:42">
      <c r="A1107">
        <v>33</v>
      </c>
      <c r="B1107" t="str" cm="1">
        <f t="array" ref="B1107">_xlfn.IFS(A1107&lt;=25,"18-25",A1107&lt;=35,"26-35",A1107&lt;=45,"36-45",A1107&lt;=55,"46-55",A1107&gt;55,"56+")</f>
        <v>26-35</v>
      </c>
      <c r="C1107" t="s">
        <v>39</v>
      </c>
      <c r="D1107" t="s">
        <v>33</v>
      </c>
      <c r="E1107" s="2">
        <v>1242</v>
      </c>
      <c r="F1107" t="s">
        <v>34</v>
      </c>
      <c r="G1107">
        <v>8</v>
      </c>
      <c r="H1107" t="str">
        <f t="shared" si="17"/>
        <v>1-10 km</v>
      </c>
      <c r="I1107">
        <v>4</v>
      </c>
      <c r="J1107" t="str" cm="1">
        <f t="array" ref="J1107">_xlfn.IFS(I1107=1,"Below College",I1107=2,"College",I1107=3,"Bachelor",I1107=4,"Master",I1107=5,"Doctor")</f>
        <v>Master</v>
      </c>
      <c r="K1107" t="s">
        <v>35</v>
      </c>
      <c r="L1107">
        <v>1560</v>
      </c>
      <c r="M1107">
        <v>1</v>
      </c>
      <c r="N1107" t="str" cm="1">
        <f t="array" ref="N1107">_xlfn.IFS(M1107=1,"Low",M1107=2,"Medium",M1107=3,"High",M1107=4,"Very High")</f>
        <v>Low</v>
      </c>
      <c r="O1107" t="s">
        <v>42</v>
      </c>
      <c r="P1107" s="2">
        <v>46</v>
      </c>
      <c r="Q1107">
        <v>3</v>
      </c>
      <c r="R1107" t="str" cm="1">
        <f t="array" ref="R1107">_xlfn.IFS(Q1107=1,"Low",Q1107=2,"Medium",Q1107=3,"High",Q1107=4,"Very High")</f>
        <v>High</v>
      </c>
      <c r="S1107">
        <v>2</v>
      </c>
      <c r="T1107" t="str" cm="1">
        <f t="array" ref="T1107">_xlfn.IFS(S1107=1,"Entry Level",S1107=2,"Junior",S1107=3,"Mid-Level",S1107=4,"Senior",S1107=5,"Executive")</f>
        <v>Junior</v>
      </c>
      <c r="U1107" t="s">
        <v>37</v>
      </c>
      <c r="V1107">
        <v>1</v>
      </c>
      <c r="W1107" t="str" cm="1">
        <f t="array" ref="W1107">_xlfn.IFS(V1107=1,"Low",V1107=2,"Medium",V1107=3,"High",V1107=4,"Very High")</f>
        <v>Low</v>
      </c>
      <c r="X1107" t="s">
        <v>44</v>
      </c>
      <c r="Y1107" s="2">
        <v>6392</v>
      </c>
      <c r="Z1107" s="2">
        <v>10589</v>
      </c>
      <c r="AA1107">
        <v>2</v>
      </c>
      <c r="AB1107" t="s">
        <v>39</v>
      </c>
      <c r="AC1107">
        <v>13</v>
      </c>
      <c r="AD1107">
        <v>3</v>
      </c>
      <c r="AE1107" t="str" cm="1">
        <f t="array" ref="AE1107">_xlfn.IFS(AD1107=1,"Low",AD1107=2,"Good",AD1107=3,"Excellent",AD1107=4,"Outstanding")</f>
        <v>Excellent</v>
      </c>
      <c r="AF1107">
        <v>4</v>
      </c>
      <c r="AG1107" t="str" cm="1">
        <f t="array" ref="AG1107">_xlfn.IFS(AF1107=1,"Low",AF1107=2,"Medium",AF1107=3,"High",AF1107=4,"Very High")</f>
        <v>Very High</v>
      </c>
      <c r="AH1107">
        <v>1</v>
      </c>
      <c r="AI1107">
        <v>8</v>
      </c>
      <c r="AJ1107">
        <v>6</v>
      </c>
      <c r="AK1107">
        <v>1</v>
      </c>
      <c r="AL1107" t="str" cm="1">
        <f t="array" ref="AL1107">_xlfn.IFS(AK1107=1,"Low",AK1107=2,"Medium",AK1107=3,"High",AK1107=4,"Very High")</f>
        <v>Low</v>
      </c>
      <c r="AM1107">
        <v>2</v>
      </c>
      <c r="AN1107">
        <v>2</v>
      </c>
      <c r="AO1107">
        <v>2</v>
      </c>
      <c r="AP1107">
        <v>2</v>
      </c>
    </row>
    <row r="1108" spans="1:42">
      <c r="A1108">
        <v>30</v>
      </c>
      <c r="B1108" t="str" cm="1">
        <f t="array" ref="B1108">_xlfn.IFS(A1108&lt;=25,"18-25",A1108&lt;=35,"26-35",A1108&lt;=45,"36-45",A1108&lt;=55,"46-55",A1108&gt;55,"56+")</f>
        <v>26-35</v>
      </c>
      <c r="C1108" t="s">
        <v>32</v>
      </c>
      <c r="D1108" t="s">
        <v>33</v>
      </c>
      <c r="E1108" s="2">
        <v>740</v>
      </c>
      <c r="F1108" t="s">
        <v>34</v>
      </c>
      <c r="G1108">
        <v>1</v>
      </c>
      <c r="H1108" t="str">
        <f t="shared" si="17"/>
        <v>1-10 km</v>
      </c>
      <c r="I1108">
        <v>3</v>
      </c>
      <c r="J1108" t="str" cm="1">
        <f t="array" ref="J1108">_xlfn.IFS(I1108=1,"Below College",I1108=2,"College",I1108=3,"Bachelor",I1108=4,"Master",I1108=5,"Doctor")</f>
        <v>Bachelor</v>
      </c>
      <c r="K1108" t="s">
        <v>35</v>
      </c>
      <c r="L1108">
        <v>1562</v>
      </c>
      <c r="M1108">
        <v>2</v>
      </c>
      <c r="N1108" t="str" cm="1">
        <f t="array" ref="N1108">_xlfn.IFS(M1108=1,"Low",M1108=2,"Medium",M1108=3,"High",M1108=4,"Very High")</f>
        <v>Medium</v>
      </c>
      <c r="O1108" t="s">
        <v>42</v>
      </c>
      <c r="P1108" s="2">
        <v>64</v>
      </c>
      <c r="Q1108">
        <v>2</v>
      </c>
      <c r="R1108" t="str" cm="1">
        <f t="array" ref="R1108">_xlfn.IFS(Q1108=1,"Low",Q1108=2,"Medium",Q1108=3,"High",Q1108=4,"Very High")</f>
        <v>Medium</v>
      </c>
      <c r="S1108">
        <v>2</v>
      </c>
      <c r="T1108" t="str" cm="1">
        <f t="array" ref="T1108">_xlfn.IFS(S1108=1,"Entry Level",S1108=2,"Junior",S1108=3,"Mid-Level",S1108=4,"Senior",S1108=5,"Executive")</f>
        <v>Junior</v>
      </c>
      <c r="U1108" t="s">
        <v>37</v>
      </c>
      <c r="V1108">
        <v>1</v>
      </c>
      <c r="W1108" t="str" cm="1">
        <f t="array" ref="W1108">_xlfn.IFS(V1108=1,"Low",V1108=2,"Medium",V1108=3,"High",V1108=4,"Very High")</f>
        <v>Low</v>
      </c>
      <c r="X1108" t="s">
        <v>44</v>
      </c>
      <c r="Y1108" s="2">
        <v>9714</v>
      </c>
      <c r="Z1108" s="2">
        <v>5323</v>
      </c>
      <c r="AA1108">
        <v>1</v>
      </c>
      <c r="AB1108" t="s">
        <v>39</v>
      </c>
      <c r="AC1108">
        <v>11</v>
      </c>
      <c r="AD1108">
        <v>3</v>
      </c>
      <c r="AE1108" t="str" cm="1">
        <f t="array" ref="AE1108">_xlfn.IFS(AD1108=1,"Low",AD1108=2,"Good",AD1108=3,"Excellent",AD1108=4,"Outstanding")</f>
        <v>Excellent</v>
      </c>
      <c r="AF1108">
        <v>4</v>
      </c>
      <c r="AG1108" t="str" cm="1">
        <f t="array" ref="AG1108">_xlfn.IFS(AF1108=1,"Low",AF1108=2,"Medium",AF1108=3,"High",AF1108=4,"Very High")</f>
        <v>Very High</v>
      </c>
      <c r="AH1108">
        <v>1</v>
      </c>
      <c r="AI1108">
        <v>10</v>
      </c>
      <c r="AJ1108">
        <v>4</v>
      </c>
      <c r="AK1108">
        <v>3</v>
      </c>
      <c r="AL1108" t="str" cm="1">
        <f t="array" ref="AL1108">_xlfn.IFS(AK1108=1,"Low",AK1108=2,"Medium",AK1108=3,"High",AK1108=4,"Very High")</f>
        <v>High</v>
      </c>
      <c r="AM1108">
        <v>10</v>
      </c>
      <c r="AN1108">
        <v>8</v>
      </c>
      <c r="AO1108">
        <v>6</v>
      </c>
      <c r="AP1108">
        <v>7</v>
      </c>
    </row>
    <row r="1109" spans="1:42">
      <c r="A1109">
        <v>38</v>
      </c>
      <c r="B1109" t="str" cm="1">
        <f t="array" ref="B1109">_xlfn.IFS(A1109&lt;=25,"18-25",A1109&lt;=35,"26-35",A1109&lt;=45,"36-45",A1109&lt;=55,"46-55",A1109&gt;55,"56+")</f>
        <v>36-45</v>
      </c>
      <c r="C1109" t="s">
        <v>39</v>
      </c>
      <c r="D1109" t="s">
        <v>40</v>
      </c>
      <c r="E1109" s="2">
        <v>888</v>
      </c>
      <c r="F1109" t="s">
        <v>57</v>
      </c>
      <c r="G1109">
        <v>10</v>
      </c>
      <c r="H1109" t="str">
        <f t="shared" si="17"/>
        <v>1-10 km</v>
      </c>
      <c r="I1109">
        <v>4</v>
      </c>
      <c r="J1109" t="str" cm="1">
        <f t="array" ref="J1109">_xlfn.IFS(I1109=1,"Below College",I1109=2,"College",I1109=3,"Bachelor",I1109=4,"Master",I1109=5,"Doctor")</f>
        <v>Master</v>
      </c>
      <c r="K1109" t="s">
        <v>57</v>
      </c>
      <c r="L1109">
        <v>1563</v>
      </c>
      <c r="M1109">
        <v>3</v>
      </c>
      <c r="N1109" t="str" cm="1">
        <f t="array" ref="N1109">_xlfn.IFS(M1109=1,"Low",M1109=2,"Medium",M1109=3,"High",M1109=4,"Very High")</f>
        <v>High</v>
      </c>
      <c r="O1109" t="s">
        <v>42</v>
      </c>
      <c r="P1109" s="2">
        <v>71</v>
      </c>
      <c r="Q1109">
        <v>3</v>
      </c>
      <c r="R1109" t="str" cm="1">
        <f t="array" ref="R1109">_xlfn.IFS(Q1109=1,"Low",Q1109=2,"Medium",Q1109=3,"High",Q1109=4,"Very High")</f>
        <v>High</v>
      </c>
      <c r="S1109">
        <v>2</v>
      </c>
      <c r="T1109" t="str" cm="1">
        <f t="array" ref="T1109">_xlfn.IFS(S1109=1,"Entry Level",S1109=2,"Junior",S1109=3,"Mid-Level",S1109=4,"Senior",S1109=5,"Executive")</f>
        <v>Junior</v>
      </c>
      <c r="U1109" t="s">
        <v>57</v>
      </c>
      <c r="V1109">
        <v>3</v>
      </c>
      <c r="W1109" t="str" cm="1">
        <f t="array" ref="W1109">_xlfn.IFS(V1109=1,"Low",V1109=2,"Medium",V1109=3,"High",V1109=4,"Very High")</f>
        <v>High</v>
      </c>
      <c r="X1109" t="s">
        <v>44</v>
      </c>
      <c r="Y1109" s="2">
        <v>6077</v>
      </c>
      <c r="Z1109" s="2">
        <v>14814</v>
      </c>
      <c r="AA1109">
        <v>3</v>
      </c>
      <c r="AB1109" t="s">
        <v>39</v>
      </c>
      <c r="AC1109">
        <v>11</v>
      </c>
      <c r="AD1109">
        <v>3</v>
      </c>
      <c r="AE1109" t="str" cm="1">
        <f t="array" ref="AE1109">_xlfn.IFS(AD1109=1,"Low",AD1109=2,"Good",AD1109=3,"Excellent",AD1109=4,"Outstanding")</f>
        <v>Excellent</v>
      </c>
      <c r="AF1109">
        <v>3</v>
      </c>
      <c r="AG1109" t="str" cm="1">
        <f t="array" ref="AG1109">_xlfn.IFS(AF1109=1,"Low",AF1109=2,"Medium",AF1109=3,"High",AF1109=4,"Very High")</f>
        <v>High</v>
      </c>
      <c r="AH1109">
        <v>0</v>
      </c>
      <c r="AI1109">
        <v>10</v>
      </c>
      <c r="AJ1109">
        <v>2</v>
      </c>
      <c r="AK1109">
        <v>3</v>
      </c>
      <c r="AL1109" t="str" cm="1">
        <f t="array" ref="AL1109">_xlfn.IFS(AK1109=1,"Low",AK1109=2,"Medium",AK1109=3,"High",AK1109=4,"Very High")</f>
        <v>High</v>
      </c>
      <c r="AM1109">
        <v>6</v>
      </c>
      <c r="AN1109">
        <v>3</v>
      </c>
      <c r="AO1109">
        <v>1</v>
      </c>
      <c r="AP1109">
        <v>2</v>
      </c>
    </row>
    <row r="1110" spans="1:42">
      <c r="A1110">
        <v>35</v>
      </c>
      <c r="B1110" t="str" cm="1">
        <f t="array" ref="B1110">_xlfn.IFS(A1110&lt;=25,"18-25",A1110&lt;=35,"26-35",A1110&lt;=45,"36-45",A1110&lt;=55,"46-55",A1110&gt;55,"56+")</f>
        <v>26-35</v>
      </c>
      <c r="C1110" t="s">
        <v>39</v>
      </c>
      <c r="D1110" t="s">
        <v>33</v>
      </c>
      <c r="E1110" s="2">
        <v>992</v>
      </c>
      <c r="F1110" t="s">
        <v>41</v>
      </c>
      <c r="G1110">
        <v>1</v>
      </c>
      <c r="H1110" t="str">
        <f t="shared" si="17"/>
        <v>1-10 km</v>
      </c>
      <c r="I1110">
        <v>3</v>
      </c>
      <c r="J1110" t="str" cm="1">
        <f t="array" ref="J1110">_xlfn.IFS(I1110=1,"Below College",I1110=2,"College",I1110=3,"Bachelor",I1110=4,"Master",I1110=5,"Doctor")</f>
        <v>Bachelor</v>
      </c>
      <c r="K1110" t="s">
        <v>47</v>
      </c>
      <c r="L1110">
        <v>1564</v>
      </c>
      <c r="M1110">
        <v>4</v>
      </c>
      <c r="N1110" t="str" cm="1">
        <f t="array" ref="N1110">_xlfn.IFS(M1110=1,"Low",M1110=2,"Medium",M1110=3,"High",M1110=4,"Very High")</f>
        <v>Very High</v>
      </c>
      <c r="O1110" t="s">
        <v>42</v>
      </c>
      <c r="P1110" s="2">
        <v>68</v>
      </c>
      <c r="Q1110">
        <v>2</v>
      </c>
      <c r="R1110" t="str" cm="1">
        <f t="array" ref="R1110">_xlfn.IFS(Q1110=1,"Low",Q1110=2,"Medium",Q1110=3,"High",Q1110=4,"Very High")</f>
        <v>Medium</v>
      </c>
      <c r="S1110">
        <v>1</v>
      </c>
      <c r="T1110" t="str" cm="1">
        <f t="array" ref="T1110">_xlfn.IFS(S1110=1,"Entry Level",S1110=2,"Junior",S1110=3,"Mid-Level",S1110=4,"Senior",S1110=5,"Executive")</f>
        <v>Entry Level</v>
      </c>
      <c r="U1110" t="s">
        <v>46</v>
      </c>
      <c r="V1110">
        <v>1</v>
      </c>
      <c r="W1110" t="str" cm="1">
        <f t="array" ref="W1110">_xlfn.IFS(V1110=1,"Low",V1110=2,"Medium",V1110=3,"High",V1110=4,"Very High")</f>
        <v>Low</v>
      </c>
      <c r="X1110" t="s">
        <v>38</v>
      </c>
      <c r="Y1110" s="2">
        <v>2450</v>
      </c>
      <c r="Z1110" s="2">
        <v>21731</v>
      </c>
      <c r="AA1110">
        <v>1</v>
      </c>
      <c r="AB1110" t="s">
        <v>39</v>
      </c>
      <c r="AC1110">
        <v>19</v>
      </c>
      <c r="AD1110">
        <v>3</v>
      </c>
      <c r="AE1110" t="str" cm="1">
        <f t="array" ref="AE1110">_xlfn.IFS(AD1110=1,"Low",AD1110=2,"Good",AD1110=3,"Excellent",AD1110=4,"Outstanding")</f>
        <v>Excellent</v>
      </c>
      <c r="AF1110">
        <v>2</v>
      </c>
      <c r="AG1110" t="str" cm="1">
        <f t="array" ref="AG1110">_xlfn.IFS(AF1110=1,"Low",AF1110=2,"Medium",AF1110=3,"High",AF1110=4,"Very High")</f>
        <v>Medium</v>
      </c>
      <c r="AH1110">
        <v>0</v>
      </c>
      <c r="AI1110">
        <v>3</v>
      </c>
      <c r="AJ1110">
        <v>3</v>
      </c>
      <c r="AK1110">
        <v>3</v>
      </c>
      <c r="AL1110" t="str" cm="1">
        <f t="array" ref="AL1110">_xlfn.IFS(AK1110=1,"Low",AK1110=2,"Medium",AK1110=3,"High",AK1110=4,"Very High")</f>
        <v>High</v>
      </c>
      <c r="AM1110">
        <v>3</v>
      </c>
      <c r="AN1110">
        <v>0</v>
      </c>
      <c r="AO1110">
        <v>1</v>
      </c>
      <c r="AP1110">
        <v>2</v>
      </c>
    </row>
    <row r="1111" spans="1:42">
      <c r="A1111">
        <v>30</v>
      </c>
      <c r="B1111" t="str" cm="1">
        <f t="array" ref="B1111">_xlfn.IFS(A1111&lt;=25,"18-25",A1111&lt;=35,"26-35",A1111&lt;=45,"36-45",A1111&lt;=55,"46-55",A1111&gt;55,"56+")</f>
        <v>26-35</v>
      </c>
      <c r="C1111" t="s">
        <v>39</v>
      </c>
      <c r="D1111" t="s">
        <v>33</v>
      </c>
      <c r="E1111" s="2">
        <v>1288</v>
      </c>
      <c r="F1111" t="s">
        <v>34</v>
      </c>
      <c r="G1111">
        <v>29</v>
      </c>
      <c r="H1111" t="str">
        <f t="shared" si="17"/>
        <v>21-30 km</v>
      </c>
      <c r="I1111">
        <v>4</v>
      </c>
      <c r="J1111" t="str" cm="1">
        <f t="array" ref="J1111">_xlfn.IFS(I1111=1,"Below College",I1111=2,"College",I1111=3,"Bachelor",I1111=4,"Master",I1111=5,"Doctor")</f>
        <v>Master</v>
      </c>
      <c r="K1111" t="s">
        <v>56</v>
      </c>
      <c r="L1111">
        <v>1568</v>
      </c>
      <c r="M1111">
        <v>3</v>
      </c>
      <c r="N1111" t="str" cm="1">
        <f t="array" ref="N1111">_xlfn.IFS(M1111=1,"Low",M1111=2,"Medium",M1111=3,"High",M1111=4,"Very High")</f>
        <v>High</v>
      </c>
      <c r="O1111" t="s">
        <v>42</v>
      </c>
      <c r="P1111" s="2">
        <v>33</v>
      </c>
      <c r="Q1111">
        <v>3</v>
      </c>
      <c r="R1111" t="str" cm="1">
        <f t="array" ref="R1111">_xlfn.IFS(Q1111=1,"Low",Q1111=2,"Medium",Q1111=3,"High",Q1111=4,"Very High")</f>
        <v>High</v>
      </c>
      <c r="S1111">
        <v>3</v>
      </c>
      <c r="T1111" t="str" cm="1">
        <f t="array" ref="T1111">_xlfn.IFS(S1111=1,"Entry Level",S1111=2,"Junior",S1111=3,"Mid-Level",S1111=4,"Senior",S1111=5,"Executive")</f>
        <v>Mid-Level</v>
      </c>
      <c r="U1111" t="s">
        <v>37</v>
      </c>
      <c r="V1111">
        <v>2</v>
      </c>
      <c r="W1111" t="str" cm="1">
        <f t="array" ref="W1111">_xlfn.IFS(V1111=1,"Low",V1111=2,"Medium",V1111=3,"High",V1111=4,"Very High")</f>
        <v>Medium</v>
      </c>
      <c r="X1111" t="s">
        <v>44</v>
      </c>
      <c r="Y1111" s="2">
        <v>9250</v>
      </c>
      <c r="Z1111" s="2">
        <v>17799</v>
      </c>
      <c r="AA1111">
        <v>3</v>
      </c>
      <c r="AB1111" t="s">
        <v>39</v>
      </c>
      <c r="AC1111">
        <v>12</v>
      </c>
      <c r="AD1111">
        <v>3</v>
      </c>
      <c r="AE1111" t="str" cm="1">
        <f t="array" ref="AE1111">_xlfn.IFS(AD1111=1,"Low",AD1111=2,"Good",AD1111=3,"Excellent",AD1111=4,"Outstanding")</f>
        <v>Excellent</v>
      </c>
      <c r="AF1111">
        <v>2</v>
      </c>
      <c r="AG1111" t="str" cm="1">
        <f t="array" ref="AG1111">_xlfn.IFS(AF1111=1,"Low",AF1111=2,"Medium",AF1111=3,"High",AF1111=4,"Very High")</f>
        <v>Medium</v>
      </c>
      <c r="AH1111">
        <v>1</v>
      </c>
      <c r="AI1111">
        <v>9</v>
      </c>
      <c r="AJ1111">
        <v>3</v>
      </c>
      <c r="AK1111">
        <v>3</v>
      </c>
      <c r="AL1111" t="str" cm="1">
        <f t="array" ref="AL1111">_xlfn.IFS(AK1111=1,"Low",AK1111=2,"Medium",AK1111=3,"High",AK1111=4,"Very High")</f>
        <v>High</v>
      </c>
      <c r="AM1111">
        <v>4</v>
      </c>
      <c r="AN1111">
        <v>2</v>
      </c>
      <c r="AO1111">
        <v>1</v>
      </c>
      <c r="AP1111">
        <v>3</v>
      </c>
    </row>
    <row r="1112" spans="1:42">
      <c r="A1112">
        <v>35</v>
      </c>
      <c r="B1112" t="str" cm="1">
        <f t="array" ref="B1112">_xlfn.IFS(A1112&lt;=25,"18-25",A1112&lt;=35,"26-35",A1112&lt;=45,"36-45",A1112&lt;=55,"46-55",A1112&gt;55,"56+")</f>
        <v>26-35</v>
      </c>
      <c r="C1112" t="s">
        <v>32</v>
      </c>
      <c r="D1112" t="s">
        <v>33</v>
      </c>
      <c r="E1112" s="2">
        <v>104</v>
      </c>
      <c r="F1112" t="s">
        <v>41</v>
      </c>
      <c r="G1112">
        <v>2</v>
      </c>
      <c r="H1112" t="str">
        <f t="shared" si="17"/>
        <v>1-10 km</v>
      </c>
      <c r="I1112">
        <v>3</v>
      </c>
      <c r="J1112" t="str" cm="1">
        <f t="array" ref="J1112">_xlfn.IFS(I1112=1,"Below College",I1112=2,"College",I1112=3,"Bachelor",I1112=4,"Master",I1112=5,"Doctor")</f>
        <v>Bachelor</v>
      </c>
      <c r="K1112" t="s">
        <v>35</v>
      </c>
      <c r="L1112">
        <v>1569</v>
      </c>
      <c r="M1112">
        <v>1</v>
      </c>
      <c r="N1112" t="str" cm="1">
        <f t="array" ref="N1112">_xlfn.IFS(M1112=1,"Low",M1112=2,"Medium",M1112=3,"High",M1112=4,"Very High")</f>
        <v>Low</v>
      </c>
      <c r="O1112" t="s">
        <v>36</v>
      </c>
      <c r="P1112" s="2">
        <v>69</v>
      </c>
      <c r="Q1112">
        <v>3</v>
      </c>
      <c r="R1112" t="str" cm="1">
        <f t="array" ref="R1112">_xlfn.IFS(Q1112=1,"Low",Q1112=2,"Medium",Q1112=3,"High",Q1112=4,"Very High")</f>
        <v>High</v>
      </c>
      <c r="S1112">
        <v>1</v>
      </c>
      <c r="T1112" t="str" cm="1">
        <f t="array" ref="T1112">_xlfn.IFS(S1112=1,"Entry Level",S1112=2,"Junior",S1112=3,"Mid-Level",S1112=4,"Senior",S1112=5,"Executive")</f>
        <v>Entry Level</v>
      </c>
      <c r="U1112" t="s">
        <v>46</v>
      </c>
      <c r="V1112">
        <v>1</v>
      </c>
      <c r="W1112" t="str" cm="1">
        <f t="array" ref="W1112">_xlfn.IFS(V1112=1,"Low",V1112=2,"Medium",V1112=3,"High",V1112=4,"Very High")</f>
        <v>Low</v>
      </c>
      <c r="X1112" t="s">
        <v>48</v>
      </c>
      <c r="Y1112" s="2">
        <v>2074</v>
      </c>
      <c r="Z1112" s="2">
        <v>26619</v>
      </c>
      <c r="AA1112">
        <v>1</v>
      </c>
      <c r="AB1112" t="s">
        <v>32</v>
      </c>
      <c r="AC1112">
        <v>12</v>
      </c>
      <c r="AD1112">
        <v>3</v>
      </c>
      <c r="AE1112" t="str" cm="1">
        <f t="array" ref="AE1112">_xlfn.IFS(AD1112=1,"Low",AD1112=2,"Good",AD1112=3,"Excellent",AD1112=4,"Outstanding")</f>
        <v>Excellent</v>
      </c>
      <c r="AF1112">
        <v>4</v>
      </c>
      <c r="AG1112" t="str" cm="1">
        <f t="array" ref="AG1112">_xlfn.IFS(AF1112=1,"Low",AF1112=2,"Medium",AF1112=3,"High",AF1112=4,"Very High")</f>
        <v>Very High</v>
      </c>
      <c r="AH1112">
        <v>1</v>
      </c>
      <c r="AI1112">
        <v>1</v>
      </c>
      <c r="AJ1112">
        <v>2</v>
      </c>
      <c r="AK1112">
        <v>3</v>
      </c>
      <c r="AL1112" t="str" cm="1">
        <f t="array" ref="AL1112">_xlfn.IFS(AK1112=1,"Low",AK1112=2,"Medium",AK1112=3,"High",AK1112=4,"Very High")</f>
        <v>High</v>
      </c>
      <c r="AM1112">
        <v>1</v>
      </c>
      <c r="AN1112">
        <v>0</v>
      </c>
      <c r="AO1112">
        <v>0</v>
      </c>
      <c r="AP1112">
        <v>0</v>
      </c>
    </row>
    <row r="1113" spans="1:42">
      <c r="A1113">
        <v>53</v>
      </c>
      <c r="B1113" t="str" cm="1">
        <f t="array" ref="B1113">_xlfn.IFS(A1113&lt;=25,"18-25",A1113&lt;=35,"26-35",A1113&lt;=45,"36-45",A1113&lt;=55,"46-55",A1113&gt;55,"56+")</f>
        <v>46-55</v>
      </c>
      <c r="C1113" t="s">
        <v>32</v>
      </c>
      <c r="D1113" t="s">
        <v>33</v>
      </c>
      <c r="E1113" s="2">
        <v>607</v>
      </c>
      <c r="F1113" t="s">
        <v>41</v>
      </c>
      <c r="G1113">
        <v>2</v>
      </c>
      <c r="H1113" t="str">
        <f t="shared" si="17"/>
        <v>1-10 km</v>
      </c>
      <c r="I1113">
        <v>5</v>
      </c>
      <c r="J1113" t="str" cm="1">
        <f t="array" ref="J1113">_xlfn.IFS(I1113=1,"Below College",I1113=2,"College",I1113=3,"Bachelor",I1113=4,"Master",I1113=5,"Doctor")</f>
        <v>Doctor</v>
      </c>
      <c r="K1113" t="s">
        <v>56</v>
      </c>
      <c r="L1113">
        <v>1572</v>
      </c>
      <c r="M1113">
        <v>3</v>
      </c>
      <c r="N1113" t="str" cm="1">
        <f t="array" ref="N1113">_xlfn.IFS(M1113=1,"Low",M1113=2,"Medium",M1113=3,"High",M1113=4,"Very High")</f>
        <v>High</v>
      </c>
      <c r="O1113" t="s">
        <v>36</v>
      </c>
      <c r="P1113" s="2">
        <v>78</v>
      </c>
      <c r="Q1113">
        <v>2</v>
      </c>
      <c r="R1113" t="str" cm="1">
        <f t="array" ref="R1113">_xlfn.IFS(Q1113=1,"Low",Q1113=2,"Medium",Q1113=3,"High",Q1113=4,"Very High")</f>
        <v>Medium</v>
      </c>
      <c r="S1113">
        <v>3</v>
      </c>
      <c r="T1113" t="str" cm="1">
        <f t="array" ref="T1113">_xlfn.IFS(S1113=1,"Entry Level",S1113=2,"Junior",S1113=3,"Mid-Level",S1113=4,"Senior",S1113=5,"Executive")</f>
        <v>Mid-Level</v>
      </c>
      <c r="U1113" t="s">
        <v>49</v>
      </c>
      <c r="V1113">
        <v>4</v>
      </c>
      <c r="W1113" t="str" cm="1">
        <f t="array" ref="W1113">_xlfn.IFS(V1113=1,"Low",V1113=2,"Medium",V1113=3,"High",V1113=4,"Very High")</f>
        <v>Very High</v>
      </c>
      <c r="X1113" t="s">
        <v>44</v>
      </c>
      <c r="Y1113" s="2">
        <v>10169</v>
      </c>
      <c r="Z1113" s="2">
        <v>14618</v>
      </c>
      <c r="AA1113">
        <v>0</v>
      </c>
      <c r="AB1113" t="s">
        <v>39</v>
      </c>
      <c r="AC1113">
        <v>16</v>
      </c>
      <c r="AD1113">
        <v>3</v>
      </c>
      <c r="AE1113" t="str" cm="1">
        <f t="array" ref="AE1113">_xlfn.IFS(AD1113=1,"Low",AD1113=2,"Good",AD1113=3,"Excellent",AD1113=4,"Outstanding")</f>
        <v>Excellent</v>
      </c>
      <c r="AF1113">
        <v>2</v>
      </c>
      <c r="AG1113" t="str" cm="1">
        <f t="array" ref="AG1113">_xlfn.IFS(AF1113=1,"Low",AF1113=2,"Medium",AF1113=3,"High",AF1113=4,"Very High")</f>
        <v>Medium</v>
      </c>
      <c r="AH1113">
        <v>1</v>
      </c>
      <c r="AI1113">
        <v>34</v>
      </c>
      <c r="AJ1113">
        <v>4</v>
      </c>
      <c r="AK1113">
        <v>3</v>
      </c>
      <c r="AL1113" t="str" cm="1">
        <f t="array" ref="AL1113">_xlfn.IFS(AK1113=1,"Low",AK1113=2,"Medium",AK1113=3,"High",AK1113=4,"Very High")</f>
        <v>High</v>
      </c>
      <c r="AM1113">
        <v>33</v>
      </c>
      <c r="AN1113">
        <v>7</v>
      </c>
      <c r="AO1113">
        <v>1</v>
      </c>
      <c r="AP1113">
        <v>9</v>
      </c>
    </row>
    <row r="1114" spans="1:42">
      <c r="A1114">
        <v>38</v>
      </c>
      <c r="B1114" t="str" cm="1">
        <f t="array" ref="B1114">_xlfn.IFS(A1114&lt;=25,"18-25",A1114&lt;=35,"26-35",A1114&lt;=45,"36-45",A1114&lt;=55,"46-55",A1114&gt;55,"56+")</f>
        <v>36-45</v>
      </c>
      <c r="C1114" t="s">
        <v>32</v>
      </c>
      <c r="D1114" t="s">
        <v>33</v>
      </c>
      <c r="E1114" s="2">
        <v>903</v>
      </c>
      <c r="F1114" t="s">
        <v>41</v>
      </c>
      <c r="G1114">
        <v>2</v>
      </c>
      <c r="H1114" t="str">
        <f t="shared" si="17"/>
        <v>1-10 km</v>
      </c>
      <c r="I1114">
        <v>3</v>
      </c>
      <c r="J1114" t="str" cm="1">
        <f t="array" ref="J1114">_xlfn.IFS(I1114=1,"Below College",I1114=2,"College",I1114=3,"Bachelor",I1114=4,"Master",I1114=5,"Doctor")</f>
        <v>Bachelor</v>
      </c>
      <c r="K1114" t="s">
        <v>47</v>
      </c>
      <c r="L1114">
        <v>1573</v>
      </c>
      <c r="M1114">
        <v>3</v>
      </c>
      <c r="N1114" t="str" cm="1">
        <f t="array" ref="N1114">_xlfn.IFS(M1114=1,"Low",M1114=2,"Medium",M1114=3,"High",M1114=4,"Very High")</f>
        <v>High</v>
      </c>
      <c r="O1114" t="s">
        <v>42</v>
      </c>
      <c r="P1114" s="2">
        <v>81</v>
      </c>
      <c r="Q1114">
        <v>3</v>
      </c>
      <c r="R1114" t="str" cm="1">
        <f t="array" ref="R1114">_xlfn.IFS(Q1114=1,"Low",Q1114=2,"Medium",Q1114=3,"High",Q1114=4,"Very High")</f>
        <v>High</v>
      </c>
      <c r="S1114">
        <v>2</v>
      </c>
      <c r="T1114" t="str" cm="1">
        <f t="array" ref="T1114">_xlfn.IFS(S1114=1,"Entry Level",S1114=2,"Junior",S1114=3,"Mid-Level",S1114=4,"Senior",S1114=5,"Executive")</f>
        <v>Junior</v>
      </c>
      <c r="U1114" t="s">
        <v>49</v>
      </c>
      <c r="V1114">
        <v>2</v>
      </c>
      <c r="W1114" t="str" cm="1">
        <f t="array" ref="W1114">_xlfn.IFS(V1114=1,"Low",V1114=2,"Medium",V1114=3,"High",V1114=4,"Very High")</f>
        <v>Medium</v>
      </c>
      <c r="X1114" t="s">
        <v>44</v>
      </c>
      <c r="Y1114" s="2">
        <v>4855</v>
      </c>
      <c r="Z1114" s="2">
        <v>7653</v>
      </c>
      <c r="AA1114">
        <v>4</v>
      </c>
      <c r="AB1114" t="s">
        <v>39</v>
      </c>
      <c r="AC1114">
        <v>11</v>
      </c>
      <c r="AD1114">
        <v>3</v>
      </c>
      <c r="AE1114" t="str" cm="1">
        <f t="array" ref="AE1114">_xlfn.IFS(AD1114=1,"Low",AD1114=2,"Good",AD1114=3,"Excellent",AD1114=4,"Outstanding")</f>
        <v>Excellent</v>
      </c>
      <c r="AF1114">
        <v>1</v>
      </c>
      <c r="AG1114" t="str" cm="1">
        <f t="array" ref="AG1114">_xlfn.IFS(AF1114=1,"Low",AF1114=2,"Medium",AF1114=3,"High",AF1114=4,"Very High")</f>
        <v>Low</v>
      </c>
      <c r="AH1114">
        <v>2</v>
      </c>
      <c r="AI1114">
        <v>7</v>
      </c>
      <c r="AJ1114">
        <v>2</v>
      </c>
      <c r="AK1114">
        <v>3</v>
      </c>
      <c r="AL1114" t="str" cm="1">
        <f t="array" ref="AL1114">_xlfn.IFS(AK1114=1,"Low",AK1114=2,"Medium",AK1114=3,"High",AK1114=4,"Very High")</f>
        <v>High</v>
      </c>
      <c r="AM1114">
        <v>5</v>
      </c>
      <c r="AN1114">
        <v>2</v>
      </c>
      <c r="AO1114">
        <v>1</v>
      </c>
      <c r="AP1114">
        <v>4</v>
      </c>
    </row>
    <row r="1115" spans="1:42">
      <c r="A1115">
        <v>32</v>
      </c>
      <c r="B1115" t="str" cm="1">
        <f t="array" ref="B1115">_xlfn.IFS(A1115&lt;=25,"18-25",A1115&lt;=35,"26-35",A1115&lt;=45,"36-45",A1115&lt;=55,"46-55",A1115&gt;55,"56+")</f>
        <v>26-35</v>
      </c>
      <c r="C1115" t="s">
        <v>39</v>
      </c>
      <c r="D1115" t="s">
        <v>51</v>
      </c>
      <c r="E1115" s="2">
        <v>1200</v>
      </c>
      <c r="F1115" t="s">
        <v>41</v>
      </c>
      <c r="G1115">
        <v>1</v>
      </c>
      <c r="H1115" t="str">
        <f t="shared" si="17"/>
        <v>1-10 km</v>
      </c>
      <c r="I1115">
        <v>4</v>
      </c>
      <c r="J1115" t="str" cm="1">
        <f t="array" ref="J1115">_xlfn.IFS(I1115=1,"Below College",I1115=2,"College",I1115=3,"Bachelor",I1115=4,"Master",I1115=5,"Doctor")</f>
        <v>Master</v>
      </c>
      <c r="K1115" t="s">
        <v>56</v>
      </c>
      <c r="L1115">
        <v>1574</v>
      </c>
      <c r="M1115">
        <v>4</v>
      </c>
      <c r="N1115" t="str" cm="1">
        <f t="array" ref="N1115">_xlfn.IFS(M1115=1,"Low",M1115=2,"Medium",M1115=3,"High",M1115=4,"Very High")</f>
        <v>Very High</v>
      </c>
      <c r="O1115" t="s">
        <v>42</v>
      </c>
      <c r="P1115" s="2">
        <v>62</v>
      </c>
      <c r="Q1115">
        <v>3</v>
      </c>
      <c r="R1115" t="str" cm="1">
        <f t="array" ref="R1115">_xlfn.IFS(Q1115=1,"Low",Q1115=2,"Medium",Q1115=3,"High",Q1115=4,"Very High")</f>
        <v>High</v>
      </c>
      <c r="S1115">
        <v>2</v>
      </c>
      <c r="T1115" t="str" cm="1">
        <f t="array" ref="T1115">_xlfn.IFS(S1115=1,"Entry Level",S1115=2,"Junior",S1115=3,"Mid-Level",S1115=4,"Senior",S1115=5,"Executive")</f>
        <v>Junior</v>
      </c>
      <c r="U1115" t="s">
        <v>43</v>
      </c>
      <c r="V1115">
        <v>1</v>
      </c>
      <c r="W1115" t="str" cm="1">
        <f t="array" ref="W1115">_xlfn.IFS(V1115=1,"Low",V1115=2,"Medium",V1115=3,"High",V1115=4,"Very High")</f>
        <v>Low</v>
      </c>
      <c r="X1115" t="s">
        <v>44</v>
      </c>
      <c r="Y1115" s="2">
        <v>4087</v>
      </c>
      <c r="Z1115" s="2">
        <v>25174</v>
      </c>
      <c r="AA1115">
        <v>4</v>
      </c>
      <c r="AB1115" t="s">
        <v>39</v>
      </c>
      <c r="AC1115">
        <v>14</v>
      </c>
      <c r="AD1115">
        <v>3</v>
      </c>
      <c r="AE1115" t="str" cm="1">
        <f t="array" ref="AE1115">_xlfn.IFS(AD1115=1,"Low",AD1115=2,"Good",AD1115=3,"Excellent",AD1115=4,"Outstanding")</f>
        <v>Excellent</v>
      </c>
      <c r="AF1115">
        <v>2</v>
      </c>
      <c r="AG1115" t="str" cm="1">
        <f t="array" ref="AG1115">_xlfn.IFS(AF1115=1,"Low",AF1115=2,"Medium",AF1115=3,"High",AF1115=4,"Very High")</f>
        <v>Medium</v>
      </c>
      <c r="AH1115">
        <v>1</v>
      </c>
      <c r="AI1115">
        <v>9</v>
      </c>
      <c r="AJ1115">
        <v>3</v>
      </c>
      <c r="AK1115">
        <v>2</v>
      </c>
      <c r="AL1115" t="str" cm="1">
        <f t="array" ref="AL1115">_xlfn.IFS(AK1115=1,"Low",AK1115=2,"Medium",AK1115=3,"High",AK1115=4,"Very High")</f>
        <v>Medium</v>
      </c>
      <c r="AM1115">
        <v>6</v>
      </c>
      <c r="AN1115">
        <v>5</v>
      </c>
      <c r="AO1115">
        <v>1</v>
      </c>
      <c r="AP1115">
        <v>2</v>
      </c>
    </row>
    <row r="1116" spans="1:42">
      <c r="A1116">
        <v>48</v>
      </c>
      <c r="B1116" t="str" cm="1">
        <f t="array" ref="B1116">_xlfn.IFS(A1116&lt;=25,"18-25",A1116&lt;=35,"26-35",A1116&lt;=45,"36-45",A1116&lt;=55,"46-55",A1116&gt;55,"56+")</f>
        <v>46-55</v>
      </c>
      <c r="C1116" t="s">
        <v>39</v>
      </c>
      <c r="D1116" t="s">
        <v>33</v>
      </c>
      <c r="E1116" s="2">
        <v>1108</v>
      </c>
      <c r="F1116" t="s">
        <v>41</v>
      </c>
      <c r="G1116">
        <v>15</v>
      </c>
      <c r="H1116" t="str">
        <f t="shared" si="17"/>
        <v>11-20 km</v>
      </c>
      <c r="I1116">
        <v>4</v>
      </c>
      <c r="J1116" t="str" cm="1">
        <f t="array" ref="J1116">_xlfn.IFS(I1116=1,"Below College",I1116=2,"College",I1116=3,"Bachelor",I1116=4,"Master",I1116=5,"Doctor")</f>
        <v>Master</v>
      </c>
      <c r="K1116" t="s">
        <v>45</v>
      </c>
      <c r="L1116">
        <v>1576</v>
      </c>
      <c r="M1116">
        <v>3</v>
      </c>
      <c r="N1116" t="str" cm="1">
        <f t="array" ref="N1116">_xlfn.IFS(M1116=1,"Low",M1116=2,"Medium",M1116=3,"High",M1116=4,"Very High")</f>
        <v>High</v>
      </c>
      <c r="O1116" t="s">
        <v>36</v>
      </c>
      <c r="P1116" s="2">
        <v>65</v>
      </c>
      <c r="Q1116">
        <v>3</v>
      </c>
      <c r="R1116" t="str" cm="1">
        <f t="array" ref="R1116">_xlfn.IFS(Q1116=1,"Low",Q1116=2,"Medium",Q1116=3,"High",Q1116=4,"Very High")</f>
        <v>High</v>
      </c>
      <c r="S1116">
        <v>1</v>
      </c>
      <c r="T1116" t="str" cm="1">
        <f t="array" ref="T1116">_xlfn.IFS(S1116=1,"Entry Level",S1116=2,"Junior",S1116=3,"Mid-Level",S1116=4,"Senior",S1116=5,"Executive")</f>
        <v>Entry Level</v>
      </c>
      <c r="U1116" t="s">
        <v>43</v>
      </c>
      <c r="V1116">
        <v>1</v>
      </c>
      <c r="W1116" t="str" cm="1">
        <f t="array" ref="W1116">_xlfn.IFS(V1116=1,"Low",V1116=2,"Medium",V1116=3,"High",V1116=4,"Very High")</f>
        <v>Low</v>
      </c>
      <c r="X1116" t="s">
        <v>44</v>
      </c>
      <c r="Y1116" s="2">
        <v>2367</v>
      </c>
      <c r="Z1116" s="2">
        <v>16530</v>
      </c>
      <c r="AA1116">
        <v>8</v>
      </c>
      <c r="AB1116" t="s">
        <v>39</v>
      </c>
      <c r="AC1116">
        <v>12</v>
      </c>
      <c r="AD1116">
        <v>3</v>
      </c>
      <c r="AE1116" t="str" cm="1">
        <f t="array" ref="AE1116">_xlfn.IFS(AD1116=1,"Low",AD1116=2,"Good",AD1116=3,"Excellent",AD1116=4,"Outstanding")</f>
        <v>Excellent</v>
      </c>
      <c r="AF1116">
        <v>4</v>
      </c>
      <c r="AG1116" t="str" cm="1">
        <f t="array" ref="AG1116">_xlfn.IFS(AF1116=1,"Low",AF1116=2,"Medium",AF1116=3,"High",AF1116=4,"Very High")</f>
        <v>Very High</v>
      </c>
      <c r="AH1116">
        <v>1</v>
      </c>
      <c r="AI1116">
        <v>10</v>
      </c>
      <c r="AJ1116">
        <v>3</v>
      </c>
      <c r="AK1116">
        <v>2</v>
      </c>
      <c r="AL1116" t="str" cm="1">
        <f t="array" ref="AL1116">_xlfn.IFS(AK1116=1,"Low",AK1116=2,"Medium",AK1116=3,"High",AK1116=4,"Very High")</f>
        <v>Medium</v>
      </c>
      <c r="AM1116">
        <v>8</v>
      </c>
      <c r="AN1116">
        <v>2</v>
      </c>
      <c r="AO1116">
        <v>7</v>
      </c>
      <c r="AP1116">
        <v>6</v>
      </c>
    </row>
    <row r="1117" spans="1:42">
      <c r="A1117">
        <v>34</v>
      </c>
      <c r="B1117" t="str" cm="1">
        <f t="array" ref="B1117">_xlfn.IFS(A1117&lt;=25,"18-25",A1117&lt;=35,"26-35",A1117&lt;=45,"36-45",A1117&lt;=55,"46-55",A1117&gt;55,"56+")</f>
        <v>26-35</v>
      </c>
      <c r="C1117" t="s">
        <v>39</v>
      </c>
      <c r="D1117" t="s">
        <v>33</v>
      </c>
      <c r="E1117" s="2">
        <v>479</v>
      </c>
      <c r="F1117" t="s">
        <v>41</v>
      </c>
      <c r="G1117">
        <v>7</v>
      </c>
      <c r="H1117" t="str">
        <f t="shared" si="17"/>
        <v>1-10 km</v>
      </c>
      <c r="I1117">
        <v>4</v>
      </c>
      <c r="J1117" t="str" cm="1">
        <f t="array" ref="J1117">_xlfn.IFS(I1117=1,"Below College",I1117=2,"College",I1117=3,"Bachelor",I1117=4,"Master",I1117=5,"Doctor")</f>
        <v>Master</v>
      </c>
      <c r="K1117" t="s">
        <v>47</v>
      </c>
      <c r="L1117">
        <v>1577</v>
      </c>
      <c r="M1117">
        <v>1</v>
      </c>
      <c r="N1117" t="str" cm="1">
        <f t="array" ref="N1117">_xlfn.IFS(M1117=1,"Low",M1117=2,"Medium",M1117=3,"High",M1117=4,"Very High")</f>
        <v>Low</v>
      </c>
      <c r="O1117" t="s">
        <v>42</v>
      </c>
      <c r="P1117" s="2">
        <v>35</v>
      </c>
      <c r="Q1117">
        <v>3</v>
      </c>
      <c r="R1117" t="str" cm="1">
        <f t="array" ref="R1117">_xlfn.IFS(Q1117=1,"Low",Q1117=2,"Medium",Q1117=3,"High",Q1117=4,"Very High")</f>
        <v>High</v>
      </c>
      <c r="S1117">
        <v>1</v>
      </c>
      <c r="T1117" t="str" cm="1">
        <f t="array" ref="T1117">_xlfn.IFS(S1117=1,"Entry Level",S1117=2,"Junior",S1117=3,"Mid-Level",S1117=4,"Senior",S1117=5,"Executive")</f>
        <v>Entry Level</v>
      </c>
      <c r="U1117" t="s">
        <v>43</v>
      </c>
      <c r="V1117">
        <v>4</v>
      </c>
      <c r="W1117" t="str" cm="1">
        <f t="array" ref="W1117">_xlfn.IFS(V1117=1,"Low",V1117=2,"Medium",V1117=3,"High",V1117=4,"Very High")</f>
        <v>Very High</v>
      </c>
      <c r="X1117" t="s">
        <v>38</v>
      </c>
      <c r="Y1117" s="2">
        <v>2972</v>
      </c>
      <c r="Z1117" s="2">
        <v>22061</v>
      </c>
      <c r="AA1117">
        <v>1</v>
      </c>
      <c r="AB1117" t="s">
        <v>39</v>
      </c>
      <c r="AC1117">
        <v>13</v>
      </c>
      <c r="AD1117">
        <v>3</v>
      </c>
      <c r="AE1117" t="str" cm="1">
        <f t="array" ref="AE1117">_xlfn.IFS(AD1117=1,"Low",AD1117=2,"Good",AD1117=3,"Excellent",AD1117=4,"Outstanding")</f>
        <v>Excellent</v>
      </c>
      <c r="AF1117">
        <v>3</v>
      </c>
      <c r="AG1117" t="str" cm="1">
        <f t="array" ref="AG1117">_xlfn.IFS(AF1117=1,"Low",AF1117=2,"Medium",AF1117=3,"High",AF1117=4,"Very High")</f>
        <v>High</v>
      </c>
      <c r="AH1117">
        <v>0</v>
      </c>
      <c r="AI1117">
        <v>1</v>
      </c>
      <c r="AJ1117">
        <v>4</v>
      </c>
      <c r="AK1117">
        <v>1</v>
      </c>
      <c r="AL1117" t="str" cm="1">
        <f t="array" ref="AL1117">_xlfn.IFS(AK1117=1,"Low",AK1117=2,"Medium",AK1117=3,"High",AK1117=4,"Very High")</f>
        <v>Low</v>
      </c>
      <c r="AM1117">
        <v>1</v>
      </c>
      <c r="AN1117">
        <v>0</v>
      </c>
      <c r="AO1117">
        <v>0</v>
      </c>
      <c r="AP1117">
        <v>0</v>
      </c>
    </row>
    <row r="1118" spans="1:42">
      <c r="A1118">
        <v>55</v>
      </c>
      <c r="B1118" t="str" cm="1">
        <f t="array" ref="B1118">_xlfn.IFS(A1118&lt;=25,"18-25",A1118&lt;=35,"26-35",A1118&lt;=45,"36-45",A1118&lt;=55,"46-55",A1118&gt;55,"56+")</f>
        <v>46-55</v>
      </c>
      <c r="C1118" t="s">
        <v>39</v>
      </c>
      <c r="D1118" t="s">
        <v>33</v>
      </c>
      <c r="E1118" s="2">
        <v>685</v>
      </c>
      <c r="F1118" t="s">
        <v>34</v>
      </c>
      <c r="G1118">
        <v>26</v>
      </c>
      <c r="H1118" t="str">
        <f t="shared" si="17"/>
        <v>21-30 km</v>
      </c>
      <c r="I1118">
        <v>5</v>
      </c>
      <c r="J1118" t="str" cm="1">
        <f t="array" ref="J1118">_xlfn.IFS(I1118=1,"Below College",I1118=2,"College",I1118=3,"Bachelor",I1118=4,"Master",I1118=5,"Doctor")</f>
        <v>Doctor</v>
      </c>
      <c r="K1118" t="s">
        <v>55</v>
      </c>
      <c r="L1118">
        <v>1578</v>
      </c>
      <c r="M1118">
        <v>3</v>
      </c>
      <c r="N1118" t="str" cm="1">
        <f t="array" ref="N1118">_xlfn.IFS(M1118=1,"Low",M1118=2,"Medium",M1118=3,"High",M1118=4,"Very High")</f>
        <v>High</v>
      </c>
      <c r="O1118" t="s">
        <v>42</v>
      </c>
      <c r="P1118" s="2">
        <v>60</v>
      </c>
      <c r="Q1118">
        <v>2</v>
      </c>
      <c r="R1118" t="str" cm="1">
        <f t="array" ref="R1118">_xlfn.IFS(Q1118=1,"Low",Q1118=2,"Medium",Q1118=3,"High",Q1118=4,"Very High")</f>
        <v>Medium</v>
      </c>
      <c r="S1118">
        <v>5</v>
      </c>
      <c r="T1118" t="str" cm="1">
        <f t="array" ref="T1118">_xlfn.IFS(S1118=1,"Entry Level",S1118=2,"Junior",S1118=3,"Mid-Level",S1118=4,"Senior",S1118=5,"Executive")</f>
        <v>Executive</v>
      </c>
      <c r="U1118" t="s">
        <v>52</v>
      </c>
      <c r="V1118">
        <v>4</v>
      </c>
      <c r="W1118" t="str" cm="1">
        <f t="array" ref="W1118">_xlfn.IFS(V1118=1,"Low",V1118=2,"Medium",V1118=3,"High",V1118=4,"Very High")</f>
        <v>Very High</v>
      </c>
      <c r="X1118" t="s">
        <v>44</v>
      </c>
      <c r="Y1118" s="2">
        <v>19586</v>
      </c>
      <c r="Z1118" s="2">
        <v>23037</v>
      </c>
      <c r="AA1118">
        <v>1</v>
      </c>
      <c r="AB1118" t="s">
        <v>39</v>
      </c>
      <c r="AC1118">
        <v>21</v>
      </c>
      <c r="AD1118">
        <v>4</v>
      </c>
      <c r="AE1118" t="str" cm="1">
        <f t="array" ref="AE1118">_xlfn.IFS(AD1118=1,"Low",AD1118=2,"Good",AD1118=3,"Excellent",AD1118=4,"Outstanding")</f>
        <v>Outstanding</v>
      </c>
      <c r="AF1118">
        <v>3</v>
      </c>
      <c r="AG1118" t="str" cm="1">
        <f t="array" ref="AG1118">_xlfn.IFS(AF1118=1,"Low",AF1118=2,"Medium",AF1118=3,"High",AF1118=4,"Very High")</f>
        <v>High</v>
      </c>
      <c r="AH1118">
        <v>1</v>
      </c>
      <c r="AI1118">
        <v>36</v>
      </c>
      <c r="AJ1118">
        <v>3</v>
      </c>
      <c r="AK1118">
        <v>3</v>
      </c>
      <c r="AL1118" t="str" cm="1">
        <f t="array" ref="AL1118">_xlfn.IFS(AK1118=1,"Low",AK1118=2,"Medium",AK1118=3,"High",AK1118=4,"Very High")</f>
        <v>High</v>
      </c>
      <c r="AM1118">
        <v>36</v>
      </c>
      <c r="AN1118">
        <v>6</v>
      </c>
      <c r="AO1118">
        <v>2</v>
      </c>
      <c r="AP1118">
        <v>13</v>
      </c>
    </row>
    <row r="1119" spans="1:42">
      <c r="A1119">
        <v>34</v>
      </c>
      <c r="B1119" t="str" cm="1">
        <f t="array" ref="B1119">_xlfn.IFS(A1119&lt;=25,"18-25",A1119&lt;=35,"26-35",A1119&lt;=45,"36-45",A1119&lt;=55,"46-55",A1119&gt;55,"56+")</f>
        <v>26-35</v>
      </c>
      <c r="C1119" t="s">
        <v>39</v>
      </c>
      <c r="D1119" t="s">
        <v>33</v>
      </c>
      <c r="E1119" s="2">
        <v>1351</v>
      </c>
      <c r="F1119" t="s">
        <v>41</v>
      </c>
      <c r="G1119">
        <v>1</v>
      </c>
      <c r="H1119" t="str">
        <f t="shared" si="17"/>
        <v>1-10 km</v>
      </c>
      <c r="I1119">
        <v>4</v>
      </c>
      <c r="J1119" t="str" cm="1">
        <f t="array" ref="J1119">_xlfn.IFS(I1119=1,"Below College",I1119=2,"College",I1119=3,"Bachelor",I1119=4,"Master",I1119=5,"Doctor")</f>
        <v>Master</v>
      </c>
      <c r="K1119" t="s">
        <v>35</v>
      </c>
      <c r="L1119">
        <v>1580</v>
      </c>
      <c r="M1119">
        <v>2</v>
      </c>
      <c r="N1119" t="str" cm="1">
        <f t="array" ref="N1119">_xlfn.IFS(M1119=1,"Low",M1119=2,"Medium",M1119=3,"High",M1119=4,"Very High")</f>
        <v>Medium</v>
      </c>
      <c r="O1119" t="s">
        <v>42</v>
      </c>
      <c r="P1119" s="2">
        <v>45</v>
      </c>
      <c r="Q1119">
        <v>3</v>
      </c>
      <c r="R1119" t="str" cm="1">
        <f t="array" ref="R1119">_xlfn.IFS(Q1119=1,"Low",Q1119=2,"Medium",Q1119=3,"High",Q1119=4,"Very High")</f>
        <v>High</v>
      </c>
      <c r="S1119">
        <v>2</v>
      </c>
      <c r="T1119" t="str" cm="1">
        <f t="array" ref="T1119">_xlfn.IFS(S1119=1,"Entry Level",S1119=2,"Junior",S1119=3,"Mid-Level",S1119=4,"Senior",S1119=5,"Executive")</f>
        <v>Junior</v>
      </c>
      <c r="U1119" t="s">
        <v>43</v>
      </c>
      <c r="V1119">
        <v>4</v>
      </c>
      <c r="W1119" t="str" cm="1">
        <f t="array" ref="W1119">_xlfn.IFS(V1119=1,"Low",V1119=2,"Medium",V1119=3,"High",V1119=4,"Very High")</f>
        <v>Very High</v>
      </c>
      <c r="X1119" t="s">
        <v>44</v>
      </c>
      <c r="Y1119" s="2">
        <v>5484</v>
      </c>
      <c r="Z1119" s="2">
        <v>13008</v>
      </c>
      <c r="AA1119">
        <v>9</v>
      </c>
      <c r="AB1119" t="s">
        <v>39</v>
      </c>
      <c r="AC1119">
        <v>17</v>
      </c>
      <c r="AD1119">
        <v>3</v>
      </c>
      <c r="AE1119" t="str" cm="1">
        <f t="array" ref="AE1119">_xlfn.IFS(AD1119=1,"Low",AD1119=2,"Good",AD1119=3,"Excellent",AD1119=4,"Outstanding")</f>
        <v>Excellent</v>
      </c>
      <c r="AF1119">
        <v>2</v>
      </c>
      <c r="AG1119" t="str" cm="1">
        <f t="array" ref="AG1119">_xlfn.IFS(AF1119=1,"Low",AF1119=2,"Medium",AF1119=3,"High",AF1119=4,"Very High")</f>
        <v>Medium</v>
      </c>
      <c r="AH1119">
        <v>1</v>
      </c>
      <c r="AI1119">
        <v>9</v>
      </c>
      <c r="AJ1119">
        <v>3</v>
      </c>
      <c r="AK1119">
        <v>2</v>
      </c>
      <c r="AL1119" t="str" cm="1">
        <f t="array" ref="AL1119">_xlfn.IFS(AK1119=1,"Low",AK1119=2,"Medium",AK1119=3,"High",AK1119=4,"Very High")</f>
        <v>Medium</v>
      </c>
      <c r="AM1119">
        <v>2</v>
      </c>
      <c r="AN1119">
        <v>2</v>
      </c>
      <c r="AO1119">
        <v>2</v>
      </c>
      <c r="AP1119">
        <v>1</v>
      </c>
    </row>
    <row r="1120" spans="1:42">
      <c r="A1120">
        <v>26</v>
      </c>
      <c r="B1120" t="str" cm="1">
        <f t="array" ref="B1120">_xlfn.IFS(A1120&lt;=25,"18-25",A1120&lt;=35,"26-35",A1120&lt;=45,"36-45",A1120&lt;=55,"46-55",A1120&gt;55,"56+")</f>
        <v>26-35</v>
      </c>
      <c r="C1120" t="s">
        <v>39</v>
      </c>
      <c r="D1120" t="s">
        <v>33</v>
      </c>
      <c r="E1120" s="2">
        <v>474</v>
      </c>
      <c r="F1120" t="s">
        <v>41</v>
      </c>
      <c r="G1120">
        <v>3</v>
      </c>
      <c r="H1120" t="str">
        <f t="shared" si="17"/>
        <v>1-10 km</v>
      </c>
      <c r="I1120">
        <v>3</v>
      </c>
      <c r="J1120" t="str" cm="1">
        <f t="array" ref="J1120">_xlfn.IFS(I1120=1,"Below College",I1120=2,"College",I1120=3,"Bachelor",I1120=4,"Master",I1120=5,"Doctor")</f>
        <v>Bachelor</v>
      </c>
      <c r="K1120" t="s">
        <v>35</v>
      </c>
      <c r="L1120">
        <v>1581</v>
      </c>
      <c r="M1120">
        <v>1</v>
      </c>
      <c r="N1120" t="str" cm="1">
        <f t="array" ref="N1120">_xlfn.IFS(M1120=1,"Low",M1120=2,"Medium",M1120=3,"High",M1120=4,"Very High")</f>
        <v>Low</v>
      </c>
      <c r="O1120" t="s">
        <v>36</v>
      </c>
      <c r="P1120" s="2">
        <v>89</v>
      </c>
      <c r="Q1120">
        <v>3</v>
      </c>
      <c r="R1120" t="str" cm="1">
        <f t="array" ref="R1120">_xlfn.IFS(Q1120=1,"Low",Q1120=2,"Medium",Q1120=3,"High",Q1120=4,"Very High")</f>
        <v>High</v>
      </c>
      <c r="S1120">
        <v>1</v>
      </c>
      <c r="T1120" t="str" cm="1">
        <f t="array" ref="T1120">_xlfn.IFS(S1120=1,"Entry Level",S1120=2,"Junior",S1120=3,"Mid-Level",S1120=4,"Senior",S1120=5,"Executive")</f>
        <v>Entry Level</v>
      </c>
      <c r="U1120" t="s">
        <v>43</v>
      </c>
      <c r="V1120">
        <v>4</v>
      </c>
      <c r="W1120" t="str" cm="1">
        <f t="array" ref="W1120">_xlfn.IFS(V1120=1,"Low",V1120=2,"Medium",V1120=3,"High",V1120=4,"Very High")</f>
        <v>Very High</v>
      </c>
      <c r="X1120" t="s">
        <v>44</v>
      </c>
      <c r="Y1120" s="2">
        <v>2061</v>
      </c>
      <c r="Z1120" s="2">
        <v>11133</v>
      </c>
      <c r="AA1120">
        <v>1</v>
      </c>
      <c r="AB1120" t="s">
        <v>39</v>
      </c>
      <c r="AC1120">
        <v>21</v>
      </c>
      <c r="AD1120">
        <v>4</v>
      </c>
      <c r="AE1120" t="str" cm="1">
        <f t="array" ref="AE1120">_xlfn.IFS(AD1120=1,"Low",AD1120=2,"Good",AD1120=3,"Excellent",AD1120=4,"Outstanding")</f>
        <v>Outstanding</v>
      </c>
      <c r="AF1120">
        <v>1</v>
      </c>
      <c r="AG1120" t="str" cm="1">
        <f t="array" ref="AG1120">_xlfn.IFS(AF1120=1,"Low",AF1120=2,"Medium",AF1120=3,"High",AF1120=4,"Very High")</f>
        <v>Low</v>
      </c>
      <c r="AH1120">
        <v>0</v>
      </c>
      <c r="AI1120">
        <v>1</v>
      </c>
      <c r="AJ1120">
        <v>5</v>
      </c>
      <c r="AK1120">
        <v>3</v>
      </c>
      <c r="AL1120" t="str" cm="1">
        <f t="array" ref="AL1120">_xlfn.IFS(AK1120=1,"Low",AK1120=2,"Medium",AK1120=3,"High",AK1120=4,"Very High")</f>
        <v>High</v>
      </c>
      <c r="AM1120">
        <v>1</v>
      </c>
      <c r="AN1120">
        <v>0</v>
      </c>
      <c r="AO1120">
        <v>0</v>
      </c>
      <c r="AP1120">
        <v>0</v>
      </c>
    </row>
    <row r="1121" spans="1:42">
      <c r="A1121">
        <v>38</v>
      </c>
      <c r="B1121" t="str" cm="1">
        <f t="array" ref="B1121">_xlfn.IFS(A1121&lt;=25,"18-25",A1121&lt;=35,"26-35",A1121&lt;=45,"36-45",A1121&lt;=55,"46-55",A1121&gt;55,"56+")</f>
        <v>36-45</v>
      </c>
      <c r="C1121" t="s">
        <v>39</v>
      </c>
      <c r="D1121" t="s">
        <v>33</v>
      </c>
      <c r="E1121" s="2">
        <v>1245</v>
      </c>
      <c r="F1121" t="s">
        <v>34</v>
      </c>
      <c r="G1121">
        <v>14</v>
      </c>
      <c r="H1121" t="str">
        <f t="shared" si="17"/>
        <v>11-20 km</v>
      </c>
      <c r="I1121">
        <v>3</v>
      </c>
      <c r="J1121" t="str" cm="1">
        <f t="array" ref="J1121">_xlfn.IFS(I1121=1,"Below College",I1121=2,"College",I1121=3,"Bachelor",I1121=4,"Master",I1121=5,"Doctor")</f>
        <v>Bachelor</v>
      </c>
      <c r="K1121" t="s">
        <v>35</v>
      </c>
      <c r="L1121">
        <v>1582</v>
      </c>
      <c r="M1121">
        <v>3</v>
      </c>
      <c r="N1121" t="str" cm="1">
        <f t="array" ref="N1121">_xlfn.IFS(M1121=1,"Low",M1121=2,"Medium",M1121=3,"High",M1121=4,"Very High")</f>
        <v>High</v>
      </c>
      <c r="O1121" t="s">
        <v>42</v>
      </c>
      <c r="P1121" s="2">
        <v>80</v>
      </c>
      <c r="Q1121">
        <v>3</v>
      </c>
      <c r="R1121" t="str" cm="1">
        <f t="array" ref="R1121">_xlfn.IFS(Q1121=1,"Low",Q1121=2,"Medium",Q1121=3,"High",Q1121=4,"Very High")</f>
        <v>High</v>
      </c>
      <c r="S1121">
        <v>2</v>
      </c>
      <c r="T1121" t="str" cm="1">
        <f t="array" ref="T1121">_xlfn.IFS(S1121=1,"Entry Level",S1121=2,"Junior",S1121=3,"Mid-Level",S1121=4,"Senior",S1121=5,"Executive")</f>
        <v>Junior</v>
      </c>
      <c r="U1121" t="s">
        <v>37</v>
      </c>
      <c r="V1121">
        <v>2</v>
      </c>
      <c r="W1121" t="str" cm="1">
        <f t="array" ref="W1121">_xlfn.IFS(V1121=1,"Low",V1121=2,"Medium",V1121=3,"High",V1121=4,"Very High")</f>
        <v>Medium</v>
      </c>
      <c r="X1121" t="s">
        <v>44</v>
      </c>
      <c r="Y1121" s="2">
        <v>9924</v>
      </c>
      <c r="Z1121" s="2">
        <v>12355</v>
      </c>
      <c r="AA1121">
        <v>0</v>
      </c>
      <c r="AB1121" t="s">
        <v>39</v>
      </c>
      <c r="AC1121">
        <v>11</v>
      </c>
      <c r="AD1121">
        <v>3</v>
      </c>
      <c r="AE1121" t="str" cm="1">
        <f t="array" ref="AE1121">_xlfn.IFS(AD1121=1,"Low",AD1121=2,"Good",AD1121=3,"Excellent",AD1121=4,"Outstanding")</f>
        <v>Excellent</v>
      </c>
      <c r="AF1121">
        <v>4</v>
      </c>
      <c r="AG1121" t="str" cm="1">
        <f t="array" ref="AG1121">_xlfn.IFS(AF1121=1,"Low",AF1121=2,"Medium",AF1121=3,"High",AF1121=4,"Very High")</f>
        <v>Very High</v>
      </c>
      <c r="AH1121">
        <v>1</v>
      </c>
      <c r="AI1121">
        <v>10</v>
      </c>
      <c r="AJ1121">
        <v>3</v>
      </c>
      <c r="AK1121">
        <v>3</v>
      </c>
      <c r="AL1121" t="str" cm="1">
        <f t="array" ref="AL1121">_xlfn.IFS(AK1121=1,"Low",AK1121=2,"Medium",AK1121=3,"High",AK1121=4,"Very High")</f>
        <v>High</v>
      </c>
      <c r="AM1121">
        <v>9</v>
      </c>
      <c r="AN1121">
        <v>8</v>
      </c>
      <c r="AO1121">
        <v>7</v>
      </c>
      <c r="AP1121">
        <v>7</v>
      </c>
    </row>
    <row r="1122" spans="1:42">
      <c r="A1122">
        <v>38</v>
      </c>
      <c r="B1122" t="str" cm="1">
        <f t="array" ref="B1122">_xlfn.IFS(A1122&lt;=25,"18-25",A1122&lt;=35,"26-35",A1122&lt;=45,"36-45",A1122&lt;=55,"46-55",A1122&gt;55,"56+")</f>
        <v>36-45</v>
      </c>
      <c r="C1122" t="s">
        <v>39</v>
      </c>
      <c r="D1122" t="s">
        <v>33</v>
      </c>
      <c r="E1122" s="2">
        <v>437</v>
      </c>
      <c r="F1122" t="s">
        <v>34</v>
      </c>
      <c r="G1122">
        <v>16</v>
      </c>
      <c r="H1122" t="str">
        <f t="shared" si="17"/>
        <v>11-20 km</v>
      </c>
      <c r="I1122">
        <v>3</v>
      </c>
      <c r="J1122" t="str" cm="1">
        <f t="array" ref="J1122">_xlfn.IFS(I1122=1,"Below College",I1122=2,"College",I1122=3,"Bachelor",I1122=4,"Master",I1122=5,"Doctor")</f>
        <v>Bachelor</v>
      </c>
      <c r="K1122" t="s">
        <v>35</v>
      </c>
      <c r="L1122">
        <v>1583</v>
      </c>
      <c r="M1122">
        <v>2</v>
      </c>
      <c r="N1122" t="str" cm="1">
        <f t="array" ref="N1122">_xlfn.IFS(M1122=1,"Low",M1122=2,"Medium",M1122=3,"High",M1122=4,"Very High")</f>
        <v>Medium</v>
      </c>
      <c r="O1122" t="s">
        <v>36</v>
      </c>
      <c r="P1122" s="2">
        <v>90</v>
      </c>
      <c r="Q1122">
        <v>3</v>
      </c>
      <c r="R1122" t="str" cm="1">
        <f t="array" ref="R1122">_xlfn.IFS(Q1122=1,"Low",Q1122=2,"Medium",Q1122=3,"High",Q1122=4,"Very High")</f>
        <v>High</v>
      </c>
      <c r="S1122">
        <v>2</v>
      </c>
      <c r="T1122" t="str" cm="1">
        <f t="array" ref="T1122">_xlfn.IFS(S1122=1,"Entry Level",S1122=2,"Junior",S1122=3,"Mid-Level",S1122=4,"Senior",S1122=5,"Executive")</f>
        <v>Junior</v>
      </c>
      <c r="U1122" t="s">
        <v>37</v>
      </c>
      <c r="V1122">
        <v>2</v>
      </c>
      <c r="W1122" t="str" cm="1">
        <f t="array" ref="W1122">_xlfn.IFS(V1122=1,"Low",V1122=2,"Medium",V1122=3,"High",V1122=4,"Very High")</f>
        <v>Medium</v>
      </c>
      <c r="X1122" t="s">
        <v>38</v>
      </c>
      <c r="Y1122" s="2">
        <v>4198</v>
      </c>
      <c r="Z1122" s="2">
        <v>16379</v>
      </c>
      <c r="AA1122">
        <v>2</v>
      </c>
      <c r="AB1122" t="s">
        <v>39</v>
      </c>
      <c r="AC1122">
        <v>12</v>
      </c>
      <c r="AD1122">
        <v>3</v>
      </c>
      <c r="AE1122" t="str" cm="1">
        <f t="array" ref="AE1122">_xlfn.IFS(AD1122=1,"Low",AD1122=2,"Good",AD1122=3,"Excellent",AD1122=4,"Outstanding")</f>
        <v>Excellent</v>
      </c>
      <c r="AF1122">
        <v>2</v>
      </c>
      <c r="AG1122" t="str" cm="1">
        <f t="array" ref="AG1122">_xlfn.IFS(AF1122=1,"Low",AF1122=2,"Medium",AF1122=3,"High",AF1122=4,"Very High")</f>
        <v>Medium</v>
      </c>
      <c r="AH1122">
        <v>0</v>
      </c>
      <c r="AI1122">
        <v>8</v>
      </c>
      <c r="AJ1122">
        <v>5</v>
      </c>
      <c r="AK1122">
        <v>4</v>
      </c>
      <c r="AL1122" t="str" cm="1">
        <f t="array" ref="AL1122">_xlfn.IFS(AK1122=1,"Low",AK1122=2,"Medium",AK1122=3,"High",AK1122=4,"Very High")</f>
        <v>Very High</v>
      </c>
      <c r="AM1122">
        <v>3</v>
      </c>
      <c r="AN1122">
        <v>2</v>
      </c>
      <c r="AO1122">
        <v>1</v>
      </c>
      <c r="AP1122">
        <v>2</v>
      </c>
    </row>
    <row r="1123" spans="1:42">
      <c r="A1123">
        <v>36</v>
      </c>
      <c r="B1123" t="str" cm="1">
        <f t="array" ref="B1123">_xlfn.IFS(A1123&lt;=25,"18-25",A1123&lt;=35,"26-35",A1123&lt;=45,"36-45",A1123&lt;=55,"46-55",A1123&gt;55,"56+")</f>
        <v>36-45</v>
      </c>
      <c r="C1123" t="s">
        <v>39</v>
      </c>
      <c r="D1123" t="s">
        <v>33</v>
      </c>
      <c r="E1123" s="2">
        <v>884</v>
      </c>
      <c r="F1123" t="s">
        <v>34</v>
      </c>
      <c r="G1123">
        <v>1</v>
      </c>
      <c r="H1123" t="str">
        <f t="shared" si="17"/>
        <v>1-10 km</v>
      </c>
      <c r="I1123">
        <v>4</v>
      </c>
      <c r="J1123" t="str" cm="1">
        <f t="array" ref="J1123">_xlfn.IFS(I1123=1,"Below College",I1123=2,"College",I1123=3,"Bachelor",I1123=4,"Master",I1123=5,"Doctor")</f>
        <v>Master</v>
      </c>
      <c r="K1123" t="s">
        <v>35</v>
      </c>
      <c r="L1123">
        <v>1585</v>
      </c>
      <c r="M1123">
        <v>2</v>
      </c>
      <c r="N1123" t="str" cm="1">
        <f t="array" ref="N1123">_xlfn.IFS(M1123=1,"Low",M1123=2,"Medium",M1123=3,"High",M1123=4,"Very High")</f>
        <v>Medium</v>
      </c>
      <c r="O1123" t="s">
        <v>36</v>
      </c>
      <c r="P1123" s="2">
        <v>73</v>
      </c>
      <c r="Q1123">
        <v>3</v>
      </c>
      <c r="R1123" t="str" cm="1">
        <f t="array" ref="R1123">_xlfn.IFS(Q1123=1,"Low",Q1123=2,"Medium",Q1123=3,"High",Q1123=4,"Very High")</f>
        <v>High</v>
      </c>
      <c r="S1123">
        <v>2</v>
      </c>
      <c r="T1123" t="str" cm="1">
        <f t="array" ref="T1123">_xlfn.IFS(S1123=1,"Entry Level",S1123=2,"Junior",S1123=3,"Mid-Level",S1123=4,"Senior",S1123=5,"Executive")</f>
        <v>Junior</v>
      </c>
      <c r="U1123" t="s">
        <v>37</v>
      </c>
      <c r="V1123">
        <v>3</v>
      </c>
      <c r="W1123" t="str" cm="1">
        <f t="array" ref="W1123">_xlfn.IFS(V1123=1,"Low",V1123=2,"Medium",V1123=3,"High",V1123=4,"Very High")</f>
        <v>High</v>
      </c>
      <c r="X1123" t="s">
        <v>38</v>
      </c>
      <c r="Y1123" s="2">
        <v>6815</v>
      </c>
      <c r="Z1123" s="2">
        <v>21447</v>
      </c>
      <c r="AA1123">
        <v>6</v>
      </c>
      <c r="AB1123" t="s">
        <v>39</v>
      </c>
      <c r="AC1123">
        <v>13</v>
      </c>
      <c r="AD1123">
        <v>3</v>
      </c>
      <c r="AE1123" t="str" cm="1">
        <f t="array" ref="AE1123">_xlfn.IFS(AD1123=1,"Low",AD1123=2,"Good",AD1123=3,"Excellent",AD1123=4,"Outstanding")</f>
        <v>Excellent</v>
      </c>
      <c r="AF1123">
        <v>1</v>
      </c>
      <c r="AG1123" t="str" cm="1">
        <f t="array" ref="AG1123">_xlfn.IFS(AF1123=1,"Low",AF1123=2,"Medium",AF1123=3,"High",AF1123=4,"Very High")</f>
        <v>Low</v>
      </c>
      <c r="AH1123">
        <v>0</v>
      </c>
      <c r="AI1123">
        <v>15</v>
      </c>
      <c r="AJ1123">
        <v>5</v>
      </c>
      <c r="AK1123">
        <v>3</v>
      </c>
      <c r="AL1123" t="str" cm="1">
        <f t="array" ref="AL1123">_xlfn.IFS(AK1123=1,"Low",AK1123=2,"Medium",AK1123=3,"High",AK1123=4,"Very High")</f>
        <v>High</v>
      </c>
      <c r="AM1123">
        <v>1</v>
      </c>
      <c r="AN1123">
        <v>0</v>
      </c>
      <c r="AO1123">
        <v>0</v>
      </c>
      <c r="AP1123">
        <v>0</v>
      </c>
    </row>
    <row r="1124" spans="1:42">
      <c r="A1124">
        <v>29</v>
      </c>
      <c r="B1124" t="str" cm="1">
        <f t="array" ref="B1124">_xlfn.IFS(A1124&lt;=25,"18-25",A1124&lt;=35,"26-35",A1124&lt;=45,"36-45",A1124&lt;=55,"46-55",A1124&gt;55,"56+")</f>
        <v>26-35</v>
      </c>
      <c r="C1124" t="s">
        <v>39</v>
      </c>
      <c r="D1124" t="s">
        <v>33</v>
      </c>
      <c r="E1124" s="2">
        <v>1370</v>
      </c>
      <c r="F1124" t="s">
        <v>41</v>
      </c>
      <c r="G1124">
        <v>3</v>
      </c>
      <c r="H1124" t="str">
        <f t="shared" si="17"/>
        <v>1-10 km</v>
      </c>
      <c r="I1124">
        <v>1</v>
      </c>
      <c r="J1124" t="str" cm="1">
        <f t="array" ref="J1124">_xlfn.IFS(I1124=1,"Below College",I1124=2,"College",I1124=3,"Bachelor",I1124=4,"Master",I1124=5,"Doctor")</f>
        <v>Below College</v>
      </c>
      <c r="K1124" t="s">
        <v>47</v>
      </c>
      <c r="L1124">
        <v>1586</v>
      </c>
      <c r="M1124">
        <v>2</v>
      </c>
      <c r="N1124" t="str" cm="1">
        <f t="array" ref="N1124">_xlfn.IFS(M1124=1,"Low",M1124=2,"Medium",M1124=3,"High",M1124=4,"Very High")</f>
        <v>Medium</v>
      </c>
      <c r="O1124" t="s">
        <v>42</v>
      </c>
      <c r="P1124" s="2">
        <v>87</v>
      </c>
      <c r="Q1124">
        <v>3</v>
      </c>
      <c r="R1124" t="str" cm="1">
        <f t="array" ref="R1124">_xlfn.IFS(Q1124=1,"Low",Q1124=2,"Medium",Q1124=3,"High",Q1124=4,"Very High")</f>
        <v>High</v>
      </c>
      <c r="S1124">
        <v>1</v>
      </c>
      <c r="T1124" t="str" cm="1">
        <f t="array" ref="T1124">_xlfn.IFS(S1124=1,"Entry Level",S1124=2,"Junior",S1124=3,"Mid-Level",S1124=4,"Senior",S1124=5,"Executive")</f>
        <v>Entry Level</v>
      </c>
      <c r="U1124" t="s">
        <v>46</v>
      </c>
      <c r="V1124">
        <v>1</v>
      </c>
      <c r="W1124" t="str" cm="1">
        <f t="array" ref="W1124">_xlfn.IFS(V1124=1,"Low",V1124=2,"Medium",V1124=3,"High",V1124=4,"Very High")</f>
        <v>Low</v>
      </c>
      <c r="X1124" t="s">
        <v>38</v>
      </c>
      <c r="Y1124" s="2">
        <v>4723</v>
      </c>
      <c r="Z1124" s="2">
        <v>16213</v>
      </c>
      <c r="AA1124">
        <v>1</v>
      </c>
      <c r="AB1124" t="s">
        <v>32</v>
      </c>
      <c r="AC1124">
        <v>18</v>
      </c>
      <c r="AD1124">
        <v>3</v>
      </c>
      <c r="AE1124" t="str" cm="1">
        <f t="array" ref="AE1124">_xlfn.IFS(AD1124=1,"Low",AD1124=2,"Good",AD1124=3,"Excellent",AD1124=4,"Outstanding")</f>
        <v>Excellent</v>
      </c>
      <c r="AF1124">
        <v>4</v>
      </c>
      <c r="AG1124" t="str" cm="1">
        <f t="array" ref="AG1124">_xlfn.IFS(AF1124=1,"Low",AF1124=2,"Medium",AF1124=3,"High",AF1124=4,"Very High")</f>
        <v>Very High</v>
      </c>
      <c r="AH1124">
        <v>0</v>
      </c>
      <c r="AI1124">
        <v>10</v>
      </c>
      <c r="AJ1124">
        <v>3</v>
      </c>
      <c r="AK1124">
        <v>3</v>
      </c>
      <c r="AL1124" t="str" cm="1">
        <f t="array" ref="AL1124">_xlfn.IFS(AK1124=1,"Low",AK1124=2,"Medium",AK1124=3,"High",AK1124=4,"Very High")</f>
        <v>High</v>
      </c>
      <c r="AM1124">
        <v>10</v>
      </c>
      <c r="AN1124">
        <v>9</v>
      </c>
      <c r="AO1124">
        <v>1</v>
      </c>
      <c r="AP1124">
        <v>5</v>
      </c>
    </row>
    <row r="1125" spans="1:42">
      <c r="A1125">
        <v>35</v>
      </c>
      <c r="B1125" t="str" cm="1">
        <f t="array" ref="B1125">_xlfn.IFS(A1125&lt;=25,"18-25",A1125&lt;=35,"26-35",A1125&lt;=45,"36-45",A1125&lt;=55,"46-55",A1125&gt;55,"56+")</f>
        <v>26-35</v>
      </c>
      <c r="C1125" t="s">
        <v>39</v>
      </c>
      <c r="D1125" t="s">
        <v>33</v>
      </c>
      <c r="E1125" s="2">
        <v>670</v>
      </c>
      <c r="F1125" t="s">
        <v>41</v>
      </c>
      <c r="G1125">
        <v>10</v>
      </c>
      <c r="H1125" t="str">
        <f t="shared" si="17"/>
        <v>1-10 km</v>
      </c>
      <c r="I1125">
        <v>4</v>
      </c>
      <c r="J1125" t="str" cm="1">
        <f t="array" ref="J1125">_xlfn.IFS(I1125=1,"Below College",I1125=2,"College",I1125=3,"Bachelor",I1125=4,"Master",I1125=5,"Doctor")</f>
        <v>Master</v>
      </c>
      <c r="K1125" t="s">
        <v>47</v>
      </c>
      <c r="L1125">
        <v>1587</v>
      </c>
      <c r="M1125">
        <v>1</v>
      </c>
      <c r="N1125" t="str" cm="1">
        <f t="array" ref="N1125">_xlfn.IFS(M1125=1,"Low",M1125=2,"Medium",M1125=3,"High",M1125=4,"Very High")</f>
        <v>Low</v>
      </c>
      <c r="O1125" t="s">
        <v>36</v>
      </c>
      <c r="P1125" s="2">
        <v>51</v>
      </c>
      <c r="Q1125">
        <v>3</v>
      </c>
      <c r="R1125" t="str" cm="1">
        <f t="array" ref="R1125">_xlfn.IFS(Q1125=1,"Low",Q1125=2,"Medium",Q1125=3,"High",Q1125=4,"Very High")</f>
        <v>High</v>
      </c>
      <c r="S1125">
        <v>2</v>
      </c>
      <c r="T1125" t="str" cm="1">
        <f t="array" ref="T1125">_xlfn.IFS(S1125=1,"Entry Level",S1125=2,"Junior",S1125=3,"Mid-Level",S1125=4,"Senior",S1125=5,"Executive")</f>
        <v>Junior</v>
      </c>
      <c r="U1125" t="s">
        <v>50</v>
      </c>
      <c r="V1125">
        <v>3</v>
      </c>
      <c r="W1125" t="str" cm="1">
        <f t="array" ref="W1125">_xlfn.IFS(V1125=1,"Low",V1125=2,"Medium",V1125=3,"High",V1125=4,"Very High")</f>
        <v>High</v>
      </c>
      <c r="X1125" t="s">
        <v>38</v>
      </c>
      <c r="Y1125" s="2">
        <v>6142</v>
      </c>
      <c r="Z1125" s="2">
        <v>4223</v>
      </c>
      <c r="AA1125">
        <v>3</v>
      </c>
      <c r="AB1125" t="s">
        <v>32</v>
      </c>
      <c r="AC1125">
        <v>16</v>
      </c>
      <c r="AD1125">
        <v>3</v>
      </c>
      <c r="AE1125" t="str" cm="1">
        <f t="array" ref="AE1125">_xlfn.IFS(AD1125=1,"Low",AD1125=2,"Good",AD1125=3,"Excellent",AD1125=4,"Outstanding")</f>
        <v>Excellent</v>
      </c>
      <c r="AF1125">
        <v>3</v>
      </c>
      <c r="AG1125" t="str" cm="1">
        <f t="array" ref="AG1125">_xlfn.IFS(AF1125=1,"Low",AF1125=2,"Medium",AF1125=3,"High",AF1125=4,"Very High")</f>
        <v>High</v>
      </c>
      <c r="AH1125">
        <v>0</v>
      </c>
      <c r="AI1125">
        <v>10</v>
      </c>
      <c r="AJ1125">
        <v>4</v>
      </c>
      <c r="AK1125">
        <v>3</v>
      </c>
      <c r="AL1125" t="str" cm="1">
        <f t="array" ref="AL1125">_xlfn.IFS(AK1125=1,"Low",AK1125=2,"Medium",AK1125=3,"High",AK1125=4,"Very High")</f>
        <v>High</v>
      </c>
      <c r="AM1125">
        <v>5</v>
      </c>
      <c r="AN1125">
        <v>2</v>
      </c>
      <c r="AO1125">
        <v>0</v>
      </c>
      <c r="AP1125">
        <v>4</v>
      </c>
    </row>
    <row r="1126" spans="1:42">
      <c r="A1126">
        <v>39</v>
      </c>
      <c r="B1126" t="str" cm="1">
        <f t="array" ref="B1126">_xlfn.IFS(A1126&lt;=25,"18-25",A1126&lt;=35,"26-35",A1126&lt;=45,"36-45",A1126&lt;=55,"46-55",A1126&gt;55,"56+")</f>
        <v>36-45</v>
      </c>
      <c r="C1126" t="s">
        <v>39</v>
      </c>
      <c r="D1126" t="s">
        <v>33</v>
      </c>
      <c r="E1126" s="2">
        <v>1462</v>
      </c>
      <c r="F1126" t="s">
        <v>34</v>
      </c>
      <c r="G1126">
        <v>6</v>
      </c>
      <c r="H1126" t="str">
        <f t="shared" si="17"/>
        <v>1-10 km</v>
      </c>
      <c r="I1126">
        <v>3</v>
      </c>
      <c r="J1126" t="str" cm="1">
        <f t="array" ref="J1126">_xlfn.IFS(I1126=1,"Below College",I1126=2,"College",I1126=3,"Bachelor",I1126=4,"Master",I1126=5,"Doctor")</f>
        <v>Bachelor</v>
      </c>
      <c r="K1126" t="s">
        <v>47</v>
      </c>
      <c r="L1126">
        <v>1588</v>
      </c>
      <c r="M1126">
        <v>4</v>
      </c>
      <c r="N1126" t="str" cm="1">
        <f t="array" ref="N1126">_xlfn.IFS(M1126=1,"Low",M1126=2,"Medium",M1126=3,"High",M1126=4,"Very High")</f>
        <v>Very High</v>
      </c>
      <c r="O1126" t="s">
        <v>42</v>
      </c>
      <c r="P1126" s="2">
        <v>38</v>
      </c>
      <c r="Q1126">
        <v>4</v>
      </c>
      <c r="R1126" t="str" cm="1">
        <f t="array" ref="R1126">_xlfn.IFS(Q1126=1,"Low",Q1126=2,"Medium",Q1126=3,"High",Q1126=4,"Very High")</f>
        <v>Very High</v>
      </c>
      <c r="S1126">
        <v>3</v>
      </c>
      <c r="T1126" t="str" cm="1">
        <f t="array" ref="T1126">_xlfn.IFS(S1126=1,"Entry Level",S1126=2,"Junior",S1126=3,"Mid-Level",S1126=4,"Senior",S1126=5,"Executive")</f>
        <v>Mid-Level</v>
      </c>
      <c r="U1126" t="s">
        <v>37</v>
      </c>
      <c r="V1126">
        <v>3</v>
      </c>
      <c r="W1126" t="str" cm="1">
        <f t="array" ref="W1126">_xlfn.IFS(V1126=1,"Low",V1126=2,"Medium",V1126=3,"High",V1126=4,"Very High")</f>
        <v>High</v>
      </c>
      <c r="X1126" t="s">
        <v>44</v>
      </c>
      <c r="Y1126" s="2">
        <v>8237</v>
      </c>
      <c r="Z1126" s="2">
        <v>4658</v>
      </c>
      <c r="AA1126">
        <v>2</v>
      </c>
      <c r="AB1126" t="s">
        <v>39</v>
      </c>
      <c r="AC1126">
        <v>11</v>
      </c>
      <c r="AD1126">
        <v>3</v>
      </c>
      <c r="AE1126" t="str" cm="1">
        <f t="array" ref="AE1126">_xlfn.IFS(AD1126=1,"Low",AD1126=2,"Good",AD1126=3,"Excellent",AD1126=4,"Outstanding")</f>
        <v>Excellent</v>
      </c>
      <c r="AF1126">
        <v>1</v>
      </c>
      <c r="AG1126" t="str" cm="1">
        <f t="array" ref="AG1126">_xlfn.IFS(AF1126=1,"Low",AF1126=2,"Medium",AF1126=3,"High",AF1126=4,"Very High")</f>
        <v>Low</v>
      </c>
      <c r="AH1126">
        <v>1</v>
      </c>
      <c r="AI1126">
        <v>11</v>
      </c>
      <c r="AJ1126">
        <v>3</v>
      </c>
      <c r="AK1126">
        <v>3</v>
      </c>
      <c r="AL1126" t="str" cm="1">
        <f t="array" ref="AL1126">_xlfn.IFS(AK1126=1,"Low",AK1126=2,"Medium",AK1126=3,"High",AK1126=4,"Very High")</f>
        <v>High</v>
      </c>
      <c r="AM1126">
        <v>7</v>
      </c>
      <c r="AN1126">
        <v>6</v>
      </c>
      <c r="AO1126">
        <v>7</v>
      </c>
      <c r="AP1126">
        <v>6</v>
      </c>
    </row>
    <row r="1127" spans="1:42">
      <c r="A1127">
        <v>29</v>
      </c>
      <c r="B1127" t="str" cm="1">
        <f t="array" ref="B1127">_xlfn.IFS(A1127&lt;=25,"18-25",A1127&lt;=35,"26-35",A1127&lt;=45,"36-45",A1127&lt;=55,"46-55",A1127&gt;55,"56+")</f>
        <v>26-35</v>
      </c>
      <c r="C1127" t="s">
        <v>39</v>
      </c>
      <c r="D1127" t="s">
        <v>40</v>
      </c>
      <c r="E1127" s="2">
        <v>995</v>
      </c>
      <c r="F1127" t="s">
        <v>41</v>
      </c>
      <c r="G1127">
        <v>2</v>
      </c>
      <c r="H1127" t="str">
        <f t="shared" si="17"/>
        <v>1-10 km</v>
      </c>
      <c r="I1127">
        <v>1</v>
      </c>
      <c r="J1127" t="str" cm="1">
        <f t="array" ref="J1127">_xlfn.IFS(I1127=1,"Below College",I1127=2,"College",I1127=3,"Bachelor",I1127=4,"Master",I1127=5,"Doctor")</f>
        <v>Below College</v>
      </c>
      <c r="K1127" t="s">
        <v>35</v>
      </c>
      <c r="L1127">
        <v>1590</v>
      </c>
      <c r="M1127">
        <v>1</v>
      </c>
      <c r="N1127" t="str" cm="1">
        <f t="array" ref="N1127">_xlfn.IFS(M1127=1,"Low",M1127=2,"Medium",M1127=3,"High",M1127=4,"Very High")</f>
        <v>Low</v>
      </c>
      <c r="O1127" t="s">
        <v>42</v>
      </c>
      <c r="P1127" s="2">
        <v>87</v>
      </c>
      <c r="Q1127">
        <v>3</v>
      </c>
      <c r="R1127" t="str" cm="1">
        <f t="array" ref="R1127">_xlfn.IFS(Q1127=1,"Low",Q1127=2,"Medium",Q1127=3,"High",Q1127=4,"Very High")</f>
        <v>High</v>
      </c>
      <c r="S1127">
        <v>2</v>
      </c>
      <c r="T1127" t="str" cm="1">
        <f t="array" ref="T1127">_xlfn.IFS(S1127=1,"Entry Level",S1127=2,"Junior",S1127=3,"Mid-Level",S1127=4,"Senior",S1127=5,"Executive")</f>
        <v>Junior</v>
      </c>
      <c r="U1127" t="s">
        <v>50</v>
      </c>
      <c r="V1127">
        <v>4</v>
      </c>
      <c r="W1127" t="str" cm="1">
        <f t="array" ref="W1127">_xlfn.IFS(V1127=1,"Low",V1127=2,"Medium",V1127=3,"High",V1127=4,"Very High")</f>
        <v>Very High</v>
      </c>
      <c r="X1127" t="s">
        <v>48</v>
      </c>
      <c r="Y1127" s="2">
        <v>8853</v>
      </c>
      <c r="Z1127" s="2">
        <v>24483</v>
      </c>
      <c r="AA1127">
        <v>1</v>
      </c>
      <c r="AB1127" t="s">
        <v>39</v>
      </c>
      <c r="AC1127">
        <v>19</v>
      </c>
      <c r="AD1127">
        <v>3</v>
      </c>
      <c r="AE1127" t="str" cm="1">
        <f t="array" ref="AE1127">_xlfn.IFS(AD1127=1,"Low",AD1127=2,"Good",AD1127=3,"Excellent",AD1127=4,"Outstanding")</f>
        <v>Excellent</v>
      </c>
      <c r="AF1127">
        <v>4</v>
      </c>
      <c r="AG1127" t="str" cm="1">
        <f t="array" ref="AG1127">_xlfn.IFS(AF1127=1,"Low",AF1127=2,"Medium",AF1127=3,"High",AF1127=4,"Very High")</f>
        <v>Very High</v>
      </c>
      <c r="AH1127">
        <v>1</v>
      </c>
      <c r="AI1127">
        <v>6</v>
      </c>
      <c r="AJ1127">
        <v>0</v>
      </c>
      <c r="AK1127">
        <v>4</v>
      </c>
      <c r="AL1127" t="str" cm="1">
        <f t="array" ref="AL1127">_xlfn.IFS(AK1127=1,"Low",AK1127=2,"Medium",AK1127=3,"High",AK1127=4,"Very High")</f>
        <v>Very High</v>
      </c>
      <c r="AM1127">
        <v>6</v>
      </c>
      <c r="AN1127">
        <v>4</v>
      </c>
      <c r="AO1127">
        <v>1</v>
      </c>
      <c r="AP1127">
        <v>3</v>
      </c>
    </row>
    <row r="1128" spans="1:42">
      <c r="A1128">
        <v>50</v>
      </c>
      <c r="B1128" t="str" cm="1">
        <f t="array" ref="B1128">_xlfn.IFS(A1128&lt;=25,"18-25",A1128&lt;=35,"26-35",A1128&lt;=45,"36-45",A1128&lt;=55,"46-55",A1128&gt;55,"56+")</f>
        <v>46-55</v>
      </c>
      <c r="C1128" t="s">
        <v>39</v>
      </c>
      <c r="D1128" t="s">
        <v>33</v>
      </c>
      <c r="E1128" s="2">
        <v>264</v>
      </c>
      <c r="F1128" t="s">
        <v>34</v>
      </c>
      <c r="G1128">
        <v>9</v>
      </c>
      <c r="H1128" t="str">
        <f t="shared" si="17"/>
        <v>1-10 km</v>
      </c>
      <c r="I1128">
        <v>3</v>
      </c>
      <c r="J1128" t="str" cm="1">
        <f t="array" ref="J1128">_xlfn.IFS(I1128=1,"Below College",I1128=2,"College",I1128=3,"Bachelor",I1128=4,"Master",I1128=5,"Doctor")</f>
        <v>Bachelor</v>
      </c>
      <c r="K1128" t="s">
        <v>55</v>
      </c>
      <c r="L1128">
        <v>1591</v>
      </c>
      <c r="M1128">
        <v>3</v>
      </c>
      <c r="N1128" t="str" cm="1">
        <f t="array" ref="N1128">_xlfn.IFS(M1128=1,"Low",M1128=2,"Medium",M1128=3,"High",M1128=4,"Very High")</f>
        <v>High</v>
      </c>
      <c r="O1128" t="s">
        <v>42</v>
      </c>
      <c r="P1128" s="2">
        <v>59</v>
      </c>
      <c r="Q1128">
        <v>3</v>
      </c>
      <c r="R1128" t="str" cm="1">
        <f t="array" ref="R1128">_xlfn.IFS(Q1128=1,"Low",Q1128=2,"Medium",Q1128=3,"High",Q1128=4,"Very High")</f>
        <v>High</v>
      </c>
      <c r="S1128">
        <v>5</v>
      </c>
      <c r="T1128" t="str" cm="1">
        <f t="array" ref="T1128">_xlfn.IFS(S1128=1,"Entry Level",S1128=2,"Junior",S1128=3,"Mid-Level",S1128=4,"Senior",S1128=5,"Executive")</f>
        <v>Executive</v>
      </c>
      <c r="U1128" t="s">
        <v>52</v>
      </c>
      <c r="V1128">
        <v>3</v>
      </c>
      <c r="W1128" t="str" cm="1">
        <f t="array" ref="W1128">_xlfn.IFS(V1128=1,"Low",V1128=2,"Medium",V1128=3,"High",V1128=4,"Very High")</f>
        <v>High</v>
      </c>
      <c r="X1128" t="s">
        <v>44</v>
      </c>
      <c r="Y1128" s="2">
        <v>19331</v>
      </c>
      <c r="Z1128" s="2">
        <v>19519</v>
      </c>
      <c r="AA1128">
        <v>4</v>
      </c>
      <c r="AB1128" t="s">
        <v>32</v>
      </c>
      <c r="AC1128">
        <v>16</v>
      </c>
      <c r="AD1128">
        <v>3</v>
      </c>
      <c r="AE1128" t="str" cm="1">
        <f t="array" ref="AE1128">_xlfn.IFS(AD1128=1,"Low",AD1128=2,"Good",AD1128=3,"Excellent",AD1128=4,"Outstanding")</f>
        <v>Excellent</v>
      </c>
      <c r="AF1128">
        <v>3</v>
      </c>
      <c r="AG1128" t="str" cm="1">
        <f t="array" ref="AG1128">_xlfn.IFS(AF1128=1,"Low",AF1128=2,"Medium",AF1128=3,"High",AF1128=4,"Very High")</f>
        <v>High</v>
      </c>
      <c r="AH1128">
        <v>1</v>
      </c>
      <c r="AI1128">
        <v>27</v>
      </c>
      <c r="AJ1128">
        <v>2</v>
      </c>
      <c r="AK1128">
        <v>3</v>
      </c>
      <c r="AL1128" t="str" cm="1">
        <f t="array" ref="AL1128">_xlfn.IFS(AK1128=1,"Low",AK1128=2,"Medium",AK1128=3,"High",AK1128=4,"Very High")</f>
        <v>High</v>
      </c>
      <c r="AM1128">
        <v>1</v>
      </c>
      <c r="AN1128">
        <v>0</v>
      </c>
      <c r="AO1128">
        <v>0</v>
      </c>
      <c r="AP1128">
        <v>0</v>
      </c>
    </row>
    <row r="1129" spans="1:42">
      <c r="A1129">
        <v>23</v>
      </c>
      <c r="B1129" t="str" cm="1">
        <f t="array" ref="B1129">_xlfn.IFS(A1129&lt;=25,"18-25",A1129&lt;=35,"26-35",A1129&lt;=45,"36-45",A1129&lt;=55,"46-55",A1129&gt;55,"56+")</f>
        <v>18-25</v>
      </c>
      <c r="C1129" t="s">
        <v>39</v>
      </c>
      <c r="D1129" t="s">
        <v>33</v>
      </c>
      <c r="E1129" s="2">
        <v>977</v>
      </c>
      <c r="F1129" t="s">
        <v>41</v>
      </c>
      <c r="G1129">
        <v>10</v>
      </c>
      <c r="H1129" t="str">
        <f t="shared" si="17"/>
        <v>1-10 km</v>
      </c>
      <c r="I1129">
        <v>3</v>
      </c>
      <c r="J1129" t="str" cm="1">
        <f t="array" ref="J1129">_xlfn.IFS(I1129=1,"Below College",I1129=2,"College",I1129=3,"Bachelor",I1129=4,"Master",I1129=5,"Doctor")</f>
        <v>Bachelor</v>
      </c>
      <c r="K1129" t="s">
        <v>56</v>
      </c>
      <c r="L1129">
        <v>1592</v>
      </c>
      <c r="M1129">
        <v>4</v>
      </c>
      <c r="N1129" t="str" cm="1">
        <f t="array" ref="N1129">_xlfn.IFS(M1129=1,"Low",M1129=2,"Medium",M1129=3,"High",M1129=4,"Very High")</f>
        <v>Very High</v>
      </c>
      <c r="O1129" t="s">
        <v>42</v>
      </c>
      <c r="P1129" s="2">
        <v>45</v>
      </c>
      <c r="Q1129">
        <v>4</v>
      </c>
      <c r="R1129" t="str" cm="1">
        <f t="array" ref="R1129">_xlfn.IFS(Q1129=1,"Low",Q1129=2,"Medium",Q1129=3,"High",Q1129=4,"Very High")</f>
        <v>Very High</v>
      </c>
      <c r="S1129">
        <v>1</v>
      </c>
      <c r="T1129" t="str" cm="1">
        <f t="array" ref="T1129">_xlfn.IFS(S1129=1,"Entry Level",S1129=2,"Junior",S1129=3,"Mid-Level",S1129=4,"Senior",S1129=5,"Executive")</f>
        <v>Entry Level</v>
      </c>
      <c r="U1129" t="s">
        <v>43</v>
      </c>
      <c r="V1129">
        <v>3</v>
      </c>
      <c r="W1129" t="str" cm="1">
        <f t="array" ref="W1129">_xlfn.IFS(V1129=1,"Low",V1129=2,"Medium",V1129=3,"High",V1129=4,"Very High")</f>
        <v>High</v>
      </c>
      <c r="X1129" t="s">
        <v>44</v>
      </c>
      <c r="Y1129" s="2">
        <v>2073</v>
      </c>
      <c r="Z1129" s="2">
        <v>12826</v>
      </c>
      <c r="AA1129">
        <v>2</v>
      </c>
      <c r="AB1129" t="s">
        <v>39</v>
      </c>
      <c r="AC1129">
        <v>16</v>
      </c>
      <c r="AD1129">
        <v>3</v>
      </c>
      <c r="AE1129" t="str" cm="1">
        <f t="array" ref="AE1129">_xlfn.IFS(AD1129=1,"Low",AD1129=2,"Good",AD1129=3,"Excellent",AD1129=4,"Outstanding")</f>
        <v>Excellent</v>
      </c>
      <c r="AF1129">
        <v>4</v>
      </c>
      <c r="AG1129" t="str" cm="1">
        <f t="array" ref="AG1129">_xlfn.IFS(AF1129=1,"Low",AF1129=2,"Medium",AF1129=3,"High",AF1129=4,"Very High")</f>
        <v>Very High</v>
      </c>
      <c r="AH1129">
        <v>1</v>
      </c>
      <c r="AI1129">
        <v>4</v>
      </c>
      <c r="AJ1129">
        <v>2</v>
      </c>
      <c r="AK1129">
        <v>3</v>
      </c>
      <c r="AL1129" t="str" cm="1">
        <f t="array" ref="AL1129">_xlfn.IFS(AK1129=1,"Low",AK1129=2,"Medium",AK1129=3,"High",AK1129=4,"Very High")</f>
        <v>High</v>
      </c>
      <c r="AM1129">
        <v>2</v>
      </c>
      <c r="AN1129">
        <v>2</v>
      </c>
      <c r="AO1129">
        <v>2</v>
      </c>
      <c r="AP1129">
        <v>2</v>
      </c>
    </row>
    <row r="1130" spans="1:42">
      <c r="A1130">
        <v>36</v>
      </c>
      <c r="B1130" t="str" cm="1">
        <f t="array" ref="B1130">_xlfn.IFS(A1130&lt;=25,"18-25",A1130&lt;=35,"26-35",A1130&lt;=45,"36-45",A1130&lt;=55,"46-55",A1130&gt;55,"56+")</f>
        <v>36-45</v>
      </c>
      <c r="C1130" t="s">
        <v>39</v>
      </c>
      <c r="D1130" t="s">
        <v>40</v>
      </c>
      <c r="E1130" s="2">
        <v>1302</v>
      </c>
      <c r="F1130" t="s">
        <v>41</v>
      </c>
      <c r="G1130">
        <v>6</v>
      </c>
      <c r="H1130" t="str">
        <f t="shared" si="17"/>
        <v>1-10 km</v>
      </c>
      <c r="I1130">
        <v>4</v>
      </c>
      <c r="J1130" t="str" cm="1">
        <f t="array" ref="J1130">_xlfn.IFS(I1130=1,"Below College",I1130=2,"College",I1130=3,"Bachelor",I1130=4,"Master",I1130=5,"Doctor")</f>
        <v>Master</v>
      </c>
      <c r="K1130" t="s">
        <v>35</v>
      </c>
      <c r="L1130">
        <v>1594</v>
      </c>
      <c r="M1130">
        <v>1</v>
      </c>
      <c r="N1130" t="str" cm="1">
        <f t="array" ref="N1130">_xlfn.IFS(M1130=1,"Low",M1130=2,"Medium",M1130=3,"High",M1130=4,"Very High")</f>
        <v>Low</v>
      </c>
      <c r="O1130" t="s">
        <v>42</v>
      </c>
      <c r="P1130" s="2">
        <v>80</v>
      </c>
      <c r="Q1130">
        <v>4</v>
      </c>
      <c r="R1130" t="str" cm="1">
        <f t="array" ref="R1130">_xlfn.IFS(Q1130=1,"Low",Q1130=2,"Medium",Q1130=3,"High",Q1130=4,"Very High")</f>
        <v>Very High</v>
      </c>
      <c r="S1130">
        <v>2</v>
      </c>
      <c r="T1130" t="str" cm="1">
        <f t="array" ref="T1130">_xlfn.IFS(S1130=1,"Entry Level",S1130=2,"Junior",S1130=3,"Mid-Level",S1130=4,"Senior",S1130=5,"Executive")</f>
        <v>Junior</v>
      </c>
      <c r="U1130" t="s">
        <v>46</v>
      </c>
      <c r="V1130">
        <v>1</v>
      </c>
      <c r="W1130" t="str" cm="1">
        <f t="array" ref="W1130">_xlfn.IFS(V1130=1,"Low",V1130=2,"Medium",V1130=3,"High",V1130=4,"Very High")</f>
        <v>Low</v>
      </c>
      <c r="X1130" t="s">
        <v>44</v>
      </c>
      <c r="Y1130" s="2">
        <v>5562</v>
      </c>
      <c r="Z1130" s="2">
        <v>19711</v>
      </c>
      <c r="AA1130">
        <v>3</v>
      </c>
      <c r="AB1130" t="s">
        <v>32</v>
      </c>
      <c r="AC1130">
        <v>13</v>
      </c>
      <c r="AD1130">
        <v>3</v>
      </c>
      <c r="AE1130" t="str" cm="1">
        <f t="array" ref="AE1130">_xlfn.IFS(AD1130=1,"Low",AD1130=2,"Good",AD1130=3,"Excellent",AD1130=4,"Outstanding")</f>
        <v>Excellent</v>
      </c>
      <c r="AF1130">
        <v>4</v>
      </c>
      <c r="AG1130" t="str" cm="1">
        <f t="array" ref="AG1130">_xlfn.IFS(AF1130=1,"Low",AF1130=2,"Medium",AF1130=3,"High",AF1130=4,"Very High")</f>
        <v>Very High</v>
      </c>
      <c r="AH1130">
        <v>1</v>
      </c>
      <c r="AI1130">
        <v>9</v>
      </c>
      <c r="AJ1130">
        <v>3</v>
      </c>
      <c r="AK1130">
        <v>3</v>
      </c>
      <c r="AL1130" t="str" cm="1">
        <f t="array" ref="AL1130">_xlfn.IFS(AK1130=1,"Low",AK1130=2,"Medium",AK1130=3,"High",AK1130=4,"Very High")</f>
        <v>High</v>
      </c>
      <c r="AM1130">
        <v>3</v>
      </c>
      <c r="AN1130">
        <v>2</v>
      </c>
      <c r="AO1130">
        <v>0</v>
      </c>
      <c r="AP1130">
        <v>2</v>
      </c>
    </row>
    <row r="1131" spans="1:42">
      <c r="A1131">
        <v>42</v>
      </c>
      <c r="B1131" t="str" cm="1">
        <f t="array" ref="B1131">_xlfn.IFS(A1131&lt;=25,"18-25",A1131&lt;=35,"26-35",A1131&lt;=45,"36-45",A1131&lt;=55,"46-55",A1131&gt;55,"56+")</f>
        <v>36-45</v>
      </c>
      <c r="C1131" t="s">
        <v>39</v>
      </c>
      <c r="D1131" t="s">
        <v>33</v>
      </c>
      <c r="E1131" s="2">
        <v>1059</v>
      </c>
      <c r="F1131" t="s">
        <v>41</v>
      </c>
      <c r="G1131">
        <v>9</v>
      </c>
      <c r="H1131" t="str">
        <f t="shared" si="17"/>
        <v>1-10 km</v>
      </c>
      <c r="I1131">
        <v>2</v>
      </c>
      <c r="J1131" t="str" cm="1">
        <f t="array" ref="J1131">_xlfn.IFS(I1131=1,"Below College",I1131=2,"College",I1131=3,"Bachelor",I1131=4,"Master",I1131=5,"Doctor")</f>
        <v>College</v>
      </c>
      <c r="K1131" t="s">
        <v>45</v>
      </c>
      <c r="L1131">
        <v>1595</v>
      </c>
      <c r="M1131">
        <v>4</v>
      </c>
      <c r="N1131" t="str" cm="1">
        <f t="array" ref="N1131">_xlfn.IFS(M1131=1,"Low",M1131=2,"Medium",M1131=3,"High",M1131=4,"Very High")</f>
        <v>Very High</v>
      </c>
      <c r="O1131" t="s">
        <v>42</v>
      </c>
      <c r="P1131" s="2">
        <v>93</v>
      </c>
      <c r="Q1131">
        <v>2</v>
      </c>
      <c r="R1131" t="str" cm="1">
        <f t="array" ref="R1131">_xlfn.IFS(Q1131=1,"Low",Q1131=2,"Medium",Q1131=3,"High",Q1131=4,"Very High")</f>
        <v>Medium</v>
      </c>
      <c r="S1131">
        <v>5</v>
      </c>
      <c r="T1131" t="str" cm="1">
        <f t="array" ref="T1131">_xlfn.IFS(S1131=1,"Entry Level",S1131=2,"Junior",S1131=3,"Mid-Level",S1131=4,"Senior",S1131=5,"Executive")</f>
        <v>Executive</v>
      </c>
      <c r="U1131" t="s">
        <v>52</v>
      </c>
      <c r="V1131">
        <v>4</v>
      </c>
      <c r="W1131" t="str" cm="1">
        <f t="array" ref="W1131">_xlfn.IFS(V1131=1,"Low",V1131=2,"Medium",V1131=3,"High",V1131=4,"Very High")</f>
        <v>Very High</v>
      </c>
      <c r="X1131" t="s">
        <v>38</v>
      </c>
      <c r="Y1131" s="2">
        <v>19613</v>
      </c>
      <c r="Z1131" s="2">
        <v>26362</v>
      </c>
      <c r="AA1131">
        <v>8</v>
      </c>
      <c r="AB1131" t="s">
        <v>39</v>
      </c>
      <c r="AC1131">
        <v>22</v>
      </c>
      <c r="AD1131">
        <v>4</v>
      </c>
      <c r="AE1131" t="str" cm="1">
        <f t="array" ref="AE1131">_xlfn.IFS(AD1131=1,"Low",AD1131=2,"Good",AD1131=3,"Excellent",AD1131=4,"Outstanding")</f>
        <v>Outstanding</v>
      </c>
      <c r="AF1131">
        <v>4</v>
      </c>
      <c r="AG1131" t="str" cm="1">
        <f t="array" ref="AG1131">_xlfn.IFS(AF1131=1,"Low",AF1131=2,"Medium",AF1131=3,"High",AF1131=4,"Very High")</f>
        <v>Very High</v>
      </c>
      <c r="AH1131">
        <v>0</v>
      </c>
      <c r="AI1131">
        <v>24</v>
      </c>
      <c r="AJ1131">
        <v>2</v>
      </c>
      <c r="AK1131">
        <v>3</v>
      </c>
      <c r="AL1131" t="str" cm="1">
        <f t="array" ref="AL1131">_xlfn.IFS(AK1131=1,"Low",AK1131=2,"Medium",AK1131=3,"High",AK1131=4,"Very High")</f>
        <v>High</v>
      </c>
      <c r="AM1131">
        <v>1</v>
      </c>
      <c r="AN1131">
        <v>0</v>
      </c>
      <c r="AO1131">
        <v>0</v>
      </c>
      <c r="AP1131">
        <v>1</v>
      </c>
    </row>
    <row r="1132" spans="1:42">
      <c r="A1132">
        <v>35</v>
      </c>
      <c r="B1132" t="str" cm="1">
        <f t="array" ref="B1132">_xlfn.IFS(A1132&lt;=25,"18-25",A1132&lt;=35,"26-35",A1132&lt;=45,"36-45",A1132&lt;=55,"46-55",A1132&gt;55,"56+")</f>
        <v>26-35</v>
      </c>
      <c r="C1132" t="s">
        <v>39</v>
      </c>
      <c r="D1132" t="s">
        <v>33</v>
      </c>
      <c r="E1132" s="2">
        <v>750</v>
      </c>
      <c r="F1132" t="s">
        <v>41</v>
      </c>
      <c r="G1132">
        <v>28</v>
      </c>
      <c r="H1132" t="str">
        <f t="shared" si="17"/>
        <v>21-30 km</v>
      </c>
      <c r="I1132">
        <v>3</v>
      </c>
      <c r="J1132" t="str" cm="1">
        <f t="array" ref="J1132">_xlfn.IFS(I1132=1,"Below College",I1132=2,"College",I1132=3,"Bachelor",I1132=4,"Master",I1132=5,"Doctor")</f>
        <v>Bachelor</v>
      </c>
      <c r="K1132" t="s">
        <v>35</v>
      </c>
      <c r="L1132">
        <v>1596</v>
      </c>
      <c r="M1132">
        <v>2</v>
      </c>
      <c r="N1132" t="str" cm="1">
        <f t="array" ref="N1132">_xlfn.IFS(M1132=1,"Low",M1132=2,"Medium",M1132=3,"High",M1132=4,"Very High")</f>
        <v>Medium</v>
      </c>
      <c r="O1132" t="s">
        <v>42</v>
      </c>
      <c r="P1132" s="2">
        <v>46</v>
      </c>
      <c r="Q1132">
        <v>4</v>
      </c>
      <c r="R1132" t="str" cm="1">
        <f t="array" ref="R1132">_xlfn.IFS(Q1132=1,"Low",Q1132=2,"Medium",Q1132=3,"High",Q1132=4,"Very High")</f>
        <v>Very High</v>
      </c>
      <c r="S1132">
        <v>2</v>
      </c>
      <c r="T1132" t="str" cm="1">
        <f t="array" ref="T1132">_xlfn.IFS(S1132=1,"Entry Level",S1132=2,"Junior",S1132=3,"Mid-Level",S1132=4,"Senior",S1132=5,"Executive")</f>
        <v>Junior</v>
      </c>
      <c r="U1132" t="s">
        <v>46</v>
      </c>
      <c r="V1132">
        <v>3</v>
      </c>
      <c r="W1132" t="str" cm="1">
        <f t="array" ref="W1132">_xlfn.IFS(V1132=1,"Low",V1132=2,"Medium",V1132=3,"High",V1132=4,"Very High")</f>
        <v>High</v>
      </c>
      <c r="X1132" t="s">
        <v>44</v>
      </c>
      <c r="Y1132" s="2">
        <v>3407</v>
      </c>
      <c r="Z1132" s="2">
        <v>25348</v>
      </c>
      <c r="AA1132">
        <v>1</v>
      </c>
      <c r="AB1132" t="s">
        <v>39</v>
      </c>
      <c r="AC1132">
        <v>17</v>
      </c>
      <c r="AD1132">
        <v>3</v>
      </c>
      <c r="AE1132" t="str" cm="1">
        <f t="array" ref="AE1132">_xlfn.IFS(AD1132=1,"Low",AD1132=2,"Good",AD1132=3,"Excellent",AD1132=4,"Outstanding")</f>
        <v>Excellent</v>
      </c>
      <c r="AF1132">
        <v>4</v>
      </c>
      <c r="AG1132" t="str" cm="1">
        <f t="array" ref="AG1132">_xlfn.IFS(AF1132=1,"Low",AF1132=2,"Medium",AF1132=3,"High",AF1132=4,"Very High")</f>
        <v>Very High</v>
      </c>
      <c r="AH1132">
        <v>2</v>
      </c>
      <c r="AI1132">
        <v>10</v>
      </c>
      <c r="AJ1132">
        <v>3</v>
      </c>
      <c r="AK1132">
        <v>2</v>
      </c>
      <c r="AL1132" t="str" cm="1">
        <f t="array" ref="AL1132">_xlfn.IFS(AK1132=1,"Low",AK1132=2,"Medium",AK1132=3,"High",AK1132=4,"Very High")</f>
        <v>Medium</v>
      </c>
      <c r="AM1132">
        <v>10</v>
      </c>
      <c r="AN1132">
        <v>9</v>
      </c>
      <c r="AO1132">
        <v>6</v>
      </c>
      <c r="AP1132">
        <v>8</v>
      </c>
    </row>
    <row r="1133" spans="1:42">
      <c r="A1133">
        <v>34</v>
      </c>
      <c r="B1133" t="str" cm="1">
        <f t="array" ref="B1133">_xlfn.IFS(A1133&lt;=25,"18-25",A1133&lt;=35,"26-35",A1133&lt;=45,"36-45",A1133&lt;=55,"46-55",A1133&gt;55,"56+")</f>
        <v>26-35</v>
      </c>
      <c r="C1133" t="s">
        <v>39</v>
      </c>
      <c r="D1133" t="s">
        <v>40</v>
      </c>
      <c r="E1133" s="2">
        <v>653</v>
      </c>
      <c r="F1133" t="s">
        <v>41</v>
      </c>
      <c r="G1133">
        <v>10</v>
      </c>
      <c r="H1133" t="str">
        <f t="shared" si="17"/>
        <v>1-10 km</v>
      </c>
      <c r="I1133">
        <v>4</v>
      </c>
      <c r="J1133" t="str" cm="1">
        <f t="array" ref="J1133">_xlfn.IFS(I1133=1,"Below College",I1133=2,"College",I1133=3,"Bachelor",I1133=4,"Master",I1133=5,"Doctor")</f>
        <v>Master</v>
      </c>
      <c r="K1133" t="s">
        <v>56</v>
      </c>
      <c r="L1133">
        <v>1597</v>
      </c>
      <c r="M1133">
        <v>4</v>
      </c>
      <c r="N1133" t="str" cm="1">
        <f t="array" ref="N1133">_xlfn.IFS(M1133=1,"Low",M1133=2,"Medium",M1133=3,"High",M1133=4,"Very High")</f>
        <v>Very High</v>
      </c>
      <c r="O1133" t="s">
        <v>42</v>
      </c>
      <c r="P1133" s="2">
        <v>92</v>
      </c>
      <c r="Q1133">
        <v>2</v>
      </c>
      <c r="R1133" t="str" cm="1">
        <f t="array" ref="R1133">_xlfn.IFS(Q1133=1,"Low",Q1133=2,"Medium",Q1133=3,"High",Q1133=4,"Very High")</f>
        <v>Medium</v>
      </c>
      <c r="S1133">
        <v>2</v>
      </c>
      <c r="T1133" t="str" cm="1">
        <f t="array" ref="T1133">_xlfn.IFS(S1133=1,"Entry Level",S1133=2,"Junior",S1133=3,"Mid-Level",S1133=4,"Senior",S1133=5,"Executive")</f>
        <v>Junior</v>
      </c>
      <c r="U1133" t="s">
        <v>50</v>
      </c>
      <c r="V1133">
        <v>3</v>
      </c>
      <c r="W1133" t="str" cm="1">
        <f t="array" ref="W1133">_xlfn.IFS(V1133=1,"Low",V1133=2,"Medium",V1133=3,"High",V1133=4,"Very High")</f>
        <v>High</v>
      </c>
      <c r="X1133" t="s">
        <v>44</v>
      </c>
      <c r="Y1133" s="2">
        <v>5063</v>
      </c>
      <c r="Z1133" s="2">
        <v>15332</v>
      </c>
      <c r="AA1133">
        <v>1</v>
      </c>
      <c r="AB1133" t="s">
        <v>39</v>
      </c>
      <c r="AC1133">
        <v>14</v>
      </c>
      <c r="AD1133">
        <v>3</v>
      </c>
      <c r="AE1133" t="str" cm="1">
        <f t="array" ref="AE1133">_xlfn.IFS(AD1133=1,"Low",AD1133=2,"Good",AD1133=3,"Excellent",AD1133=4,"Outstanding")</f>
        <v>Excellent</v>
      </c>
      <c r="AF1133">
        <v>2</v>
      </c>
      <c r="AG1133" t="str" cm="1">
        <f t="array" ref="AG1133">_xlfn.IFS(AF1133=1,"Low",AF1133=2,"Medium",AF1133=3,"High",AF1133=4,"Very High")</f>
        <v>Medium</v>
      </c>
      <c r="AH1133">
        <v>1</v>
      </c>
      <c r="AI1133">
        <v>8</v>
      </c>
      <c r="AJ1133">
        <v>3</v>
      </c>
      <c r="AK1133">
        <v>2</v>
      </c>
      <c r="AL1133" t="str" cm="1">
        <f t="array" ref="AL1133">_xlfn.IFS(AK1133=1,"Low",AK1133=2,"Medium",AK1133=3,"High",AK1133=4,"Very High")</f>
        <v>Medium</v>
      </c>
      <c r="AM1133">
        <v>8</v>
      </c>
      <c r="AN1133">
        <v>2</v>
      </c>
      <c r="AO1133">
        <v>7</v>
      </c>
      <c r="AP1133">
        <v>7</v>
      </c>
    </row>
    <row r="1134" spans="1:42">
      <c r="A1134">
        <v>40</v>
      </c>
      <c r="B1134" t="str" cm="1">
        <f t="array" ref="B1134">_xlfn.IFS(A1134&lt;=25,"18-25",A1134&lt;=35,"26-35",A1134&lt;=45,"36-45",A1134&lt;=55,"46-55",A1134&gt;55,"56+")</f>
        <v>36-45</v>
      </c>
      <c r="C1134" t="s">
        <v>39</v>
      </c>
      <c r="D1134" t="s">
        <v>33</v>
      </c>
      <c r="E1134" s="2">
        <v>118</v>
      </c>
      <c r="F1134" t="s">
        <v>34</v>
      </c>
      <c r="G1134">
        <v>14</v>
      </c>
      <c r="H1134" t="str">
        <f t="shared" si="17"/>
        <v>11-20 km</v>
      </c>
      <c r="I1134">
        <v>2</v>
      </c>
      <c r="J1134" t="str" cm="1">
        <f t="array" ref="J1134">_xlfn.IFS(I1134=1,"Below College",I1134=2,"College",I1134=3,"Bachelor",I1134=4,"Master",I1134=5,"Doctor")</f>
        <v>College</v>
      </c>
      <c r="K1134" t="s">
        <v>35</v>
      </c>
      <c r="L1134">
        <v>1598</v>
      </c>
      <c r="M1134">
        <v>4</v>
      </c>
      <c r="N1134" t="str" cm="1">
        <f t="array" ref="N1134">_xlfn.IFS(M1134=1,"Low",M1134=2,"Medium",M1134=3,"High",M1134=4,"Very High")</f>
        <v>Very High</v>
      </c>
      <c r="O1134" t="s">
        <v>36</v>
      </c>
      <c r="P1134" s="2">
        <v>84</v>
      </c>
      <c r="Q1134">
        <v>3</v>
      </c>
      <c r="R1134" t="str" cm="1">
        <f t="array" ref="R1134">_xlfn.IFS(Q1134=1,"Low",Q1134=2,"Medium",Q1134=3,"High",Q1134=4,"Very High")</f>
        <v>High</v>
      </c>
      <c r="S1134">
        <v>2</v>
      </c>
      <c r="T1134" t="str" cm="1">
        <f t="array" ref="T1134">_xlfn.IFS(S1134=1,"Entry Level",S1134=2,"Junior",S1134=3,"Mid-Level",S1134=4,"Senior",S1134=5,"Executive")</f>
        <v>Junior</v>
      </c>
      <c r="U1134" t="s">
        <v>37</v>
      </c>
      <c r="V1134">
        <v>1</v>
      </c>
      <c r="W1134" t="str" cm="1">
        <f t="array" ref="W1134">_xlfn.IFS(V1134=1,"Low",V1134=2,"Medium",V1134=3,"High",V1134=4,"Very High")</f>
        <v>Low</v>
      </c>
      <c r="X1134" t="s">
        <v>44</v>
      </c>
      <c r="Y1134" s="2">
        <v>4639</v>
      </c>
      <c r="Z1134" s="2">
        <v>11262</v>
      </c>
      <c r="AA1134">
        <v>1</v>
      </c>
      <c r="AB1134" t="s">
        <v>39</v>
      </c>
      <c r="AC1134">
        <v>15</v>
      </c>
      <c r="AD1134">
        <v>3</v>
      </c>
      <c r="AE1134" t="str" cm="1">
        <f t="array" ref="AE1134">_xlfn.IFS(AD1134=1,"Low",AD1134=2,"Good",AD1134=3,"Excellent",AD1134=4,"Outstanding")</f>
        <v>Excellent</v>
      </c>
      <c r="AF1134">
        <v>3</v>
      </c>
      <c r="AG1134" t="str" cm="1">
        <f t="array" ref="AG1134">_xlfn.IFS(AF1134=1,"Low",AF1134=2,"Medium",AF1134=3,"High",AF1134=4,"Very High")</f>
        <v>High</v>
      </c>
      <c r="AH1134">
        <v>1</v>
      </c>
      <c r="AI1134">
        <v>5</v>
      </c>
      <c r="AJ1134">
        <v>2</v>
      </c>
      <c r="AK1134">
        <v>3</v>
      </c>
      <c r="AL1134" t="str" cm="1">
        <f t="array" ref="AL1134">_xlfn.IFS(AK1134=1,"Low",AK1134=2,"Medium",AK1134=3,"High",AK1134=4,"Very High")</f>
        <v>High</v>
      </c>
      <c r="AM1134">
        <v>5</v>
      </c>
      <c r="AN1134">
        <v>4</v>
      </c>
      <c r="AO1134">
        <v>1</v>
      </c>
      <c r="AP1134">
        <v>2</v>
      </c>
    </row>
    <row r="1135" spans="1:42">
      <c r="A1135">
        <v>43</v>
      </c>
      <c r="B1135" t="str" cm="1">
        <f t="array" ref="B1135">_xlfn.IFS(A1135&lt;=25,"18-25",A1135&lt;=35,"26-35",A1135&lt;=45,"36-45",A1135&lt;=55,"46-55",A1135&gt;55,"56+")</f>
        <v>36-45</v>
      </c>
      <c r="C1135" t="s">
        <v>39</v>
      </c>
      <c r="D1135" t="s">
        <v>33</v>
      </c>
      <c r="E1135" s="2">
        <v>990</v>
      </c>
      <c r="F1135" t="s">
        <v>41</v>
      </c>
      <c r="G1135">
        <v>27</v>
      </c>
      <c r="H1135" t="str">
        <f t="shared" si="17"/>
        <v>21-30 km</v>
      </c>
      <c r="I1135">
        <v>3</v>
      </c>
      <c r="J1135" t="str" cm="1">
        <f t="array" ref="J1135">_xlfn.IFS(I1135=1,"Below College",I1135=2,"College",I1135=3,"Bachelor",I1135=4,"Master",I1135=5,"Doctor")</f>
        <v>Bachelor</v>
      </c>
      <c r="K1135" t="s">
        <v>56</v>
      </c>
      <c r="L1135">
        <v>1599</v>
      </c>
      <c r="M1135">
        <v>4</v>
      </c>
      <c r="N1135" t="str" cm="1">
        <f t="array" ref="N1135">_xlfn.IFS(M1135=1,"Low",M1135=2,"Medium",M1135=3,"High",M1135=4,"Very High")</f>
        <v>Very High</v>
      </c>
      <c r="O1135" t="s">
        <v>42</v>
      </c>
      <c r="P1135" s="2">
        <v>87</v>
      </c>
      <c r="Q1135">
        <v>4</v>
      </c>
      <c r="R1135" t="str" cm="1">
        <f t="array" ref="R1135">_xlfn.IFS(Q1135=1,"Low",Q1135=2,"Medium",Q1135=3,"High",Q1135=4,"Very High")</f>
        <v>Very High</v>
      </c>
      <c r="S1135">
        <v>1</v>
      </c>
      <c r="T1135" t="str" cm="1">
        <f t="array" ref="T1135">_xlfn.IFS(S1135=1,"Entry Level",S1135=2,"Junior",S1135=3,"Mid-Level",S1135=4,"Senior",S1135=5,"Executive")</f>
        <v>Entry Level</v>
      </c>
      <c r="U1135" t="s">
        <v>46</v>
      </c>
      <c r="V1135">
        <v>2</v>
      </c>
      <c r="W1135" t="str" cm="1">
        <f t="array" ref="W1135">_xlfn.IFS(V1135=1,"Low",V1135=2,"Medium",V1135=3,"High",V1135=4,"Very High")</f>
        <v>Medium</v>
      </c>
      <c r="X1135" t="s">
        <v>48</v>
      </c>
      <c r="Y1135" s="2">
        <v>4876</v>
      </c>
      <c r="Z1135" s="2">
        <v>5855</v>
      </c>
      <c r="AA1135">
        <v>5</v>
      </c>
      <c r="AB1135" t="s">
        <v>39</v>
      </c>
      <c r="AC1135">
        <v>12</v>
      </c>
      <c r="AD1135">
        <v>3</v>
      </c>
      <c r="AE1135" t="str" cm="1">
        <f t="array" ref="AE1135">_xlfn.IFS(AD1135=1,"Low",AD1135=2,"Good",AD1135=3,"Excellent",AD1135=4,"Outstanding")</f>
        <v>Excellent</v>
      </c>
      <c r="AF1135">
        <v>3</v>
      </c>
      <c r="AG1135" t="str" cm="1">
        <f t="array" ref="AG1135">_xlfn.IFS(AF1135=1,"Low",AF1135=2,"Medium",AF1135=3,"High",AF1135=4,"Very High")</f>
        <v>High</v>
      </c>
      <c r="AH1135">
        <v>1</v>
      </c>
      <c r="AI1135">
        <v>8</v>
      </c>
      <c r="AJ1135">
        <v>0</v>
      </c>
      <c r="AK1135">
        <v>3</v>
      </c>
      <c r="AL1135" t="str" cm="1">
        <f t="array" ref="AL1135">_xlfn.IFS(AK1135=1,"Low",AK1135=2,"Medium",AK1135=3,"High",AK1135=4,"Very High")</f>
        <v>High</v>
      </c>
      <c r="AM1135">
        <v>6</v>
      </c>
      <c r="AN1135">
        <v>4</v>
      </c>
      <c r="AO1135">
        <v>0</v>
      </c>
      <c r="AP1135">
        <v>2</v>
      </c>
    </row>
    <row r="1136" spans="1:42">
      <c r="A1136">
        <v>35</v>
      </c>
      <c r="B1136" t="str" cm="1">
        <f t="array" ref="B1136">_xlfn.IFS(A1136&lt;=25,"18-25",A1136&lt;=35,"26-35",A1136&lt;=45,"36-45",A1136&lt;=55,"46-55",A1136&gt;55,"56+")</f>
        <v>26-35</v>
      </c>
      <c r="C1136" t="s">
        <v>39</v>
      </c>
      <c r="D1136" t="s">
        <v>33</v>
      </c>
      <c r="E1136" s="2">
        <v>1349</v>
      </c>
      <c r="F1136" t="s">
        <v>41</v>
      </c>
      <c r="G1136">
        <v>7</v>
      </c>
      <c r="H1136" t="str">
        <f t="shared" si="17"/>
        <v>1-10 km</v>
      </c>
      <c r="I1136">
        <v>2</v>
      </c>
      <c r="J1136" t="str" cm="1">
        <f t="array" ref="J1136">_xlfn.IFS(I1136=1,"Below College",I1136=2,"College",I1136=3,"Bachelor",I1136=4,"Master",I1136=5,"Doctor")</f>
        <v>College</v>
      </c>
      <c r="K1136" t="s">
        <v>35</v>
      </c>
      <c r="L1136">
        <v>1601</v>
      </c>
      <c r="M1136">
        <v>3</v>
      </c>
      <c r="N1136" t="str" cm="1">
        <f t="array" ref="N1136">_xlfn.IFS(M1136=1,"Low",M1136=2,"Medium",M1136=3,"High",M1136=4,"Very High")</f>
        <v>High</v>
      </c>
      <c r="O1136" t="s">
        <v>42</v>
      </c>
      <c r="P1136" s="2">
        <v>63</v>
      </c>
      <c r="Q1136">
        <v>2</v>
      </c>
      <c r="R1136" t="str" cm="1">
        <f t="array" ref="R1136">_xlfn.IFS(Q1136=1,"Low",Q1136=2,"Medium",Q1136=3,"High",Q1136=4,"Very High")</f>
        <v>Medium</v>
      </c>
      <c r="S1136">
        <v>1</v>
      </c>
      <c r="T1136" t="str" cm="1">
        <f t="array" ref="T1136">_xlfn.IFS(S1136=1,"Entry Level",S1136=2,"Junior",S1136=3,"Mid-Level",S1136=4,"Senior",S1136=5,"Executive")</f>
        <v>Entry Level</v>
      </c>
      <c r="U1136" t="s">
        <v>46</v>
      </c>
      <c r="V1136">
        <v>4</v>
      </c>
      <c r="W1136" t="str" cm="1">
        <f t="array" ref="W1136">_xlfn.IFS(V1136=1,"Low",V1136=2,"Medium",V1136=3,"High",V1136=4,"Very High")</f>
        <v>Very High</v>
      </c>
      <c r="X1136" t="s">
        <v>44</v>
      </c>
      <c r="Y1136" s="2">
        <v>2690</v>
      </c>
      <c r="Z1136" s="2">
        <v>7713</v>
      </c>
      <c r="AA1136">
        <v>1</v>
      </c>
      <c r="AB1136" t="s">
        <v>39</v>
      </c>
      <c r="AC1136">
        <v>18</v>
      </c>
      <c r="AD1136">
        <v>3</v>
      </c>
      <c r="AE1136" t="str" cm="1">
        <f t="array" ref="AE1136">_xlfn.IFS(AD1136=1,"Low",AD1136=2,"Good",AD1136=3,"Excellent",AD1136=4,"Outstanding")</f>
        <v>Excellent</v>
      </c>
      <c r="AF1136">
        <v>4</v>
      </c>
      <c r="AG1136" t="str" cm="1">
        <f t="array" ref="AG1136">_xlfn.IFS(AF1136=1,"Low",AF1136=2,"Medium",AF1136=3,"High",AF1136=4,"Very High")</f>
        <v>Very High</v>
      </c>
      <c r="AH1136">
        <v>1</v>
      </c>
      <c r="AI1136">
        <v>1</v>
      </c>
      <c r="AJ1136">
        <v>5</v>
      </c>
      <c r="AK1136">
        <v>2</v>
      </c>
      <c r="AL1136" t="str" cm="1">
        <f t="array" ref="AL1136">_xlfn.IFS(AK1136=1,"Low",AK1136=2,"Medium",AK1136=3,"High",AK1136=4,"Very High")</f>
        <v>Medium</v>
      </c>
      <c r="AM1136">
        <v>1</v>
      </c>
      <c r="AN1136">
        <v>0</v>
      </c>
      <c r="AO1136">
        <v>0</v>
      </c>
      <c r="AP1136">
        <v>1</v>
      </c>
    </row>
    <row r="1137" spans="1:42">
      <c r="A1137">
        <v>46</v>
      </c>
      <c r="B1137" t="str" cm="1">
        <f t="array" ref="B1137">_xlfn.IFS(A1137&lt;=25,"18-25",A1137&lt;=35,"26-35",A1137&lt;=45,"36-45",A1137&lt;=55,"46-55",A1137&gt;55,"56+")</f>
        <v>46-55</v>
      </c>
      <c r="C1137" t="s">
        <v>39</v>
      </c>
      <c r="D1137" t="s">
        <v>33</v>
      </c>
      <c r="E1137" s="2">
        <v>563</v>
      </c>
      <c r="F1137" t="s">
        <v>34</v>
      </c>
      <c r="G1137">
        <v>1</v>
      </c>
      <c r="H1137" t="str">
        <f t="shared" si="17"/>
        <v>1-10 km</v>
      </c>
      <c r="I1137">
        <v>4</v>
      </c>
      <c r="J1137" t="str" cm="1">
        <f t="array" ref="J1137">_xlfn.IFS(I1137=1,"Below College",I1137=2,"College",I1137=3,"Bachelor",I1137=4,"Master",I1137=5,"Doctor")</f>
        <v>Master</v>
      </c>
      <c r="K1137" t="s">
        <v>35</v>
      </c>
      <c r="L1137">
        <v>1602</v>
      </c>
      <c r="M1137">
        <v>4</v>
      </c>
      <c r="N1137" t="str" cm="1">
        <f t="array" ref="N1137">_xlfn.IFS(M1137=1,"Low",M1137=2,"Medium",M1137=3,"High",M1137=4,"Very High")</f>
        <v>Very High</v>
      </c>
      <c r="O1137" t="s">
        <v>42</v>
      </c>
      <c r="P1137" s="2">
        <v>56</v>
      </c>
      <c r="Q1137">
        <v>4</v>
      </c>
      <c r="R1137" t="str" cm="1">
        <f t="array" ref="R1137">_xlfn.IFS(Q1137=1,"Low",Q1137=2,"Medium",Q1137=3,"High",Q1137=4,"Very High")</f>
        <v>Very High</v>
      </c>
      <c r="S1137">
        <v>4</v>
      </c>
      <c r="T1137" t="str" cm="1">
        <f t="array" ref="T1137">_xlfn.IFS(S1137=1,"Entry Level",S1137=2,"Junior",S1137=3,"Mid-Level",S1137=4,"Senior",S1137=5,"Executive")</f>
        <v>Senior</v>
      </c>
      <c r="U1137" t="s">
        <v>52</v>
      </c>
      <c r="V1137">
        <v>1</v>
      </c>
      <c r="W1137" t="str" cm="1">
        <f t="array" ref="W1137">_xlfn.IFS(V1137=1,"Low",V1137=2,"Medium",V1137=3,"High",V1137=4,"Very High")</f>
        <v>Low</v>
      </c>
      <c r="X1137" t="s">
        <v>38</v>
      </c>
      <c r="Y1137" s="2">
        <v>17567</v>
      </c>
      <c r="Z1137" s="2">
        <v>3156</v>
      </c>
      <c r="AA1137">
        <v>1</v>
      </c>
      <c r="AB1137" t="s">
        <v>39</v>
      </c>
      <c r="AC1137">
        <v>15</v>
      </c>
      <c r="AD1137">
        <v>3</v>
      </c>
      <c r="AE1137" t="str" cm="1">
        <f t="array" ref="AE1137">_xlfn.IFS(AD1137=1,"Low",AD1137=2,"Good",AD1137=3,"Excellent",AD1137=4,"Outstanding")</f>
        <v>Excellent</v>
      </c>
      <c r="AF1137">
        <v>2</v>
      </c>
      <c r="AG1137" t="str" cm="1">
        <f t="array" ref="AG1137">_xlfn.IFS(AF1137=1,"Low",AF1137=2,"Medium",AF1137=3,"High",AF1137=4,"Very High")</f>
        <v>Medium</v>
      </c>
      <c r="AH1137">
        <v>0</v>
      </c>
      <c r="AI1137">
        <v>27</v>
      </c>
      <c r="AJ1137">
        <v>5</v>
      </c>
      <c r="AK1137">
        <v>1</v>
      </c>
      <c r="AL1137" t="str" cm="1">
        <f t="array" ref="AL1137">_xlfn.IFS(AK1137=1,"Low",AK1137=2,"Medium",AK1137=3,"High",AK1137=4,"Very High")</f>
        <v>Low</v>
      </c>
      <c r="AM1137">
        <v>26</v>
      </c>
      <c r="AN1137">
        <v>0</v>
      </c>
      <c r="AO1137">
        <v>0</v>
      </c>
      <c r="AP1137">
        <v>12</v>
      </c>
    </row>
    <row r="1138" spans="1:42">
      <c r="A1138">
        <v>28</v>
      </c>
      <c r="B1138" t="str" cm="1">
        <f t="array" ref="B1138">_xlfn.IFS(A1138&lt;=25,"18-25",A1138&lt;=35,"26-35",A1138&lt;=45,"36-45",A1138&lt;=55,"46-55",A1138&gt;55,"56+")</f>
        <v>26-35</v>
      </c>
      <c r="C1138" t="s">
        <v>32</v>
      </c>
      <c r="D1138" t="s">
        <v>33</v>
      </c>
      <c r="E1138" s="2">
        <v>329</v>
      </c>
      <c r="F1138" t="s">
        <v>41</v>
      </c>
      <c r="G1138">
        <v>24</v>
      </c>
      <c r="H1138" t="str">
        <f t="shared" si="17"/>
        <v>21-30 km</v>
      </c>
      <c r="I1138">
        <v>3</v>
      </c>
      <c r="J1138" t="str" cm="1">
        <f t="array" ref="J1138">_xlfn.IFS(I1138=1,"Below College",I1138=2,"College",I1138=3,"Bachelor",I1138=4,"Master",I1138=5,"Doctor")</f>
        <v>Bachelor</v>
      </c>
      <c r="K1138" t="s">
        <v>47</v>
      </c>
      <c r="L1138">
        <v>1604</v>
      </c>
      <c r="M1138">
        <v>3</v>
      </c>
      <c r="N1138" t="str" cm="1">
        <f t="array" ref="N1138">_xlfn.IFS(M1138=1,"Low",M1138=2,"Medium",M1138=3,"High",M1138=4,"Very High")</f>
        <v>High</v>
      </c>
      <c r="O1138" t="s">
        <v>42</v>
      </c>
      <c r="P1138" s="2">
        <v>51</v>
      </c>
      <c r="Q1138">
        <v>3</v>
      </c>
      <c r="R1138" t="str" cm="1">
        <f t="array" ref="R1138">_xlfn.IFS(Q1138=1,"Low",Q1138=2,"Medium",Q1138=3,"High",Q1138=4,"Very High")</f>
        <v>High</v>
      </c>
      <c r="S1138">
        <v>1</v>
      </c>
      <c r="T1138" t="str" cm="1">
        <f t="array" ref="T1138">_xlfn.IFS(S1138=1,"Entry Level",S1138=2,"Junior",S1138=3,"Mid-Level",S1138=4,"Senior",S1138=5,"Executive")</f>
        <v>Entry Level</v>
      </c>
      <c r="U1138" t="s">
        <v>46</v>
      </c>
      <c r="V1138">
        <v>2</v>
      </c>
      <c r="W1138" t="str" cm="1">
        <f t="array" ref="W1138">_xlfn.IFS(V1138=1,"Low",V1138=2,"Medium",V1138=3,"High",V1138=4,"Very High")</f>
        <v>Medium</v>
      </c>
      <c r="X1138" t="s">
        <v>44</v>
      </c>
      <c r="Y1138" s="2">
        <v>2408</v>
      </c>
      <c r="Z1138" s="2">
        <v>7324</v>
      </c>
      <c r="AA1138">
        <v>1</v>
      </c>
      <c r="AB1138" t="s">
        <v>32</v>
      </c>
      <c r="AC1138">
        <v>17</v>
      </c>
      <c r="AD1138">
        <v>3</v>
      </c>
      <c r="AE1138" t="str" cm="1">
        <f t="array" ref="AE1138">_xlfn.IFS(AD1138=1,"Low",AD1138=2,"Good",AD1138=3,"Excellent",AD1138=4,"Outstanding")</f>
        <v>Excellent</v>
      </c>
      <c r="AF1138">
        <v>3</v>
      </c>
      <c r="AG1138" t="str" cm="1">
        <f t="array" ref="AG1138">_xlfn.IFS(AF1138=1,"Low",AF1138=2,"Medium",AF1138=3,"High",AF1138=4,"Very High")</f>
        <v>High</v>
      </c>
      <c r="AH1138">
        <v>3</v>
      </c>
      <c r="AI1138">
        <v>1</v>
      </c>
      <c r="AJ1138">
        <v>3</v>
      </c>
      <c r="AK1138">
        <v>3</v>
      </c>
      <c r="AL1138" t="str" cm="1">
        <f t="array" ref="AL1138">_xlfn.IFS(AK1138=1,"Low",AK1138=2,"Medium",AK1138=3,"High",AK1138=4,"Very High")</f>
        <v>High</v>
      </c>
      <c r="AM1138">
        <v>1</v>
      </c>
      <c r="AN1138">
        <v>1</v>
      </c>
      <c r="AO1138">
        <v>0</v>
      </c>
      <c r="AP1138">
        <v>0</v>
      </c>
    </row>
    <row r="1139" spans="1:42">
      <c r="A1139">
        <v>22</v>
      </c>
      <c r="B1139" t="str" cm="1">
        <f t="array" ref="B1139">_xlfn.IFS(A1139&lt;=25,"18-25",A1139&lt;=35,"26-35",A1139&lt;=45,"36-45",A1139&lt;=55,"46-55",A1139&gt;55,"56+")</f>
        <v>18-25</v>
      </c>
      <c r="C1139" t="s">
        <v>39</v>
      </c>
      <c r="D1139" t="s">
        <v>51</v>
      </c>
      <c r="E1139" s="2">
        <v>457</v>
      </c>
      <c r="F1139" t="s">
        <v>41</v>
      </c>
      <c r="G1139">
        <v>26</v>
      </c>
      <c r="H1139" t="str">
        <f t="shared" si="17"/>
        <v>21-30 km</v>
      </c>
      <c r="I1139">
        <v>2</v>
      </c>
      <c r="J1139" t="str" cm="1">
        <f t="array" ref="J1139">_xlfn.IFS(I1139=1,"Below College",I1139=2,"College",I1139=3,"Bachelor",I1139=4,"Master",I1139=5,"Doctor")</f>
        <v>College</v>
      </c>
      <c r="K1139" t="s">
        <v>45</v>
      </c>
      <c r="L1139">
        <v>1605</v>
      </c>
      <c r="M1139">
        <v>2</v>
      </c>
      <c r="N1139" t="str" cm="1">
        <f t="array" ref="N1139">_xlfn.IFS(M1139=1,"Low",M1139=2,"Medium",M1139=3,"High",M1139=4,"Very High")</f>
        <v>Medium</v>
      </c>
      <c r="O1139" t="s">
        <v>36</v>
      </c>
      <c r="P1139" s="2">
        <v>85</v>
      </c>
      <c r="Q1139">
        <v>2</v>
      </c>
      <c r="R1139" t="str" cm="1">
        <f t="array" ref="R1139">_xlfn.IFS(Q1139=1,"Low",Q1139=2,"Medium",Q1139=3,"High",Q1139=4,"Very High")</f>
        <v>Medium</v>
      </c>
      <c r="S1139">
        <v>1</v>
      </c>
      <c r="T1139" t="str" cm="1">
        <f t="array" ref="T1139">_xlfn.IFS(S1139=1,"Entry Level",S1139=2,"Junior",S1139=3,"Mid-Level",S1139=4,"Senior",S1139=5,"Executive")</f>
        <v>Entry Level</v>
      </c>
      <c r="U1139" t="s">
        <v>43</v>
      </c>
      <c r="V1139">
        <v>3</v>
      </c>
      <c r="W1139" t="str" cm="1">
        <f t="array" ref="W1139">_xlfn.IFS(V1139=1,"Low",V1139=2,"Medium",V1139=3,"High",V1139=4,"Very High")</f>
        <v>High</v>
      </c>
      <c r="X1139" t="s">
        <v>44</v>
      </c>
      <c r="Y1139" s="2">
        <v>2814</v>
      </c>
      <c r="Z1139" s="2">
        <v>10293</v>
      </c>
      <c r="AA1139">
        <v>1</v>
      </c>
      <c r="AB1139" t="s">
        <v>32</v>
      </c>
      <c r="AC1139">
        <v>14</v>
      </c>
      <c r="AD1139">
        <v>3</v>
      </c>
      <c r="AE1139" t="str" cm="1">
        <f t="array" ref="AE1139">_xlfn.IFS(AD1139=1,"Low",AD1139=2,"Good",AD1139=3,"Excellent",AD1139=4,"Outstanding")</f>
        <v>Excellent</v>
      </c>
      <c r="AF1139">
        <v>2</v>
      </c>
      <c r="AG1139" t="str" cm="1">
        <f t="array" ref="AG1139">_xlfn.IFS(AF1139=1,"Low",AF1139=2,"Medium",AF1139=3,"High",AF1139=4,"Very High")</f>
        <v>Medium</v>
      </c>
      <c r="AH1139">
        <v>0</v>
      </c>
      <c r="AI1139">
        <v>4</v>
      </c>
      <c r="AJ1139">
        <v>2</v>
      </c>
      <c r="AK1139">
        <v>2</v>
      </c>
      <c r="AL1139" t="str" cm="1">
        <f t="array" ref="AL1139">_xlfn.IFS(AK1139=1,"Low",AK1139=2,"Medium",AK1139=3,"High",AK1139=4,"Very High")</f>
        <v>Medium</v>
      </c>
      <c r="AM1139">
        <v>4</v>
      </c>
      <c r="AN1139">
        <v>2</v>
      </c>
      <c r="AO1139">
        <v>1</v>
      </c>
      <c r="AP1139">
        <v>3</v>
      </c>
    </row>
    <row r="1140" spans="1:42">
      <c r="A1140">
        <v>50</v>
      </c>
      <c r="B1140" t="str" cm="1">
        <f t="array" ref="B1140">_xlfn.IFS(A1140&lt;=25,"18-25",A1140&lt;=35,"26-35",A1140&lt;=45,"36-45",A1140&lt;=55,"46-55",A1140&gt;55,"56+")</f>
        <v>46-55</v>
      </c>
      <c r="C1140" t="s">
        <v>39</v>
      </c>
      <c r="D1140" t="s">
        <v>40</v>
      </c>
      <c r="E1140" s="2">
        <v>1234</v>
      </c>
      <c r="F1140" t="s">
        <v>41</v>
      </c>
      <c r="G1140">
        <v>20</v>
      </c>
      <c r="H1140" t="str">
        <f t="shared" si="17"/>
        <v>11-20 km</v>
      </c>
      <c r="I1140">
        <v>5</v>
      </c>
      <c r="J1140" t="str" cm="1">
        <f t="array" ref="J1140">_xlfn.IFS(I1140=1,"Below College",I1140=2,"College",I1140=3,"Bachelor",I1140=4,"Master",I1140=5,"Doctor")</f>
        <v>Doctor</v>
      </c>
      <c r="K1140" t="s">
        <v>47</v>
      </c>
      <c r="L1140">
        <v>1606</v>
      </c>
      <c r="M1140">
        <v>2</v>
      </c>
      <c r="N1140" t="str" cm="1">
        <f t="array" ref="N1140">_xlfn.IFS(M1140=1,"Low",M1140=2,"Medium",M1140=3,"High",M1140=4,"Very High")</f>
        <v>Medium</v>
      </c>
      <c r="O1140" t="s">
        <v>42</v>
      </c>
      <c r="P1140" s="2">
        <v>41</v>
      </c>
      <c r="Q1140">
        <v>3</v>
      </c>
      <c r="R1140" t="str" cm="1">
        <f t="array" ref="R1140">_xlfn.IFS(Q1140=1,"Low",Q1140=2,"Medium",Q1140=3,"High",Q1140=4,"Very High")</f>
        <v>High</v>
      </c>
      <c r="S1140">
        <v>4</v>
      </c>
      <c r="T1140" t="str" cm="1">
        <f t="array" ref="T1140">_xlfn.IFS(S1140=1,"Entry Level",S1140=2,"Junior",S1140=3,"Mid-Level",S1140=4,"Senior",S1140=5,"Executive")</f>
        <v>Senior</v>
      </c>
      <c r="U1140" t="s">
        <v>50</v>
      </c>
      <c r="V1140">
        <v>3</v>
      </c>
      <c r="W1140" t="str" cm="1">
        <f t="array" ref="W1140">_xlfn.IFS(V1140=1,"Low",V1140=2,"Medium",V1140=3,"High",V1140=4,"Very High")</f>
        <v>High</v>
      </c>
      <c r="X1140" t="s">
        <v>44</v>
      </c>
      <c r="Y1140" s="2">
        <v>11245</v>
      </c>
      <c r="Z1140" s="2">
        <v>20689</v>
      </c>
      <c r="AA1140">
        <v>2</v>
      </c>
      <c r="AB1140" t="s">
        <v>32</v>
      </c>
      <c r="AC1140">
        <v>15</v>
      </c>
      <c r="AD1140">
        <v>3</v>
      </c>
      <c r="AE1140" t="str" cm="1">
        <f t="array" ref="AE1140">_xlfn.IFS(AD1140=1,"Low",AD1140=2,"Good",AD1140=3,"Excellent",AD1140=4,"Outstanding")</f>
        <v>Excellent</v>
      </c>
      <c r="AF1140">
        <v>3</v>
      </c>
      <c r="AG1140" t="str" cm="1">
        <f t="array" ref="AG1140">_xlfn.IFS(AF1140=1,"Low",AF1140=2,"Medium",AF1140=3,"High",AF1140=4,"Very High")</f>
        <v>High</v>
      </c>
      <c r="AH1140">
        <v>1</v>
      </c>
      <c r="AI1140">
        <v>32</v>
      </c>
      <c r="AJ1140">
        <v>3</v>
      </c>
      <c r="AK1140">
        <v>3</v>
      </c>
      <c r="AL1140" t="str" cm="1">
        <f t="array" ref="AL1140">_xlfn.IFS(AK1140=1,"Low",AK1140=2,"Medium",AK1140=3,"High",AK1140=4,"Very High")</f>
        <v>High</v>
      </c>
      <c r="AM1140">
        <v>30</v>
      </c>
      <c r="AN1140">
        <v>8</v>
      </c>
      <c r="AO1140">
        <v>12</v>
      </c>
      <c r="AP1140">
        <v>13</v>
      </c>
    </row>
    <row r="1141" spans="1:42">
      <c r="A1141">
        <v>32</v>
      </c>
      <c r="B1141" t="str" cm="1">
        <f t="array" ref="B1141">_xlfn.IFS(A1141&lt;=25,"18-25",A1141&lt;=35,"26-35",A1141&lt;=45,"36-45",A1141&lt;=55,"46-55",A1141&gt;55,"56+")</f>
        <v>26-35</v>
      </c>
      <c r="C1141" t="s">
        <v>39</v>
      </c>
      <c r="D1141" t="s">
        <v>33</v>
      </c>
      <c r="E1141" s="2">
        <v>634</v>
      </c>
      <c r="F1141" t="s">
        <v>41</v>
      </c>
      <c r="G1141">
        <v>5</v>
      </c>
      <c r="H1141" t="str">
        <f t="shared" si="17"/>
        <v>1-10 km</v>
      </c>
      <c r="I1141">
        <v>4</v>
      </c>
      <c r="J1141" t="str" cm="1">
        <f t="array" ref="J1141">_xlfn.IFS(I1141=1,"Below College",I1141=2,"College",I1141=3,"Bachelor",I1141=4,"Master",I1141=5,"Doctor")</f>
        <v>Master</v>
      </c>
      <c r="K1141" t="s">
        <v>45</v>
      </c>
      <c r="L1141">
        <v>1607</v>
      </c>
      <c r="M1141">
        <v>2</v>
      </c>
      <c r="N1141" t="str" cm="1">
        <f t="array" ref="N1141">_xlfn.IFS(M1141=1,"Low",M1141=2,"Medium",M1141=3,"High",M1141=4,"Very High")</f>
        <v>Medium</v>
      </c>
      <c r="O1141" t="s">
        <v>36</v>
      </c>
      <c r="P1141" s="2">
        <v>35</v>
      </c>
      <c r="Q1141">
        <v>4</v>
      </c>
      <c r="R1141" t="str" cm="1">
        <f t="array" ref="R1141">_xlfn.IFS(Q1141=1,"Low",Q1141=2,"Medium",Q1141=3,"High",Q1141=4,"Very High")</f>
        <v>Very High</v>
      </c>
      <c r="S1141">
        <v>1</v>
      </c>
      <c r="T1141" t="str" cm="1">
        <f t="array" ref="T1141">_xlfn.IFS(S1141=1,"Entry Level",S1141=2,"Junior",S1141=3,"Mid-Level",S1141=4,"Senior",S1141=5,"Executive")</f>
        <v>Entry Level</v>
      </c>
      <c r="U1141" t="s">
        <v>43</v>
      </c>
      <c r="V1141">
        <v>4</v>
      </c>
      <c r="W1141" t="str" cm="1">
        <f t="array" ref="W1141">_xlfn.IFS(V1141=1,"Low",V1141=2,"Medium",V1141=3,"High",V1141=4,"Very High")</f>
        <v>Very High</v>
      </c>
      <c r="X1141" t="s">
        <v>44</v>
      </c>
      <c r="Y1141" s="2">
        <v>3312</v>
      </c>
      <c r="Z1141" s="2">
        <v>18783</v>
      </c>
      <c r="AA1141">
        <v>3</v>
      </c>
      <c r="AB1141" t="s">
        <v>39</v>
      </c>
      <c r="AC1141">
        <v>17</v>
      </c>
      <c r="AD1141">
        <v>3</v>
      </c>
      <c r="AE1141" t="str" cm="1">
        <f t="array" ref="AE1141">_xlfn.IFS(AD1141=1,"Low",AD1141=2,"Good",AD1141=3,"Excellent",AD1141=4,"Outstanding")</f>
        <v>Excellent</v>
      </c>
      <c r="AF1141">
        <v>4</v>
      </c>
      <c r="AG1141" t="str" cm="1">
        <f t="array" ref="AG1141">_xlfn.IFS(AF1141=1,"Low",AF1141=2,"Medium",AF1141=3,"High",AF1141=4,"Very High")</f>
        <v>Very High</v>
      </c>
      <c r="AH1141">
        <v>2</v>
      </c>
      <c r="AI1141">
        <v>6</v>
      </c>
      <c r="AJ1141">
        <v>3</v>
      </c>
      <c r="AK1141">
        <v>3</v>
      </c>
      <c r="AL1141" t="str" cm="1">
        <f t="array" ref="AL1141">_xlfn.IFS(AK1141=1,"Low",AK1141=2,"Medium",AK1141=3,"High",AK1141=4,"Very High")</f>
        <v>High</v>
      </c>
      <c r="AM1141">
        <v>3</v>
      </c>
      <c r="AN1141">
        <v>2</v>
      </c>
      <c r="AO1141">
        <v>0</v>
      </c>
      <c r="AP1141">
        <v>2</v>
      </c>
    </row>
    <row r="1142" spans="1:42">
      <c r="A1142">
        <v>44</v>
      </c>
      <c r="B1142" t="str" cm="1">
        <f t="array" ref="B1142">_xlfn.IFS(A1142&lt;=25,"18-25",A1142&lt;=35,"26-35",A1142&lt;=45,"36-45",A1142&lt;=55,"46-55",A1142&gt;55,"56+")</f>
        <v>36-45</v>
      </c>
      <c r="C1142" t="s">
        <v>39</v>
      </c>
      <c r="D1142" t="s">
        <v>33</v>
      </c>
      <c r="E1142" s="2">
        <v>1313</v>
      </c>
      <c r="F1142" t="s">
        <v>41</v>
      </c>
      <c r="G1142">
        <v>7</v>
      </c>
      <c r="H1142" t="str">
        <f t="shared" si="17"/>
        <v>1-10 km</v>
      </c>
      <c r="I1142">
        <v>3</v>
      </c>
      <c r="J1142" t="str" cm="1">
        <f t="array" ref="J1142">_xlfn.IFS(I1142=1,"Below College",I1142=2,"College",I1142=3,"Bachelor",I1142=4,"Master",I1142=5,"Doctor")</f>
        <v>Bachelor</v>
      </c>
      <c r="K1142" t="s">
        <v>47</v>
      </c>
      <c r="L1142">
        <v>1608</v>
      </c>
      <c r="M1142">
        <v>2</v>
      </c>
      <c r="N1142" t="str" cm="1">
        <f t="array" ref="N1142">_xlfn.IFS(M1142=1,"Low",M1142=2,"Medium",M1142=3,"High",M1142=4,"Very High")</f>
        <v>Medium</v>
      </c>
      <c r="O1142" t="s">
        <v>36</v>
      </c>
      <c r="P1142" s="2">
        <v>31</v>
      </c>
      <c r="Q1142">
        <v>3</v>
      </c>
      <c r="R1142" t="str" cm="1">
        <f t="array" ref="R1142">_xlfn.IFS(Q1142=1,"Low",Q1142=2,"Medium",Q1142=3,"High",Q1142=4,"Very High")</f>
        <v>High</v>
      </c>
      <c r="S1142">
        <v>5</v>
      </c>
      <c r="T1142" t="str" cm="1">
        <f t="array" ref="T1142">_xlfn.IFS(S1142=1,"Entry Level",S1142=2,"Junior",S1142=3,"Mid-Level",S1142=4,"Senior",S1142=5,"Executive")</f>
        <v>Executive</v>
      </c>
      <c r="U1142" t="s">
        <v>54</v>
      </c>
      <c r="V1142">
        <v>4</v>
      </c>
      <c r="W1142" t="str" cm="1">
        <f t="array" ref="W1142">_xlfn.IFS(V1142=1,"Low",V1142=2,"Medium",V1142=3,"High",V1142=4,"Very High")</f>
        <v>Very High</v>
      </c>
      <c r="X1142" t="s">
        <v>48</v>
      </c>
      <c r="Y1142" s="2">
        <v>19049</v>
      </c>
      <c r="Z1142" s="2">
        <v>3549</v>
      </c>
      <c r="AA1142">
        <v>0</v>
      </c>
      <c r="AB1142" t="s">
        <v>32</v>
      </c>
      <c r="AC1142">
        <v>14</v>
      </c>
      <c r="AD1142">
        <v>3</v>
      </c>
      <c r="AE1142" t="str" cm="1">
        <f t="array" ref="AE1142">_xlfn.IFS(AD1142=1,"Low",AD1142=2,"Good",AD1142=3,"Excellent",AD1142=4,"Outstanding")</f>
        <v>Excellent</v>
      </c>
      <c r="AF1142">
        <v>4</v>
      </c>
      <c r="AG1142" t="str" cm="1">
        <f t="array" ref="AG1142">_xlfn.IFS(AF1142=1,"Low",AF1142=2,"Medium",AF1142=3,"High",AF1142=4,"Very High")</f>
        <v>Very High</v>
      </c>
      <c r="AH1142">
        <v>1</v>
      </c>
      <c r="AI1142">
        <v>23</v>
      </c>
      <c r="AJ1142">
        <v>4</v>
      </c>
      <c r="AK1142">
        <v>2</v>
      </c>
      <c r="AL1142" t="str" cm="1">
        <f t="array" ref="AL1142">_xlfn.IFS(AK1142=1,"Low",AK1142=2,"Medium",AK1142=3,"High",AK1142=4,"Very High")</f>
        <v>Medium</v>
      </c>
      <c r="AM1142">
        <v>22</v>
      </c>
      <c r="AN1142">
        <v>7</v>
      </c>
      <c r="AO1142">
        <v>1</v>
      </c>
      <c r="AP1142">
        <v>10</v>
      </c>
    </row>
    <row r="1143" spans="1:42">
      <c r="A1143">
        <v>30</v>
      </c>
      <c r="B1143" t="str" cm="1">
        <f t="array" ref="B1143">_xlfn.IFS(A1143&lt;=25,"18-25",A1143&lt;=35,"26-35",A1143&lt;=45,"36-45",A1143&lt;=55,"46-55",A1143&gt;55,"56+")</f>
        <v>26-35</v>
      </c>
      <c r="C1143" t="s">
        <v>39</v>
      </c>
      <c r="D1143" t="s">
        <v>33</v>
      </c>
      <c r="E1143" s="2">
        <v>241</v>
      </c>
      <c r="F1143" t="s">
        <v>41</v>
      </c>
      <c r="G1143">
        <v>7</v>
      </c>
      <c r="H1143" t="str">
        <f t="shared" si="17"/>
        <v>1-10 km</v>
      </c>
      <c r="I1143">
        <v>3</v>
      </c>
      <c r="J1143" t="str" cm="1">
        <f t="array" ref="J1143">_xlfn.IFS(I1143=1,"Below College",I1143=2,"College",I1143=3,"Bachelor",I1143=4,"Master",I1143=5,"Doctor")</f>
        <v>Bachelor</v>
      </c>
      <c r="K1143" t="s">
        <v>47</v>
      </c>
      <c r="L1143">
        <v>1609</v>
      </c>
      <c r="M1143">
        <v>2</v>
      </c>
      <c r="N1143" t="str" cm="1">
        <f t="array" ref="N1143">_xlfn.IFS(M1143=1,"Low",M1143=2,"Medium",M1143=3,"High",M1143=4,"Very High")</f>
        <v>Medium</v>
      </c>
      <c r="O1143" t="s">
        <v>42</v>
      </c>
      <c r="P1143" s="2">
        <v>48</v>
      </c>
      <c r="Q1143">
        <v>2</v>
      </c>
      <c r="R1143" t="str" cm="1">
        <f t="array" ref="R1143">_xlfn.IFS(Q1143=1,"Low",Q1143=2,"Medium",Q1143=3,"High",Q1143=4,"Very High")</f>
        <v>Medium</v>
      </c>
      <c r="S1143">
        <v>1</v>
      </c>
      <c r="T1143" t="str" cm="1">
        <f t="array" ref="T1143">_xlfn.IFS(S1143=1,"Entry Level",S1143=2,"Junior",S1143=3,"Mid-Level",S1143=4,"Senior",S1143=5,"Executive")</f>
        <v>Entry Level</v>
      </c>
      <c r="U1143" t="s">
        <v>43</v>
      </c>
      <c r="V1143">
        <v>2</v>
      </c>
      <c r="W1143" t="str" cm="1">
        <f t="array" ref="W1143">_xlfn.IFS(V1143=1,"Low",V1143=2,"Medium",V1143=3,"High",V1143=4,"Very High")</f>
        <v>Medium</v>
      </c>
      <c r="X1143" t="s">
        <v>44</v>
      </c>
      <c r="Y1143" s="2">
        <v>2141</v>
      </c>
      <c r="Z1143" s="2">
        <v>5348</v>
      </c>
      <c r="AA1143">
        <v>1</v>
      </c>
      <c r="AB1143" t="s">
        <v>39</v>
      </c>
      <c r="AC1143">
        <v>12</v>
      </c>
      <c r="AD1143">
        <v>3</v>
      </c>
      <c r="AE1143" t="str" cm="1">
        <f t="array" ref="AE1143">_xlfn.IFS(AD1143=1,"Low",AD1143=2,"Good",AD1143=3,"Excellent",AD1143=4,"Outstanding")</f>
        <v>Excellent</v>
      </c>
      <c r="AF1143">
        <v>2</v>
      </c>
      <c r="AG1143" t="str" cm="1">
        <f t="array" ref="AG1143">_xlfn.IFS(AF1143=1,"Low",AF1143=2,"Medium",AF1143=3,"High",AF1143=4,"Very High")</f>
        <v>Medium</v>
      </c>
      <c r="AH1143">
        <v>1</v>
      </c>
      <c r="AI1143">
        <v>6</v>
      </c>
      <c r="AJ1143">
        <v>3</v>
      </c>
      <c r="AK1143">
        <v>2</v>
      </c>
      <c r="AL1143" t="str" cm="1">
        <f t="array" ref="AL1143">_xlfn.IFS(AK1143=1,"Low",AK1143=2,"Medium",AK1143=3,"High",AK1143=4,"Very High")</f>
        <v>Medium</v>
      </c>
      <c r="AM1143">
        <v>6</v>
      </c>
      <c r="AN1143">
        <v>4</v>
      </c>
      <c r="AO1143">
        <v>1</v>
      </c>
      <c r="AP1143">
        <v>1</v>
      </c>
    </row>
    <row r="1144" spans="1:42">
      <c r="A1144">
        <v>45</v>
      </c>
      <c r="B1144" t="str" cm="1">
        <f t="array" ref="B1144">_xlfn.IFS(A1144&lt;=25,"18-25",A1144&lt;=35,"26-35",A1144&lt;=45,"36-45",A1144&lt;=55,"46-55",A1144&gt;55,"56+")</f>
        <v>36-45</v>
      </c>
      <c r="C1144" t="s">
        <v>39</v>
      </c>
      <c r="D1144" t="s">
        <v>33</v>
      </c>
      <c r="E1144" s="2">
        <v>1015</v>
      </c>
      <c r="F1144" t="s">
        <v>41</v>
      </c>
      <c r="G1144">
        <v>5</v>
      </c>
      <c r="H1144" t="str">
        <f t="shared" si="17"/>
        <v>1-10 km</v>
      </c>
      <c r="I1144">
        <v>5</v>
      </c>
      <c r="J1144" t="str" cm="1">
        <f t="array" ref="J1144">_xlfn.IFS(I1144=1,"Below College",I1144=2,"College",I1144=3,"Bachelor",I1144=4,"Master",I1144=5,"Doctor")</f>
        <v>Doctor</v>
      </c>
      <c r="K1144" t="s">
        <v>47</v>
      </c>
      <c r="L1144">
        <v>1611</v>
      </c>
      <c r="M1144">
        <v>3</v>
      </c>
      <c r="N1144" t="str" cm="1">
        <f t="array" ref="N1144">_xlfn.IFS(M1144=1,"Low",M1144=2,"Medium",M1144=3,"High",M1144=4,"Very High")</f>
        <v>High</v>
      </c>
      <c r="O1144" t="s">
        <v>36</v>
      </c>
      <c r="P1144" s="2">
        <v>50</v>
      </c>
      <c r="Q1144">
        <v>1</v>
      </c>
      <c r="R1144" t="str" cm="1">
        <f t="array" ref="R1144">_xlfn.IFS(Q1144=1,"Low",Q1144=2,"Medium",Q1144=3,"High",Q1144=4,"Very High")</f>
        <v>Low</v>
      </c>
      <c r="S1144">
        <v>2</v>
      </c>
      <c r="T1144" t="str" cm="1">
        <f t="array" ref="T1144">_xlfn.IFS(S1144=1,"Entry Level",S1144=2,"Junior",S1144=3,"Mid-Level",S1144=4,"Senior",S1144=5,"Executive")</f>
        <v>Junior</v>
      </c>
      <c r="U1144" t="s">
        <v>46</v>
      </c>
      <c r="V1144">
        <v>1</v>
      </c>
      <c r="W1144" t="str" cm="1">
        <f t="array" ref="W1144">_xlfn.IFS(V1144=1,"Low",V1144=2,"Medium",V1144=3,"High",V1144=4,"Very High")</f>
        <v>Low</v>
      </c>
      <c r="X1144" t="s">
        <v>38</v>
      </c>
      <c r="Y1144" s="2">
        <v>5769</v>
      </c>
      <c r="Z1144" s="2">
        <v>23447</v>
      </c>
      <c r="AA1144">
        <v>1</v>
      </c>
      <c r="AB1144" t="s">
        <v>32</v>
      </c>
      <c r="AC1144">
        <v>14</v>
      </c>
      <c r="AD1144">
        <v>3</v>
      </c>
      <c r="AE1144" t="str" cm="1">
        <f t="array" ref="AE1144">_xlfn.IFS(AD1144=1,"Low",AD1144=2,"Good",AD1144=3,"Excellent",AD1144=4,"Outstanding")</f>
        <v>Excellent</v>
      </c>
      <c r="AF1144">
        <v>1</v>
      </c>
      <c r="AG1144" t="str" cm="1">
        <f t="array" ref="AG1144">_xlfn.IFS(AF1144=1,"Low",AF1144=2,"Medium",AF1144=3,"High",AF1144=4,"Very High")</f>
        <v>Low</v>
      </c>
      <c r="AH1144">
        <v>0</v>
      </c>
      <c r="AI1144">
        <v>10</v>
      </c>
      <c r="AJ1144">
        <v>3</v>
      </c>
      <c r="AK1144">
        <v>3</v>
      </c>
      <c r="AL1144" t="str" cm="1">
        <f t="array" ref="AL1144">_xlfn.IFS(AK1144=1,"Low",AK1144=2,"Medium",AK1144=3,"High",AK1144=4,"Very High")</f>
        <v>High</v>
      </c>
      <c r="AM1144">
        <v>10</v>
      </c>
      <c r="AN1144">
        <v>7</v>
      </c>
      <c r="AO1144">
        <v>1</v>
      </c>
      <c r="AP1144">
        <v>4</v>
      </c>
    </row>
    <row r="1145" spans="1:42">
      <c r="A1145">
        <v>45</v>
      </c>
      <c r="B1145" t="str" cm="1">
        <f t="array" ref="B1145">_xlfn.IFS(A1145&lt;=25,"18-25",A1145&lt;=35,"26-35",A1145&lt;=45,"36-45",A1145&lt;=55,"46-55",A1145&gt;55,"56+")</f>
        <v>36-45</v>
      </c>
      <c r="C1145" t="s">
        <v>39</v>
      </c>
      <c r="D1145" t="s">
        <v>51</v>
      </c>
      <c r="E1145" s="2">
        <v>336</v>
      </c>
      <c r="F1145" t="s">
        <v>34</v>
      </c>
      <c r="G1145">
        <v>26</v>
      </c>
      <c r="H1145" t="str">
        <f t="shared" si="17"/>
        <v>21-30 km</v>
      </c>
      <c r="I1145">
        <v>3</v>
      </c>
      <c r="J1145" t="str" cm="1">
        <f t="array" ref="J1145">_xlfn.IFS(I1145=1,"Below College",I1145=2,"College",I1145=3,"Bachelor",I1145=4,"Master",I1145=5,"Doctor")</f>
        <v>Bachelor</v>
      </c>
      <c r="K1145" t="s">
        <v>55</v>
      </c>
      <c r="L1145">
        <v>1612</v>
      </c>
      <c r="M1145">
        <v>1</v>
      </c>
      <c r="N1145" t="str" cm="1">
        <f t="array" ref="N1145">_xlfn.IFS(M1145=1,"Low",M1145=2,"Medium",M1145=3,"High",M1145=4,"Very High")</f>
        <v>Low</v>
      </c>
      <c r="O1145" t="s">
        <v>42</v>
      </c>
      <c r="P1145" s="2">
        <v>52</v>
      </c>
      <c r="Q1145">
        <v>2</v>
      </c>
      <c r="R1145" t="str" cm="1">
        <f t="array" ref="R1145">_xlfn.IFS(Q1145=1,"Low",Q1145=2,"Medium",Q1145=3,"High",Q1145=4,"Very High")</f>
        <v>Medium</v>
      </c>
      <c r="S1145">
        <v>2</v>
      </c>
      <c r="T1145" t="str" cm="1">
        <f t="array" ref="T1145">_xlfn.IFS(S1145=1,"Entry Level",S1145=2,"Junior",S1145=3,"Mid-Level",S1145=4,"Senior",S1145=5,"Executive")</f>
        <v>Junior</v>
      </c>
      <c r="U1145" t="s">
        <v>37</v>
      </c>
      <c r="V1145">
        <v>1</v>
      </c>
      <c r="W1145" t="str" cm="1">
        <f t="array" ref="W1145">_xlfn.IFS(V1145=1,"Low",V1145=2,"Medium",V1145=3,"High",V1145=4,"Very High")</f>
        <v>Low</v>
      </c>
      <c r="X1145" t="s">
        <v>44</v>
      </c>
      <c r="Y1145" s="2">
        <v>4385</v>
      </c>
      <c r="Z1145" s="2">
        <v>24162</v>
      </c>
      <c r="AA1145">
        <v>1</v>
      </c>
      <c r="AB1145" t="s">
        <v>39</v>
      </c>
      <c r="AC1145">
        <v>15</v>
      </c>
      <c r="AD1145">
        <v>3</v>
      </c>
      <c r="AE1145" t="str" cm="1">
        <f t="array" ref="AE1145">_xlfn.IFS(AD1145=1,"Low",AD1145=2,"Good",AD1145=3,"Excellent",AD1145=4,"Outstanding")</f>
        <v>Excellent</v>
      </c>
      <c r="AF1145">
        <v>1</v>
      </c>
      <c r="AG1145" t="str" cm="1">
        <f t="array" ref="AG1145">_xlfn.IFS(AF1145=1,"Low",AF1145=2,"Medium",AF1145=3,"High",AF1145=4,"Very High")</f>
        <v>Low</v>
      </c>
      <c r="AH1145">
        <v>1</v>
      </c>
      <c r="AI1145">
        <v>10</v>
      </c>
      <c r="AJ1145">
        <v>2</v>
      </c>
      <c r="AK1145">
        <v>3</v>
      </c>
      <c r="AL1145" t="str" cm="1">
        <f t="array" ref="AL1145">_xlfn.IFS(AK1145=1,"Low",AK1145=2,"Medium",AK1145=3,"High",AK1145=4,"Very High")</f>
        <v>High</v>
      </c>
      <c r="AM1145">
        <v>10</v>
      </c>
      <c r="AN1145">
        <v>7</v>
      </c>
      <c r="AO1145">
        <v>4</v>
      </c>
      <c r="AP1145">
        <v>5</v>
      </c>
    </row>
    <row r="1146" spans="1:42">
      <c r="A1146">
        <v>31</v>
      </c>
      <c r="B1146" t="str" cm="1">
        <f t="array" ref="B1146">_xlfn.IFS(A1146&lt;=25,"18-25",A1146&lt;=35,"26-35",A1146&lt;=45,"36-45",A1146&lt;=55,"46-55",A1146&gt;55,"56+")</f>
        <v>26-35</v>
      </c>
      <c r="C1146" t="s">
        <v>39</v>
      </c>
      <c r="D1146" t="s">
        <v>40</v>
      </c>
      <c r="E1146" s="2">
        <v>715</v>
      </c>
      <c r="F1146" t="s">
        <v>34</v>
      </c>
      <c r="G1146">
        <v>2</v>
      </c>
      <c r="H1146" t="str">
        <f t="shared" si="17"/>
        <v>1-10 km</v>
      </c>
      <c r="I1146">
        <v>4</v>
      </c>
      <c r="J1146" t="str" cm="1">
        <f t="array" ref="J1146">_xlfn.IFS(I1146=1,"Below College",I1146=2,"College",I1146=3,"Bachelor",I1146=4,"Master",I1146=5,"Doctor")</f>
        <v>Master</v>
      </c>
      <c r="K1146" t="s">
        <v>45</v>
      </c>
      <c r="L1146">
        <v>1613</v>
      </c>
      <c r="M1146">
        <v>4</v>
      </c>
      <c r="N1146" t="str" cm="1">
        <f t="array" ref="N1146">_xlfn.IFS(M1146=1,"Low",M1146=2,"Medium",M1146=3,"High",M1146=4,"Very High")</f>
        <v>Very High</v>
      </c>
      <c r="O1146" t="s">
        <v>42</v>
      </c>
      <c r="P1146" s="2">
        <v>54</v>
      </c>
      <c r="Q1146">
        <v>3</v>
      </c>
      <c r="R1146" t="str" cm="1">
        <f t="array" ref="R1146">_xlfn.IFS(Q1146=1,"Low",Q1146=2,"Medium",Q1146=3,"High",Q1146=4,"Very High")</f>
        <v>High</v>
      </c>
      <c r="S1146">
        <v>2</v>
      </c>
      <c r="T1146" t="str" cm="1">
        <f t="array" ref="T1146">_xlfn.IFS(S1146=1,"Entry Level",S1146=2,"Junior",S1146=3,"Mid-Level",S1146=4,"Senior",S1146=5,"Executive")</f>
        <v>Junior</v>
      </c>
      <c r="U1146" t="s">
        <v>37</v>
      </c>
      <c r="V1146">
        <v>1</v>
      </c>
      <c r="W1146" t="str" cm="1">
        <f t="array" ref="W1146">_xlfn.IFS(V1146=1,"Low",V1146=2,"Medium",V1146=3,"High",V1146=4,"Very High")</f>
        <v>Low</v>
      </c>
      <c r="X1146" t="s">
        <v>38</v>
      </c>
      <c r="Y1146" s="2">
        <v>5332</v>
      </c>
      <c r="Z1146" s="2">
        <v>21602</v>
      </c>
      <c r="AA1146">
        <v>7</v>
      </c>
      <c r="AB1146" t="s">
        <v>39</v>
      </c>
      <c r="AC1146">
        <v>13</v>
      </c>
      <c r="AD1146">
        <v>3</v>
      </c>
      <c r="AE1146" t="str" cm="1">
        <f t="array" ref="AE1146">_xlfn.IFS(AD1146=1,"Low",AD1146=2,"Good",AD1146=3,"Excellent",AD1146=4,"Outstanding")</f>
        <v>Excellent</v>
      </c>
      <c r="AF1146">
        <v>4</v>
      </c>
      <c r="AG1146" t="str" cm="1">
        <f t="array" ref="AG1146">_xlfn.IFS(AF1146=1,"Low",AF1146=2,"Medium",AF1146=3,"High",AF1146=4,"Very High")</f>
        <v>Very High</v>
      </c>
      <c r="AH1146">
        <v>0</v>
      </c>
      <c r="AI1146">
        <v>10</v>
      </c>
      <c r="AJ1146">
        <v>3</v>
      </c>
      <c r="AK1146">
        <v>3</v>
      </c>
      <c r="AL1146" t="str" cm="1">
        <f t="array" ref="AL1146">_xlfn.IFS(AK1146=1,"Low",AK1146=2,"Medium",AK1146=3,"High",AK1146=4,"Very High")</f>
        <v>High</v>
      </c>
      <c r="AM1146">
        <v>5</v>
      </c>
      <c r="AN1146">
        <v>2</v>
      </c>
      <c r="AO1146">
        <v>0</v>
      </c>
      <c r="AP1146">
        <v>3</v>
      </c>
    </row>
    <row r="1147" spans="1:42">
      <c r="A1147">
        <v>36</v>
      </c>
      <c r="B1147" t="str" cm="1">
        <f t="array" ref="B1147">_xlfn.IFS(A1147&lt;=25,"18-25",A1147&lt;=35,"26-35",A1147&lt;=45,"36-45",A1147&lt;=55,"46-55",A1147&gt;55,"56+")</f>
        <v>36-45</v>
      </c>
      <c r="C1147" t="s">
        <v>39</v>
      </c>
      <c r="D1147" t="s">
        <v>33</v>
      </c>
      <c r="E1147" s="2">
        <v>559</v>
      </c>
      <c r="F1147" t="s">
        <v>41</v>
      </c>
      <c r="G1147">
        <v>12</v>
      </c>
      <c r="H1147" t="str">
        <f t="shared" si="17"/>
        <v>11-20 km</v>
      </c>
      <c r="I1147">
        <v>4</v>
      </c>
      <c r="J1147" t="str" cm="1">
        <f t="array" ref="J1147">_xlfn.IFS(I1147=1,"Below College",I1147=2,"College",I1147=3,"Bachelor",I1147=4,"Master",I1147=5,"Doctor")</f>
        <v>Master</v>
      </c>
      <c r="K1147" t="s">
        <v>35</v>
      </c>
      <c r="L1147">
        <v>1614</v>
      </c>
      <c r="M1147">
        <v>3</v>
      </c>
      <c r="N1147" t="str" cm="1">
        <f t="array" ref="N1147">_xlfn.IFS(M1147=1,"Low",M1147=2,"Medium",M1147=3,"High",M1147=4,"Very High")</f>
        <v>High</v>
      </c>
      <c r="O1147" t="s">
        <v>36</v>
      </c>
      <c r="P1147" s="2">
        <v>76</v>
      </c>
      <c r="Q1147">
        <v>3</v>
      </c>
      <c r="R1147" t="str" cm="1">
        <f t="array" ref="R1147">_xlfn.IFS(Q1147=1,"Low",Q1147=2,"Medium",Q1147=3,"High",Q1147=4,"Very High")</f>
        <v>High</v>
      </c>
      <c r="S1147">
        <v>2</v>
      </c>
      <c r="T1147" t="str" cm="1">
        <f t="array" ref="T1147">_xlfn.IFS(S1147=1,"Entry Level",S1147=2,"Junior",S1147=3,"Mid-Level",S1147=4,"Senior",S1147=5,"Executive")</f>
        <v>Junior</v>
      </c>
      <c r="U1147" t="s">
        <v>49</v>
      </c>
      <c r="V1147">
        <v>3</v>
      </c>
      <c r="W1147" t="str" cm="1">
        <f t="array" ref="W1147">_xlfn.IFS(V1147=1,"Low",V1147=2,"Medium",V1147=3,"High",V1147=4,"Very High")</f>
        <v>High</v>
      </c>
      <c r="X1147" t="s">
        <v>44</v>
      </c>
      <c r="Y1147" s="2">
        <v>4663</v>
      </c>
      <c r="Z1147" s="2">
        <v>12421</v>
      </c>
      <c r="AA1147">
        <v>9</v>
      </c>
      <c r="AB1147" t="s">
        <v>32</v>
      </c>
      <c r="AC1147">
        <v>12</v>
      </c>
      <c r="AD1147">
        <v>3</v>
      </c>
      <c r="AE1147" t="str" cm="1">
        <f t="array" ref="AE1147">_xlfn.IFS(AD1147=1,"Low",AD1147=2,"Good",AD1147=3,"Excellent",AD1147=4,"Outstanding")</f>
        <v>Excellent</v>
      </c>
      <c r="AF1147">
        <v>2</v>
      </c>
      <c r="AG1147" t="str" cm="1">
        <f t="array" ref="AG1147">_xlfn.IFS(AF1147=1,"Low",AF1147=2,"Medium",AF1147=3,"High",AF1147=4,"Very High")</f>
        <v>Medium</v>
      </c>
      <c r="AH1147">
        <v>2</v>
      </c>
      <c r="AI1147">
        <v>7</v>
      </c>
      <c r="AJ1147">
        <v>2</v>
      </c>
      <c r="AK1147">
        <v>3</v>
      </c>
      <c r="AL1147" t="str" cm="1">
        <f t="array" ref="AL1147">_xlfn.IFS(AK1147=1,"Low",AK1147=2,"Medium",AK1147=3,"High",AK1147=4,"Very High")</f>
        <v>High</v>
      </c>
      <c r="AM1147">
        <v>3</v>
      </c>
      <c r="AN1147">
        <v>2</v>
      </c>
      <c r="AO1147">
        <v>1</v>
      </c>
      <c r="AP1147">
        <v>1</v>
      </c>
    </row>
    <row r="1148" spans="1:42">
      <c r="A1148">
        <v>34</v>
      </c>
      <c r="B1148" t="str" cm="1">
        <f t="array" ref="B1148">_xlfn.IFS(A1148&lt;=25,"18-25",A1148&lt;=35,"26-35",A1148&lt;=45,"36-45",A1148&lt;=55,"46-55",A1148&gt;55,"56+")</f>
        <v>26-35</v>
      </c>
      <c r="C1148" t="s">
        <v>39</v>
      </c>
      <c r="D1148" t="s">
        <v>40</v>
      </c>
      <c r="E1148" s="2">
        <v>426</v>
      </c>
      <c r="F1148" t="s">
        <v>41</v>
      </c>
      <c r="G1148">
        <v>10</v>
      </c>
      <c r="H1148" t="str">
        <f t="shared" si="17"/>
        <v>1-10 km</v>
      </c>
      <c r="I1148">
        <v>4</v>
      </c>
      <c r="J1148" t="str" cm="1">
        <f t="array" ref="J1148">_xlfn.IFS(I1148=1,"Below College",I1148=2,"College",I1148=3,"Bachelor",I1148=4,"Master",I1148=5,"Doctor")</f>
        <v>Master</v>
      </c>
      <c r="K1148" t="s">
        <v>35</v>
      </c>
      <c r="L1148">
        <v>1615</v>
      </c>
      <c r="M1148">
        <v>3</v>
      </c>
      <c r="N1148" t="str" cm="1">
        <f t="array" ref="N1148">_xlfn.IFS(M1148=1,"Low",M1148=2,"Medium",M1148=3,"High",M1148=4,"Very High")</f>
        <v>High</v>
      </c>
      <c r="O1148" t="s">
        <v>42</v>
      </c>
      <c r="P1148" s="2">
        <v>42</v>
      </c>
      <c r="Q1148">
        <v>4</v>
      </c>
      <c r="R1148" t="str" cm="1">
        <f t="array" ref="R1148">_xlfn.IFS(Q1148=1,"Low",Q1148=2,"Medium",Q1148=3,"High",Q1148=4,"Very High")</f>
        <v>Very High</v>
      </c>
      <c r="S1148">
        <v>2</v>
      </c>
      <c r="T1148" t="str" cm="1">
        <f t="array" ref="T1148">_xlfn.IFS(S1148=1,"Entry Level",S1148=2,"Junior",S1148=3,"Mid-Level",S1148=4,"Senior",S1148=5,"Executive")</f>
        <v>Junior</v>
      </c>
      <c r="U1148" t="s">
        <v>49</v>
      </c>
      <c r="V1148">
        <v>4</v>
      </c>
      <c r="W1148" t="str" cm="1">
        <f t="array" ref="W1148">_xlfn.IFS(V1148=1,"Low",V1148=2,"Medium",V1148=3,"High",V1148=4,"Very High")</f>
        <v>Very High</v>
      </c>
      <c r="X1148" t="s">
        <v>48</v>
      </c>
      <c r="Y1148" s="2">
        <v>4724</v>
      </c>
      <c r="Z1148" s="2">
        <v>17000</v>
      </c>
      <c r="AA1148">
        <v>1</v>
      </c>
      <c r="AB1148" t="s">
        <v>39</v>
      </c>
      <c r="AC1148">
        <v>13</v>
      </c>
      <c r="AD1148">
        <v>3</v>
      </c>
      <c r="AE1148" t="str" cm="1">
        <f t="array" ref="AE1148">_xlfn.IFS(AD1148=1,"Low",AD1148=2,"Good",AD1148=3,"Excellent",AD1148=4,"Outstanding")</f>
        <v>Excellent</v>
      </c>
      <c r="AF1148">
        <v>1</v>
      </c>
      <c r="AG1148" t="str" cm="1">
        <f t="array" ref="AG1148">_xlfn.IFS(AF1148=1,"Low",AF1148=2,"Medium",AF1148=3,"High",AF1148=4,"Very High")</f>
        <v>Low</v>
      </c>
      <c r="AH1148">
        <v>1</v>
      </c>
      <c r="AI1148">
        <v>9</v>
      </c>
      <c r="AJ1148">
        <v>3</v>
      </c>
      <c r="AK1148">
        <v>3</v>
      </c>
      <c r="AL1148" t="str" cm="1">
        <f t="array" ref="AL1148">_xlfn.IFS(AK1148=1,"Low",AK1148=2,"Medium",AK1148=3,"High",AK1148=4,"Very High")</f>
        <v>High</v>
      </c>
      <c r="AM1148">
        <v>9</v>
      </c>
      <c r="AN1148">
        <v>7</v>
      </c>
      <c r="AO1148">
        <v>7</v>
      </c>
      <c r="AP1148">
        <v>2</v>
      </c>
    </row>
    <row r="1149" spans="1:42">
      <c r="A1149">
        <v>49</v>
      </c>
      <c r="B1149" t="str" cm="1">
        <f t="array" ref="B1149">_xlfn.IFS(A1149&lt;=25,"18-25",A1149&lt;=35,"26-35",A1149&lt;=45,"36-45",A1149&lt;=55,"46-55",A1149&gt;55,"56+")</f>
        <v>46-55</v>
      </c>
      <c r="C1149" t="s">
        <v>39</v>
      </c>
      <c r="D1149" t="s">
        <v>33</v>
      </c>
      <c r="E1149" s="2">
        <v>722</v>
      </c>
      <c r="F1149" t="s">
        <v>41</v>
      </c>
      <c r="G1149">
        <v>25</v>
      </c>
      <c r="H1149" t="str">
        <f t="shared" si="17"/>
        <v>21-30 km</v>
      </c>
      <c r="I1149">
        <v>4</v>
      </c>
      <c r="J1149" t="str" cm="1">
        <f t="array" ref="J1149">_xlfn.IFS(I1149=1,"Below College",I1149=2,"College",I1149=3,"Bachelor",I1149=4,"Master",I1149=5,"Doctor")</f>
        <v>Master</v>
      </c>
      <c r="K1149" t="s">
        <v>35</v>
      </c>
      <c r="L1149">
        <v>1617</v>
      </c>
      <c r="M1149">
        <v>3</v>
      </c>
      <c r="N1149" t="str" cm="1">
        <f t="array" ref="N1149">_xlfn.IFS(M1149=1,"Low",M1149=2,"Medium",M1149=3,"High",M1149=4,"Very High")</f>
        <v>High</v>
      </c>
      <c r="O1149" t="s">
        <v>36</v>
      </c>
      <c r="P1149" s="2">
        <v>84</v>
      </c>
      <c r="Q1149">
        <v>3</v>
      </c>
      <c r="R1149" t="str" cm="1">
        <f t="array" ref="R1149">_xlfn.IFS(Q1149=1,"Low",Q1149=2,"Medium",Q1149=3,"High",Q1149=4,"Very High")</f>
        <v>High</v>
      </c>
      <c r="S1149">
        <v>1</v>
      </c>
      <c r="T1149" t="str" cm="1">
        <f t="array" ref="T1149">_xlfn.IFS(S1149=1,"Entry Level",S1149=2,"Junior",S1149=3,"Mid-Level",S1149=4,"Senior",S1149=5,"Executive")</f>
        <v>Entry Level</v>
      </c>
      <c r="U1149" t="s">
        <v>46</v>
      </c>
      <c r="V1149">
        <v>1</v>
      </c>
      <c r="W1149" t="str" cm="1">
        <f t="array" ref="W1149">_xlfn.IFS(V1149=1,"Low",V1149=2,"Medium",V1149=3,"High",V1149=4,"Very High")</f>
        <v>Low</v>
      </c>
      <c r="X1149" t="s">
        <v>44</v>
      </c>
      <c r="Y1149" s="2">
        <v>3211</v>
      </c>
      <c r="Z1149" s="2">
        <v>22102</v>
      </c>
      <c r="AA1149">
        <v>1</v>
      </c>
      <c r="AB1149" t="s">
        <v>39</v>
      </c>
      <c r="AC1149">
        <v>14</v>
      </c>
      <c r="AD1149">
        <v>3</v>
      </c>
      <c r="AE1149" t="str" cm="1">
        <f t="array" ref="AE1149">_xlfn.IFS(AD1149=1,"Low",AD1149=2,"Good",AD1149=3,"Excellent",AD1149=4,"Outstanding")</f>
        <v>Excellent</v>
      </c>
      <c r="AF1149">
        <v>4</v>
      </c>
      <c r="AG1149" t="str" cm="1">
        <f t="array" ref="AG1149">_xlfn.IFS(AF1149=1,"Low",AF1149=2,"Medium",AF1149=3,"High",AF1149=4,"Very High")</f>
        <v>Very High</v>
      </c>
      <c r="AH1149">
        <v>1</v>
      </c>
      <c r="AI1149">
        <v>10</v>
      </c>
      <c r="AJ1149">
        <v>3</v>
      </c>
      <c r="AK1149">
        <v>2</v>
      </c>
      <c r="AL1149" t="str" cm="1">
        <f t="array" ref="AL1149">_xlfn.IFS(AK1149=1,"Low",AK1149=2,"Medium",AK1149=3,"High",AK1149=4,"Very High")</f>
        <v>Medium</v>
      </c>
      <c r="AM1149">
        <v>9</v>
      </c>
      <c r="AN1149">
        <v>6</v>
      </c>
      <c r="AO1149">
        <v>1</v>
      </c>
      <c r="AP1149">
        <v>4</v>
      </c>
    </row>
    <row r="1150" spans="1:42">
      <c r="A1150">
        <v>39</v>
      </c>
      <c r="B1150" t="str" cm="1">
        <f t="array" ref="B1150">_xlfn.IFS(A1150&lt;=25,"18-25",A1150&lt;=35,"26-35",A1150&lt;=45,"36-45",A1150&lt;=55,"46-55",A1150&gt;55,"56+")</f>
        <v>36-45</v>
      </c>
      <c r="C1150" t="s">
        <v>39</v>
      </c>
      <c r="D1150" t="s">
        <v>33</v>
      </c>
      <c r="E1150" s="2">
        <v>1387</v>
      </c>
      <c r="F1150" t="s">
        <v>41</v>
      </c>
      <c r="G1150">
        <v>10</v>
      </c>
      <c r="H1150" t="str">
        <f t="shared" si="17"/>
        <v>1-10 km</v>
      </c>
      <c r="I1150">
        <v>5</v>
      </c>
      <c r="J1150" t="str" cm="1">
        <f t="array" ref="J1150">_xlfn.IFS(I1150=1,"Below College",I1150=2,"College",I1150=3,"Bachelor",I1150=4,"Master",I1150=5,"Doctor")</f>
        <v>Doctor</v>
      </c>
      <c r="K1150" t="s">
        <v>47</v>
      </c>
      <c r="L1150">
        <v>1618</v>
      </c>
      <c r="M1150">
        <v>2</v>
      </c>
      <c r="N1150" t="str" cm="1">
        <f t="array" ref="N1150">_xlfn.IFS(M1150=1,"Low",M1150=2,"Medium",M1150=3,"High",M1150=4,"Very High")</f>
        <v>Medium</v>
      </c>
      <c r="O1150" t="s">
        <v>42</v>
      </c>
      <c r="P1150" s="2">
        <v>76</v>
      </c>
      <c r="Q1150">
        <v>3</v>
      </c>
      <c r="R1150" t="str" cm="1">
        <f t="array" ref="R1150">_xlfn.IFS(Q1150=1,"Low",Q1150=2,"Medium",Q1150=3,"High",Q1150=4,"Very High")</f>
        <v>High</v>
      </c>
      <c r="S1150">
        <v>2</v>
      </c>
      <c r="T1150" t="str" cm="1">
        <f t="array" ref="T1150">_xlfn.IFS(S1150=1,"Entry Level",S1150=2,"Junior",S1150=3,"Mid-Level",S1150=4,"Senior",S1150=5,"Executive")</f>
        <v>Junior</v>
      </c>
      <c r="U1150" t="s">
        <v>49</v>
      </c>
      <c r="V1150">
        <v>1</v>
      </c>
      <c r="W1150" t="str" cm="1">
        <f t="array" ref="W1150">_xlfn.IFS(V1150=1,"Low",V1150=2,"Medium",V1150=3,"High",V1150=4,"Very High")</f>
        <v>Low</v>
      </c>
      <c r="X1150" t="s">
        <v>44</v>
      </c>
      <c r="Y1150" s="2">
        <v>5377</v>
      </c>
      <c r="Z1150" s="2">
        <v>3835</v>
      </c>
      <c r="AA1150">
        <v>2</v>
      </c>
      <c r="AB1150" t="s">
        <v>39</v>
      </c>
      <c r="AC1150">
        <v>13</v>
      </c>
      <c r="AD1150">
        <v>3</v>
      </c>
      <c r="AE1150" t="str" cm="1">
        <f t="array" ref="AE1150">_xlfn.IFS(AD1150=1,"Low",AD1150=2,"Good",AD1150=3,"Excellent",AD1150=4,"Outstanding")</f>
        <v>Excellent</v>
      </c>
      <c r="AF1150">
        <v>4</v>
      </c>
      <c r="AG1150" t="str" cm="1">
        <f t="array" ref="AG1150">_xlfn.IFS(AF1150=1,"Low",AF1150=2,"Medium",AF1150=3,"High",AF1150=4,"Very High")</f>
        <v>Very High</v>
      </c>
      <c r="AH1150">
        <v>3</v>
      </c>
      <c r="AI1150">
        <v>10</v>
      </c>
      <c r="AJ1150">
        <v>3</v>
      </c>
      <c r="AK1150">
        <v>3</v>
      </c>
      <c r="AL1150" t="str" cm="1">
        <f t="array" ref="AL1150">_xlfn.IFS(AK1150=1,"Low",AK1150=2,"Medium",AK1150=3,"High",AK1150=4,"Very High")</f>
        <v>High</v>
      </c>
      <c r="AM1150">
        <v>7</v>
      </c>
      <c r="AN1150">
        <v>7</v>
      </c>
      <c r="AO1150">
        <v>7</v>
      </c>
      <c r="AP1150">
        <v>7</v>
      </c>
    </row>
    <row r="1151" spans="1:42">
      <c r="A1151">
        <v>27</v>
      </c>
      <c r="B1151" t="str" cm="1">
        <f t="array" ref="B1151">_xlfn.IFS(A1151&lt;=25,"18-25",A1151&lt;=35,"26-35",A1151&lt;=45,"36-45",A1151&lt;=55,"46-55",A1151&gt;55,"56+")</f>
        <v>26-35</v>
      </c>
      <c r="C1151" t="s">
        <v>39</v>
      </c>
      <c r="D1151" t="s">
        <v>33</v>
      </c>
      <c r="E1151" s="2">
        <v>1302</v>
      </c>
      <c r="F1151" t="s">
        <v>41</v>
      </c>
      <c r="G1151">
        <v>19</v>
      </c>
      <c r="H1151" t="str">
        <f t="shared" si="17"/>
        <v>11-20 km</v>
      </c>
      <c r="I1151">
        <v>3</v>
      </c>
      <c r="J1151" t="str" cm="1">
        <f t="array" ref="J1151">_xlfn.IFS(I1151=1,"Below College",I1151=2,"College",I1151=3,"Bachelor",I1151=4,"Master",I1151=5,"Doctor")</f>
        <v>Bachelor</v>
      </c>
      <c r="K1151" t="s">
        <v>45</v>
      </c>
      <c r="L1151">
        <v>1619</v>
      </c>
      <c r="M1151">
        <v>4</v>
      </c>
      <c r="N1151" t="str" cm="1">
        <f t="array" ref="N1151">_xlfn.IFS(M1151=1,"Low",M1151=2,"Medium",M1151=3,"High",M1151=4,"Very High")</f>
        <v>Very High</v>
      </c>
      <c r="O1151" t="s">
        <v>42</v>
      </c>
      <c r="P1151" s="2">
        <v>67</v>
      </c>
      <c r="Q1151">
        <v>2</v>
      </c>
      <c r="R1151" t="str" cm="1">
        <f t="array" ref="R1151">_xlfn.IFS(Q1151=1,"Low",Q1151=2,"Medium",Q1151=3,"High",Q1151=4,"Very High")</f>
        <v>Medium</v>
      </c>
      <c r="S1151">
        <v>1</v>
      </c>
      <c r="T1151" t="str" cm="1">
        <f t="array" ref="T1151">_xlfn.IFS(S1151=1,"Entry Level",S1151=2,"Junior",S1151=3,"Mid-Level",S1151=4,"Senior",S1151=5,"Executive")</f>
        <v>Entry Level</v>
      </c>
      <c r="U1151" t="s">
        <v>46</v>
      </c>
      <c r="V1151">
        <v>1</v>
      </c>
      <c r="W1151" t="str" cm="1">
        <f t="array" ref="W1151">_xlfn.IFS(V1151=1,"Low",V1151=2,"Medium",V1151=3,"High",V1151=4,"Very High")</f>
        <v>Low</v>
      </c>
      <c r="X1151" t="s">
        <v>48</v>
      </c>
      <c r="Y1151" s="2">
        <v>4066</v>
      </c>
      <c r="Z1151" s="2">
        <v>16290</v>
      </c>
      <c r="AA1151">
        <v>1</v>
      </c>
      <c r="AB1151" t="s">
        <v>39</v>
      </c>
      <c r="AC1151">
        <v>11</v>
      </c>
      <c r="AD1151">
        <v>3</v>
      </c>
      <c r="AE1151" t="str" cm="1">
        <f t="array" ref="AE1151">_xlfn.IFS(AD1151=1,"Low",AD1151=2,"Good",AD1151=3,"Excellent",AD1151=4,"Outstanding")</f>
        <v>Excellent</v>
      </c>
      <c r="AF1151">
        <v>1</v>
      </c>
      <c r="AG1151" t="str" cm="1">
        <f t="array" ref="AG1151">_xlfn.IFS(AF1151=1,"Low",AF1151=2,"Medium",AF1151=3,"High",AF1151=4,"Very High")</f>
        <v>Low</v>
      </c>
      <c r="AH1151">
        <v>2</v>
      </c>
      <c r="AI1151">
        <v>7</v>
      </c>
      <c r="AJ1151">
        <v>3</v>
      </c>
      <c r="AK1151">
        <v>3</v>
      </c>
      <c r="AL1151" t="str" cm="1">
        <f t="array" ref="AL1151">_xlfn.IFS(AK1151=1,"Low",AK1151=2,"Medium",AK1151=3,"High",AK1151=4,"Very High")</f>
        <v>High</v>
      </c>
      <c r="AM1151">
        <v>7</v>
      </c>
      <c r="AN1151">
        <v>7</v>
      </c>
      <c r="AO1151">
        <v>0</v>
      </c>
      <c r="AP1151">
        <v>7</v>
      </c>
    </row>
    <row r="1152" spans="1:42">
      <c r="A1152">
        <v>35</v>
      </c>
      <c r="B1152" t="str" cm="1">
        <f t="array" ref="B1152">_xlfn.IFS(A1152&lt;=25,"18-25",A1152&lt;=35,"26-35",A1152&lt;=45,"36-45",A1152&lt;=55,"46-55",A1152&gt;55,"56+")</f>
        <v>26-35</v>
      </c>
      <c r="C1152" t="s">
        <v>39</v>
      </c>
      <c r="D1152" t="s">
        <v>33</v>
      </c>
      <c r="E1152" s="2">
        <v>819</v>
      </c>
      <c r="F1152" t="s">
        <v>41</v>
      </c>
      <c r="G1152">
        <v>18</v>
      </c>
      <c r="H1152" t="str">
        <f t="shared" si="17"/>
        <v>11-20 km</v>
      </c>
      <c r="I1152">
        <v>5</v>
      </c>
      <c r="J1152" t="str" cm="1">
        <f t="array" ref="J1152">_xlfn.IFS(I1152=1,"Below College",I1152=2,"College",I1152=3,"Bachelor",I1152=4,"Master",I1152=5,"Doctor")</f>
        <v>Doctor</v>
      </c>
      <c r="K1152" t="s">
        <v>35</v>
      </c>
      <c r="L1152">
        <v>1621</v>
      </c>
      <c r="M1152">
        <v>2</v>
      </c>
      <c r="N1152" t="str" cm="1">
        <f t="array" ref="N1152">_xlfn.IFS(M1152=1,"Low",M1152=2,"Medium",M1152=3,"High",M1152=4,"Very High")</f>
        <v>Medium</v>
      </c>
      <c r="O1152" t="s">
        <v>42</v>
      </c>
      <c r="P1152" s="2">
        <v>48</v>
      </c>
      <c r="Q1152">
        <v>4</v>
      </c>
      <c r="R1152" t="str" cm="1">
        <f t="array" ref="R1152">_xlfn.IFS(Q1152=1,"Low",Q1152=2,"Medium",Q1152=3,"High",Q1152=4,"Very High")</f>
        <v>Very High</v>
      </c>
      <c r="S1152">
        <v>2</v>
      </c>
      <c r="T1152" t="str" cm="1">
        <f t="array" ref="T1152">_xlfn.IFS(S1152=1,"Entry Level",S1152=2,"Junior",S1152=3,"Mid-Level",S1152=4,"Senior",S1152=5,"Executive")</f>
        <v>Junior</v>
      </c>
      <c r="U1152" t="s">
        <v>43</v>
      </c>
      <c r="V1152">
        <v>1</v>
      </c>
      <c r="W1152" t="str" cm="1">
        <f t="array" ref="W1152">_xlfn.IFS(V1152=1,"Low",V1152=2,"Medium",V1152=3,"High",V1152=4,"Very High")</f>
        <v>Low</v>
      </c>
      <c r="X1152" t="s">
        <v>44</v>
      </c>
      <c r="Y1152" s="2">
        <v>5208</v>
      </c>
      <c r="Z1152" s="2">
        <v>26312</v>
      </c>
      <c r="AA1152">
        <v>1</v>
      </c>
      <c r="AB1152" t="s">
        <v>39</v>
      </c>
      <c r="AC1152">
        <v>11</v>
      </c>
      <c r="AD1152">
        <v>3</v>
      </c>
      <c r="AE1152" t="str" cm="1">
        <f t="array" ref="AE1152">_xlfn.IFS(AD1152=1,"Low",AD1152=2,"Good",AD1152=3,"Excellent",AD1152=4,"Outstanding")</f>
        <v>Excellent</v>
      </c>
      <c r="AF1152">
        <v>4</v>
      </c>
      <c r="AG1152" t="str" cm="1">
        <f t="array" ref="AG1152">_xlfn.IFS(AF1152=1,"Low",AF1152=2,"Medium",AF1152=3,"High",AF1152=4,"Very High")</f>
        <v>Very High</v>
      </c>
      <c r="AH1152">
        <v>0</v>
      </c>
      <c r="AI1152">
        <v>16</v>
      </c>
      <c r="AJ1152">
        <v>2</v>
      </c>
      <c r="AK1152">
        <v>3</v>
      </c>
      <c r="AL1152" t="str" cm="1">
        <f t="array" ref="AL1152">_xlfn.IFS(AK1152=1,"Low",AK1152=2,"Medium",AK1152=3,"High",AK1152=4,"Very High")</f>
        <v>High</v>
      </c>
      <c r="AM1152">
        <v>16</v>
      </c>
      <c r="AN1152">
        <v>15</v>
      </c>
      <c r="AO1152">
        <v>1</v>
      </c>
      <c r="AP1152">
        <v>10</v>
      </c>
    </row>
    <row r="1153" spans="1:42">
      <c r="A1153">
        <v>28</v>
      </c>
      <c r="B1153" t="str" cm="1">
        <f t="array" ref="B1153">_xlfn.IFS(A1153&lt;=25,"18-25",A1153&lt;=35,"26-35",A1153&lt;=45,"36-45",A1153&lt;=55,"46-55",A1153&gt;55,"56+")</f>
        <v>26-35</v>
      </c>
      <c r="C1153" t="s">
        <v>39</v>
      </c>
      <c r="D1153" t="s">
        <v>33</v>
      </c>
      <c r="E1153" s="2">
        <v>580</v>
      </c>
      <c r="F1153" t="s">
        <v>41</v>
      </c>
      <c r="G1153">
        <v>27</v>
      </c>
      <c r="H1153" t="str">
        <f t="shared" si="17"/>
        <v>21-30 km</v>
      </c>
      <c r="I1153">
        <v>3</v>
      </c>
      <c r="J1153" t="str" cm="1">
        <f t="array" ref="J1153">_xlfn.IFS(I1153=1,"Below College",I1153=2,"College",I1153=3,"Bachelor",I1153=4,"Master",I1153=5,"Doctor")</f>
        <v>Bachelor</v>
      </c>
      <c r="K1153" t="s">
        <v>47</v>
      </c>
      <c r="L1153">
        <v>1622</v>
      </c>
      <c r="M1153">
        <v>2</v>
      </c>
      <c r="N1153" t="str" cm="1">
        <f t="array" ref="N1153">_xlfn.IFS(M1153=1,"Low",M1153=2,"Medium",M1153=3,"High",M1153=4,"Very High")</f>
        <v>Medium</v>
      </c>
      <c r="O1153" t="s">
        <v>36</v>
      </c>
      <c r="P1153" s="2">
        <v>39</v>
      </c>
      <c r="Q1153">
        <v>1</v>
      </c>
      <c r="R1153" t="str" cm="1">
        <f t="array" ref="R1153">_xlfn.IFS(Q1153=1,"Low",Q1153=2,"Medium",Q1153=3,"High",Q1153=4,"Very High")</f>
        <v>Low</v>
      </c>
      <c r="S1153">
        <v>2</v>
      </c>
      <c r="T1153" t="str" cm="1">
        <f t="array" ref="T1153">_xlfn.IFS(S1153=1,"Entry Level",S1153=2,"Junior",S1153=3,"Mid-Level",S1153=4,"Senior",S1153=5,"Executive")</f>
        <v>Junior</v>
      </c>
      <c r="U1153" t="s">
        <v>49</v>
      </c>
      <c r="V1153">
        <v>1</v>
      </c>
      <c r="W1153" t="str" cm="1">
        <f t="array" ref="W1153">_xlfn.IFS(V1153=1,"Low",V1153=2,"Medium",V1153=3,"High",V1153=4,"Very High")</f>
        <v>Low</v>
      </c>
      <c r="X1153" t="s">
        <v>48</v>
      </c>
      <c r="Y1153" s="2">
        <v>4877</v>
      </c>
      <c r="Z1153" s="2">
        <v>20460</v>
      </c>
      <c r="AA1153">
        <v>0</v>
      </c>
      <c r="AB1153" t="s">
        <v>39</v>
      </c>
      <c r="AC1153">
        <v>21</v>
      </c>
      <c r="AD1153">
        <v>4</v>
      </c>
      <c r="AE1153" t="str" cm="1">
        <f t="array" ref="AE1153">_xlfn.IFS(AD1153=1,"Low",AD1153=2,"Good",AD1153=3,"Excellent",AD1153=4,"Outstanding")</f>
        <v>Outstanding</v>
      </c>
      <c r="AF1153">
        <v>2</v>
      </c>
      <c r="AG1153" t="str" cm="1">
        <f t="array" ref="AG1153">_xlfn.IFS(AF1153=1,"Low",AF1153=2,"Medium",AF1153=3,"High",AF1153=4,"Very High")</f>
        <v>Medium</v>
      </c>
      <c r="AH1153">
        <v>1</v>
      </c>
      <c r="AI1153">
        <v>6</v>
      </c>
      <c r="AJ1153">
        <v>5</v>
      </c>
      <c r="AK1153">
        <v>2</v>
      </c>
      <c r="AL1153" t="str" cm="1">
        <f t="array" ref="AL1153">_xlfn.IFS(AK1153=1,"Low",AK1153=2,"Medium",AK1153=3,"High",AK1153=4,"Very High")</f>
        <v>Medium</v>
      </c>
      <c r="AM1153">
        <v>5</v>
      </c>
      <c r="AN1153">
        <v>3</v>
      </c>
      <c r="AO1153">
        <v>0</v>
      </c>
      <c r="AP1153">
        <v>0</v>
      </c>
    </row>
    <row r="1154" spans="1:42">
      <c r="A1154">
        <v>21</v>
      </c>
      <c r="B1154" t="str" cm="1">
        <f t="array" ref="B1154">_xlfn.IFS(A1154&lt;=25,"18-25",A1154&lt;=35,"26-35",A1154&lt;=45,"36-45",A1154&lt;=55,"46-55",A1154&gt;55,"56+")</f>
        <v>18-25</v>
      </c>
      <c r="C1154" t="s">
        <v>39</v>
      </c>
      <c r="D1154" t="s">
        <v>33</v>
      </c>
      <c r="E1154" s="2">
        <v>546</v>
      </c>
      <c r="F1154" t="s">
        <v>41</v>
      </c>
      <c r="G1154">
        <v>5</v>
      </c>
      <c r="H1154" t="str">
        <f t="shared" si="17"/>
        <v>1-10 km</v>
      </c>
      <c r="I1154">
        <v>1</v>
      </c>
      <c r="J1154" t="str" cm="1">
        <f t="array" ref="J1154">_xlfn.IFS(I1154=1,"Below College",I1154=2,"College",I1154=3,"Bachelor",I1154=4,"Master",I1154=5,"Doctor")</f>
        <v>Below College</v>
      </c>
      <c r="K1154" t="s">
        <v>47</v>
      </c>
      <c r="L1154">
        <v>1623</v>
      </c>
      <c r="M1154">
        <v>3</v>
      </c>
      <c r="N1154" t="str" cm="1">
        <f t="array" ref="N1154">_xlfn.IFS(M1154=1,"Low",M1154=2,"Medium",M1154=3,"High",M1154=4,"Very High")</f>
        <v>High</v>
      </c>
      <c r="O1154" t="s">
        <v>42</v>
      </c>
      <c r="P1154" s="2">
        <v>97</v>
      </c>
      <c r="Q1154">
        <v>3</v>
      </c>
      <c r="R1154" t="str" cm="1">
        <f t="array" ref="R1154">_xlfn.IFS(Q1154=1,"Low",Q1154=2,"Medium",Q1154=3,"High",Q1154=4,"Very High")</f>
        <v>High</v>
      </c>
      <c r="S1154">
        <v>1</v>
      </c>
      <c r="T1154" t="str" cm="1">
        <f t="array" ref="T1154">_xlfn.IFS(S1154=1,"Entry Level",S1154=2,"Junior",S1154=3,"Mid-Level",S1154=4,"Senior",S1154=5,"Executive")</f>
        <v>Entry Level</v>
      </c>
      <c r="U1154" t="s">
        <v>43</v>
      </c>
      <c r="V1154">
        <v>4</v>
      </c>
      <c r="W1154" t="str" cm="1">
        <f t="array" ref="W1154">_xlfn.IFS(V1154=1,"Low",V1154=2,"Medium",V1154=3,"High",V1154=4,"Very High")</f>
        <v>Very High</v>
      </c>
      <c r="X1154" t="s">
        <v>38</v>
      </c>
      <c r="Y1154" s="2">
        <v>3117</v>
      </c>
      <c r="Z1154" s="2">
        <v>26009</v>
      </c>
      <c r="AA1154">
        <v>1</v>
      </c>
      <c r="AB1154" t="s">
        <v>39</v>
      </c>
      <c r="AC1154">
        <v>18</v>
      </c>
      <c r="AD1154">
        <v>3</v>
      </c>
      <c r="AE1154" t="str" cm="1">
        <f t="array" ref="AE1154">_xlfn.IFS(AD1154=1,"Low",AD1154=2,"Good",AD1154=3,"Excellent",AD1154=4,"Outstanding")</f>
        <v>Excellent</v>
      </c>
      <c r="AF1154">
        <v>3</v>
      </c>
      <c r="AG1154" t="str" cm="1">
        <f t="array" ref="AG1154">_xlfn.IFS(AF1154=1,"Low",AF1154=2,"Medium",AF1154=3,"High",AF1154=4,"Very High")</f>
        <v>High</v>
      </c>
      <c r="AH1154">
        <v>0</v>
      </c>
      <c r="AI1154">
        <v>3</v>
      </c>
      <c r="AJ1154">
        <v>2</v>
      </c>
      <c r="AK1154">
        <v>3</v>
      </c>
      <c r="AL1154" t="str" cm="1">
        <f t="array" ref="AL1154">_xlfn.IFS(AK1154=1,"Low",AK1154=2,"Medium",AK1154=3,"High",AK1154=4,"Very High")</f>
        <v>High</v>
      </c>
      <c r="AM1154">
        <v>2</v>
      </c>
      <c r="AN1154">
        <v>2</v>
      </c>
      <c r="AO1154">
        <v>2</v>
      </c>
      <c r="AP1154">
        <v>2</v>
      </c>
    </row>
    <row r="1155" spans="1:42">
      <c r="A1155">
        <v>18</v>
      </c>
      <c r="B1155" t="str" cm="1">
        <f t="array" ref="B1155">_xlfn.IFS(A1155&lt;=25,"18-25",A1155&lt;=35,"26-35",A1155&lt;=45,"36-45",A1155&lt;=55,"46-55",A1155&gt;55,"56+")</f>
        <v>18-25</v>
      </c>
      <c r="C1155" t="s">
        <v>32</v>
      </c>
      <c r="D1155" t="s">
        <v>40</v>
      </c>
      <c r="E1155" s="2">
        <v>544</v>
      </c>
      <c r="F1155" t="s">
        <v>34</v>
      </c>
      <c r="G1155">
        <v>3</v>
      </c>
      <c r="H1155" t="str">
        <f t="shared" ref="H1155:H1218" si="18">IF(G1155&lt;=10,"1-10 km",IF(G1155&lt;=20,"11-20 km",IF(G1155&lt;=30,"21-30 km","31+ km")))</f>
        <v>1-10 km</v>
      </c>
      <c r="I1155">
        <v>2</v>
      </c>
      <c r="J1155" t="str" cm="1">
        <f t="array" ref="J1155">_xlfn.IFS(I1155=1,"Below College",I1155=2,"College",I1155=3,"Bachelor",I1155=4,"Master",I1155=5,"Doctor")</f>
        <v>College</v>
      </c>
      <c r="K1155" t="s">
        <v>47</v>
      </c>
      <c r="L1155">
        <v>1624</v>
      </c>
      <c r="M1155">
        <v>2</v>
      </c>
      <c r="N1155" t="str" cm="1">
        <f t="array" ref="N1155">_xlfn.IFS(M1155=1,"Low",M1155=2,"Medium",M1155=3,"High",M1155=4,"Very High")</f>
        <v>Medium</v>
      </c>
      <c r="O1155" t="s">
        <v>36</v>
      </c>
      <c r="P1155" s="2">
        <v>70</v>
      </c>
      <c r="Q1155">
        <v>3</v>
      </c>
      <c r="R1155" t="str" cm="1">
        <f t="array" ref="R1155">_xlfn.IFS(Q1155=1,"Low",Q1155=2,"Medium",Q1155=3,"High",Q1155=4,"Very High")</f>
        <v>High</v>
      </c>
      <c r="S1155">
        <v>1</v>
      </c>
      <c r="T1155" t="str" cm="1">
        <f t="array" ref="T1155">_xlfn.IFS(S1155=1,"Entry Level",S1155=2,"Junior",S1155=3,"Mid-Level",S1155=4,"Senior",S1155=5,"Executive")</f>
        <v>Entry Level</v>
      </c>
      <c r="U1155" t="s">
        <v>53</v>
      </c>
      <c r="V1155">
        <v>4</v>
      </c>
      <c r="W1155" t="str" cm="1">
        <f t="array" ref="W1155">_xlfn.IFS(V1155=1,"Low",V1155=2,"Medium",V1155=3,"High",V1155=4,"Very High")</f>
        <v>Very High</v>
      </c>
      <c r="X1155" t="s">
        <v>38</v>
      </c>
      <c r="Y1155" s="2">
        <v>1569</v>
      </c>
      <c r="Z1155" s="2">
        <v>18420</v>
      </c>
      <c r="AA1155">
        <v>1</v>
      </c>
      <c r="AB1155" t="s">
        <v>32</v>
      </c>
      <c r="AC1155">
        <v>12</v>
      </c>
      <c r="AD1155">
        <v>3</v>
      </c>
      <c r="AE1155" t="str" cm="1">
        <f t="array" ref="AE1155">_xlfn.IFS(AD1155=1,"Low",AD1155=2,"Good",AD1155=3,"Excellent",AD1155=4,"Outstanding")</f>
        <v>Excellent</v>
      </c>
      <c r="AF1155">
        <v>3</v>
      </c>
      <c r="AG1155" t="str" cm="1">
        <f t="array" ref="AG1155">_xlfn.IFS(AF1155=1,"Low",AF1155=2,"Medium",AF1155=3,"High",AF1155=4,"Very High")</f>
        <v>High</v>
      </c>
      <c r="AH1155">
        <v>0</v>
      </c>
      <c r="AI1155">
        <v>0</v>
      </c>
      <c r="AJ1155">
        <v>2</v>
      </c>
      <c r="AK1155">
        <v>4</v>
      </c>
      <c r="AL1155" t="str" cm="1">
        <f t="array" ref="AL1155">_xlfn.IFS(AK1155=1,"Low",AK1155=2,"Medium",AK1155=3,"High",AK1155=4,"Very High")</f>
        <v>Very High</v>
      </c>
      <c r="AM1155">
        <v>0</v>
      </c>
      <c r="AN1155">
        <v>0</v>
      </c>
      <c r="AO1155">
        <v>0</v>
      </c>
      <c r="AP1155">
        <v>0</v>
      </c>
    </row>
    <row r="1156" spans="1:42">
      <c r="A1156">
        <v>47</v>
      </c>
      <c r="B1156" t="str" cm="1">
        <f t="array" ref="B1156">_xlfn.IFS(A1156&lt;=25,"18-25",A1156&lt;=35,"26-35",A1156&lt;=45,"36-45",A1156&lt;=55,"46-55",A1156&gt;55,"56+")</f>
        <v>46-55</v>
      </c>
      <c r="C1156" t="s">
        <v>39</v>
      </c>
      <c r="D1156" t="s">
        <v>33</v>
      </c>
      <c r="E1156" s="2">
        <v>1176</v>
      </c>
      <c r="F1156" t="s">
        <v>57</v>
      </c>
      <c r="G1156">
        <v>26</v>
      </c>
      <c r="H1156" t="str">
        <f t="shared" si="18"/>
        <v>21-30 km</v>
      </c>
      <c r="I1156">
        <v>4</v>
      </c>
      <c r="J1156" t="str" cm="1">
        <f t="array" ref="J1156">_xlfn.IFS(I1156=1,"Below College",I1156=2,"College",I1156=3,"Bachelor",I1156=4,"Master",I1156=5,"Doctor")</f>
        <v>Master</v>
      </c>
      <c r="K1156" t="s">
        <v>35</v>
      </c>
      <c r="L1156">
        <v>1625</v>
      </c>
      <c r="M1156">
        <v>4</v>
      </c>
      <c r="N1156" t="str" cm="1">
        <f t="array" ref="N1156">_xlfn.IFS(M1156=1,"Low",M1156=2,"Medium",M1156=3,"High",M1156=4,"Very High")</f>
        <v>Very High</v>
      </c>
      <c r="O1156" t="s">
        <v>36</v>
      </c>
      <c r="P1156" s="2">
        <v>98</v>
      </c>
      <c r="Q1156">
        <v>3</v>
      </c>
      <c r="R1156" t="str" cm="1">
        <f t="array" ref="R1156">_xlfn.IFS(Q1156=1,"Low",Q1156=2,"Medium",Q1156=3,"High",Q1156=4,"Very High")</f>
        <v>High</v>
      </c>
      <c r="S1156">
        <v>5</v>
      </c>
      <c r="T1156" t="str" cm="1">
        <f t="array" ref="T1156">_xlfn.IFS(S1156=1,"Entry Level",S1156=2,"Junior",S1156=3,"Mid-Level",S1156=4,"Senior",S1156=5,"Executive")</f>
        <v>Executive</v>
      </c>
      <c r="U1156" t="s">
        <v>52</v>
      </c>
      <c r="V1156">
        <v>3</v>
      </c>
      <c r="W1156" t="str" cm="1">
        <f t="array" ref="W1156">_xlfn.IFS(V1156=1,"Low",V1156=2,"Medium",V1156=3,"High",V1156=4,"Very High")</f>
        <v>High</v>
      </c>
      <c r="X1156" t="s">
        <v>44</v>
      </c>
      <c r="Y1156" s="2">
        <v>19658</v>
      </c>
      <c r="Z1156" s="2">
        <v>5220</v>
      </c>
      <c r="AA1156">
        <v>3</v>
      </c>
      <c r="AB1156" t="s">
        <v>39</v>
      </c>
      <c r="AC1156">
        <v>11</v>
      </c>
      <c r="AD1156">
        <v>3</v>
      </c>
      <c r="AE1156" t="str" cm="1">
        <f t="array" ref="AE1156">_xlfn.IFS(AD1156=1,"Low",AD1156=2,"Good",AD1156=3,"Excellent",AD1156=4,"Outstanding")</f>
        <v>Excellent</v>
      </c>
      <c r="AF1156">
        <v>3</v>
      </c>
      <c r="AG1156" t="str" cm="1">
        <f t="array" ref="AG1156">_xlfn.IFS(AF1156=1,"Low",AF1156=2,"Medium",AF1156=3,"High",AF1156=4,"Very High")</f>
        <v>High</v>
      </c>
      <c r="AH1156">
        <v>1</v>
      </c>
      <c r="AI1156">
        <v>27</v>
      </c>
      <c r="AJ1156">
        <v>2</v>
      </c>
      <c r="AK1156">
        <v>3</v>
      </c>
      <c r="AL1156" t="str" cm="1">
        <f t="array" ref="AL1156">_xlfn.IFS(AK1156=1,"Low",AK1156=2,"Medium",AK1156=3,"High",AK1156=4,"Very High")</f>
        <v>High</v>
      </c>
      <c r="AM1156">
        <v>5</v>
      </c>
      <c r="AN1156">
        <v>2</v>
      </c>
      <c r="AO1156">
        <v>1</v>
      </c>
      <c r="AP1156">
        <v>0</v>
      </c>
    </row>
    <row r="1157" spans="1:42">
      <c r="A1157">
        <v>39</v>
      </c>
      <c r="B1157" t="str" cm="1">
        <f t="array" ref="B1157">_xlfn.IFS(A1157&lt;=25,"18-25",A1157&lt;=35,"26-35",A1157&lt;=45,"36-45",A1157&lt;=55,"46-55",A1157&gt;55,"56+")</f>
        <v>36-45</v>
      </c>
      <c r="C1157" t="s">
        <v>39</v>
      </c>
      <c r="D1157" t="s">
        <v>33</v>
      </c>
      <c r="E1157" s="2">
        <v>170</v>
      </c>
      <c r="F1157" t="s">
        <v>41</v>
      </c>
      <c r="G1157">
        <v>3</v>
      </c>
      <c r="H1157" t="str">
        <f t="shared" si="18"/>
        <v>1-10 km</v>
      </c>
      <c r="I1157">
        <v>2</v>
      </c>
      <c r="J1157" t="str" cm="1">
        <f t="array" ref="J1157">_xlfn.IFS(I1157=1,"Below College",I1157=2,"College",I1157=3,"Bachelor",I1157=4,"Master",I1157=5,"Doctor")</f>
        <v>College</v>
      </c>
      <c r="K1157" t="s">
        <v>47</v>
      </c>
      <c r="L1157">
        <v>1627</v>
      </c>
      <c r="M1157">
        <v>3</v>
      </c>
      <c r="N1157" t="str" cm="1">
        <f t="array" ref="N1157">_xlfn.IFS(M1157=1,"Low",M1157=2,"Medium",M1157=3,"High",M1157=4,"Very High")</f>
        <v>High</v>
      </c>
      <c r="O1157" t="s">
        <v>42</v>
      </c>
      <c r="P1157" s="2">
        <v>76</v>
      </c>
      <c r="Q1157">
        <v>2</v>
      </c>
      <c r="R1157" t="str" cm="1">
        <f t="array" ref="R1157">_xlfn.IFS(Q1157=1,"Low",Q1157=2,"Medium",Q1157=3,"High",Q1157=4,"Very High")</f>
        <v>Medium</v>
      </c>
      <c r="S1157">
        <v>2</v>
      </c>
      <c r="T1157" t="str" cm="1">
        <f t="array" ref="T1157">_xlfn.IFS(S1157=1,"Entry Level",S1157=2,"Junior",S1157=3,"Mid-Level",S1157=4,"Senior",S1157=5,"Executive")</f>
        <v>Junior</v>
      </c>
      <c r="U1157" t="s">
        <v>46</v>
      </c>
      <c r="V1157">
        <v>3</v>
      </c>
      <c r="W1157" t="str" cm="1">
        <f t="array" ref="W1157">_xlfn.IFS(V1157=1,"Low",V1157=2,"Medium",V1157=3,"High",V1157=4,"Very High")</f>
        <v>High</v>
      </c>
      <c r="X1157" t="s">
        <v>48</v>
      </c>
      <c r="Y1157" s="2">
        <v>3069</v>
      </c>
      <c r="Z1157" s="2">
        <v>10302</v>
      </c>
      <c r="AA1157">
        <v>0</v>
      </c>
      <c r="AB1157" t="s">
        <v>39</v>
      </c>
      <c r="AC1157">
        <v>15</v>
      </c>
      <c r="AD1157">
        <v>3</v>
      </c>
      <c r="AE1157" t="str" cm="1">
        <f t="array" ref="AE1157">_xlfn.IFS(AD1157=1,"Low",AD1157=2,"Good",AD1157=3,"Excellent",AD1157=4,"Outstanding")</f>
        <v>Excellent</v>
      </c>
      <c r="AF1157">
        <v>4</v>
      </c>
      <c r="AG1157" t="str" cm="1">
        <f t="array" ref="AG1157">_xlfn.IFS(AF1157=1,"Low",AF1157=2,"Medium",AF1157=3,"High",AF1157=4,"Very High")</f>
        <v>Very High</v>
      </c>
      <c r="AH1157">
        <v>1</v>
      </c>
      <c r="AI1157">
        <v>11</v>
      </c>
      <c r="AJ1157">
        <v>3</v>
      </c>
      <c r="AK1157">
        <v>3</v>
      </c>
      <c r="AL1157" t="str" cm="1">
        <f t="array" ref="AL1157">_xlfn.IFS(AK1157=1,"Low",AK1157=2,"Medium",AK1157=3,"High",AK1157=4,"Very High")</f>
        <v>High</v>
      </c>
      <c r="AM1157">
        <v>10</v>
      </c>
      <c r="AN1157">
        <v>8</v>
      </c>
      <c r="AO1157">
        <v>0</v>
      </c>
      <c r="AP1157">
        <v>7</v>
      </c>
    </row>
    <row r="1158" spans="1:42">
      <c r="A1158">
        <v>40</v>
      </c>
      <c r="B1158" t="str" cm="1">
        <f t="array" ref="B1158">_xlfn.IFS(A1158&lt;=25,"18-25",A1158&lt;=35,"26-35",A1158&lt;=45,"36-45",A1158&lt;=55,"46-55",A1158&gt;55,"56+")</f>
        <v>36-45</v>
      </c>
      <c r="C1158" t="s">
        <v>39</v>
      </c>
      <c r="D1158" t="s">
        <v>33</v>
      </c>
      <c r="E1158" s="2">
        <v>884</v>
      </c>
      <c r="F1158" t="s">
        <v>41</v>
      </c>
      <c r="G1158">
        <v>15</v>
      </c>
      <c r="H1158" t="str">
        <f t="shared" si="18"/>
        <v>11-20 km</v>
      </c>
      <c r="I1158">
        <v>3</v>
      </c>
      <c r="J1158" t="str" cm="1">
        <f t="array" ref="J1158">_xlfn.IFS(I1158=1,"Below College",I1158=2,"College",I1158=3,"Bachelor",I1158=4,"Master",I1158=5,"Doctor")</f>
        <v>Bachelor</v>
      </c>
      <c r="K1158" t="s">
        <v>35</v>
      </c>
      <c r="L1158">
        <v>1628</v>
      </c>
      <c r="M1158">
        <v>1</v>
      </c>
      <c r="N1158" t="str" cm="1">
        <f t="array" ref="N1158">_xlfn.IFS(M1158=1,"Low",M1158=2,"Medium",M1158=3,"High",M1158=4,"Very High")</f>
        <v>Low</v>
      </c>
      <c r="O1158" t="s">
        <v>36</v>
      </c>
      <c r="P1158" s="2">
        <v>80</v>
      </c>
      <c r="Q1158">
        <v>2</v>
      </c>
      <c r="R1158" t="str" cm="1">
        <f t="array" ref="R1158">_xlfn.IFS(Q1158=1,"Low",Q1158=2,"Medium",Q1158=3,"High",Q1158=4,"Very High")</f>
        <v>Medium</v>
      </c>
      <c r="S1158">
        <v>3</v>
      </c>
      <c r="T1158" t="str" cm="1">
        <f t="array" ref="T1158">_xlfn.IFS(S1158=1,"Entry Level",S1158=2,"Junior",S1158=3,"Mid-Level",S1158=4,"Senior",S1158=5,"Executive")</f>
        <v>Mid-Level</v>
      </c>
      <c r="U1158" t="s">
        <v>49</v>
      </c>
      <c r="V1158">
        <v>3</v>
      </c>
      <c r="W1158" t="str" cm="1">
        <f t="array" ref="W1158">_xlfn.IFS(V1158=1,"Low",V1158=2,"Medium",V1158=3,"High",V1158=4,"Very High")</f>
        <v>High</v>
      </c>
      <c r="X1158" t="s">
        <v>44</v>
      </c>
      <c r="Y1158" s="2">
        <v>10435</v>
      </c>
      <c r="Z1158" s="2">
        <v>25800</v>
      </c>
      <c r="AA1158">
        <v>1</v>
      </c>
      <c r="AB1158" t="s">
        <v>39</v>
      </c>
      <c r="AC1158">
        <v>13</v>
      </c>
      <c r="AD1158">
        <v>3</v>
      </c>
      <c r="AE1158" t="str" cm="1">
        <f t="array" ref="AE1158">_xlfn.IFS(AD1158=1,"Low",AD1158=2,"Good",AD1158=3,"Excellent",AD1158=4,"Outstanding")</f>
        <v>Excellent</v>
      </c>
      <c r="AF1158">
        <v>4</v>
      </c>
      <c r="AG1158" t="str" cm="1">
        <f t="array" ref="AG1158">_xlfn.IFS(AF1158=1,"Low",AF1158=2,"Medium",AF1158=3,"High",AF1158=4,"Very High")</f>
        <v>Very High</v>
      </c>
      <c r="AH1158">
        <v>2</v>
      </c>
      <c r="AI1158">
        <v>18</v>
      </c>
      <c r="AJ1158">
        <v>2</v>
      </c>
      <c r="AK1158">
        <v>3</v>
      </c>
      <c r="AL1158" t="str" cm="1">
        <f t="array" ref="AL1158">_xlfn.IFS(AK1158=1,"Low",AK1158=2,"Medium",AK1158=3,"High",AK1158=4,"Very High")</f>
        <v>High</v>
      </c>
      <c r="AM1158">
        <v>18</v>
      </c>
      <c r="AN1158">
        <v>15</v>
      </c>
      <c r="AO1158">
        <v>14</v>
      </c>
      <c r="AP1158">
        <v>12</v>
      </c>
    </row>
    <row r="1159" spans="1:42">
      <c r="A1159">
        <v>35</v>
      </c>
      <c r="B1159" t="str" cm="1">
        <f t="array" ref="B1159">_xlfn.IFS(A1159&lt;=25,"18-25",A1159&lt;=35,"26-35",A1159&lt;=45,"36-45",A1159&lt;=55,"46-55",A1159&gt;55,"56+")</f>
        <v>26-35</v>
      </c>
      <c r="C1159" t="s">
        <v>39</v>
      </c>
      <c r="D1159" t="s">
        <v>51</v>
      </c>
      <c r="E1159" s="2">
        <v>208</v>
      </c>
      <c r="F1159" t="s">
        <v>41</v>
      </c>
      <c r="G1159">
        <v>8</v>
      </c>
      <c r="H1159" t="str">
        <f t="shared" si="18"/>
        <v>1-10 km</v>
      </c>
      <c r="I1159">
        <v>4</v>
      </c>
      <c r="J1159" t="str" cm="1">
        <f t="array" ref="J1159">_xlfn.IFS(I1159=1,"Below College",I1159=2,"College",I1159=3,"Bachelor",I1159=4,"Master",I1159=5,"Doctor")</f>
        <v>Master</v>
      </c>
      <c r="K1159" t="s">
        <v>35</v>
      </c>
      <c r="L1159">
        <v>1630</v>
      </c>
      <c r="M1159">
        <v>3</v>
      </c>
      <c r="N1159" t="str" cm="1">
        <f t="array" ref="N1159">_xlfn.IFS(M1159=1,"Low",M1159=2,"Medium",M1159=3,"High",M1159=4,"Very High")</f>
        <v>High</v>
      </c>
      <c r="O1159" t="s">
        <v>36</v>
      </c>
      <c r="P1159" s="2">
        <v>52</v>
      </c>
      <c r="Q1159">
        <v>3</v>
      </c>
      <c r="R1159" t="str" cm="1">
        <f t="array" ref="R1159">_xlfn.IFS(Q1159=1,"Low",Q1159=2,"Medium",Q1159=3,"High",Q1159=4,"Very High")</f>
        <v>High</v>
      </c>
      <c r="S1159">
        <v>2</v>
      </c>
      <c r="T1159" t="str" cm="1">
        <f t="array" ref="T1159">_xlfn.IFS(S1159=1,"Entry Level",S1159=2,"Junior",S1159=3,"Mid-Level",S1159=4,"Senior",S1159=5,"Executive")</f>
        <v>Junior</v>
      </c>
      <c r="U1159" t="s">
        <v>50</v>
      </c>
      <c r="V1159">
        <v>3</v>
      </c>
      <c r="W1159" t="str" cm="1">
        <f t="array" ref="W1159">_xlfn.IFS(V1159=1,"Low",V1159=2,"Medium",V1159=3,"High",V1159=4,"Very High")</f>
        <v>High</v>
      </c>
      <c r="X1159" t="s">
        <v>44</v>
      </c>
      <c r="Y1159" s="2">
        <v>4148</v>
      </c>
      <c r="Z1159" s="2">
        <v>12250</v>
      </c>
      <c r="AA1159">
        <v>1</v>
      </c>
      <c r="AB1159" t="s">
        <v>39</v>
      </c>
      <c r="AC1159">
        <v>12</v>
      </c>
      <c r="AD1159">
        <v>3</v>
      </c>
      <c r="AE1159" t="str" cm="1">
        <f t="array" ref="AE1159">_xlfn.IFS(AD1159=1,"Low",AD1159=2,"Good",AD1159=3,"Excellent",AD1159=4,"Outstanding")</f>
        <v>Excellent</v>
      </c>
      <c r="AF1159">
        <v>4</v>
      </c>
      <c r="AG1159" t="str" cm="1">
        <f t="array" ref="AG1159">_xlfn.IFS(AF1159=1,"Low",AF1159=2,"Medium",AF1159=3,"High",AF1159=4,"Very High")</f>
        <v>Very High</v>
      </c>
      <c r="AH1159">
        <v>1</v>
      </c>
      <c r="AI1159">
        <v>15</v>
      </c>
      <c r="AJ1159">
        <v>5</v>
      </c>
      <c r="AK1159">
        <v>3</v>
      </c>
      <c r="AL1159" t="str" cm="1">
        <f t="array" ref="AL1159">_xlfn.IFS(AK1159=1,"Low",AK1159=2,"Medium",AK1159=3,"High",AK1159=4,"Very High")</f>
        <v>High</v>
      </c>
      <c r="AM1159">
        <v>14</v>
      </c>
      <c r="AN1159">
        <v>11</v>
      </c>
      <c r="AO1159">
        <v>2</v>
      </c>
      <c r="AP1159">
        <v>9</v>
      </c>
    </row>
    <row r="1160" spans="1:42">
      <c r="A1160">
        <v>37</v>
      </c>
      <c r="B1160" t="str" cm="1">
        <f t="array" ref="B1160">_xlfn.IFS(A1160&lt;=25,"18-25",A1160&lt;=35,"26-35",A1160&lt;=45,"36-45",A1160&lt;=55,"46-55",A1160&gt;55,"56+")</f>
        <v>36-45</v>
      </c>
      <c r="C1160" t="s">
        <v>39</v>
      </c>
      <c r="D1160" t="s">
        <v>33</v>
      </c>
      <c r="E1160" s="2">
        <v>671</v>
      </c>
      <c r="F1160" t="s">
        <v>41</v>
      </c>
      <c r="G1160">
        <v>19</v>
      </c>
      <c r="H1160" t="str">
        <f t="shared" si="18"/>
        <v>11-20 km</v>
      </c>
      <c r="I1160">
        <v>3</v>
      </c>
      <c r="J1160" t="str" cm="1">
        <f t="array" ref="J1160">_xlfn.IFS(I1160=1,"Below College",I1160=2,"College",I1160=3,"Bachelor",I1160=4,"Master",I1160=5,"Doctor")</f>
        <v>Bachelor</v>
      </c>
      <c r="K1160" t="s">
        <v>35</v>
      </c>
      <c r="L1160">
        <v>1631</v>
      </c>
      <c r="M1160">
        <v>3</v>
      </c>
      <c r="N1160" t="str" cm="1">
        <f t="array" ref="N1160">_xlfn.IFS(M1160=1,"Low",M1160=2,"Medium",M1160=3,"High",M1160=4,"Very High")</f>
        <v>High</v>
      </c>
      <c r="O1160" t="s">
        <v>42</v>
      </c>
      <c r="P1160" s="2">
        <v>85</v>
      </c>
      <c r="Q1160">
        <v>3</v>
      </c>
      <c r="R1160" t="str" cm="1">
        <f t="array" ref="R1160">_xlfn.IFS(Q1160=1,"Low",Q1160=2,"Medium",Q1160=3,"High",Q1160=4,"Very High")</f>
        <v>High</v>
      </c>
      <c r="S1160">
        <v>2</v>
      </c>
      <c r="T1160" t="str" cm="1">
        <f t="array" ref="T1160">_xlfn.IFS(S1160=1,"Entry Level",S1160=2,"Junior",S1160=3,"Mid-Level",S1160=4,"Senior",S1160=5,"Executive")</f>
        <v>Junior</v>
      </c>
      <c r="U1160" t="s">
        <v>49</v>
      </c>
      <c r="V1160">
        <v>3</v>
      </c>
      <c r="W1160" t="str" cm="1">
        <f t="array" ref="W1160">_xlfn.IFS(V1160=1,"Low",V1160=2,"Medium",V1160=3,"High",V1160=4,"Very High")</f>
        <v>High</v>
      </c>
      <c r="X1160" t="s">
        <v>44</v>
      </c>
      <c r="Y1160" s="2">
        <v>5768</v>
      </c>
      <c r="Z1160" s="2">
        <v>26493</v>
      </c>
      <c r="AA1160">
        <v>3</v>
      </c>
      <c r="AB1160" t="s">
        <v>39</v>
      </c>
      <c r="AC1160">
        <v>17</v>
      </c>
      <c r="AD1160">
        <v>3</v>
      </c>
      <c r="AE1160" t="str" cm="1">
        <f t="array" ref="AE1160">_xlfn.IFS(AD1160=1,"Low",AD1160=2,"Good",AD1160=3,"Excellent",AD1160=4,"Outstanding")</f>
        <v>Excellent</v>
      </c>
      <c r="AF1160">
        <v>1</v>
      </c>
      <c r="AG1160" t="str" cm="1">
        <f t="array" ref="AG1160">_xlfn.IFS(AF1160=1,"Low",AF1160=2,"Medium",AF1160=3,"High",AF1160=4,"Very High")</f>
        <v>Low</v>
      </c>
      <c r="AH1160">
        <v>3</v>
      </c>
      <c r="AI1160">
        <v>9</v>
      </c>
      <c r="AJ1160">
        <v>2</v>
      </c>
      <c r="AK1160">
        <v>2</v>
      </c>
      <c r="AL1160" t="str" cm="1">
        <f t="array" ref="AL1160">_xlfn.IFS(AK1160=1,"Low",AK1160=2,"Medium",AK1160=3,"High",AK1160=4,"Very High")</f>
        <v>Medium</v>
      </c>
      <c r="AM1160">
        <v>4</v>
      </c>
      <c r="AN1160">
        <v>3</v>
      </c>
      <c r="AO1160">
        <v>0</v>
      </c>
      <c r="AP1160">
        <v>2</v>
      </c>
    </row>
    <row r="1161" spans="1:42">
      <c r="A1161">
        <v>39</v>
      </c>
      <c r="B1161" t="str" cm="1">
        <f t="array" ref="B1161">_xlfn.IFS(A1161&lt;=25,"18-25",A1161&lt;=35,"26-35",A1161&lt;=45,"36-45",A1161&lt;=55,"46-55",A1161&gt;55,"56+")</f>
        <v>36-45</v>
      </c>
      <c r="C1161" t="s">
        <v>39</v>
      </c>
      <c r="D1161" t="s">
        <v>40</v>
      </c>
      <c r="E1161" s="2">
        <v>711</v>
      </c>
      <c r="F1161" t="s">
        <v>41</v>
      </c>
      <c r="G1161">
        <v>4</v>
      </c>
      <c r="H1161" t="str">
        <f t="shared" si="18"/>
        <v>1-10 km</v>
      </c>
      <c r="I1161">
        <v>3</v>
      </c>
      <c r="J1161" t="str" cm="1">
        <f t="array" ref="J1161">_xlfn.IFS(I1161=1,"Below College",I1161=2,"College",I1161=3,"Bachelor",I1161=4,"Master",I1161=5,"Doctor")</f>
        <v>Bachelor</v>
      </c>
      <c r="K1161" t="s">
        <v>47</v>
      </c>
      <c r="L1161">
        <v>1633</v>
      </c>
      <c r="M1161">
        <v>1</v>
      </c>
      <c r="N1161" t="str" cm="1">
        <f t="array" ref="N1161">_xlfn.IFS(M1161=1,"Low",M1161=2,"Medium",M1161=3,"High",M1161=4,"Very High")</f>
        <v>Low</v>
      </c>
      <c r="O1161" t="s">
        <v>36</v>
      </c>
      <c r="P1161" s="2">
        <v>81</v>
      </c>
      <c r="Q1161">
        <v>3</v>
      </c>
      <c r="R1161" t="str" cm="1">
        <f t="array" ref="R1161">_xlfn.IFS(Q1161=1,"Low",Q1161=2,"Medium",Q1161=3,"High",Q1161=4,"Very High")</f>
        <v>High</v>
      </c>
      <c r="S1161">
        <v>2</v>
      </c>
      <c r="T1161" t="str" cm="1">
        <f t="array" ref="T1161">_xlfn.IFS(S1161=1,"Entry Level",S1161=2,"Junior",S1161=3,"Mid-Level",S1161=4,"Senior",S1161=5,"Executive")</f>
        <v>Junior</v>
      </c>
      <c r="U1161" t="s">
        <v>49</v>
      </c>
      <c r="V1161">
        <v>3</v>
      </c>
      <c r="W1161" t="str" cm="1">
        <f t="array" ref="W1161">_xlfn.IFS(V1161=1,"Low",V1161=2,"Medium",V1161=3,"High",V1161=4,"Very High")</f>
        <v>High</v>
      </c>
      <c r="X1161" t="s">
        <v>38</v>
      </c>
      <c r="Y1161" s="2">
        <v>5042</v>
      </c>
      <c r="Z1161" s="2">
        <v>3140</v>
      </c>
      <c r="AA1161">
        <v>0</v>
      </c>
      <c r="AB1161" t="s">
        <v>39</v>
      </c>
      <c r="AC1161">
        <v>13</v>
      </c>
      <c r="AD1161">
        <v>3</v>
      </c>
      <c r="AE1161" t="str" cm="1">
        <f t="array" ref="AE1161">_xlfn.IFS(AD1161=1,"Low",AD1161=2,"Good",AD1161=3,"Excellent",AD1161=4,"Outstanding")</f>
        <v>Excellent</v>
      </c>
      <c r="AF1161">
        <v>4</v>
      </c>
      <c r="AG1161" t="str" cm="1">
        <f t="array" ref="AG1161">_xlfn.IFS(AF1161=1,"Low",AF1161=2,"Medium",AF1161=3,"High",AF1161=4,"Very High")</f>
        <v>Very High</v>
      </c>
      <c r="AH1161">
        <v>0</v>
      </c>
      <c r="AI1161">
        <v>10</v>
      </c>
      <c r="AJ1161">
        <v>2</v>
      </c>
      <c r="AK1161">
        <v>1</v>
      </c>
      <c r="AL1161" t="str" cm="1">
        <f t="array" ref="AL1161">_xlfn.IFS(AK1161=1,"Low",AK1161=2,"Medium",AK1161=3,"High",AK1161=4,"Very High")</f>
        <v>Low</v>
      </c>
      <c r="AM1161">
        <v>9</v>
      </c>
      <c r="AN1161">
        <v>2</v>
      </c>
      <c r="AO1161">
        <v>3</v>
      </c>
      <c r="AP1161">
        <v>8</v>
      </c>
    </row>
    <row r="1162" spans="1:42">
      <c r="A1162">
        <v>45</v>
      </c>
      <c r="B1162" t="str" cm="1">
        <f t="array" ref="B1162">_xlfn.IFS(A1162&lt;=25,"18-25",A1162&lt;=35,"26-35",A1162&lt;=45,"36-45",A1162&lt;=55,"46-55",A1162&gt;55,"56+")</f>
        <v>36-45</v>
      </c>
      <c r="C1162" t="s">
        <v>39</v>
      </c>
      <c r="D1162" t="s">
        <v>33</v>
      </c>
      <c r="E1162" s="2">
        <v>1329</v>
      </c>
      <c r="F1162" t="s">
        <v>41</v>
      </c>
      <c r="G1162">
        <v>2</v>
      </c>
      <c r="H1162" t="str">
        <f t="shared" si="18"/>
        <v>1-10 km</v>
      </c>
      <c r="I1162">
        <v>2</v>
      </c>
      <c r="J1162" t="str" cm="1">
        <f t="array" ref="J1162">_xlfn.IFS(I1162=1,"Below College",I1162=2,"College",I1162=3,"Bachelor",I1162=4,"Master",I1162=5,"Doctor")</f>
        <v>College</v>
      </c>
      <c r="K1162" t="s">
        <v>45</v>
      </c>
      <c r="L1162">
        <v>1635</v>
      </c>
      <c r="M1162">
        <v>4</v>
      </c>
      <c r="N1162" t="str" cm="1">
        <f t="array" ref="N1162">_xlfn.IFS(M1162=1,"Low",M1162=2,"Medium",M1162=3,"High",M1162=4,"Very High")</f>
        <v>Very High</v>
      </c>
      <c r="O1162" t="s">
        <v>36</v>
      </c>
      <c r="P1162" s="2">
        <v>59</v>
      </c>
      <c r="Q1162">
        <v>2</v>
      </c>
      <c r="R1162" t="str" cm="1">
        <f t="array" ref="R1162">_xlfn.IFS(Q1162=1,"Low",Q1162=2,"Medium",Q1162=3,"High",Q1162=4,"Very High")</f>
        <v>Medium</v>
      </c>
      <c r="S1162">
        <v>2</v>
      </c>
      <c r="T1162" t="str" cm="1">
        <f t="array" ref="T1162">_xlfn.IFS(S1162=1,"Entry Level",S1162=2,"Junior",S1162=3,"Mid-Level",S1162=4,"Senior",S1162=5,"Executive")</f>
        <v>Junior</v>
      </c>
      <c r="U1162" t="s">
        <v>49</v>
      </c>
      <c r="V1162">
        <v>4</v>
      </c>
      <c r="W1162" t="str" cm="1">
        <f t="array" ref="W1162">_xlfn.IFS(V1162=1,"Low",V1162=2,"Medium",V1162=3,"High",V1162=4,"Very High")</f>
        <v>Very High</v>
      </c>
      <c r="X1162" t="s">
        <v>48</v>
      </c>
      <c r="Y1162" s="2">
        <v>5770</v>
      </c>
      <c r="Z1162" s="2">
        <v>5388</v>
      </c>
      <c r="AA1162">
        <v>1</v>
      </c>
      <c r="AB1162" t="s">
        <v>39</v>
      </c>
      <c r="AC1162">
        <v>19</v>
      </c>
      <c r="AD1162">
        <v>3</v>
      </c>
      <c r="AE1162" t="str" cm="1">
        <f t="array" ref="AE1162">_xlfn.IFS(AD1162=1,"Low",AD1162=2,"Good",AD1162=3,"Excellent",AD1162=4,"Outstanding")</f>
        <v>Excellent</v>
      </c>
      <c r="AF1162">
        <v>1</v>
      </c>
      <c r="AG1162" t="str" cm="1">
        <f t="array" ref="AG1162">_xlfn.IFS(AF1162=1,"Low",AF1162=2,"Medium",AF1162=3,"High",AF1162=4,"Very High")</f>
        <v>Low</v>
      </c>
      <c r="AH1162">
        <v>2</v>
      </c>
      <c r="AI1162">
        <v>10</v>
      </c>
      <c r="AJ1162">
        <v>3</v>
      </c>
      <c r="AK1162">
        <v>3</v>
      </c>
      <c r="AL1162" t="str" cm="1">
        <f t="array" ref="AL1162">_xlfn.IFS(AK1162=1,"Low",AK1162=2,"Medium",AK1162=3,"High",AK1162=4,"Very High")</f>
        <v>High</v>
      </c>
      <c r="AM1162">
        <v>10</v>
      </c>
      <c r="AN1162">
        <v>7</v>
      </c>
      <c r="AO1162">
        <v>3</v>
      </c>
      <c r="AP1162">
        <v>9</v>
      </c>
    </row>
    <row r="1163" spans="1:42">
      <c r="A1163">
        <v>38</v>
      </c>
      <c r="B1163" t="str" cm="1">
        <f t="array" ref="B1163">_xlfn.IFS(A1163&lt;=25,"18-25",A1163&lt;=35,"26-35",A1163&lt;=45,"36-45",A1163&lt;=55,"46-55",A1163&gt;55,"56+")</f>
        <v>36-45</v>
      </c>
      <c r="C1163" t="s">
        <v>39</v>
      </c>
      <c r="D1163" t="s">
        <v>33</v>
      </c>
      <c r="E1163" s="2">
        <v>397</v>
      </c>
      <c r="F1163" t="s">
        <v>41</v>
      </c>
      <c r="G1163">
        <v>2</v>
      </c>
      <c r="H1163" t="str">
        <f t="shared" si="18"/>
        <v>1-10 km</v>
      </c>
      <c r="I1163">
        <v>2</v>
      </c>
      <c r="J1163" t="str" cm="1">
        <f t="array" ref="J1163">_xlfn.IFS(I1163=1,"Below College",I1163=2,"College",I1163=3,"Bachelor",I1163=4,"Master",I1163=5,"Doctor")</f>
        <v>College</v>
      </c>
      <c r="K1163" t="s">
        <v>47</v>
      </c>
      <c r="L1163">
        <v>1638</v>
      </c>
      <c r="M1163">
        <v>4</v>
      </c>
      <c r="N1163" t="str" cm="1">
        <f t="array" ref="N1163">_xlfn.IFS(M1163=1,"Low",M1163=2,"Medium",M1163=3,"High",M1163=4,"Very High")</f>
        <v>Very High</v>
      </c>
      <c r="O1163" t="s">
        <v>36</v>
      </c>
      <c r="P1163" s="2">
        <v>54</v>
      </c>
      <c r="Q1163">
        <v>2</v>
      </c>
      <c r="R1163" t="str" cm="1">
        <f t="array" ref="R1163">_xlfn.IFS(Q1163=1,"Low",Q1163=2,"Medium",Q1163=3,"High",Q1163=4,"Very High")</f>
        <v>Medium</v>
      </c>
      <c r="S1163">
        <v>3</v>
      </c>
      <c r="T1163" t="str" cm="1">
        <f t="array" ref="T1163">_xlfn.IFS(S1163=1,"Entry Level",S1163=2,"Junior",S1163=3,"Mid-Level",S1163=4,"Senior",S1163=5,"Executive")</f>
        <v>Mid-Level</v>
      </c>
      <c r="U1163" t="s">
        <v>49</v>
      </c>
      <c r="V1163">
        <v>3</v>
      </c>
      <c r="W1163" t="str" cm="1">
        <f t="array" ref="W1163">_xlfn.IFS(V1163=1,"Low",V1163=2,"Medium",V1163=3,"High",V1163=4,"Very High")</f>
        <v>High</v>
      </c>
      <c r="X1163" t="s">
        <v>44</v>
      </c>
      <c r="Y1163" s="2">
        <v>7756</v>
      </c>
      <c r="Z1163" s="2">
        <v>14199</v>
      </c>
      <c r="AA1163">
        <v>3</v>
      </c>
      <c r="AB1163" t="s">
        <v>32</v>
      </c>
      <c r="AC1163">
        <v>19</v>
      </c>
      <c r="AD1163">
        <v>3</v>
      </c>
      <c r="AE1163" t="str" cm="1">
        <f t="array" ref="AE1163">_xlfn.IFS(AD1163=1,"Low",AD1163=2,"Good",AD1163=3,"Excellent",AD1163=4,"Outstanding")</f>
        <v>Excellent</v>
      </c>
      <c r="AF1163">
        <v>4</v>
      </c>
      <c r="AG1163" t="str" cm="1">
        <f t="array" ref="AG1163">_xlfn.IFS(AF1163=1,"Low",AF1163=2,"Medium",AF1163=3,"High",AF1163=4,"Very High")</f>
        <v>Very High</v>
      </c>
      <c r="AH1163">
        <v>1</v>
      </c>
      <c r="AI1163">
        <v>10</v>
      </c>
      <c r="AJ1163">
        <v>6</v>
      </c>
      <c r="AK1163">
        <v>4</v>
      </c>
      <c r="AL1163" t="str" cm="1">
        <f t="array" ref="AL1163">_xlfn.IFS(AK1163=1,"Low",AK1163=2,"Medium",AK1163=3,"High",AK1163=4,"Very High")</f>
        <v>Very High</v>
      </c>
      <c r="AM1163">
        <v>5</v>
      </c>
      <c r="AN1163">
        <v>4</v>
      </c>
      <c r="AO1163">
        <v>0</v>
      </c>
      <c r="AP1163">
        <v>2</v>
      </c>
    </row>
    <row r="1164" spans="1:42">
      <c r="A1164">
        <v>35</v>
      </c>
      <c r="B1164" t="str" cm="1">
        <f t="array" ref="B1164">_xlfn.IFS(A1164&lt;=25,"18-25",A1164&lt;=35,"26-35",A1164&lt;=45,"36-45",A1164&lt;=55,"46-55",A1164&gt;55,"56+")</f>
        <v>26-35</v>
      </c>
      <c r="C1164" t="s">
        <v>32</v>
      </c>
      <c r="D1164" t="s">
        <v>33</v>
      </c>
      <c r="E1164" s="2">
        <v>737</v>
      </c>
      <c r="F1164" t="s">
        <v>34</v>
      </c>
      <c r="G1164">
        <v>10</v>
      </c>
      <c r="H1164" t="str">
        <f t="shared" si="18"/>
        <v>1-10 km</v>
      </c>
      <c r="I1164">
        <v>3</v>
      </c>
      <c r="J1164" t="str" cm="1">
        <f t="array" ref="J1164">_xlfn.IFS(I1164=1,"Below College",I1164=2,"College",I1164=3,"Bachelor",I1164=4,"Master",I1164=5,"Doctor")</f>
        <v>Bachelor</v>
      </c>
      <c r="K1164" t="s">
        <v>47</v>
      </c>
      <c r="L1164">
        <v>1639</v>
      </c>
      <c r="M1164">
        <v>4</v>
      </c>
      <c r="N1164" t="str" cm="1">
        <f t="array" ref="N1164">_xlfn.IFS(M1164=1,"Low",M1164=2,"Medium",M1164=3,"High",M1164=4,"Very High")</f>
        <v>Very High</v>
      </c>
      <c r="O1164" t="s">
        <v>42</v>
      </c>
      <c r="P1164" s="2">
        <v>55</v>
      </c>
      <c r="Q1164">
        <v>2</v>
      </c>
      <c r="R1164" t="str" cm="1">
        <f t="array" ref="R1164">_xlfn.IFS(Q1164=1,"Low",Q1164=2,"Medium",Q1164=3,"High",Q1164=4,"Very High")</f>
        <v>Medium</v>
      </c>
      <c r="S1164">
        <v>3</v>
      </c>
      <c r="T1164" t="str" cm="1">
        <f t="array" ref="T1164">_xlfn.IFS(S1164=1,"Entry Level",S1164=2,"Junior",S1164=3,"Mid-Level",S1164=4,"Senior",S1164=5,"Executive")</f>
        <v>Mid-Level</v>
      </c>
      <c r="U1164" t="s">
        <v>37</v>
      </c>
      <c r="V1164">
        <v>1</v>
      </c>
      <c r="W1164" t="str" cm="1">
        <f t="array" ref="W1164">_xlfn.IFS(V1164=1,"Low",V1164=2,"Medium",V1164=3,"High",V1164=4,"Very High")</f>
        <v>Low</v>
      </c>
      <c r="X1164" t="s">
        <v>44</v>
      </c>
      <c r="Y1164" s="2">
        <v>10306</v>
      </c>
      <c r="Z1164" s="2">
        <v>21530</v>
      </c>
      <c r="AA1164">
        <v>9</v>
      </c>
      <c r="AB1164" t="s">
        <v>39</v>
      </c>
      <c r="AC1164">
        <v>17</v>
      </c>
      <c r="AD1164">
        <v>3</v>
      </c>
      <c r="AE1164" t="str" cm="1">
        <f t="array" ref="AE1164">_xlfn.IFS(AD1164=1,"Low",AD1164=2,"Good",AD1164=3,"Excellent",AD1164=4,"Outstanding")</f>
        <v>Excellent</v>
      </c>
      <c r="AF1164">
        <v>3</v>
      </c>
      <c r="AG1164" t="str" cm="1">
        <f t="array" ref="AG1164">_xlfn.IFS(AF1164=1,"Low",AF1164=2,"Medium",AF1164=3,"High",AF1164=4,"Very High")</f>
        <v>High</v>
      </c>
      <c r="AH1164">
        <v>0</v>
      </c>
      <c r="AI1164">
        <v>15</v>
      </c>
      <c r="AJ1164">
        <v>3</v>
      </c>
      <c r="AK1164">
        <v>3</v>
      </c>
      <c r="AL1164" t="str" cm="1">
        <f t="array" ref="AL1164">_xlfn.IFS(AK1164=1,"Low",AK1164=2,"Medium",AK1164=3,"High",AK1164=4,"Very High")</f>
        <v>High</v>
      </c>
      <c r="AM1164">
        <v>13</v>
      </c>
      <c r="AN1164">
        <v>12</v>
      </c>
      <c r="AO1164">
        <v>6</v>
      </c>
      <c r="AP1164">
        <v>0</v>
      </c>
    </row>
    <row r="1165" spans="1:42">
      <c r="A1165">
        <v>37</v>
      </c>
      <c r="B1165" t="str" cm="1">
        <f t="array" ref="B1165">_xlfn.IFS(A1165&lt;=25,"18-25",A1165&lt;=35,"26-35",A1165&lt;=45,"36-45",A1165&lt;=55,"46-55",A1165&gt;55,"56+")</f>
        <v>36-45</v>
      </c>
      <c r="C1165" t="s">
        <v>39</v>
      </c>
      <c r="D1165" t="s">
        <v>33</v>
      </c>
      <c r="E1165" s="2">
        <v>1470</v>
      </c>
      <c r="F1165" t="s">
        <v>41</v>
      </c>
      <c r="G1165">
        <v>10</v>
      </c>
      <c r="H1165" t="str">
        <f t="shared" si="18"/>
        <v>1-10 km</v>
      </c>
      <c r="I1165">
        <v>3</v>
      </c>
      <c r="J1165" t="str" cm="1">
        <f t="array" ref="J1165">_xlfn.IFS(I1165=1,"Below College",I1165=2,"College",I1165=3,"Bachelor",I1165=4,"Master",I1165=5,"Doctor")</f>
        <v>Bachelor</v>
      </c>
      <c r="K1165" t="s">
        <v>47</v>
      </c>
      <c r="L1165">
        <v>1640</v>
      </c>
      <c r="M1165">
        <v>2</v>
      </c>
      <c r="N1165" t="str" cm="1">
        <f t="array" ref="N1165">_xlfn.IFS(M1165=1,"Low",M1165=2,"Medium",M1165=3,"High",M1165=4,"Very High")</f>
        <v>Medium</v>
      </c>
      <c r="O1165" t="s">
        <v>36</v>
      </c>
      <c r="P1165" s="2">
        <v>71</v>
      </c>
      <c r="Q1165">
        <v>3</v>
      </c>
      <c r="R1165" t="str" cm="1">
        <f t="array" ref="R1165">_xlfn.IFS(Q1165=1,"Low",Q1165=2,"Medium",Q1165=3,"High",Q1165=4,"Very High")</f>
        <v>High</v>
      </c>
      <c r="S1165">
        <v>1</v>
      </c>
      <c r="T1165" t="str" cm="1">
        <f t="array" ref="T1165">_xlfn.IFS(S1165=1,"Entry Level",S1165=2,"Junior",S1165=3,"Mid-Level",S1165=4,"Senior",S1165=5,"Executive")</f>
        <v>Entry Level</v>
      </c>
      <c r="U1165" t="s">
        <v>43</v>
      </c>
      <c r="V1165">
        <v>2</v>
      </c>
      <c r="W1165" t="str" cm="1">
        <f t="array" ref="W1165">_xlfn.IFS(V1165=1,"Low",V1165=2,"Medium",V1165=3,"High",V1165=4,"Very High")</f>
        <v>Medium</v>
      </c>
      <c r="X1165" t="s">
        <v>44</v>
      </c>
      <c r="Y1165" s="2">
        <v>3936</v>
      </c>
      <c r="Z1165" s="2">
        <v>9953</v>
      </c>
      <c r="AA1165">
        <v>1</v>
      </c>
      <c r="AB1165" t="s">
        <v>39</v>
      </c>
      <c r="AC1165">
        <v>11</v>
      </c>
      <c r="AD1165">
        <v>3</v>
      </c>
      <c r="AE1165" t="str" cm="1">
        <f t="array" ref="AE1165">_xlfn.IFS(AD1165=1,"Low",AD1165=2,"Good",AD1165=3,"Excellent",AD1165=4,"Outstanding")</f>
        <v>Excellent</v>
      </c>
      <c r="AF1165">
        <v>1</v>
      </c>
      <c r="AG1165" t="str" cm="1">
        <f t="array" ref="AG1165">_xlfn.IFS(AF1165=1,"Low",AF1165=2,"Medium",AF1165=3,"High",AF1165=4,"Very High")</f>
        <v>Low</v>
      </c>
      <c r="AH1165">
        <v>1</v>
      </c>
      <c r="AI1165">
        <v>8</v>
      </c>
      <c r="AJ1165">
        <v>2</v>
      </c>
      <c r="AK1165">
        <v>1</v>
      </c>
      <c r="AL1165" t="str" cm="1">
        <f t="array" ref="AL1165">_xlfn.IFS(AK1165=1,"Low",AK1165=2,"Medium",AK1165=3,"High",AK1165=4,"Very High")</f>
        <v>Low</v>
      </c>
      <c r="AM1165">
        <v>8</v>
      </c>
      <c r="AN1165">
        <v>4</v>
      </c>
      <c r="AO1165">
        <v>7</v>
      </c>
      <c r="AP1165">
        <v>7</v>
      </c>
    </row>
    <row r="1166" spans="1:42">
      <c r="A1166">
        <v>40</v>
      </c>
      <c r="B1166" t="str" cm="1">
        <f t="array" ref="B1166">_xlfn.IFS(A1166&lt;=25,"18-25",A1166&lt;=35,"26-35",A1166&lt;=45,"36-45",A1166&lt;=55,"46-55",A1166&gt;55,"56+")</f>
        <v>36-45</v>
      </c>
      <c r="C1166" t="s">
        <v>39</v>
      </c>
      <c r="D1166" t="s">
        <v>33</v>
      </c>
      <c r="E1166" s="2">
        <v>448</v>
      </c>
      <c r="F1166" t="s">
        <v>41</v>
      </c>
      <c r="G1166">
        <v>16</v>
      </c>
      <c r="H1166" t="str">
        <f t="shared" si="18"/>
        <v>11-20 km</v>
      </c>
      <c r="I1166">
        <v>3</v>
      </c>
      <c r="J1166" t="str" cm="1">
        <f t="array" ref="J1166">_xlfn.IFS(I1166=1,"Below College",I1166=2,"College",I1166=3,"Bachelor",I1166=4,"Master",I1166=5,"Doctor")</f>
        <v>Bachelor</v>
      </c>
      <c r="K1166" t="s">
        <v>35</v>
      </c>
      <c r="L1166">
        <v>1641</v>
      </c>
      <c r="M1166">
        <v>3</v>
      </c>
      <c r="N1166" t="str" cm="1">
        <f t="array" ref="N1166">_xlfn.IFS(M1166=1,"Low",M1166=2,"Medium",M1166=3,"High",M1166=4,"Very High")</f>
        <v>High</v>
      </c>
      <c r="O1166" t="s">
        <v>36</v>
      </c>
      <c r="P1166" s="2">
        <v>84</v>
      </c>
      <c r="Q1166">
        <v>3</v>
      </c>
      <c r="R1166" t="str" cm="1">
        <f t="array" ref="R1166">_xlfn.IFS(Q1166=1,"Low",Q1166=2,"Medium",Q1166=3,"High",Q1166=4,"Very High")</f>
        <v>High</v>
      </c>
      <c r="S1166">
        <v>3</v>
      </c>
      <c r="T1166" t="str" cm="1">
        <f t="array" ref="T1166">_xlfn.IFS(S1166=1,"Entry Level",S1166=2,"Junior",S1166=3,"Mid-Level",S1166=4,"Senior",S1166=5,"Executive")</f>
        <v>Mid-Level</v>
      </c>
      <c r="U1166" t="s">
        <v>49</v>
      </c>
      <c r="V1166">
        <v>4</v>
      </c>
      <c r="W1166" t="str" cm="1">
        <f t="array" ref="W1166">_xlfn.IFS(V1166=1,"Low",V1166=2,"Medium",V1166=3,"High",V1166=4,"Very High")</f>
        <v>Very High</v>
      </c>
      <c r="X1166" t="s">
        <v>38</v>
      </c>
      <c r="Y1166" s="2">
        <v>7945</v>
      </c>
      <c r="Z1166" s="2">
        <v>19948</v>
      </c>
      <c r="AA1166">
        <v>6</v>
      </c>
      <c r="AB1166" t="s">
        <v>32</v>
      </c>
      <c r="AC1166">
        <v>15</v>
      </c>
      <c r="AD1166">
        <v>3</v>
      </c>
      <c r="AE1166" t="str" cm="1">
        <f t="array" ref="AE1166">_xlfn.IFS(AD1166=1,"Low",AD1166=2,"Good",AD1166=3,"Excellent",AD1166=4,"Outstanding")</f>
        <v>Excellent</v>
      </c>
      <c r="AF1166">
        <v>4</v>
      </c>
      <c r="AG1166" t="str" cm="1">
        <f t="array" ref="AG1166">_xlfn.IFS(AF1166=1,"Low",AF1166=2,"Medium",AF1166=3,"High",AF1166=4,"Very High")</f>
        <v>Very High</v>
      </c>
      <c r="AH1166">
        <v>0</v>
      </c>
      <c r="AI1166">
        <v>18</v>
      </c>
      <c r="AJ1166">
        <v>2</v>
      </c>
      <c r="AK1166">
        <v>2</v>
      </c>
      <c r="AL1166" t="str" cm="1">
        <f t="array" ref="AL1166">_xlfn.IFS(AK1166=1,"Low",AK1166=2,"Medium",AK1166=3,"High",AK1166=4,"Very High")</f>
        <v>Medium</v>
      </c>
      <c r="AM1166">
        <v>4</v>
      </c>
      <c r="AN1166">
        <v>2</v>
      </c>
      <c r="AO1166">
        <v>3</v>
      </c>
      <c r="AP1166">
        <v>3</v>
      </c>
    </row>
    <row r="1167" spans="1:42">
      <c r="A1167">
        <v>44</v>
      </c>
      <c r="B1167" t="str" cm="1">
        <f t="array" ref="B1167">_xlfn.IFS(A1167&lt;=25,"18-25",A1167&lt;=35,"26-35",A1167&lt;=45,"36-45",A1167&lt;=55,"46-55",A1167&gt;55,"56+")</f>
        <v>36-45</v>
      </c>
      <c r="C1167" t="s">
        <v>39</v>
      </c>
      <c r="D1167" t="s">
        <v>40</v>
      </c>
      <c r="E1167" s="2">
        <v>602</v>
      </c>
      <c r="F1167" t="s">
        <v>57</v>
      </c>
      <c r="G1167">
        <v>1</v>
      </c>
      <c r="H1167" t="str">
        <f t="shared" si="18"/>
        <v>1-10 km</v>
      </c>
      <c r="I1167">
        <v>5</v>
      </c>
      <c r="J1167" t="str" cm="1">
        <f t="array" ref="J1167">_xlfn.IFS(I1167=1,"Below College",I1167=2,"College",I1167=3,"Bachelor",I1167=4,"Master",I1167=5,"Doctor")</f>
        <v>Doctor</v>
      </c>
      <c r="K1167" t="s">
        <v>57</v>
      </c>
      <c r="L1167">
        <v>1642</v>
      </c>
      <c r="M1167">
        <v>1</v>
      </c>
      <c r="N1167" t="str" cm="1">
        <f t="array" ref="N1167">_xlfn.IFS(M1167=1,"Low",M1167=2,"Medium",M1167=3,"High",M1167=4,"Very High")</f>
        <v>Low</v>
      </c>
      <c r="O1167" t="s">
        <v>42</v>
      </c>
      <c r="P1167" s="2">
        <v>37</v>
      </c>
      <c r="Q1167">
        <v>3</v>
      </c>
      <c r="R1167" t="str" cm="1">
        <f t="array" ref="R1167">_xlfn.IFS(Q1167=1,"Low",Q1167=2,"Medium",Q1167=3,"High",Q1167=4,"Very High")</f>
        <v>High</v>
      </c>
      <c r="S1167">
        <v>2</v>
      </c>
      <c r="T1167" t="str" cm="1">
        <f t="array" ref="T1167">_xlfn.IFS(S1167=1,"Entry Level",S1167=2,"Junior",S1167=3,"Mid-Level",S1167=4,"Senior",S1167=5,"Executive")</f>
        <v>Junior</v>
      </c>
      <c r="U1167" t="s">
        <v>57</v>
      </c>
      <c r="V1167">
        <v>4</v>
      </c>
      <c r="W1167" t="str" cm="1">
        <f t="array" ref="W1167">_xlfn.IFS(V1167=1,"Low",V1167=2,"Medium",V1167=3,"High",V1167=4,"Very High")</f>
        <v>Very High</v>
      </c>
      <c r="X1167" t="s">
        <v>44</v>
      </c>
      <c r="Y1167" s="2">
        <v>5743</v>
      </c>
      <c r="Z1167" s="2">
        <v>10503</v>
      </c>
      <c r="AA1167">
        <v>4</v>
      </c>
      <c r="AB1167" t="s">
        <v>32</v>
      </c>
      <c r="AC1167">
        <v>11</v>
      </c>
      <c r="AD1167">
        <v>3</v>
      </c>
      <c r="AE1167" t="str" cm="1">
        <f t="array" ref="AE1167">_xlfn.IFS(AD1167=1,"Low",AD1167=2,"Good",AD1167=3,"Excellent",AD1167=4,"Outstanding")</f>
        <v>Excellent</v>
      </c>
      <c r="AF1167">
        <v>3</v>
      </c>
      <c r="AG1167" t="str" cm="1">
        <f t="array" ref="AG1167">_xlfn.IFS(AF1167=1,"Low",AF1167=2,"Medium",AF1167=3,"High",AF1167=4,"Very High")</f>
        <v>High</v>
      </c>
      <c r="AH1167">
        <v>0</v>
      </c>
      <c r="AI1167">
        <v>14</v>
      </c>
      <c r="AJ1167">
        <v>3</v>
      </c>
      <c r="AK1167">
        <v>3</v>
      </c>
      <c r="AL1167" t="str" cm="1">
        <f t="array" ref="AL1167">_xlfn.IFS(AK1167=1,"Low",AK1167=2,"Medium",AK1167=3,"High",AK1167=4,"Very High")</f>
        <v>High</v>
      </c>
      <c r="AM1167">
        <v>10</v>
      </c>
      <c r="AN1167">
        <v>7</v>
      </c>
      <c r="AO1167">
        <v>0</v>
      </c>
      <c r="AP1167">
        <v>2</v>
      </c>
    </row>
    <row r="1168" spans="1:42">
      <c r="A1168">
        <v>48</v>
      </c>
      <c r="B1168" t="str" cm="1">
        <f t="array" ref="B1168">_xlfn.IFS(A1168&lt;=25,"18-25",A1168&lt;=35,"26-35",A1168&lt;=45,"36-45",A1168&lt;=55,"46-55",A1168&gt;55,"56+")</f>
        <v>46-55</v>
      </c>
      <c r="C1168" t="s">
        <v>39</v>
      </c>
      <c r="D1168" t="s">
        <v>40</v>
      </c>
      <c r="E1168" s="2">
        <v>365</v>
      </c>
      <c r="F1168" t="s">
        <v>41</v>
      </c>
      <c r="G1168">
        <v>4</v>
      </c>
      <c r="H1168" t="str">
        <f t="shared" si="18"/>
        <v>1-10 km</v>
      </c>
      <c r="I1168">
        <v>5</v>
      </c>
      <c r="J1168" t="str" cm="1">
        <f t="array" ref="J1168">_xlfn.IFS(I1168=1,"Below College",I1168=2,"College",I1168=3,"Bachelor",I1168=4,"Master",I1168=5,"Doctor")</f>
        <v>Doctor</v>
      </c>
      <c r="K1168" t="s">
        <v>47</v>
      </c>
      <c r="L1168">
        <v>1644</v>
      </c>
      <c r="M1168">
        <v>3</v>
      </c>
      <c r="N1168" t="str" cm="1">
        <f t="array" ref="N1168">_xlfn.IFS(M1168=1,"Low",M1168=2,"Medium",M1168=3,"High",M1168=4,"Very High")</f>
        <v>High</v>
      </c>
      <c r="O1168" t="s">
        <v>42</v>
      </c>
      <c r="P1168" s="2">
        <v>89</v>
      </c>
      <c r="Q1168">
        <v>2</v>
      </c>
      <c r="R1168" t="str" cm="1">
        <f t="array" ref="R1168">_xlfn.IFS(Q1168=1,"Low",Q1168=2,"Medium",Q1168=3,"High",Q1168=4,"Very High")</f>
        <v>Medium</v>
      </c>
      <c r="S1168">
        <v>4</v>
      </c>
      <c r="T1168" t="str" cm="1">
        <f t="array" ref="T1168">_xlfn.IFS(S1168=1,"Entry Level",S1168=2,"Junior",S1168=3,"Mid-Level",S1168=4,"Senior",S1168=5,"Executive")</f>
        <v>Senior</v>
      </c>
      <c r="U1168" t="s">
        <v>52</v>
      </c>
      <c r="V1168">
        <v>4</v>
      </c>
      <c r="W1168" t="str" cm="1">
        <f t="array" ref="W1168">_xlfn.IFS(V1168=1,"Low",V1168=2,"Medium",V1168=3,"High",V1168=4,"Very High")</f>
        <v>Very High</v>
      </c>
      <c r="X1168" t="s">
        <v>44</v>
      </c>
      <c r="Y1168" s="2">
        <v>15202</v>
      </c>
      <c r="Z1168" s="2">
        <v>5602</v>
      </c>
      <c r="AA1168">
        <v>2</v>
      </c>
      <c r="AB1168" t="s">
        <v>39</v>
      </c>
      <c r="AC1168">
        <v>25</v>
      </c>
      <c r="AD1168">
        <v>4</v>
      </c>
      <c r="AE1168" t="str" cm="1">
        <f t="array" ref="AE1168">_xlfn.IFS(AD1168=1,"Low",AD1168=2,"Good",AD1168=3,"Excellent",AD1168=4,"Outstanding")</f>
        <v>Outstanding</v>
      </c>
      <c r="AF1168">
        <v>2</v>
      </c>
      <c r="AG1168" t="str" cm="1">
        <f t="array" ref="AG1168">_xlfn.IFS(AF1168=1,"Low",AF1168=2,"Medium",AF1168=3,"High",AF1168=4,"Very High")</f>
        <v>Medium</v>
      </c>
      <c r="AH1168">
        <v>1</v>
      </c>
      <c r="AI1168">
        <v>23</v>
      </c>
      <c r="AJ1168">
        <v>3</v>
      </c>
      <c r="AK1168">
        <v>3</v>
      </c>
      <c r="AL1168" t="str" cm="1">
        <f t="array" ref="AL1168">_xlfn.IFS(AK1168=1,"Low",AK1168=2,"Medium",AK1168=3,"High",AK1168=4,"Very High")</f>
        <v>High</v>
      </c>
      <c r="AM1168">
        <v>2</v>
      </c>
      <c r="AN1168">
        <v>2</v>
      </c>
      <c r="AO1168">
        <v>2</v>
      </c>
      <c r="AP1168">
        <v>2</v>
      </c>
    </row>
    <row r="1169" spans="1:42">
      <c r="A1169">
        <v>35</v>
      </c>
      <c r="B1169" t="str" cm="1">
        <f t="array" ref="B1169">_xlfn.IFS(A1169&lt;=25,"18-25",A1169&lt;=35,"26-35",A1169&lt;=45,"36-45",A1169&lt;=55,"46-55",A1169&gt;55,"56+")</f>
        <v>26-35</v>
      </c>
      <c r="C1169" t="s">
        <v>32</v>
      </c>
      <c r="D1169" t="s">
        <v>33</v>
      </c>
      <c r="E1169" s="2">
        <v>763</v>
      </c>
      <c r="F1169" t="s">
        <v>34</v>
      </c>
      <c r="G1169">
        <v>15</v>
      </c>
      <c r="H1169" t="str">
        <f t="shared" si="18"/>
        <v>11-20 km</v>
      </c>
      <c r="I1169">
        <v>2</v>
      </c>
      <c r="J1169" t="str" cm="1">
        <f t="array" ref="J1169">_xlfn.IFS(I1169=1,"Below College",I1169=2,"College",I1169=3,"Bachelor",I1169=4,"Master",I1169=5,"Doctor")</f>
        <v>College</v>
      </c>
      <c r="K1169" t="s">
        <v>47</v>
      </c>
      <c r="L1169">
        <v>1645</v>
      </c>
      <c r="M1169">
        <v>1</v>
      </c>
      <c r="N1169" t="str" cm="1">
        <f t="array" ref="N1169">_xlfn.IFS(M1169=1,"Low",M1169=2,"Medium",M1169=3,"High",M1169=4,"Very High")</f>
        <v>Low</v>
      </c>
      <c r="O1169" t="s">
        <v>42</v>
      </c>
      <c r="P1169" s="2">
        <v>59</v>
      </c>
      <c r="Q1169">
        <v>1</v>
      </c>
      <c r="R1169" t="str" cm="1">
        <f t="array" ref="R1169">_xlfn.IFS(Q1169=1,"Low",Q1169=2,"Medium",Q1169=3,"High",Q1169=4,"Very High")</f>
        <v>Low</v>
      </c>
      <c r="S1169">
        <v>2</v>
      </c>
      <c r="T1169" t="str" cm="1">
        <f t="array" ref="T1169">_xlfn.IFS(S1169=1,"Entry Level",S1169=2,"Junior",S1169=3,"Mid-Level",S1169=4,"Senior",S1169=5,"Executive")</f>
        <v>Junior</v>
      </c>
      <c r="U1169" t="s">
        <v>37</v>
      </c>
      <c r="V1169">
        <v>4</v>
      </c>
      <c r="W1169" t="str" cm="1">
        <f t="array" ref="W1169">_xlfn.IFS(V1169=1,"Low",V1169=2,"Medium",V1169=3,"High",V1169=4,"Very High")</f>
        <v>Very High</v>
      </c>
      <c r="X1169" t="s">
        <v>48</v>
      </c>
      <c r="Y1169" s="2">
        <v>5440</v>
      </c>
      <c r="Z1169" s="2">
        <v>22098</v>
      </c>
      <c r="AA1169">
        <v>6</v>
      </c>
      <c r="AB1169" t="s">
        <v>32</v>
      </c>
      <c r="AC1169">
        <v>14</v>
      </c>
      <c r="AD1169">
        <v>3</v>
      </c>
      <c r="AE1169" t="str" cm="1">
        <f t="array" ref="AE1169">_xlfn.IFS(AD1169=1,"Low",AD1169=2,"Good",AD1169=3,"Excellent",AD1169=4,"Outstanding")</f>
        <v>Excellent</v>
      </c>
      <c r="AF1169">
        <v>4</v>
      </c>
      <c r="AG1169" t="str" cm="1">
        <f t="array" ref="AG1169">_xlfn.IFS(AF1169=1,"Low",AF1169=2,"Medium",AF1169=3,"High",AF1169=4,"Very High")</f>
        <v>Very High</v>
      </c>
      <c r="AH1169">
        <v>2</v>
      </c>
      <c r="AI1169">
        <v>7</v>
      </c>
      <c r="AJ1169">
        <v>2</v>
      </c>
      <c r="AK1169">
        <v>2</v>
      </c>
      <c r="AL1169" t="str" cm="1">
        <f t="array" ref="AL1169">_xlfn.IFS(AK1169=1,"Low",AK1169=2,"Medium",AK1169=3,"High",AK1169=4,"Very High")</f>
        <v>Medium</v>
      </c>
      <c r="AM1169">
        <v>2</v>
      </c>
      <c r="AN1169">
        <v>2</v>
      </c>
      <c r="AO1169">
        <v>2</v>
      </c>
      <c r="AP1169">
        <v>2</v>
      </c>
    </row>
    <row r="1170" spans="1:42">
      <c r="A1170">
        <v>24</v>
      </c>
      <c r="B1170" t="str" cm="1">
        <f t="array" ref="B1170">_xlfn.IFS(A1170&lt;=25,"18-25",A1170&lt;=35,"26-35",A1170&lt;=45,"36-45",A1170&lt;=55,"46-55",A1170&gt;55,"56+")</f>
        <v>18-25</v>
      </c>
      <c r="C1170" t="s">
        <v>39</v>
      </c>
      <c r="D1170" t="s">
        <v>40</v>
      </c>
      <c r="E1170" s="2">
        <v>567</v>
      </c>
      <c r="F1170" t="s">
        <v>41</v>
      </c>
      <c r="G1170">
        <v>2</v>
      </c>
      <c r="H1170" t="str">
        <f t="shared" si="18"/>
        <v>1-10 km</v>
      </c>
      <c r="I1170">
        <v>1</v>
      </c>
      <c r="J1170" t="str" cm="1">
        <f t="array" ref="J1170">_xlfn.IFS(I1170=1,"Below College",I1170=2,"College",I1170=3,"Bachelor",I1170=4,"Master",I1170=5,"Doctor")</f>
        <v>Below College</v>
      </c>
      <c r="K1170" t="s">
        <v>56</v>
      </c>
      <c r="L1170">
        <v>1646</v>
      </c>
      <c r="M1170">
        <v>1</v>
      </c>
      <c r="N1170" t="str" cm="1">
        <f t="array" ref="N1170">_xlfn.IFS(M1170=1,"Low",M1170=2,"Medium",M1170=3,"High",M1170=4,"Very High")</f>
        <v>Low</v>
      </c>
      <c r="O1170" t="s">
        <v>36</v>
      </c>
      <c r="P1170" s="2">
        <v>32</v>
      </c>
      <c r="Q1170">
        <v>3</v>
      </c>
      <c r="R1170" t="str" cm="1">
        <f t="array" ref="R1170">_xlfn.IFS(Q1170=1,"Low",Q1170=2,"Medium",Q1170=3,"High",Q1170=4,"Very High")</f>
        <v>High</v>
      </c>
      <c r="S1170">
        <v>1</v>
      </c>
      <c r="T1170" t="str" cm="1">
        <f t="array" ref="T1170">_xlfn.IFS(S1170=1,"Entry Level",S1170=2,"Junior",S1170=3,"Mid-Level",S1170=4,"Senior",S1170=5,"Executive")</f>
        <v>Entry Level</v>
      </c>
      <c r="U1170" t="s">
        <v>43</v>
      </c>
      <c r="V1170">
        <v>4</v>
      </c>
      <c r="W1170" t="str" cm="1">
        <f t="array" ref="W1170">_xlfn.IFS(V1170=1,"Low",V1170=2,"Medium",V1170=3,"High",V1170=4,"Very High")</f>
        <v>Very High</v>
      </c>
      <c r="X1170" t="s">
        <v>38</v>
      </c>
      <c r="Y1170" s="2">
        <v>3760</v>
      </c>
      <c r="Z1170" s="2">
        <v>17218</v>
      </c>
      <c r="AA1170">
        <v>1</v>
      </c>
      <c r="AB1170" t="s">
        <v>32</v>
      </c>
      <c r="AC1170">
        <v>13</v>
      </c>
      <c r="AD1170">
        <v>3</v>
      </c>
      <c r="AE1170" t="str" cm="1">
        <f t="array" ref="AE1170">_xlfn.IFS(AD1170=1,"Low",AD1170=2,"Good",AD1170=3,"Excellent",AD1170=4,"Outstanding")</f>
        <v>Excellent</v>
      </c>
      <c r="AF1170">
        <v>3</v>
      </c>
      <c r="AG1170" t="str" cm="1">
        <f t="array" ref="AG1170">_xlfn.IFS(AF1170=1,"Low",AF1170=2,"Medium",AF1170=3,"High",AF1170=4,"Very High")</f>
        <v>High</v>
      </c>
      <c r="AH1170">
        <v>0</v>
      </c>
      <c r="AI1170">
        <v>6</v>
      </c>
      <c r="AJ1170">
        <v>2</v>
      </c>
      <c r="AK1170">
        <v>3</v>
      </c>
      <c r="AL1170" t="str" cm="1">
        <f t="array" ref="AL1170">_xlfn.IFS(AK1170=1,"Low",AK1170=2,"Medium",AK1170=3,"High",AK1170=4,"Very High")</f>
        <v>High</v>
      </c>
      <c r="AM1170">
        <v>6</v>
      </c>
      <c r="AN1170">
        <v>3</v>
      </c>
      <c r="AO1170">
        <v>1</v>
      </c>
      <c r="AP1170">
        <v>3</v>
      </c>
    </row>
    <row r="1171" spans="1:42">
      <c r="A1171">
        <v>27</v>
      </c>
      <c r="B1171" t="str" cm="1">
        <f t="array" ref="B1171">_xlfn.IFS(A1171&lt;=25,"18-25",A1171&lt;=35,"26-35",A1171&lt;=45,"36-45",A1171&lt;=55,"46-55",A1171&gt;55,"56+")</f>
        <v>26-35</v>
      </c>
      <c r="C1171" t="s">
        <v>39</v>
      </c>
      <c r="D1171" t="s">
        <v>33</v>
      </c>
      <c r="E1171" s="2">
        <v>486</v>
      </c>
      <c r="F1171" t="s">
        <v>41</v>
      </c>
      <c r="G1171">
        <v>8</v>
      </c>
      <c r="H1171" t="str">
        <f t="shared" si="18"/>
        <v>1-10 km</v>
      </c>
      <c r="I1171">
        <v>3</v>
      </c>
      <c r="J1171" t="str" cm="1">
        <f t="array" ref="J1171">_xlfn.IFS(I1171=1,"Below College",I1171=2,"College",I1171=3,"Bachelor",I1171=4,"Master",I1171=5,"Doctor")</f>
        <v>Bachelor</v>
      </c>
      <c r="K1171" t="s">
        <v>47</v>
      </c>
      <c r="L1171">
        <v>1647</v>
      </c>
      <c r="M1171">
        <v>2</v>
      </c>
      <c r="N1171" t="str" cm="1">
        <f t="array" ref="N1171">_xlfn.IFS(M1171=1,"Low",M1171=2,"Medium",M1171=3,"High",M1171=4,"Very High")</f>
        <v>Medium</v>
      </c>
      <c r="O1171" t="s">
        <v>36</v>
      </c>
      <c r="P1171" s="2">
        <v>86</v>
      </c>
      <c r="Q1171">
        <v>4</v>
      </c>
      <c r="R1171" t="str" cm="1">
        <f t="array" ref="R1171">_xlfn.IFS(Q1171=1,"Low",Q1171=2,"Medium",Q1171=3,"High",Q1171=4,"Very High")</f>
        <v>Very High</v>
      </c>
      <c r="S1171">
        <v>1</v>
      </c>
      <c r="T1171" t="str" cm="1">
        <f t="array" ref="T1171">_xlfn.IFS(S1171=1,"Entry Level",S1171=2,"Junior",S1171=3,"Mid-Level",S1171=4,"Senior",S1171=5,"Executive")</f>
        <v>Entry Level</v>
      </c>
      <c r="U1171" t="s">
        <v>43</v>
      </c>
      <c r="V1171">
        <v>3</v>
      </c>
      <c r="W1171" t="str" cm="1">
        <f t="array" ref="W1171">_xlfn.IFS(V1171=1,"Low",V1171=2,"Medium",V1171=3,"High",V1171=4,"Very High")</f>
        <v>High</v>
      </c>
      <c r="X1171" t="s">
        <v>44</v>
      </c>
      <c r="Y1171" s="2">
        <v>3517</v>
      </c>
      <c r="Z1171" s="2">
        <v>22490</v>
      </c>
      <c r="AA1171">
        <v>7</v>
      </c>
      <c r="AB1171" t="s">
        <v>39</v>
      </c>
      <c r="AC1171">
        <v>17</v>
      </c>
      <c r="AD1171">
        <v>3</v>
      </c>
      <c r="AE1171" t="str" cm="1">
        <f t="array" ref="AE1171">_xlfn.IFS(AD1171=1,"Low",AD1171=2,"Good",AD1171=3,"Excellent",AD1171=4,"Outstanding")</f>
        <v>Excellent</v>
      </c>
      <c r="AF1171">
        <v>1</v>
      </c>
      <c r="AG1171" t="str" cm="1">
        <f t="array" ref="AG1171">_xlfn.IFS(AF1171=1,"Low",AF1171=2,"Medium",AF1171=3,"High",AF1171=4,"Very High")</f>
        <v>Low</v>
      </c>
      <c r="AH1171">
        <v>0</v>
      </c>
      <c r="AI1171">
        <v>5</v>
      </c>
      <c r="AJ1171">
        <v>0</v>
      </c>
      <c r="AK1171">
        <v>3</v>
      </c>
      <c r="AL1171" t="str" cm="1">
        <f t="array" ref="AL1171">_xlfn.IFS(AK1171=1,"Low",AK1171=2,"Medium",AK1171=3,"High",AK1171=4,"Very High")</f>
        <v>High</v>
      </c>
      <c r="AM1171">
        <v>3</v>
      </c>
      <c r="AN1171">
        <v>2</v>
      </c>
      <c r="AO1171">
        <v>0</v>
      </c>
      <c r="AP1171">
        <v>2</v>
      </c>
    </row>
    <row r="1172" spans="1:42">
      <c r="A1172">
        <v>27</v>
      </c>
      <c r="B1172" t="str" cm="1">
        <f t="array" ref="B1172">_xlfn.IFS(A1172&lt;=25,"18-25",A1172&lt;=35,"26-35",A1172&lt;=45,"36-45",A1172&lt;=55,"46-55",A1172&gt;55,"56+")</f>
        <v>26-35</v>
      </c>
      <c r="C1172" t="s">
        <v>39</v>
      </c>
      <c r="D1172" t="s">
        <v>40</v>
      </c>
      <c r="E1172" s="2">
        <v>591</v>
      </c>
      <c r="F1172" t="s">
        <v>41</v>
      </c>
      <c r="G1172">
        <v>2</v>
      </c>
      <c r="H1172" t="str">
        <f t="shared" si="18"/>
        <v>1-10 km</v>
      </c>
      <c r="I1172">
        <v>3</v>
      </c>
      <c r="J1172" t="str" cm="1">
        <f t="array" ref="J1172">_xlfn.IFS(I1172=1,"Below College",I1172=2,"College",I1172=3,"Bachelor",I1172=4,"Master",I1172=5,"Doctor")</f>
        <v>Bachelor</v>
      </c>
      <c r="K1172" t="s">
        <v>47</v>
      </c>
      <c r="L1172">
        <v>1648</v>
      </c>
      <c r="M1172">
        <v>4</v>
      </c>
      <c r="N1172" t="str" cm="1">
        <f t="array" ref="N1172">_xlfn.IFS(M1172=1,"Low",M1172=2,"Medium",M1172=3,"High",M1172=4,"Very High")</f>
        <v>Very High</v>
      </c>
      <c r="O1172" t="s">
        <v>42</v>
      </c>
      <c r="P1172" s="2">
        <v>87</v>
      </c>
      <c r="Q1172">
        <v>3</v>
      </c>
      <c r="R1172" t="str" cm="1">
        <f t="array" ref="R1172">_xlfn.IFS(Q1172=1,"Low",Q1172=2,"Medium",Q1172=3,"High",Q1172=4,"Very High")</f>
        <v>High</v>
      </c>
      <c r="S1172">
        <v>1</v>
      </c>
      <c r="T1172" t="str" cm="1">
        <f t="array" ref="T1172">_xlfn.IFS(S1172=1,"Entry Level",S1172=2,"Junior",S1172=3,"Mid-Level",S1172=4,"Senior",S1172=5,"Executive")</f>
        <v>Entry Level</v>
      </c>
      <c r="U1172" t="s">
        <v>43</v>
      </c>
      <c r="V1172">
        <v>4</v>
      </c>
      <c r="W1172" t="str" cm="1">
        <f t="array" ref="W1172">_xlfn.IFS(V1172=1,"Low",V1172=2,"Medium",V1172=3,"High",V1172=4,"Very High")</f>
        <v>Very High</v>
      </c>
      <c r="X1172" t="s">
        <v>38</v>
      </c>
      <c r="Y1172" s="2">
        <v>2580</v>
      </c>
      <c r="Z1172" s="2">
        <v>6297</v>
      </c>
      <c r="AA1172">
        <v>2</v>
      </c>
      <c r="AB1172" t="s">
        <v>39</v>
      </c>
      <c r="AC1172">
        <v>13</v>
      </c>
      <c r="AD1172">
        <v>3</v>
      </c>
      <c r="AE1172" t="str" cm="1">
        <f t="array" ref="AE1172">_xlfn.IFS(AD1172=1,"Low",AD1172=2,"Good",AD1172=3,"Excellent",AD1172=4,"Outstanding")</f>
        <v>Excellent</v>
      </c>
      <c r="AF1172">
        <v>3</v>
      </c>
      <c r="AG1172" t="str" cm="1">
        <f t="array" ref="AG1172">_xlfn.IFS(AF1172=1,"Low",AF1172=2,"Medium",AF1172=3,"High",AF1172=4,"Very High")</f>
        <v>High</v>
      </c>
      <c r="AH1172">
        <v>0</v>
      </c>
      <c r="AI1172">
        <v>6</v>
      </c>
      <c r="AJ1172">
        <v>0</v>
      </c>
      <c r="AK1172">
        <v>2</v>
      </c>
      <c r="AL1172" t="str" cm="1">
        <f t="array" ref="AL1172">_xlfn.IFS(AK1172=1,"Low",AK1172=2,"Medium",AK1172=3,"High",AK1172=4,"Very High")</f>
        <v>Medium</v>
      </c>
      <c r="AM1172">
        <v>4</v>
      </c>
      <c r="AN1172">
        <v>2</v>
      </c>
      <c r="AO1172">
        <v>1</v>
      </c>
      <c r="AP1172">
        <v>2</v>
      </c>
    </row>
    <row r="1173" spans="1:42">
      <c r="A1173">
        <v>40</v>
      </c>
      <c r="B1173" t="str" cm="1">
        <f t="array" ref="B1173">_xlfn.IFS(A1173&lt;=25,"18-25",A1173&lt;=35,"26-35",A1173&lt;=45,"36-45",A1173&lt;=55,"46-55",A1173&gt;55,"56+")</f>
        <v>36-45</v>
      </c>
      <c r="C1173" t="s">
        <v>32</v>
      </c>
      <c r="D1173" t="s">
        <v>33</v>
      </c>
      <c r="E1173" s="2">
        <v>1329</v>
      </c>
      <c r="F1173" t="s">
        <v>41</v>
      </c>
      <c r="G1173">
        <v>7</v>
      </c>
      <c r="H1173" t="str">
        <f t="shared" si="18"/>
        <v>1-10 km</v>
      </c>
      <c r="I1173">
        <v>3</v>
      </c>
      <c r="J1173" t="str" cm="1">
        <f t="array" ref="J1173">_xlfn.IFS(I1173=1,"Below College",I1173=2,"College",I1173=3,"Bachelor",I1173=4,"Master",I1173=5,"Doctor")</f>
        <v>Bachelor</v>
      </c>
      <c r="K1173" t="s">
        <v>35</v>
      </c>
      <c r="L1173">
        <v>1649</v>
      </c>
      <c r="M1173">
        <v>1</v>
      </c>
      <c r="N1173" t="str" cm="1">
        <f t="array" ref="N1173">_xlfn.IFS(M1173=1,"Low",M1173=2,"Medium",M1173=3,"High",M1173=4,"Very High")</f>
        <v>Low</v>
      </c>
      <c r="O1173" t="s">
        <v>42</v>
      </c>
      <c r="P1173" s="2">
        <v>73</v>
      </c>
      <c r="Q1173">
        <v>3</v>
      </c>
      <c r="R1173" t="str" cm="1">
        <f t="array" ref="R1173">_xlfn.IFS(Q1173=1,"Low",Q1173=2,"Medium",Q1173=3,"High",Q1173=4,"Very High")</f>
        <v>High</v>
      </c>
      <c r="S1173">
        <v>1</v>
      </c>
      <c r="T1173" t="str" cm="1">
        <f t="array" ref="T1173">_xlfn.IFS(S1173=1,"Entry Level",S1173=2,"Junior",S1173=3,"Mid-Level",S1173=4,"Senior",S1173=5,"Executive")</f>
        <v>Entry Level</v>
      </c>
      <c r="U1173" t="s">
        <v>46</v>
      </c>
      <c r="V1173">
        <v>1</v>
      </c>
      <c r="W1173" t="str" cm="1">
        <f t="array" ref="W1173">_xlfn.IFS(V1173=1,"Low",V1173=2,"Medium",V1173=3,"High",V1173=4,"Very High")</f>
        <v>Low</v>
      </c>
      <c r="X1173" t="s">
        <v>38</v>
      </c>
      <c r="Y1173" s="2">
        <v>2166</v>
      </c>
      <c r="Z1173" s="2">
        <v>3339</v>
      </c>
      <c r="AA1173">
        <v>3</v>
      </c>
      <c r="AB1173" t="s">
        <v>32</v>
      </c>
      <c r="AC1173">
        <v>14</v>
      </c>
      <c r="AD1173">
        <v>3</v>
      </c>
      <c r="AE1173" t="str" cm="1">
        <f t="array" ref="AE1173">_xlfn.IFS(AD1173=1,"Low",AD1173=2,"Good",AD1173=3,"Excellent",AD1173=4,"Outstanding")</f>
        <v>Excellent</v>
      </c>
      <c r="AF1173">
        <v>2</v>
      </c>
      <c r="AG1173" t="str" cm="1">
        <f t="array" ref="AG1173">_xlfn.IFS(AF1173=1,"Low",AF1173=2,"Medium",AF1173=3,"High",AF1173=4,"Very High")</f>
        <v>Medium</v>
      </c>
      <c r="AH1173">
        <v>0</v>
      </c>
      <c r="AI1173">
        <v>10</v>
      </c>
      <c r="AJ1173">
        <v>3</v>
      </c>
      <c r="AK1173">
        <v>1</v>
      </c>
      <c r="AL1173" t="str" cm="1">
        <f t="array" ref="AL1173">_xlfn.IFS(AK1173=1,"Low",AK1173=2,"Medium",AK1173=3,"High",AK1173=4,"Very High")</f>
        <v>Low</v>
      </c>
      <c r="AM1173">
        <v>4</v>
      </c>
      <c r="AN1173">
        <v>2</v>
      </c>
      <c r="AO1173">
        <v>0</v>
      </c>
      <c r="AP1173">
        <v>3</v>
      </c>
    </row>
    <row r="1174" spans="1:42">
      <c r="A1174">
        <v>29</v>
      </c>
      <c r="B1174" t="str" cm="1">
        <f t="array" ref="B1174">_xlfn.IFS(A1174&lt;=25,"18-25",A1174&lt;=35,"26-35",A1174&lt;=45,"36-45",A1174&lt;=55,"46-55",A1174&gt;55,"56+")</f>
        <v>26-35</v>
      </c>
      <c r="C1174" t="s">
        <v>39</v>
      </c>
      <c r="D1174" t="s">
        <v>33</v>
      </c>
      <c r="E1174" s="2">
        <v>469</v>
      </c>
      <c r="F1174" t="s">
        <v>34</v>
      </c>
      <c r="G1174">
        <v>10</v>
      </c>
      <c r="H1174" t="str">
        <f t="shared" si="18"/>
        <v>1-10 km</v>
      </c>
      <c r="I1174">
        <v>3</v>
      </c>
      <c r="J1174" t="str" cm="1">
        <f t="array" ref="J1174">_xlfn.IFS(I1174=1,"Below College",I1174=2,"College",I1174=3,"Bachelor",I1174=4,"Master",I1174=5,"Doctor")</f>
        <v>Bachelor</v>
      </c>
      <c r="K1174" t="s">
        <v>47</v>
      </c>
      <c r="L1174">
        <v>1650</v>
      </c>
      <c r="M1174">
        <v>3</v>
      </c>
      <c r="N1174" t="str" cm="1">
        <f t="array" ref="N1174">_xlfn.IFS(M1174=1,"Low",M1174=2,"Medium",M1174=3,"High",M1174=4,"Very High")</f>
        <v>High</v>
      </c>
      <c r="O1174" t="s">
        <v>42</v>
      </c>
      <c r="P1174" s="2">
        <v>42</v>
      </c>
      <c r="Q1174">
        <v>2</v>
      </c>
      <c r="R1174" t="str" cm="1">
        <f t="array" ref="R1174">_xlfn.IFS(Q1174=1,"Low",Q1174=2,"Medium",Q1174=3,"High",Q1174=4,"Very High")</f>
        <v>Medium</v>
      </c>
      <c r="S1174">
        <v>2</v>
      </c>
      <c r="T1174" t="str" cm="1">
        <f t="array" ref="T1174">_xlfn.IFS(S1174=1,"Entry Level",S1174=2,"Junior",S1174=3,"Mid-Level",S1174=4,"Senior",S1174=5,"Executive")</f>
        <v>Junior</v>
      </c>
      <c r="U1174" t="s">
        <v>37</v>
      </c>
      <c r="V1174">
        <v>3</v>
      </c>
      <c r="W1174" t="str" cm="1">
        <f t="array" ref="W1174">_xlfn.IFS(V1174=1,"Low",V1174=2,"Medium",V1174=3,"High",V1174=4,"Very High")</f>
        <v>High</v>
      </c>
      <c r="X1174" t="s">
        <v>38</v>
      </c>
      <c r="Y1174" s="2">
        <v>5869</v>
      </c>
      <c r="Z1174" s="2">
        <v>23413</v>
      </c>
      <c r="AA1174">
        <v>9</v>
      </c>
      <c r="AB1174" t="s">
        <v>39</v>
      </c>
      <c r="AC1174">
        <v>11</v>
      </c>
      <c r="AD1174">
        <v>3</v>
      </c>
      <c r="AE1174" t="str" cm="1">
        <f t="array" ref="AE1174">_xlfn.IFS(AD1174=1,"Low",AD1174=2,"Good",AD1174=3,"Excellent",AD1174=4,"Outstanding")</f>
        <v>Excellent</v>
      </c>
      <c r="AF1174">
        <v>3</v>
      </c>
      <c r="AG1174" t="str" cm="1">
        <f t="array" ref="AG1174">_xlfn.IFS(AF1174=1,"Low",AF1174=2,"Medium",AF1174=3,"High",AF1174=4,"Very High")</f>
        <v>High</v>
      </c>
      <c r="AH1174">
        <v>0</v>
      </c>
      <c r="AI1174">
        <v>8</v>
      </c>
      <c r="AJ1174">
        <v>2</v>
      </c>
      <c r="AK1174">
        <v>3</v>
      </c>
      <c r="AL1174" t="str" cm="1">
        <f t="array" ref="AL1174">_xlfn.IFS(AK1174=1,"Low",AK1174=2,"Medium",AK1174=3,"High",AK1174=4,"Very High")</f>
        <v>High</v>
      </c>
      <c r="AM1174">
        <v>5</v>
      </c>
      <c r="AN1174">
        <v>2</v>
      </c>
      <c r="AO1174">
        <v>1</v>
      </c>
      <c r="AP1174">
        <v>4</v>
      </c>
    </row>
    <row r="1175" spans="1:42">
      <c r="A1175">
        <v>36</v>
      </c>
      <c r="B1175" t="str" cm="1">
        <f t="array" ref="B1175">_xlfn.IFS(A1175&lt;=25,"18-25",A1175&lt;=35,"26-35",A1175&lt;=45,"36-45",A1175&lt;=55,"46-55",A1175&gt;55,"56+")</f>
        <v>36-45</v>
      </c>
      <c r="C1175" t="s">
        <v>39</v>
      </c>
      <c r="D1175" t="s">
        <v>33</v>
      </c>
      <c r="E1175" s="2">
        <v>711</v>
      </c>
      <c r="F1175" t="s">
        <v>41</v>
      </c>
      <c r="G1175">
        <v>5</v>
      </c>
      <c r="H1175" t="str">
        <f t="shared" si="18"/>
        <v>1-10 km</v>
      </c>
      <c r="I1175">
        <v>4</v>
      </c>
      <c r="J1175" t="str" cm="1">
        <f t="array" ref="J1175">_xlfn.IFS(I1175=1,"Below College",I1175=2,"College",I1175=3,"Bachelor",I1175=4,"Master",I1175=5,"Doctor")</f>
        <v>Master</v>
      </c>
      <c r="K1175" t="s">
        <v>35</v>
      </c>
      <c r="L1175">
        <v>1651</v>
      </c>
      <c r="M1175">
        <v>2</v>
      </c>
      <c r="N1175" t="str" cm="1">
        <f t="array" ref="N1175">_xlfn.IFS(M1175=1,"Low",M1175=2,"Medium",M1175=3,"High",M1175=4,"Very High")</f>
        <v>Medium</v>
      </c>
      <c r="O1175" t="s">
        <v>36</v>
      </c>
      <c r="P1175" s="2">
        <v>42</v>
      </c>
      <c r="Q1175">
        <v>3</v>
      </c>
      <c r="R1175" t="str" cm="1">
        <f t="array" ref="R1175">_xlfn.IFS(Q1175=1,"Low",Q1175=2,"Medium",Q1175=3,"High",Q1175=4,"Very High")</f>
        <v>High</v>
      </c>
      <c r="S1175">
        <v>3</v>
      </c>
      <c r="T1175" t="str" cm="1">
        <f t="array" ref="T1175">_xlfn.IFS(S1175=1,"Entry Level",S1175=2,"Junior",S1175=3,"Mid-Level",S1175=4,"Senior",S1175=5,"Executive")</f>
        <v>Mid-Level</v>
      </c>
      <c r="U1175" t="s">
        <v>50</v>
      </c>
      <c r="V1175">
        <v>1</v>
      </c>
      <c r="W1175" t="str" cm="1">
        <f t="array" ref="W1175">_xlfn.IFS(V1175=1,"Low",V1175=2,"Medium",V1175=3,"High",V1175=4,"Very High")</f>
        <v>Low</v>
      </c>
      <c r="X1175" t="s">
        <v>44</v>
      </c>
      <c r="Y1175" s="2">
        <v>8008</v>
      </c>
      <c r="Z1175" s="2">
        <v>22792</v>
      </c>
      <c r="AA1175">
        <v>4</v>
      </c>
      <c r="AB1175" t="s">
        <v>39</v>
      </c>
      <c r="AC1175">
        <v>12</v>
      </c>
      <c r="AD1175">
        <v>3</v>
      </c>
      <c r="AE1175" t="str" cm="1">
        <f t="array" ref="AE1175">_xlfn.IFS(AD1175=1,"Low",AD1175=2,"Good",AD1175=3,"Excellent",AD1175=4,"Outstanding")</f>
        <v>Excellent</v>
      </c>
      <c r="AF1175">
        <v>3</v>
      </c>
      <c r="AG1175" t="str" cm="1">
        <f t="array" ref="AG1175">_xlfn.IFS(AF1175=1,"Low",AF1175=2,"Medium",AF1175=3,"High",AF1175=4,"Very High")</f>
        <v>High</v>
      </c>
      <c r="AH1175">
        <v>2</v>
      </c>
      <c r="AI1175">
        <v>9</v>
      </c>
      <c r="AJ1175">
        <v>6</v>
      </c>
      <c r="AK1175">
        <v>3</v>
      </c>
      <c r="AL1175" t="str" cm="1">
        <f t="array" ref="AL1175">_xlfn.IFS(AK1175=1,"Low",AK1175=2,"Medium",AK1175=3,"High",AK1175=4,"Very High")</f>
        <v>High</v>
      </c>
      <c r="AM1175">
        <v>3</v>
      </c>
      <c r="AN1175">
        <v>2</v>
      </c>
      <c r="AO1175">
        <v>0</v>
      </c>
      <c r="AP1175">
        <v>2</v>
      </c>
    </row>
    <row r="1176" spans="1:42">
      <c r="A1176">
        <v>25</v>
      </c>
      <c r="B1176" t="str" cm="1">
        <f t="array" ref="B1176">_xlfn.IFS(A1176&lt;=25,"18-25",A1176&lt;=35,"26-35",A1176&lt;=45,"36-45",A1176&lt;=55,"46-55",A1176&gt;55,"56+")</f>
        <v>18-25</v>
      </c>
      <c r="C1176" t="s">
        <v>39</v>
      </c>
      <c r="D1176" t="s">
        <v>40</v>
      </c>
      <c r="E1176" s="2">
        <v>772</v>
      </c>
      <c r="F1176" t="s">
        <v>41</v>
      </c>
      <c r="G1176">
        <v>2</v>
      </c>
      <c r="H1176" t="str">
        <f t="shared" si="18"/>
        <v>1-10 km</v>
      </c>
      <c r="I1176">
        <v>1</v>
      </c>
      <c r="J1176" t="str" cm="1">
        <f t="array" ref="J1176">_xlfn.IFS(I1176=1,"Below College",I1176=2,"College",I1176=3,"Bachelor",I1176=4,"Master",I1176=5,"Doctor")</f>
        <v>Below College</v>
      </c>
      <c r="K1176" t="s">
        <v>35</v>
      </c>
      <c r="L1176">
        <v>1653</v>
      </c>
      <c r="M1176">
        <v>4</v>
      </c>
      <c r="N1176" t="str" cm="1">
        <f t="array" ref="N1176">_xlfn.IFS(M1176=1,"Low",M1176=2,"Medium",M1176=3,"High",M1176=4,"Very High")</f>
        <v>Very High</v>
      </c>
      <c r="O1176" t="s">
        <v>42</v>
      </c>
      <c r="P1176" s="2">
        <v>77</v>
      </c>
      <c r="Q1176">
        <v>4</v>
      </c>
      <c r="R1176" t="str" cm="1">
        <f t="array" ref="R1176">_xlfn.IFS(Q1176=1,"Low",Q1176=2,"Medium",Q1176=3,"High",Q1176=4,"Very High")</f>
        <v>Very High</v>
      </c>
      <c r="S1176">
        <v>2</v>
      </c>
      <c r="T1176" t="str" cm="1">
        <f t="array" ref="T1176">_xlfn.IFS(S1176=1,"Entry Level",S1176=2,"Junior",S1176=3,"Mid-Level",S1176=4,"Senior",S1176=5,"Executive")</f>
        <v>Junior</v>
      </c>
      <c r="U1176" t="s">
        <v>49</v>
      </c>
      <c r="V1176">
        <v>3</v>
      </c>
      <c r="W1176" t="str" cm="1">
        <f t="array" ref="W1176">_xlfn.IFS(V1176=1,"Low",V1176=2,"Medium",V1176=3,"High",V1176=4,"Very High")</f>
        <v>High</v>
      </c>
      <c r="X1176" t="s">
        <v>48</v>
      </c>
      <c r="Y1176" s="2">
        <v>5206</v>
      </c>
      <c r="Z1176" s="2">
        <v>4973</v>
      </c>
      <c r="AA1176">
        <v>1</v>
      </c>
      <c r="AB1176" t="s">
        <v>39</v>
      </c>
      <c r="AC1176">
        <v>17</v>
      </c>
      <c r="AD1176">
        <v>3</v>
      </c>
      <c r="AE1176" t="str" cm="1">
        <f t="array" ref="AE1176">_xlfn.IFS(AD1176=1,"Low",AD1176=2,"Good",AD1176=3,"Excellent",AD1176=4,"Outstanding")</f>
        <v>Excellent</v>
      </c>
      <c r="AF1176">
        <v>3</v>
      </c>
      <c r="AG1176" t="str" cm="1">
        <f t="array" ref="AG1176">_xlfn.IFS(AF1176=1,"Low",AF1176=2,"Medium",AF1176=3,"High",AF1176=4,"Very High")</f>
        <v>High</v>
      </c>
      <c r="AH1176">
        <v>2</v>
      </c>
      <c r="AI1176">
        <v>7</v>
      </c>
      <c r="AJ1176">
        <v>6</v>
      </c>
      <c r="AK1176">
        <v>3</v>
      </c>
      <c r="AL1176" t="str" cm="1">
        <f t="array" ref="AL1176">_xlfn.IFS(AK1176=1,"Low",AK1176=2,"Medium",AK1176=3,"High",AK1176=4,"Very High")</f>
        <v>High</v>
      </c>
      <c r="AM1176">
        <v>7</v>
      </c>
      <c r="AN1176">
        <v>7</v>
      </c>
      <c r="AO1176">
        <v>0</v>
      </c>
      <c r="AP1176">
        <v>7</v>
      </c>
    </row>
    <row r="1177" spans="1:42">
      <c r="A1177">
        <v>39</v>
      </c>
      <c r="B1177" t="str" cm="1">
        <f t="array" ref="B1177">_xlfn.IFS(A1177&lt;=25,"18-25",A1177&lt;=35,"26-35",A1177&lt;=45,"36-45",A1177&lt;=55,"46-55",A1177&gt;55,"56+")</f>
        <v>36-45</v>
      </c>
      <c r="C1177" t="s">
        <v>39</v>
      </c>
      <c r="D1177" t="s">
        <v>33</v>
      </c>
      <c r="E1177" s="2">
        <v>492</v>
      </c>
      <c r="F1177" t="s">
        <v>41</v>
      </c>
      <c r="G1177">
        <v>12</v>
      </c>
      <c r="H1177" t="str">
        <f t="shared" si="18"/>
        <v>11-20 km</v>
      </c>
      <c r="I1177">
        <v>3</v>
      </c>
      <c r="J1177" t="str" cm="1">
        <f t="array" ref="J1177">_xlfn.IFS(I1177=1,"Below College",I1177=2,"College",I1177=3,"Bachelor",I1177=4,"Master",I1177=5,"Doctor")</f>
        <v>Bachelor</v>
      </c>
      <c r="K1177" t="s">
        <v>47</v>
      </c>
      <c r="L1177">
        <v>1654</v>
      </c>
      <c r="M1177">
        <v>4</v>
      </c>
      <c r="N1177" t="str" cm="1">
        <f t="array" ref="N1177">_xlfn.IFS(M1177=1,"Low",M1177=2,"Medium",M1177=3,"High",M1177=4,"Very High")</f>
        <v>Very High</v>
      </c>
      <c r="O1177" t="s">
        <v>42</v>
      </c>
      <c r="P1177" s="2">
        <v>66</v>
      </c>
      <c r="Q1177">
        <v>3</v>
      </c>
      <c r="R1177" t="str" cm="1">
        <f t="array" ref="R1177">_xlfn.IFS(Q1177=1,"Low",Q1177=2,"Medium",Q1177=3,"High",Q1177=4,"Very High")</f>
        <v>High</v>
      </c>
      <c r="S1177">
        <v>2</v>
      </c>
      <c r="T1177" t="str" cm="1">
        <f t="array" ref="T1177">_xlfn.IFS(S1177=1,"Entry Level",S1177=2,"Junior",S1177=3,"Mid-Level",S1177=4,"Senior",S1177=5,"Executive")</f>
        <v>Junior</v>
      </c>
      <c r="U1177" t="s">
        <v>49</v>
      </c>
      <c r="V1177">
        <v>2</v>
      </c>
      <c r="W1177" t="str" cm="1">
        <f t="array" ref="W1177">_xlfn.IFS(V1177=1,"Low",V1177=2,"Medium",V1177=3,"High",V1177=4,"Very High")</f>
        <v>Medium</v>
      </c>
      <c r="X1177" t="s">
        <v>44</v>
      </c>
      <c r="Y1177" s="2">
        <v>5295</v>
      </c>
      <c r="Z1177" s="2">
        <v>7693</v>
      </c>
      <c r="AA1177">
        <v>4</v>
      </c>
      <c r="AB1177" t="s">
        <v>39</v>
      </c>
      <c r="AC1177">
        <v>21</v>
      </c>
      <c r="AD1177">
        <v>4</v>
      </c>
      <c r="AE1177" t="str" cm="1">
        <f t="array" ref="AE1177">_xlfn.IFS(AD1177=1,"Low",AD1177=2,"Good",AD1177=3,"Excellent",AD1177=4,"Outstanding")</f>
        <v>Outstanding</v>
      </c>
      <c r="AF1177">
        <v>3</v>
      </c>
      <c r="AG1177" t="str" cm="1">
        <f t="array" ref="AG1177">_xlfn.IFS(AF1177=1,"Low",AF1177=2,"Medium",AF1177=3,"High",AF1177=4,"Very High")</f>
        <v>High</v>
      </c>
      <c r="AH1177">
        <v>0</v>
      </c>
      <c r="AI1177">
        <v>7</v>
      </c>
      <c r="AJ1177">
        <v>3</v>
      </c>
      <c r="AK1177">
        <v>3</v>
      </c>
      <c r="AL1177" t="str" cm="1">
        <f t="array" ref="AL1177">_xlfn.IFS(AK1177=1,"Low",AK1177=2,"Medium",AK1177=3,"High",AK1177=4,"Very High")</f>
        <v>High</v>
      </c>
      <c r="AM1177">
        <v>5</v>
      </c>
      <c r="AN1177">
        <v>4</v>
      </c>
      <c r="AO1177">
        <v>1</v>
      </c>
      <c r="AP1177">
        <v>0</v>
      </c>
    </row>
    <row r="1178" spans="1:42">
      <c r="A1178">
        <v>49</v>
      </c>
      <c r="B1178" t="str" cm="1">
        <f t="array" ref="B1178">_xlfn.IFS(A1178&lt;=25,"18-25",A1178&lt;=35,"26-35",A1178&lt;=45,"36-45",A1178&lt;=55,"46-55",A1178&gt;55,"56+")</f>
        <v>46-55</v>
      </c>
      <c r="C1178" t="s">
        <v>39</v>
      </c>
      <c r="D1178" t="s">
        <v>33</v>
      </c>
      <c r="E1178" s="2">
        <v>301</v>
      </c>
      <c r="F1178" t="s">
        <v>41</v>
      </c>
      <c r="G1178">
        <v>22</v>
      </c>
      <c r="H1178" t="str">
        <f t="shared" si="18"/>
        <v>21-30 km</v>
      </c>
      <c r="I1178">
        <v>4</v>
      </c>
      <c r="J1178" t="str" cm="1">
        <f t="array" ref="J1178">_xlfn.IFS(I1178=1,"Below College",I1178=2,"College",I1178=3,"Bachelor",I1178=4,"Master",I1178=5,"Doctor")</f>
        <v>Master</v>
      </c>
      <c r="K1178" t="s">
        <v>45</v>
      </c>
      <c r="L1178">
        <v>1655</v>
      </c>
      <c r="M1178">
        <v>1</v>
      </c>
      <c r="N1178" t="str" cm="1">
        <f t="array" ref="N1178">_xlfn.IFS(M1178=1,"Low",M1178=2,"Medium",M1178=3,"High",M1178=4,"Very High")</f>
        <v>Low</v>
      </c>
      <c r="O1178" t="s">
        <v>36</v>
      </c>
      <c r="P1178" s="2">
        <v>72</v>
      </c>
      <c r="Q1178">
        <v>3</v>
      </c>
      <c r="R1178" t="str" cm="1">
        <f t="array" ref="R1178">_xlfn.IFS(Q1178=1,"Low",Q1178=2,"Medium",Q1178=3,"High",Q1178=4,"Very High")</f>
        <v>High</v>
      </c>
      <c r="S1178">
        <v>4</v>
      </c>
      <c r="T1178" t="str" cm="1">
        <f t="array" ref="T1178">_xlfn.IFS(S1178=1,"Entry Level",S1178=2,"Junior",S1178=3,"Mid-Level",S1178=4,"Senior",S1178=5,"Executive")</f>
        <v>Senior</v>
      </c>
      <c r="U1178" t="s">
        <v>54</v>
      </c>
      <c r="V1178">
        <v>2</v>
      </c>
      <c r="W1178" t="str" cm="1">
        <f t="array" ref="W1178">_xlfn.IFS(V1178=1,"Low",V1178=2,"Medium",V1178=3,"High",V1178=4,"Very High")</f>
        <v>Medium</v>
      </c>
      <c r="X1178" t="s">
        <v>44</v>
      </c>
      <c r="Y1178" s="2">
        <v>16413</v>
      </c>
      <c r="Z1178" s="2">
        <v>3498</v>
      </c>
      <c r="AA1178">
        <v>3</v>
      </c>
      <c r="AB1178" t="s">
        <v>39</v>
      </c>
      <c r="AC1178">
        <v>16</v>
      </c>
      <c r="AD1178">
        <v>3</v>
      </c>
      <c r="AE1178" t="str" cm="1">
        <f t="array" ref="AE1178">_xlfn.IFS(AD1178=1,"Low",AD1178=2,"Good",AD1178=3,"Excellent",AD1178=4,"Outstanding")</f>
        <v>Excellent</v>
      </c>
      <c r="AF1178">
        <v>2</v>
      </c>
      <c r="AG1178" t="str" cm="1">
        <f t="array" ref="AG1178">_xlfn.IFS(AF1178=1,"Low",AF1178=2,"Medium",AF1178=3,"High",AF1178=4,"Very High")</f>
        <v>Medium</v>
      </c>
      <c r="AH1178">
        <v>2</v>
      </c>
      <c r="AI1178">
        <v>27</v>
      </c>
      <c r="AJ1178">
        <v>2</v>
      </c>
      <c r="AK1178">
        <v>3</v>
      </c>
      <c r="AL1178" t="str" cm="1">
        <f t="array" ref="AL1178">_xlfn.IFS(AK1178=1,"Low",AK1178=2,"Medium",AK1178=3,"High",AK1178=4,"Very High")</f>
        <v>High</v>
      </c>
      <c r="AM1178">
        <v>4</v>
      </c>
      <c r="AN1178">
        <v>2</v>
      </c>
      <c r="AO1178">
        <v>1</v>
      </c>
      <c r="AP1178">
        <v>2</v>
      </c>
    </row>
    <row r="1179" spans="1:42">
      <c r="A1179">
        <v>50</v>
      </c>
      <c r="B1179" t="str" cm="1">
        <f t="array" ref="B1179">_xlfn.IFS(A1179&lt;=25,"18-25",A1179&lt;=35,"26-35",A1179&lt;=45,"36-45",A1179&lt;=55,"46-55",A1179&gt;55,"56+")</f>
        <v>46-55</v>
      </c>
      <c r="C1179" t="s">
        <v>39</v>
      </c>
      <c r="D1179" t="s">
        <v>33</v>
      </c>
      <c r="E1179" s="2">
        <v>813</v>
      </c>
      <c r="F1179" t="s">
        <v>41</v>
      </c>
      <c r="G1179">
        <v>17</v>
      </c>
      <c r="H1179" t="str">
        <f t="shared" si="18"/>
        <v>11-20 km</v>
      </c>
      <c r="I1179">
        <v>5</v>
      </c>
      <c r="J1179" t="str" cm="1">
        <f t="array" ref="J1179">_xlfn.IFS(I1179=1,"Below College",I1179=2,"College",I1179=3,"Bachelor",I1179=4,"Master",I1179=5,"Doctor")</f>
        <v>Doctor</v>
      </c>
      <c r="K1179" t="s">
        <v>35</v>
      </c>
      <c r="L1179">
        <v>1656</v>
      </c>
      <c r="M1179">
        <v>4</v>
      </c>
      <c r="N1179" t="str" cm="1">
        <f t="array" ref="N1179">_xlfn.IFS(M1179=1,"Low",M1179=2,"Medium",M1179=3,"High",M1179=4,"Very High")</f>
        <v>Very High</v>
      </c>
      <c r="O1179" t="s">
        <v>36</v>
      </c>
      <c r="P1179" s="2">
        <v>50</v>
      </c>
      <c r="Q1179">
        <v>2</v>
      </c>
      <c r="R1179" t="str" cm="1">
        <f t="array" ref="R1179">_xlfn.IFS(Q1179=1,"Low",Q1179=2,"Medium",Q1179=3,"High",Q1179=4,"Very High")</f>
        <v>Medium</v>
      </c>
      <c r="S1179">
        <v>3</v>
      </c>
      <c r="T1179" t="str" cm="1">
        <f t="array" ref="T1179">_xlfn.IFS(S1179=1,"Entry Level",S1179=2,"Junior",S1179=3,"Mid-Level",S1179=4,"Senior",S1179=5,"Executive")</f>
        <v>Mid-Level</v>
      </c>
      <c r="U1179" t="s">
        <v>54</v>
      </c>
      <c r="V1179">
        <v>1</v>
      </c>
      <c r="W1179" t="str" cm="1">
        <f t="array" ref="W1179">_xlfn.IFS(V1179=1,"Low",V1179=2,"Medium",V1179=3,"High",V1179=4,"Very High")</f>
        <v>Low</v>
      </c>
      <c r="X1179" t="s">
        <v>48</v>
      </c>
      <c r="Y1179" s="2">
        <v>13269</v>
      </c>
      <c r="Z1179" s="2">
        <v>21981</v>
      </c>
      <c r="AA1179">
        <v>5</v>
      </c>
      <c r="AB1179" t="s">
        <v>39</v>
      </c>
      <c r="AC1179">
        <v>15</v>
      </c>
      <c r="AD1179">
        <v>3</v>
      </c>
      <c r="AE1179" t="str" cm="1">
        <f t="array" ref="AE1179">_xlfn.IFS(AD1179=1,"Low",AD1179=2,"Good",AD1179=3,"Excellent",AD1179=4,"Outstanding")</f>
        <v>Excellent</v>
      </c>
      <c r="AF1179">
        <v>3</v>
      </c>
      <c r="AG1179" t="str" cm="1">
        <f t="array" ref="AG1179">_xlfn.IFS(AF1179=1,"Low",AF1179=2,"Medium",AF1179=3,"High",AF1179=4,"Very High")</f>
        <v>High</v>
      </c>
      <c r="AH1179">
        <v>3</v>
      </c>
      <c r="AI1179">
        <v>19</v>
      </c>
      <c r="AJ1179">
        <v>3</v>
      </c>
      <c r="AK1179">
        <v>3</v>
      </c>
      <c r="AL1179" t="str" cm="1">
        <f t="array" ref="AL1179">_xlfn.IFS(AK1179=1,"Low",AK1179=2,"Medium",AK1179=3,"High",AK1179=4,"Very High")</f>
        <v>High</v>
      </c>
      <c r="AM1179">
        <v>14</v>
      </c>
      <c r="AN1179">
        <v>11</v>
      </c>
      <c r="AO1179">
        <v>1</v>
      </c>
      <c r="AP1179">
        <v>11</v>
      </c>
    </row>
    <row r="1180" spans="1:42">
      <c r="A1180">
        <v>20</v>
      </c>
      <c r="B1180" t="str" cm="1">
        <f t="array" ref="B1180">_xlfn.IFS(A1180&lt;=25,"18-25",A1180&lt;=35,"26-35",A1180&lt;=45,"36-45",A1180&lt;=55,"46-55",A1180&gt;55,"56+")</f>
        <v>18-25</v>
      </c>
      <c r="C1180" t="s">
        <v>39</v>
      </c>
      <c r="D1180" t="s">
        <v>33</v>
      </c>
      <c r="E1180" s="2">
        <v>1141</v>
      </c>
      <c r="F1180" t="s">
        <v>34</v>
      </c>
      <c r="G1180">
        <v>2</v>
      </c>
      <c r="H1180" t="str">
        <f t="shared" si="18"/>
        <v>1-10 km</v>
      </c>
      <c r="I1180">
        <v>3</v>
      </c>
      <c r="J1180" t="str" cm="1">
        <f t="array" ref="J1180">_xlfn.IFS(I1180=1,"Below College",I1180=2,"College",I1180=3,"Bachelor",I1180=4,"Master",I1180=5,"Doctor")</f>
        <v>Bachelor</v>
      </c>
      <c r="K1180" t="s">
        <v>47</v>
      </c>
      <c r="L1180">
        <v>1657</v>
      </c>
      <c r="M1180">
        <v>3</v>
      </c>
      <c r="N1180" t="str" cm="1">
        <f t="array" ref="N1180">_xlfn.IFS(M1180=1,"Low",M1180=2,"Medium",M1180=3,"High",M1180=4,"Very High")</f>
        <v>High</v>
      </c>
      <c r="O1180" t="s">
        <v>36</v>
      </c>
      <c r="P1180" s="2">
        <v>31</v>
      </c>
      <c r="Q1180">
        <v>3</v>
      </c>
      <c r="R1180" t="str" cm="1">
        <f t="array" ref="R1180">_xlfn.IFS(Q1180=1,"Low",Q1180=2,"Medium",Q1180=3,"High",Q1180=4,"Very High")</f>
        <v>High</v>
      </c>
      <c r="S1180">
        <v>1</v>
      </c>
      <c r="T1180" t="str" cm="1">
        <f t="array" ref="T1180">_xlfn.IFS(S1180=1,"Entry Level",S1180=2,"Junior",S1180=3,"Mid-Level",S1180=4,"Senior",S1180=5,"Executive")</f>
        <v>Entry Level</v>
      </c>
      <c r="U1180" t="s">
        <v>53</v>
      </c>
      <c r="V1180">
        <v>3</v>
      </c>
      <c r="W1180" t="str" cm="1">
        <f t="array" ref="W1180">_xlfn.IFS(V1180=1,"Low",V1180=2,"Medium",V1180=3,"High",V1180=4,"Very High")</f>
        <v>High</v>
      </c>
      <c r="X1180" t="s">
        <v>38</v>
      </c>
      <c r="Y1180" s="2">
        <v>2783</v>
      </c>
      <c r="Z1180" s="2">
        <v>13251</v>
      </c>
      <c r="AA1180">
        <v>1</v>
      </c>
      <c r="AB1180" t="s">
        <v>39</v>
      </c>
      <c r="AC1180">
        <v>19</v>
      </c>
      <c r="AD1180">
        <v>3</v>
      </c>
      <c r="AE1180" t="str" cm="1">
        <f t="array" ref="AE1180">_xlfn.IFS(AD1180=1,"Low",AD1180=2,"Good",AD1180=3,"Excellent",AD1180=4,"Outstanding")</f>
        <v>Excellent</v>
      </c>
      <c r="AF1180">
        <v>1</v>
      </c>
      <c r="AG1180" t="str" cm="1">
        <f t="array" ref="AG1180">_xlfn.IFS(AF1180=1,"Low",AF1180=2,"Medium",AF1180=3,"High",AF1180=4,"Very High")</f>
        <v>Low</v>
      </c>
      <c r="AH1180">
        <v>0</v>
      </c>
      <c r="AI1180">
        <v>2</v>
      </c>
      <c r="AJ1180">
        <v>3</v>
      </c>
      <c r="AK1180">
        <v>3</v>
      </c>
      <c r="AL1180" t="str" cm="1">
        <f t="array" ref="AL1180">_xlfn.IFS(AK1180=1,"Low",AK1180=2,"Medium",AK1180=3,"High",AK1180=4,"Very High")</f>
        <v>High</v>
      </c>
      <c r="AM1180">
        <v>2</v>
      </c>
      <c r="AN1180">
        <v>2</v>
      </c>
      <c r="AO1180">
        <v>2</v>
      </c>
      <c r="AP1180">
        <v>2</v>
      </c>
    </row>
    <row r="1181" spans="1:42">
      <c r="A1181">
        <v>34</v>
      </c>
      <c r="B1181" t="str" cm="1">
        <f t="array" ref="B1181">_xlfn.IFS(A1181&lt;=25,"18-25",A1181&lt;=35,"26-35",A1181&lt;=45,"36-45",A1181&lt;=55,"46-55",A1181&gt;55,"56+")</f>
        <v>26-35</v>
      </c>
      <c r="C1181" t="s">
        <v>39</v>
      </c>
      <c r="D1181" t="s">
        <v>33</v>
      </c>
      <c r="E1181" s="2">
        <v>1130</v>
      </c>
      <c r="F1181" t="s">
        <v>41</v>
      </c>
      <c r="G1181">
        <v>3</v>
      </c>
      <c r="H1181" t="str">
        <f t="shared" si="18"/>
        <v>1-10 km</v>
      </c>
      <c r="I1181">
        <v>3</v>
      </c>
      <c r="J1181" t="str" cm="1">
        <f t="array" ref="J1181">_xlfn.IFS(I1181=1,"Below College",I1181=2,"College",I1181=3,"Bachelor",I1181=4,"Master",I1181=5,"Doctor")</f>
        <v>Bachelor</v>
      </c>
      <c r="K1181" t="s">
        <v>35</v>
      </c>
      <c r="L1181">
        <v>1658</v>
      </c>
      <c r="M1181">
        <v>4</v>
      </c>
      <c r="N1181" t="str" cm="1">
        <f t="array" ref="N1181">_xlfn.IFS(M1181=1,"Low",M1181=2,"Medium",M1181=3,"High",M1181=4,"Very High")</f>
        <v>Very High</v>
      </c>
      <c r="O1181" t="s">
        <v>36</v>
      </c>
      <c r="P1181" s="2">
        <v>66</v>
      </c>
      <c r="Q1181">
        <v>3</v>
      </c>
      <c r="R1181" t="str" cm="1">
        <f t="array" ref="R1181">_xlfn.IFS(Q1181=1,"Low",Q1181=2,"Medium",Q1181=3,"High",Q1181=4,"Very High")</f>
        <v>High</v>
      </c>
      <c r="S1181">
        <v>2</v>
      </c>
      <c r="T1181" t="str" cm="1">
        <f t="array" ref="T1181">_xlfn.IFS(S1181=1,"Entry Level",S1181=2,"Junior",S1181=3,"Mid-Level",S1181=4,"Senior",S1181=5,"Executive")</f>
        <v>Junior</v>
      </c>
      <c r="U1181" t="s">
        <v>43</v>
      </c>
      <c r="V1181">
        <v>2</v>
      </c>
      <c r="W1181" t="str" cm="1">
        <f t="array" ref="W1181">_xlfn.IFS(V1181=1,"Low",V1181=2,"Medium",V1181=3,"High",V1181=4,"Very High")</f>
        <v>Medium</v>
      </c>
      <c r="X1181" t="s">
        <v>48</v>
      </c>
      <c r="Y1181" s="2">
        <v>5433</v>
      </c>
      <c r="Z1181" s="2">
        <v>19332</v>
      </c>
      <c r="AA1181">
        <v>1</v>
      </c>
      <c r="AB1181" t="s">
        <v>39</v>
      </c>
      <c r="AC1181">
        <v>12</v>
      </c>
      <c r="AD1181">
        <v>3</v>
      </c>
      <c r="AE1181" t="str" cm="1">
        <f t="array" ref="AE1181">_xlfn.IFS(AD1181=1,"Low",AD1181=2,"Good",AD1181=3,"Excellent",AD1181=4,"Outstanding")</f>
        <v>Excellent</v>
      </c>
      <c r="AF1181">
        <v>3</v>
      </c>
      <c r="AG1181" t="str" cm="1">
        <f t="array" ref="AG1181">_xlfn.IFS(AF1181=1,"Low",AF1181=2,"Medium",AF1181=3,"High",AF1181=4,"Very High")</f>
        <v>High</v>
      </c>
      <c r="AH1181">
        <v>1</v>
      </c>
      <c r="AI1181">
        <v>11</v>
      </c>
      <c r="AJ1181">
        <v>2</v>
      </c>
      <c r="AK1181">
        <v>3</v>
      </c>
      <c r="AL1181" t="str" cm="1">
        <f t="array" ref="AL1181">_xlfn.IFS(AK1181=1,"Low",AK1181=2,"Medium",AK1181=3,"High",AK1181=4,"Very High")</f>
        <v>High</v>
      </c>
      <c r="AM1181">
        <v>11</v>
      </c>
      <c r="AN1181">
        <v>8</v>
      </c>
      <c r="AO1181">
        <v>7</v>
      </c>
      <c r="AP1181">
        <v>9</v>
      </c>
    </row>
    <row r="1182" spans="1:42">
      <c r="A1182">
        <v>36</v>
      </c>
      <c r="B1182" t="str" cm="1">
        <f t="array" ref="B1182">_xlfn.IFS(A1182&lt;=25,"18-25",A1182&lt;=35,"26-35",A1182&lt;=45,"36-45",A1182&lt;=55,"46-55",A1182&gt;55,"56+")</f>
        <v>36-45</v>
      </c>
      <c r="C1182" t="s">
        <v>39</v>
      </c>
      <c r="D1182" t="s">
        <v>33</v>
      </c>
      <c r="E1182" s="2">
        <v>311</v>
      </c>
      <c r="F1182" t="s">
        <v>41</v>
      </c>
      <c r="G1182">
        <v>7</v>
      </c>
      <c r="H1182" t="str">
        <f t="shared" si="18"/>
        <v>1-10 km</v>
      </c>
      <c r="I1182">
        <v>3</v>
      </c>
      <c r="J1182" t="str" cm="1">
        <f t="array" ref="J1182">_xlfn.IFS(I1182=1,"Below College",I1182=2,"College",I1182=3,"Bachelor",I1182=4,"Master",I1182=5,"Doctor")</f>
        <v>Bachelor</v>
      </c>
      <c r="K1182" t="s">
        <v>35</v>
      </c>
      <c r="L1182">
        <v>1659</v>
      </c>
      <c r="M1182">
        <v>1</v>
      </c>
      <c r="N1182" t="str" cm="1">
        <f t="array" ref="N1182">_xlfn.IFS(M1182=1,"Low",M1182=2,"Medium",M1182=3,"High",M1182=4,"Very High")</f>
        <v>Low</v>
      </c>
      <c r="O1182" t="s">
        <v>42</v>
      </c>
      <c r="P1182" s="2">
        <v>77</v>
      </c>
      <c r="Q1182">
        <v>3</v>
      </c>
      <c r="R1182" t="str" cm="1">
        <f t="array" ref="R1182">_xlfn.IFS(Q1182=1,"Low",Q1182=2,"Medium",Q1182=3,"High",Q1182=4,"Very High")</f>
        <v>High</v>
      </c>
      <c r="S1182">
        <v>1</v>
      </c>
      <c r="T1182" t="str" cm="1">
        <f t="array" ref="T1182">_xlfn.IFS(S1182=1,"Entry Level",S1182=2,"Junior",S1182=3,"Mid-Level",S1182=4,"Senior",S1182=5,"Executive")</f>
        <v>Entry Level</v>
      </c>
      <c r="U1182" t="s">
        <v>46</v>
      </c>
      <c r="V1182">
        <v>2</v>
      </c>
      <c r="W1182" t="str" cm="1">
        <f t="array" ref="W1182">_xlfn.IFS(V1182=1,"Low",V1182=2,"Medium",V1182=3,"High",V1182=4,"Very High")</f>
        <v>Medium</v>
      </c>
      <c r="X1182" t="s">
        <v>38</v>
      </c>
      <c r="Y1182" s="2">
        <v>2013</v>
      </c>
      <c r="Z1182" s="2">
        <v>10950</v>
      </c>
      <c r="AA1182">
        <v>2</v>
      </c>
      <c r="AB1182" t="s">
        <v>39</v>
      </c>
      <c r="AC1182">
        <v>11</v>
      </c>
      <c r="AD1182">
        <v>3</v>
      </c>
      <c r="AE1182" t="str" cm="1">
        <f t="array" ref="AE1182">_xlfn.IFS(AD1182=1,"Low",AD1182=2,"Good",AD1182=3,"Excellent",AD1182=4,"Outstanding")</f>
        <v>Excellent</v>
      </c>
      <c r="AF1182">
        <v>3</v>
      </c>
      <c r="AG1182" t="str" cm="1">
        <f t="array" ref="AG1182">_xlfn.IFS(AF1182=1,"Low",AF1182=2,"Medium",AF1182=3,"High",AF1182=4,"Very High")</f>
        <v>High</v>
      </c>
      <c r="AH1182">
        <v>0</v>
      </c>
      <c r="AI1182">
        <v>15</v>
      </c>
      <c r="AJ1182">
        <v>4</v>
      </c>
      <c r="AK1182">
        <v>3</v>
      </c>
      <c r="AL1182" t="str" cm="1">
        <f t="array" ref="AL1182">_xlfn.IFS(AK1182=1,"Low",AK1182=2,"Medium",AK1182=3,"High",AK1182=4,"Very High")</f>
        <v>High</v>
      </c>
      <c r="AM1182">
        <v>4</v>
      </c>
      <c r="AN1182">
        <v>3</v>
      </c>
      <c r="AO1182">
        <v>1</v>
      </c>
      <c r="AP1182">
        <v>3</v>
      </c>
    </row>
    <row r="1183" spans="1:42">
      <c r="A1183">
        <v>49</v>
      </c>
      <c r="B1183" t="str" cm="1">
        <f t="array" ref="B1183">_xlfn.IFS(A1183&lt;=25,"18-25",A1183&lt;=35,"26-35",A1183&lt;=45,"36-45",A1183&lt;=55,"46-55",A1183&gt;55,"56+")</f>
        <v>46-55</v>
      </c>
      <c r="C1183" t="s">
        <v>39</v>
      </c>
      <c r="D1183" t="s">
        <v>33</v>
      </c>
      <c r="E1183" s="2">
        <v>465</v>
      </c>
      <c r="F1183" t="s">
        <v>41</v>
      </c>
      <c r="G1183">
        <v>6</v>
      </c>
      <c r="H1183" t="str">
        <f t="shared" si="18"/>
        <v>1-10 km</v>
      </c>
      <c r="I1183">
        <v>1</v>
      </c>
      <c r="J1183" t="str" cm="1">
        <f t="array" ref="J1183">_xlfn.IFS(I1183=1,"Below College",I1183=2,"College",I1183=3,"Bachelor",I1183=4,"Master",I1183=5,"Doctor")</f>
        <v>Below College</v>
      </c>
      <c r="K1183" t="s">
        <v>35</v>
      </c>
      <c r="L1183">
        <v>1661</v>
      </c>
      <c r="M1183">
        <v>3</v>
      </c>
      <c r="N1183" t="str" cm="1">
        <f t="array" ref="N1183">_xlfn.IFS(M1183=1,"Low",M1183=2,"Medium",M1183=3,"High",M1183=4,"Very High")</f>
        <v>High</v>
      </c>
      <c r="O1183" t="s">
        <v>36</v>
      </c>
      <c r="P1183" s="2">
        <v>41</v>
      </c>
      <c r="Q1183">
        <v>2</v>
      </c>
      <c r="R1183" t="str" cm="1">
        <f t="array" ref="R1183">_xlfn.IFS(Q1183=1,"Low",Q1183=2,"Medium",Q1183=3,"High",Q1183=4,"Very High")</f>
        <v>Medium</v>
      </c>
      <c r="S1183">
        <v>4</v>
      </c>
      <c r="T1183" t="str" cm="1">
        <f t="array" ref="T1183">_xlfn.IFS(S1183=1,"Entry Level",S1183=2,"Junior",S1183=3,"Mid-Level",S1183=4,"Senior",S1183=5,"Executive")</f>
        <v>Senior</v>
      </c>
      <c r="U1183" t="s">
        <v>50</v>
      </c>
      <c r="V1183">
        <v>3</v>
      </c>
      <c r="W1183" t="str" cm="1">
        <f t="array" ref="W1183">_xlfn.IFS(V1183=1,"Low",V1183=2,"Medium",V1183=3,"High",V1183=4,"Very High")</f>
        <v>High</v>
      </c>
      <c r="X1183" t="s">
        <v>44</v>
      </c>
      <c r="Y1183" s="2">
        <v>13966</v>
      </c>
      <c r="Z1183" s="2">
        <v>11652</v>
      </c>
      <c r="AA1183">
        <v>2</v>
      </c>
      <c r="AB1183" t="s">
        <v>32</v>
      </c>
      <c r="AC1183">
        <v>19</v>
      </c>
      <c r="AD1183">
        <v>3</v>
      </c>
      <c r="AE1183" t="str" cm="1">
        <f t="array" ref="AE1183">_xlfn.IFS(AD1183=1,"Low",AD1183=2,"Good",AD1183=3,"Excellent",AD1183=4,"Outstanding")</f>
        <v>Excellent</v>
      </c>
      <c r="AF1183">
        <v>2</v>
      </c>
      <c r="AG1183" t="str" cm="1">
        <f t="array" ref="AG1183">_xlfn.IFS(AF1183=1,"Low",AF1183=2,"Medium",AF1183=3,"High",AF1183=4,"Very High")</f>
        <v>Medium</v>
      </c>
      <c r="AH1183">
        <v>1</v>
      </c>
      <c r="AI1183">
        <v>30</v>
      </c>
      <c r="AJ1183">
        <v>3</v>
      </c>
      <c r="AK1183">
        <v>3</v>
      </c>
      <c r="AL1183" t="str" cm="1">
        <f t="array" ref="AL1183">_xlfn.IFS(AK1183=1,"Low",AK1183=2,"Medium",AK1183=3,"High",AK1183=4,"Very High")</f>
        <v>High</v>
      </c>
      <c r="AM1183">
        <v>15</v>
      </c>
      <c r="AN1183">
        <v>11</v>
      </c>
      <c r="AO1183">
        <v>2</v>
      </c>
      <c r="AP1183">
        <v>12</v>
      </c>
    </row>
    <row r="1184" spans="1:42">
      <c r="A1184">
        <v>36</v>
      </c>
      <c r="B1184" t="str" cm="1">
        <f t="array" ref="B1184">_xlfn.IFS(A1184&lt;=25,"18-25",A1184&lt;=35,"26-35",A1184&lt;=45,"36-45",A1184&lt;=55,"46-55",A1184&gt;55,"56+")</f>
        <v>36-45</v>
      </c>
      <c r="C1184" t="s">
        <v>39</v>
      </c>
      <c r="D1184" t="s">
        <v>51</v>
      </c>
      <c r="E1184" s="2">
        <v>894</v>
      </c>
      <c r="F1184" t="s">
        <v>41</v>
      </c>
      <c r="G1184">
        <v>1</v>
      </c>
      <c r="H1184" t="str">
        <f t="shared" si="18"/>
        <v>1-10 km</v>
      </c>
      <c r="I1184">
        <v>4</v>
      </c>
      <c r="J1184" t="str" cm="1">
        <f t="array" ref="J1184">_xlfn.IFS(I1184=1,"Below College",I1184=2,"College",I1184=3,"Bachelor",I1184=4,"Master",I1184=5,"Doctor")</f>
        <v>Master</v>
      </c>
      <c r="K1184" t="s">
        <v>47</v>
      </c>
      <c r="L1184">
        <v>1662</v>
      </c>
      <c r="M1184">
        <v>4</v>
      </c>
      <c r="N1184" t="str" cm="1">
        <f t="array" ref="N1184">_xlfn.IFS(M1184=1,"Low",M1184=2,"Medium",M1184=3,"High",M1184=4,"Very High")</f>
        <v>Very High</v>
      </c>
      <c r="O1184" t="s">
        <v>36</v>
      </c>
      <c r="P1184" s="2">
        <v>33</v>
      </c>
      <c r="Q1184">
        <v>2</v>
      </c>
      <c r="R1184" t="str" cm="1">
        <f t="array" ref="R1184">_xlfn.IFS(Q1184=1,"Low",Q1184=2,"Medium",Q1184=3,"High",Q1184=4,"Very High")</f>
        <v>Medium</v>
      </c>
      <c r="S1184">
        <v>2</v>
      </c>
      <c r="T1184" t="str" cm="1">
        <f t="array" ref="T1184">_xlfn.IFS(S1184=1,"Entry Level",S1184=2,"Junior",S1184=3,"Mid-Level",S1184=4,"Senior",S1184=5,"Executive")</f>
        <v>Junior</v>
      </c>
      <c r="U1184" t="s">
        <v>49</v>
      </c>
      <c r="V1184">
        <v>3</v>
      </c>
      <c r="W1184" t="str" cm="1">
        <f t="array" ref="W1184">_xlfn.IFS(V1184=1,"Low",V1184=2,"Medium",V1184=3,"High",V1184=4,"Very High")</f>
        <v>High</v>
      </c>
      <c r="X1184" t="s">
        <v>44</v>
      </c>
      <c r="Y1184" s="2">
        <v>4374</v>
      </c>
      <c r="Z1184" s="2">
        <v>15411</v>
      </c>
      <c r="AA1184">
        <v>0</v>
      </c>
      <c r="AB1184" t="s">
        <v>39</v>
      </c>
      <c r="AC1184">
        <v>15</v>
      </c>
      <c r="AD1184">
        <v>3</v>
      </c>
      <c r="AE1184" t="str" cm="1">
        <f t="array" ref="AE1184">_xlfn.IFS(AD1184=1,"Low",AD1184=2,"Good",AD1184=3,"Excellent",AD1184=4,"Outstanding")</f>
        <v>Excellent</v>
      </c>
      <c r="AF1184">
        <v>3</v>
      </c>
      <c r="AG1184" t="str" cm="1">
        <f t="array" ref="AG1184">_xlfn.IFS(AF1184=1,"Low",AF1184=2,"Medium",AF1184=3,"High",AF1184=4,"Very High")</f>
        <v>High</v>
      </c>
      <c r="AH1184">
        <v>0</v>
      </c>
      <c r="AI1184">
        <v>4</v>
      </c>
      <c r="AJ1184">
        <v>6</v>
      </c>
      <c r="AK1184">
        <v>3</v>
      </c>
      <c r="AL1184" t="str" cm="1">
        <f t="array" ref="AL1184">_xlfn.IFS(AK1184=1,"Low",AK1184=2,"Medium",AK1184=3,"High",AK1184=4,"Very High")</f>
        <v>High</v>
      </c>
      <c r="AM1184">
        <v>3</v>
      </c>
      <c r="AN1184">
        <v>2</v>
      </c>
      <c r="AO1184">
        <v>1</v>
      </c>
      <c r="AP1184">
        <v>2</v>
      </c>
    </row>
    <row r="1185" spans="1:42">
      <c r="A1185">
        <v>36</v>
      </c>
      <c r="B1185" t="str" cm="1">
        <f t="array" ref="B1185">_xlfn.IFS(A1185&lt;=25,"18-25",A1185&lt;=35,"26-35",A1185&lt;=45,"36-45",A1185&lt;=55,"46-55",A1185&gt;55,"56+")</f>
        <v>36-45</v>
      </c>
      <c r="C1185" t="s">
        <v>39</v>
      </c>
      <c r="D1185" t="s">
        <v>33</v>
      </c>
      <c r="E1185" s="2">
        <v>1040</v>
      </c>
      <c r="F1185" t="s">
        <v>41</v>
      </c>
      <c r="G1185">
        <v>3</v>
      </c>
      <c r="H1185" t="str">
        <f t="shared" si="18"/>
        <v>1-10 km</v>
      </c>
      <c r="I1185">
        <v>2</v>
      </c>
      <c r="J1185" t="str" cm="1">
        <f t="array" ref="J1185">_xlfn.IFS(I1185=1,"Below College",I1185=2,"College",I1185=3,"Bachelor",I1185=4,"Master",I1185=5,"Doctor")</f>
        <v>College</v>
      </c>
      <c r="K1185" t="s">
        <v>35</v>
      </c>
      <c r="L1185">
        <v>1664</v>
      </c>
      <c r="M1185">
        <v>4</v>
      </c>
      <c r="N1185" t="str" cm="1">
        <f t="array" ref="N1185">_xlfn.IFS(M1185=1,"Low",M1185=2,"Medium",M1185=3,"High",M1185=4,"Very High")</f>
        <v>Very High</v>
      </c>
      <c r="O1185" t="s">
        <v>42</v>
      </c>
      <c r="P1185" s="2">
        <v>79</v>
      </c>
      <c r="Q1185">
        <v>4</v>
      </c>
      <c r="R1185" t="str" cm="1">
        <f t="array" ref="R1185">_xlfn.IFS(Q1185=1,"Low",Q1185=2,"Medium",Q1185=3,"High",Q1185=4,"Very High")</f>
        <v>Very High</v>
      </c>
      <c r="S1185">
        <v>2</v>
      </c>
      <c r="T1185" t="str" cm="1">
        <f t="array" ref="T1185">_xlfn.IFS(S1185=1,"Entry Level",S1185=2,"Junior",S1185=3,"Mid-Level",S1185=4,"Senior",S1185=5,"Executive")</f>
        <v>Junior</v>
      </c>
      <c r="U1185" t="s">
        <v>50</v>
      </c>
      <c r="V1185">
        <v>1</v>
      </c>
      <c r="W1185" t="str" cm="1">
        <f t="array" ref="W1185">_xlfn.IFS(V1185=1,"Low",V1185=2,"Medium",V1185=3,"High",V1185=4,"Very High")</f>
        <v>Low</v>
      </c>
      <c r="X1185" t="s">
        <v>48</v>
      </c>
      <c r="Y1185" s="2">
        <v>6842</v>
      </c>
      <c r="Z1185" s="2">
        <v>26308</v>
      </c>
      <c r="AA1185">
        <v>6</v>
      </c>
      <c r="AB1185" t="s">
        <v>39</v>
      </c>
      <c r="AC1185">
        <v>20</v>
      </c>
      <c r="AD1185">
        <v>4</v>
      </c>
      <c r="AE1185" t="str" cm="1">
        <f t="array" ref="AE1185">_xlfn.IFS(AD1185=1,"Low",AD1185=2,"Good",AD1185=3,"Excellent",AD1185=4,"Outstanding")</f>
        <v>Outstanding</v>
      </c>
      <c r="AF1185">
        <v>1</v>
      </c>
      <c r="AG1185" t="str" cm="1">
        <f t="array" ref="AG1185">_xlfn.IFS(AF1185=1,"Low",AF1185=2,"Medium",AF1185=3,"High",AF1185=4,"Very High")</f>
        <v>Low</v>
      </c>
      <c r="AH1185">
        <v>1</v>
      </c>
      <c r="AI1185">
        <v>13</v>
      </c>
      <c r="AJ1185">
        <v>3</v>
      </c>
      <c r="AK1185">
        <v>3</v>
      </c>
      <c r="AL1185" t="str" cm="1">
        <f t="array" ref="AL1185">_xlfn.IFS(AK1185=1,"Low",AK1185=2,"Medium",AK1185=3,"High",AK1185=4,"Very High")</f>
        <v>High</v>
      </c>
      <c r="AM1185">
        <v>5</v>
      </c>
      <c r="AN1185">
        <v>4</v>
      </c>
      <c r="AO1185">
        <v>0</v>
      </c>
      <c r="AP1185">
        <v>4</v>
      </c>
    </row>
    <row r="1186" spans="1:42">
      <c r="A1186">
        <v>54</v>
      </c>
      <c r="B1186" t="str" cm="1">
        <f t="array" ref="B1186">_xlfn.IFS(A1186&lt;=25,"18-25",A1186&lt;=35,"26-35",A1186&lt;=45,"36-45",A1186&lt;=55,"46-55",A1186&gt;55,"56+")</f>
        <v>46-55</v>
      </c>
      <c r="C1186" t="s">
        <v>39</v>
      </c>
      <c r="D1186" t="s">
        <v>33</v>
      </c>
      <c r="E1186" s="2">
        <v>584</v>
      </c>
      <c r="F1186" t="s">
        <v>41</v>
      </c>
      <c r="G1186">
        <v>22</v>
      </c>
      <c r="H1186" t="str">
        <f t="shared" si="18"/>
        <v>21-30 km</v>
      </c>
      <c r="I1186">
        <v>5</v>
      </c>
      <c r="J1186" t="str" cm="1">
        <f t="array" ref="J1186">_xlfn.IFS(I1186=1,"Below College",I1186=2,"College",I1186=3,"Bachelor",I1186=4,"Master",I1186=5,"Doctor")</f>
        <v>Doctor</v>
      </c>
      <c r="K1186" t="s">
        <v>47</v>
      </c>
      <c r="L1186">
        <v>1665</v>
      </c>
      <c r="M1186">
        <v>2</v>
      </c>
      <c r="N1186" t="str" cm="1">
        <f t="array" ref="N1186">_xlfn.IFS(M1186=1,"Low",M1186=2,"Medium",M1186=3,"High",M1186=4,"Very High")</f>
        <v>Medium</v>
      </c>
      <c r="O1186" t="s">
        <v>36</v>
      </c>
      <c r="P1186" s="2">
        <v>91</v>
      </c>
      <c r="Q1186">
        <v>3</v>
      </c>
      <c r="R1186" t="str" cm="1">
        <f t="array" ref="R1186">_xlfn.IFS(Q1186=1,"Low",Q1186=2,"Medium",Q1186=3,"High",Q1186=4,"Very High")</f>
        <v>High</v>
      </c>
      <c r="S1186">
        <v>4</v>
      </c>
      <c r="T1186" t="str" cm="1">
        <f t="array" ref="T1186">_xlfn.IFS(S1186=1,"Entry Level",S1186=2,"Junior",S1186=3,"Mid-Level",S1186=4,"Senior",S1186=5,"Executive")</f>
        <v>Senior</v>
      </c>
      <c r="U1186" t="s">
        <v>52</v>
      </c>
      <c r="V1186">
        <v>3</v>
      </c>
      <c r="W1186" t="str" cm="1">
        <f t="array" ref="W1186">_xlfn.IFS(V1186=1,"Low",V1186=2,"Medium",V1186=3,"High",V1186=4,"Very High")</f>
        <v>High</v>
      </c>
      <c r="X1186" t="s">
        <v>44</v>
      </c>
      <c r="Y1186" s="2">
        <v>17426</v>
      </c>
      <c r="Z1186" s="2">
        <v>18685</v>
      </c>
      <c r="AA1186">
        <v>3</v>
      </c>
      <c r="AB1186" t="s">
        <v>39</v>
      </c>
      <c r="AC1186">
        <v>25</v>
      </c>
      <c r="AD1186">
        <v>4</v>
      </c>
      <c r="AE1186" t="str" cm="1">
        <f t="array" ref="AE1186">_xlfn.IFS(AD1186=1,"Low",AD1186=2,"Good",AD1186=3,"Excellent",AD1186=4,"Outstanding")</f>
        <v>Outstanding</v>
      </c>
      <c r="AF1186">
        <v>3</v>
      </c>
      <c r="AG1186" t="str" cm="1">
        <f t="array" ref="AG1186">_xlfn.IFS(AF1186=1,"Low",AF1186=2,"Medium",AF1186=3,"High",AF1186=4,"Very High")</f>
        <v>High</v>
      </c>
      <c r="AH1186">
        <v>1</v>
      </c>
      <c r="AI1186">
        <v>36</v>
      </c>
      <c r="AJ1186">
        <v>6</v>
      </c>
      <c r="AK1186">
        <v>3</v>
      </c>
      <c r="AL1186" t="str" cm="1">
        <f t="array" ref="AL1186">_xlfn.IFS(AK1186=1,"Low",AK1186=2,"Medium",AK1186=3,"High",AK1186=4,"Very High")</f>
        <v>High</v>
      </c>
      <c r="AM1186">
        <v>10</v>
      </c>
      <c r="AN1186">
        <v>8</v>
      </c>
      <c r="AO1186">
        <v>4</v>
      </c>
      <c r="AP1186">
        <v>7</v>
      </c>
    </row>
    <row r="1187" spans="1:42">
      <c r="A1187">
        <v>43</v>
      </c>
      <c r="B1187" t="str" cm="1">
        <f t="array" ref="B1187">_xlfn.IFS(A1187&lt;=25,"18-25",A1187&lt;=35,"26-35",A1187&lt;=45,"36-45",A1187&lt;=55,"46-55",A1187&gt;55,"56+")</f>
        <v>36-45</v>
      </c>
      <c r="C1187" t="s">
        <v>39</v>
      </c>
      <c r="D1187" t="s">
        <v>33</v>
      </c>
      <c r="E1187" s="2">
        <v>1291</v>
      </c>
      <c r="F1187" t="s">
        <v>41</v>
      </c>
      <c r="G1187">
        <v>15</v>
      </c>
      <c r="H1187" t="str">
        <f t="shared" si="18"/>
        <v>11-20 km</v>
      </c>
      <c r="I1187">
        <v>2</v>
      </c>
      <c r="J1187" t="str" cm="1">
        <f t="array" ref="J1187">_xlfn.IFS(I1187=1,"Below College",I1187=2,"College",I1187=3,"Bachelor",I1187=4,"Master",I1187=5,"Doctor")</f>
        <v>College</v>
      </c>
      <c r="K1187" t="s">
        <v>35</v>
      </c>
      <c r="L1187">
        <v>1666</v>
      </c>
      <c r="M1187">
        <v>3</v>
      </c>
      <c r="N1187" t="str" cm="1">
        <f t="array" ref="N1187">_xlfn.IFS(M1187=1,"Low",M1187=2,"Medium",M1187=3,"High",M1187=4,"Very High")</f>
        <v>High</v>
      </c>
      <c r="O1187" t="s">
        <v>42</v>
      </c>
      <c r="P1187" s="2">
        <v>65</v>
      </c>
      <c r="Q1187">
        <v>2</v>
      </c>
      <c r="R1187" t="str" cm="1">
        <f t="array" ref="R1187">_xlfn.IFS(Q1187=1,"Low",Q1187=2,"Medium",Q1187=3,"High",Q1187=4,"Very High")</f>
        <v>Medium</v>
      </c>
      <c r="S1187">
        <v>4</v>
      </c>
      <c r="T1187" t="str" cm="1">
        <f t="array" ref="T1187">_xlfn.IFS(S1187=1,"Entry Level",S1187=2,"Junior",S1187=3,"Mid-Level",S1187=4,"Senior",S1187=5,"Executive")</f>
        <v>Senior</v>
      </c>
      <c r="U1187" t="s">
        <v>54</v>
      </c>
      <c r="V1187">
        <v>3</v>
      </c>
      <c r="W1187" t="str" cm="1">
        <f t="array" ref="W1187">_xlfn.IFS(V1187=1,"Low",V1187=2,"Medium",V1187=3,"High",V1187=4,"Very High")</f>
        <v>High</v>
      </c>
      <c r="X1187" t="s">
        <v>44</v>
      </c>
      <c r="Y1187" s="2">
        <v>17603</v>
      </c>
      <c r="Z1187" s="2">
        <v>3525</v>
      </c>
      <c r="AA1187">
        <v>1</v>
      </c>
      <c r="AB1187" t="s">
        <v>39</v>
      </c>
      <c r="AC1187">
        <v>24</v>
      </c>
      <c r="AD1187">
        <v>4</v>
      </c>
      <c r="AE1187" t="str" cm="1">
        <f t="array" ref="AE1187">_xlfn.IFS(AD1187=1,"Low",AD1187=2,"Good",AD1187=3,"Excellent",AD1187=4,"Outstanding")</f>
        <v>Outstanding</v>
      </c>
      <c r="AF1187">
        <v>1</v>
      </c>
      <c r="AG1187" t="str" cm="1">
        <f t="array" ref="AG1187">_xlfn.IFS(AF1187=1,"Low",AF1187=2,"Medium",AF1187=3,"High",AF1187=4,"Very High")</f>
        <v>Low</v>
      </c>
      <c r="AH1187">
        <v>1</v>
      </c>
      <c r="AI1187">
        <v>14</v>
      </c>
      <c r="AJ1187">
        <v>3</v>
      </c>
      <c r="AK1187">
        <v>3</v>
      </c>
      <c r="AL1187" t="str" cm="1">
        <f t="array" ref="AL1187">_xlfn.IFS(AK1187=1,"Low",AK1187=2,"Medium",AK1187=3,"High",AK1187=4,"Very High")</f>
        <v>High</v>
      </c>
      <c r="AM1187">
        <v>14</v>
      </c>
      <c r="AN1187">
        <v>10</v>
      </c>
      <c r="AO1187">
        <v>6</v>
      </c>
      <c r="AP1187">
        <v>11</v>
      </c>
    </row>
    <row r="1188" spans="1:42">
      <c r="A1188">
        <v>35</v>
      </c>
      <c r="B1188" t="str" cm="1">
        <f t="array" ref="B1188">_xlfn.IFS(A1188&lt;=25,"18-25",A1188&lt;=35,"26-35",A1188&lt;=45,"36-45",A1188&lt;=55,"46-55",A1188&gt;55,"56+")</f>
        <v>26-35</v>
      </c>
      <c r="C1188" t="s">
        <v>32</v>
      </c>
      <c r="D1188" t="s">
        <v>40</v>
      </c>
      <c r="E1188" s="2">
        <v>880</v>
      </c>
      <c r="F1188" t="s">
        <v>34</v>
      </c>
      <c r="G1188">
        <v>12</v>
      </c>
      <c r="H1188" t="str">
        <f t="shared" si="18"/>
        <v>11-20 km</v>
      </c>
      <c r="I1188">
        <v>4</v>
      </c>
      <c r="J1188" t="str" cm="1">
        <f t="array" ref="J1188">_xlfn.IFS(I1188=1,"Below College",I1188=2,"College",I1188=3,"Bachelor",I1188=4,"Master",I1188=5,"Doctor")</f>
        <v>Master</v>
      </c>
      <c r="K1188" t="s">
        <v>45</v>
      </c>
      <c r="L1188">
        <v>1667</v>
      </c>
      <c r="M1188">
        <v>4</v>
      </c>
      <c r="N1188" t="str" cm="1">
        <f t="array" ref="N1188">_xlfn.IFS(M1188=1,"Low",M1188=2,"Medium",M1188=3,"High",M1188=4,"Very High")</f>
        <v>Very High</v>
      </c>
      <c r="O1188" t="s">
        <v>42</v>
      </c>
      <c r="P1188" s="2">
        <v>36</v>
      </c>
      <c r="Q1188">
        <v>3</v>
      </c>
      <c r="R1188" t="str" cm="1">
        <f t="array" ref="R1188">_xlfn.IFS(Q1188=1,"Low",Q1188=2,"Medium",Q1188=3,"High",Q1188=4,"Very High")</f>
        <v>High</v>
      </c>
      <c r="S1188">
        <v>2</v>
      </c>
      <c r="T1188" t="str" cm="1">
        <f t="array" ref="T1188">_xlfn.IFS(S1188=1,"Entry Level",S1188=2,"Junior",S1188=3,"Mid-Level",S1188=4,"Senior",S1188=5,"Executive")</f>
        <v>Junior</v>
      </c>
      <c r="U1188" t="s">
        <v>37</v>
      </c>
      <c r="V1188">
        <v>4</v>
      </c>
      <c r="W1188" t="str" cm="1">
        <f t="array" ref="W1188">_xlfn.IFS(V1188=1,"Low",V1188=2,"Medium",V1188=3,"High",V1188=4,"Very High")</f>
        <v>Very High</v>
      </c>
      <c r="X1188" t="s">
        <v>38</v>
      </c>
      <c r="Y1188" s="2">
        <v>4581</v>
      </c>
      <c r="Z1188" s="2">
        <v>10414</v>
      </c>
      <c r="AA1188">
        <v>3</v>
      </c>
      <c r="AB1188" t="s">
        <v>32</v>
      </c>
      <c r="AC1188">
        <v>24</v>
      </c>
      <c r="AD1188">
        <v>4</v>
      </c>
      <c r="AE1188" t="str" cm="1">
        <f t="array" ref="AE1188">_xlfn.IFS(AD1188=1,"Low",AD1188=2,"Good",AD1188=3,"Excellent",AD1188=4,"Outstanding")</f>
        <v>Outstanding</v>
      </c>
      <c r="AF1188">
        <v>1</v>
      </c>
      <c r="AG1188" t="str" cm="1">
        <f t="array" ref="AG1188">_xlfn.IFS(AF1188=1,"Low",AF1188=2,"Medium",AF1188=3,"High",AF1188=4,"Very High")</f>
        <v>Low</v>
      </c>
      <c r="AH1188">
        <v>0</v>
      </c>
      <c r="AI1188">
        <v>13</v>
      </c>
      <c r="AJ1188">
        <v>2</v>
      </c>
      <c r="AK1188">
        <v>4</v>
      </c>
      <c r="AL1188" t="str" cm="1">
        <f t="array" ref="AL1188">_xlfn.IFS(AK1188=1,"Low",AK1188=2,"Medium",AK1188=3,"High",AK1188=4,"Very High")</f>
        <v>Very High</v>
      </c>
      <c r="AM1188">
        <v>11</v>
      </c>
      <c r="AN1188">
        <v>9</v>
      </c>
      <c r="AO1188">
        <v>6</v>
      </c>
      <c r="AP1188">
        <v>7</v>
      </c>
    </row>
    <row r="1189" spans="1:42">
      <c r="A1189">
        <v>38</v>
      </c>
      <c r="B1189" t="str" cm="1">
        <f t="array" ref="B1189">_xlfn.IFS(A1189&lt;=25,"18-25",A1189&lt;=35,"26-35",A1189&lt;=45,"36-45",A1189&lt;=55,"46-55",A1189&gt;55,"56+")</f>
        <v>36-45</v>
      </c>
      <c r="C1189" t="s">
        <v>39</v>
      </c>
      <c r="D1189" t="s">
        <v>40</v>
      </c>
      <c r="E1189" s="2">
        <v>1189</v>
      </c>
      <c r="F1189" t="s">
        <v>41</v>
      </c>
      <c r="G1189">
        <v>1</v>
      </c>
      <c r="H1189" t="str">
        <f t="shared" si="18"/>
        <v>1-10 km</v>
      </c>
      <c r="I1189">
        <v>3</v>
      </c>
      <c r="J1189" t="str" cm="1">
        <f t="array" ref="J1189">_xlfn.IFS(I1189=1,"Below College",I1189=2,"College",I1189=3,"Bachelor",I1189=4,"Master",I1189=5,"Doctor")</f>
        <v>Bachelor</v>
      </c>
      <c r="K1189" t="s">
        <v>35</v>
      </c>
      <c r="L1189">
        <v>1668</v>
      </c>
      <c r="M1189">
        <v>4</v>
      </c>
      <c r="N1189" t="str" cm="1">
        <f t="array" ref="N1189">_xlfn.IFS(M1189=1,"Low",M1189=2,"Medium",M1189=3,"High",M1189=4,"Very High")</f>
        <v>Very High</v>
      </c>
      <c r="O1189" t="s">
        <v>42</v>
      </c>
      <c r="P1189" s="2">
        <v>90</v>
      </c>
      <c r="Q1189">
        <v>3</v>
      </c>
      <c r="R1189" t="str" cm="1">
        <f t="array" ref="R1189">_xlfn.IFS(Q1189=1,"Low",Q1189=2,"Medium",Q1189=3,"High",Q1189=4,"Very High")</f>
        <v>High</v>
      </c>
      <c r="S1189">
        <v>2</v>
      </c>
      <c r="T1189" t="str" cm="1">
        <f t="array" ref="T1189">_xlfn.IFS(S1189=1,"Entry Level",S1189=2,"Junior",S1189=3,"Mid-Level",S1189=4,"Senior",S1189=5,"Executive")</f>
        <v>Junior</v>
      </c>
      <c r="U1189" t="s">
        <v>43</v>
      </c>
      <c r="V1189">
        <v>4</v>
      </c>
      <c r="W1189" t="str" cm="1">
        <f t="array" ref="W1189">_xlfn.IFS(V1189=1,"Low",V1189=2,"Medium",V1189=3,"High",V1189=4,"Very High")</f>
        <v>Very High</v>
      </c>
      <c r="X1189" t="s">
        <v>44</v>
      </c>
      <c r="Y1189" s="2">
        <v>4735</v>
      </c>
      <c r="Z1189" s="2">
        <v>9867</v>
      </c>
      <c r="AA1189">
        <v>7</v>
      </c>
      <c r="AB1189" t="s">
        <v>39</v>
      </c>
      <c r="AC1189">
        <v>15</v>
      </c>
      <c r="AD1189">
        <v>3</v>
      </c>
      <c r="AE1189" t="str" cm="1">
        <f t="array" ref="AE1189">_xlfn.IFS(AD1189=1,"Low",AD1189=2,"Good",AD1189=3,"Excellent",AD1189=4,"Outstanding")</f>
        <v>Excellent</v>
      </c>
      <c r="AF1189">
        <v>4</v>
      </c>
      <c r="AG1189" t="str" cm="1">
        <f t="array" ref="AG1189">_xlfn.IFS(AF1189=1,"Low",AF1189=2,"Medium",AF1189=3,"High",AF1189=4,"Very High")</f>
        <v>Very High</v>
      </c>
      <c r="AH1189">
        <v>2</v>
      </c>
      <c r="AI1189">
        <v>19</v>
      </c>
      <c r="AJ1189">
        <v>4</v>
      </c>
      <c r="AK1189">
        <v>4</v>
      </c>
      <c r="AL1189" t="str" cm="1">
        <f t="array" ref="AL1189">_xlfn.IFS(AK1189=1,"Low",AK1189=2,"Medium",AK1189=3,"High",AK1189=4,"Very High")</f>
        <v>Very High</v>
      </c>
      <c r="AM1189">
        <v>13</v>
      </c>
      <c r="AN1189">
        <v>11</v>
      </c>
      <c r="AO1189">
        <v>2</v>
      </c>
      <c r="AP1189">
        <v>9</v>
      </c>
    </row>
    <row r="1190" spans="1:42">
      <c r="A1190">
        <v>29</v>
      </c>
      <c r="B1190" t="str" cm="1">
        <f t="array" ref="B1190">_xlfn.IFS(A1190&lt;=25,"18-25",A1190&lt;=35,"26-35",A1190&lt;=45,"36-45",A1190&lt;=55,"46-55",A1190&gt;55,"56+")</f>
        <v>26-35</v>
      </c>
      <c r="C1190" t="s">
        <v>39</v>
      </c>
      <c r="D1190" t="s">
        <v>33</v>
      </c>
      <c r="E1190" s="2">
        <v>991</v>
      </c>
      <c r="F1190" t="s">
        <v>34</v>
      </c>
      <c r="G1190">
        <v>5</v>
      </c>
      <c r="H1190" t="str">
        <f t="shared" si="18"/>
        <v>1-10 km</v>
      </c>
      <c r="I1190">
        <v>3</v>
      </c>
      <c r="J1190" t="str" cm="1">
        <f t="array" ref="J1190">_xlfn.IFS(I1190=1,"Below College",I1190=2,"College",I1190=3,"Bachelor",I1190=4,"Master",I1190=5,"Doctor")</f>
        <v>Bachelor</v>
      </c>
      <c r="K1190" t="s">
        <v>47</v>
      </c>
      <c r="L1190">
        <v>1669</v>
      </c>
      <c r="M1190">
        <v>1</v>
      </c>
      <c r="N1190" t="str" cm="1">
        <f t="array" ref="N1190">_xlfn.IFS(M1190=1,"Low",M1190=2,"Medium",M1190=3,"High",M1190=4,"Very High")</f>
        <v>Low</v>
      </c>
      <c r="O1190" t="s">
        <v>42</v>
      </c>
      <c r="P1190" s="2">
        <v>43</v>
      </c>
      <c r="Q1190">
        <v>2</v>
      </c>
      <c r="R1190" t="str" cm="1">
        <f t="array" ref="R1190">_xlfn.IFS(Q1190=1,"Low",Q1190=2,"Medium",Q1190=3,"High",Q1190=4,"Very High")</f>
        <v>Medium</v>
      </c>
      <c r="S1190">
        <v>2</v>
      </c>
      <c r="T1190" t="str" cm="1">
        <f t="array" ref="T1190">_xlfn.IFS(S1190=1,"Entry Level",S1190=2,"Junior",S1190=3,"Mid-Level",S1190=4,"Senior",S1190=5,"Executive")</f>
        <v>Junior</v>
      </c>
      <c r="U1190" t="s">
        <v>37</v>
      </c>
      <c r="V1190">
        <v>2</v>
      </c>
      <c r="W1190" t="str" cm="1">
        <f t="array" ref="W1190">_xlfn.IFS(V1190=1,"Low",V1190=2,"Medium",V1190=3,"High",V1190=4,"Very High")</f>
        <v>Medium</v>
      </c>
      <c r="X1190" t="s">
        <v>48</v>
      </c>
      <c r="Y1190" s="2">
        <v>4187</v>
      </c>
      <c r="Z1190" s="2">
        <v>3356</v>
      </c>
      <c r="AA1190">
        <v>1</v>
      </c>
      <c r="AB1190" t="s">
        <v>32</v>
      </c>
      <c r="AC1190">
        <v>13</v>
      </c>
      <c r="AD1190">
        <v>3</v>
      </c>
      <c r="AE1190" t="str" cm="1">
        <f t="array" ref="AE1190">_xlfn.IFS(AD1190=1,"Low",AD1190=2,"Good",AD1190=3,"Excellent",AD1190=4,"Outstanding")</f>
        <v>Excellent</v>
      </c>
      <c r="AF1190">
        <v>2</v>
      </c>
      <c r="AG1190" t="str" cm="1">
        <f t="array" ref="AG1190">_xlfn.IFS(AF1190=1,"Low",AF1190=2,"Medium",AF1190=3,"High",AF1190=4,"Very High")</f>
        <v>Medium</v>
      </c>
      <c r="AH1190">
        <v>1</v>
      </c>
      <c r="AI1190">
        <v>10</v>
      </c>
      <c r="AJ1190">
        <v>3</v>
      </c>
      <c r="AK1190">
        <v>2</v>
      </c>
      <c r="AL1190" t="str" cm="1">
        <f t="array" ref="AL1190">_xlfn.IFS(AK1190=1,"Low",AK1190=2,"Medium",AK1190=3,"High",AK1190=4,"Very High")</f>
        <v>Medium</v>
      </c>
      <c r="AM1190">
        <v>10</v>
      </c>
      <c r="AN1190">
        <v>0</v>
      </c>
      <c r="AO1190">
        <v>0</v>
      </c>
      <c r="AP1190">
        <v>9</v>
      </c>
    </row>
    <row r="1191" spans="1:42">
      <c r="A1191">
        <v>33</v>
      </c>
      <c r="B1191" t="str" cm="1">
        <f t="array" ref="B1191">_xlfn.IFS(A1191&lt;=25,"18-25",A1191&lt;=35,"26-35",A1191&lt;=45,"36-45",A1191&lt;=55,"46-55",A1191&gt;55,"56+")</f>
        <v>26-35</v>
      </c>
      <c r="C1191" t="s">
        <v>39</v>
      </c>
      <c r="D1191" t="s">
        <v>33</v>
      </c>
      <c r="E1191" s="2">
        <v>392</v>
      </c>
      <c r="F1191" t="s">
        <v>34</v>
      </c>
      <c r="G1191">
        <v>2</v>
      </c>
      <c r="H1191" t="str">
        <f t="shared" si="18"/>
        <v>1-10 km</v>
      </c>
      <c r="I1191">
        <v>4</v>
      </c>
      <c r="J1191" t="str" cm="1">
        <f t="array" ref="J1191">_xlfn.IFS(I1191=1,"Below College",I1191=2,"College",I1191=3,"Bachelor",I1191=4,"Master",I1191=5,"Doctor")</f>
        <v>Master</v>
      </c>
      <c r="K1191" t="s">
        <v>47</v>
      </c>
      <c r="L1191">
        <v>1670</v>
      </c>
      <c r="M1191">
        <v>4</v>
      </c>
      <c r="N1191" t="str" cm="1">
        <f t="array" ref="N1191">_xlfn.IFS(M1191=1,"Low",M1191=2,"Medium",M1191=3,"High",M1191=4,"Very High")</f>
        <v>Very High</v>
      </c>
      <c r="O1191" t="s">
        <v>42</v>
      </c>
      <c r="P1191" s="2">
        <v>93</v>
      </c>
      <c r="Q1191">
        <v>3</v>
      </c>
      <c r="R1191" t="str" cm="1">
        <f t="array" ref="R1191">_xlfn.IFS(Q1191=1,"Low",Q1191=2,"Medium",Q1191=3,"High",Q1191=4,"Very High")</f>
        <v>High</v>
      </c>
      <c r="S1191">
        <v>2</v>
      </c>
      <c r="T1191" t="str" cm="1">
        <f t="array" ref="T1191">_xlfn.IFS(S1191=1,"Entry Level",S1191=2,"Junior",S1191=3,"Mid-Level",S1191=4,"Senior",S1191=5,"Executive")</f>
        <v>Junior</v>
      </c>
      <c r="U1191" t="s">
        <v>37</v>
      </c>
      <c r="V1191">
        <v>4</v>
      </c>
      <c r="W1191" t="str" cm="1">
        <f t="array" ref="W1191">_xlfn.IFS(V1191=1,"Low",V1191=2,"Medium",V1191=3,"High",V1191=4,"Very High")</f>
        <v>Very High</v>
      </c>
      <c r="X1191" t="s">
        <v>48</v>
      </c>
      <c r="Y1191" s="2">
        <v>5505</v>
      </c>
      <c r="Z1191" s="2">
        <v>3921</v>
      </c>
      <c r="AA1191">
        <v>1</v>
      </c>
      <c r="AB1191" t="s">
        <v>39</v>
      </c>
      <c r="AC1191">
        <v>14</v>
      </c>
      <c r="AD1191">
        <v>3</v>
      </c>
      <c r="AE1191" t="str" cm="1">
        <f t="array" ref="AE1191">_xlfn.IFS(AD1191=1,"Low",AD1191=2,"Good",AD1191=3,"Excellent",AD1191=4,"Outstanding")</f>
        <v>Excellent</v>
      </c>
      <c r="AF1191">
        <v>3</v>
      </c>
      <c r="AG1191" t="str" cm="1">
        <f t="array" ref="AG1191">_xlfn.IFS(AF1191=1,"Low",AF1191=2,"Medium",AF1191=3,"High",AF1191=4,"Very High")</f>
        <v>High</v>
      </c>
      <c r="AH1191">
        <v>2</v>
      </c>
      <c r="AI1191">
        <v>6</v>
      </c>
      <c r="AJ1191">
        <v>5</v>
      </c>
      <c r="AK1191">
        <v>3</v>
      </c>
      <c r="AL1191" t="str" cm="1">
        <f t="array" ref="AL1191">_xlfn.IFS(AK1191=1,"Low",AK1191=2,"Medium",AK1191=3,"High",AK1191=4,"Very High")</f>
        <v>High</v>
      </c>
      <c r="AM1191">
        <v>6</v>
      </c>
      <c r="AN1191">
        <v>2</v>
      </c>
      <c r="AO1191">
        <v>0</v>
      </c>
      <c r="AP1191">
        <v>4</v>
      </c>
    </row>
    <row r="1192" spans="1:42">
      <c r="A1192">
        <v>32</v>
      </c>
      <c r="B1192" t="str" cm="1">
        <f t="array" ref="B1192">_xlfn.IFS(A1192&lt;=25,"18-25",A1192&lt;=35,"26-35",A1192&lt;=45,"36-45",A1192&lt;=55,"46-55",A1192&gt;55,"56+")</f>
        <v>26-35</v>
      </c>
      <c r="C1192" t="s">
        <v>39</v>
      </c>
      <c r="D1192" t="s">
        <v>33</v>
      </c>
      <c r="E1192" s="2">
        <v>977</v>
      </c>
      <c r="F1192" t="s">
        <v>41</v>
      </c>
      <c r="G1192">
        <v>2</v>
      </c>
      <c r="H1192" t="str">
        <f t="shared" si="18"/>
        <v>1-10 km</v>
      </c>
      <c r="I1192">
        <v>3</v>
      </c>
      <c r="J1192" t="str" cm="1">
        <f t="array" ref="J1192">_xlfn.IFS(I1192=1,"Below College",I1192=2,"College",I1192=3,"Bachelor",I1192=4,"Master",I1192=5,"Doctor")</f>
        <v>Bachelor</v>
      </c>
      <c r="K1192" t="s">
        <v>47</v>
      </c>
      <c r="L1192">
        <v>1671</v>
      </c>
      <c r="M1192">
        <v>4</v>
      </c>
      <c r="N1192" t="str" cm="1">
        <f t="array" ref="N1192">_xlfn.IFS(M1192=1,"Low",M1192=2,"Medium",M1192=3,"High",M1192=4,"Very High")</f>
        <v>Very High</v>
      </c>
      <c r="O1192" t="s">
        <v>42</v>
      </c>
      <c r="P1192" s="2">
        <v>45</v>
      </c>
      <c r="Q1192">
        <v>3</v>
      </c>
      <c r="R1192" t="str" cm="1">
        <f t="array" ref="R1192">_xlfn.IFS(Q1192=1,"Low",Q1192=2,"Medium",Q1192=3,"High",Q1192=4,"Very High")</f>
        <v>High</v>
      </c>
      <c r="S1192">
        <v>2</v>
      </c>
      <c r="T1192" t="str" cm="1">
        <f t="array" ref="T1192">_xlfn.IFS(S1192=1,"Entry Level",S1192=2,"Junior",S1192=3,"Mid-Level",S1192=4,"Senior",S1192=5,"Executive")</f>
        <v>Junior</v>
      </c>
      <c r="U1192" t="s">
        <v>43</v>
      </c>
      <c r="V1192">
        <v>2</v>
      </c>
      <c r="W1192" t="str" cm="1">
        <f t="array" ref="W1192">_xlfn.IFS(V1192=1,"Low",V1192=2,"Medium",V1192=3,"High",V1192=4,"Very High")</f>
        <v>Medium</v>
      </c>
      <c r="X1192" t="s">
        <v>48</v>
      </c>
      <c r="Y1192" s="2">
        <v>5470</v>
      </c>
      <c r="Z1192" s="2">
        <v>25518</v>
      </c>
      <c r="AA1192">
        <v>0</v>
      </c>
      <c r="AB1192" t="s">
        <v>39</v>
      </c>
      <c r="AC1192">
        <v>13</v>
      </c>
      <c r="AD1192">
        <v>3</v>
      </c>
      <c r="AE1192" t="str" cm="1">
        <f t="array" ref="AE1192">_xlfn.IFS(AD1192=1,"Low",AD1192=2,"Good",AD1192=3,"Excellent",AD1192=4,"Outstanding")</f>
        <v>Excellent</v>
      </c>
      <c r="AF1192">
        <v>3</v>
      </c>
      <c r="AG1192" t="str" cm="1">
        <f t="array" ref="AG1192">_xlfn.IFS(AF1192=1,"Low",AF1192=2,"Medium",AF1192=3,"High",AF1192=4,"Very High")</f>
        <v>High</v>
      </c>
      <c r="AH1192">
        <v>2</v>
      </c>
      <c r="AI1192">
        <v>10</v>
      </c>
      <c r="AJ1192">
        <v>4</v>
      </c>
      <c r="AK1192">
        <v>2</v>
      </c>
      <c r="AL1192" t="str" cm="1">
        <f t="array" ref="AL1192">_xlfn.IFS(AK1192=1,"Low",AK1192=2,"Medium",AK1192=3,"High",AK1192=4,"Very High")</f>
        <v>Medium</v>
      </c>
      <c r="AM1192">
        <v>9</v>
      </c>
      <c r="AN1192">
        <v>5</v>
      </c>
      <c r="AO1192">
        <v>1</v>
      </c>
      <c r="AP1192">
        <v>6</v>
      </c>
    </row>
    <row r="1193" spans="1:42">
      <c r="A1193">
        <v>31</v>
      </c>
      <c r="B1193" t="str" cm="1">
        <f t="array" ref="B1193">_xlfn.IFS(A1193&lt;=25,"18-25",A1193&lt;=35,"26-35",A1193&lt;=45,"36-45",A1193&lt;=55,"46-55",A1193&gt;55,"56+")</f>
        <v>26-35</v>
      </c>
      <c r="C1193" t="s">
        <v>39</v>
      </c>
      <c r="D1193" t="s">
        <v>33</v>
      </c>
      <c r="E1193" s="2">
        <v>1112</v>
      </c>
      <c r="F1193" t="s">
        <v>34</v>
      </c>
      <c r="G1193">
        <v>5</v>
      </c>
      <c r="H1193" t="str">
        <f t="shared" si="18"/>
        <v>1-10 km</v>
      </c>
      <c r="I1193">
        <v>4</v>
      </c>
      <c r="J1193" t="str" cm="1">
        <f t="array" ref="J1193">_xlfn.IFS(I1193=1,"Below College",I1193=2,"College",I1193=3,"Bachelor",I1193=4,"Master",I1193=5,"Doctor")</f>
        <v>Master</v>
      </c>
      <c r="K1193" t="s">
        <v>35</v>
      </c>
      <c r="L1193">
        <v>1673</v>
      </c>
      <c r="M1193">
        <v>1</v>
      </c>
      <c r="N1193" t="str" cm="1">
        <f t="array" ref="N1193">_xlfn.IFS(M1193=1,"Low",M1193=2,"Medium",M1193=3,"High",M1193=4,"Very High")</f>
        <v>Low</v>
      </c>
      <c r="O1193" t="s">
        <v>36</v>
      </c>
      <c r="P1193" s="2">
        <v>67</v>
      </c>
      <c r="Q1193">
        <v>3</v>
      </c>
      <c r="R1193" t="str" cm="1">
        <f t="array" ref="R1193">_xlfn.IFS(Q1193=1,"Low",Q1193=2,"Medium",Q1193=3,"High",Q1193=4,"Very High")</f>
        <v>High</v>
      </c>
      <c r="S1193">
        <v>2</v>
      </c>
      <c r="T1193" t="str" cm="1">
        <f t="array" ref="T1193">_xlfn.IFS(S1193=1,"Entry Level",S1193=2,"Junior",S1193=3,"Mid-Level",S1193=4,"Senior",S1193=5,"Executive")</f>
        <v>Junior</v>
      </c>
      <c r="U1193" t="s">
        <v>37</v>
      </c>
      <c r="V1193">
        <v>4</v>
      </c>
      <c r="W1193" t="str" cm="1">
        <f t="array" ref="W1193">_xlfn.IFS(V1193=1,"Low",V1193=2,"Medium",V1193=3,"High",V1193=4,"Very High")</f>
        <v>Very High</v>
      </c>
      <c r="X1193" t="s">
        <v>44</v>
      </c>
      <c r="Y1193" s="2">
        <v>5476</v>
      </c>
      <c r="Z1193" s="2">
        <v>22589</v>
      </c>
      <c r="AA1193">
        <v>1</v>
      </c>
      <c r="AB1193" t="s">
        <v>39</v>
      </c>
      <c r="AC1193">
        <v>11</v>
      </c>
      <c r="AD1193">
        <v>3</v>
      </c>
      <c r="AE1193" t="str" cm="1">
        <f t="array" ref="AE1193">_xlfn.IFS(AD1193=1,"Low",AD1193=2,"Good",AD1193=3,"Excellent",AD1193=4,"Outstanding")</f>
        <v>Excellent</v>
      </c>
      <c r="AF1193">
        <v>1</v>
      </c>
      <c r="AG1193" t="str" cm="1">
        <f t="array" ref="AG1193">_xlfn.IFS(AF1193=1,"Low",AF1193=2,"Medium",AF1193=3,"High",AF1193=4,"Very High")</f>
        <v>Low</v>
      </c>
      <c r="AH1193">
        <v>2</v>
      </c>
      <c r="AI1193">
        <v>10</v>
      </c>
      <c r="AJ1193">
        <v>2</v>
      </c>
      <c r="AK1193">
        <v>3</v>
      </c>
      <c r="AL1193" t="str" cm="1">
        <f t="array" ref="AL1193">_xlfn.IFS(AK1193=1,"Low",AK1193=2,"Medium",AK1193=3,"High",AK1193=4,"Very High")</f>
        <v>High</v>
      </c>
      <c r="AM1193">
        <v>10</v>
      </c>
      <c r="AN1193">
        <v>0</v>
      </c>
      <c r="AO1193">
        <v>0</v>
      </c>
      <c r="AP1193">
        <v>2</v>
      </c>
    </row>
    <row r="1194" spans="1:42">
      <c r="A1194">
        <v>49</v>
      </c>
      <c r="B1194" t="str" cm="1">
        <f t="array" ref="B1194">_xlfn.IFS(A1194&lt;=25,"18-25",A1194&lt;=35,"26-35",A1194&lt;=45,"36-45",A1194&lt;=55,"46-55",A1194&gt;55,"56+")</f>
        <v>46-55</v>
      </c>
      <c r="C1194" t="s">
        <v>39</v>
      </c>
      <c r="D1194" t="s">
        <v>33</v>
      </c>
      <c r="E1194" s="2">
        <v>464</v>
      </c>
      <c r="F1194" t="s">
        <v>41</v>
      </c>
      <c r="G1194">
        <v>16</v>
      </c>
      <c r="H1194" t="str">
        <f t="shared" si="18"/>
        <v>11-20 km</v>
      </c>
      <c r="I1194">
        <v>3</v>
      </c>
      <c r="J1194" t="str" cm="1">
        <f t="array" ref="J1194">_xlfn.IFS(I1194=1,"Below College",I1194=2,"College",I1194=3,"Bachelor",I1194=4,"Master",I1194=5,"Doctor")</f>
        <v>Bachelor</v>
      </c>
      <c r="K1194" t="s">
        <v>47</v>
      </c>
      <c r="L1194">
        <v>1674</v>
      </c>
      <c r="M1194">
        <v>4</v>
      </c>
      <c r="N1194" t="str" cm="1">
        <f t="array" ref="N1194">_xlfn.IFS(M1194=1,"Low",M1194=2,"Medium",M1194=3,"High",M1194=4,"Very High")</f>
        <v>Very High</v>
      </c>
      <c r="O1194" t="s">
        <v>36</v>
      </c>
      <c r="P1194" s="2">
        <v>74</v>
      </c>
      <c r="Q1194">
        <v>3</v>
      </c>
      <c r="R1194" t="str" cm="1">
        <f t="array" ref="R1194">_xlfn.IFS(Q1194=1,"Low",Q1194=2,"Medium",Q1194=3,"High",Q1194=4,"Very High")</f>
        <v>High</v>
      </c>
      <c r="S1194">
        <v>1</v>
      </c>
      <c r="T1194" t="str" cm="1">
        <f t="array" ref="T1194">_xlfn.IFS(S1194=1,"Entry Level",S1194=2,"Junior",S1194=3,"Mid-Level",S1194=4,"Senior",S1194=5,"Executive")</f>
        <v>Entry Level</v>
      </c>
      <c r="U1194" t="s">
        <v>46</v>
      </c>
      <c r="V1194">
        <v>1</v>
      </c>
      <c r="W1194" t="str" cm="1">
        <f t="array" ref="W1194">_xlfn.IFS(V1194=1,"Low",V1194=2,"Medium",V1194=3,"High",V1194=4,"Very High")</f>
        <v>Low</v>
      </c>
      <c r="X1194" t="s">
        <v>48</v>
      </c>
      <c r="Y1194" s="2">
        <v>2587</v>
      </c>
      <c r="Z1194" s="2">
        <v>24941</v>
      </c>
      <c r="AA1194">
        <v>4</v>
      </c>
      <c r="AB1194" t="s">
        <v>32</v>
      </c>
      <c r="AC1194">
        <v>16</v>
      </c>
      <c r="AD1194">
        <v>3</v>
      </c>
      <c r="AE1194" t="str" cm="1">
        <f t="array" ref="AE1194">_xlfn.IFS(AD1194=1,"Low",AD1194=2,"Good",AD1194=3,"Excellent",AD1194=4,"Outstanding")</f>
        <v>Excellent</v>
      </c>
      <c r="AF1194">
        <v>2</v>
      </c>
      <c r="AG1194" t="str" cm="1">
        <f t="array" ref="AG1194">_xlfn.IFS(AF1194=1,"Low",AF1194=2,"Medium",AF1194=3,"High",AF1194=4,"Very High")</f>
        <v>Medium</v>
      </c>
      <c r="AH1194">
        <v>1</v>
      </c>
      <c r="AI1194">
        <v>17</v>
      </c>
      <c r="AJ1194">
        <v>2</v>
      </c>
      <c r="AK1194">
        <v>2</v>
      </c>
      <c r="AL1194" t="str" cm="1">
        <f t="array" ref="AL1194">_xlfn.IFS(AK1194=1,"Low",AK1194=2,"Medium",AK1194=3,"High",AK1194=4,"Very High")</f>
        <v>Medium</v>
      </c>
      <c r="AM1194">
        <v>2</v>
      </c>
      <c r="AN1194">
        <v>2</v>
      </c>
      <c r="AO1194">
        <v>2</v>
      </c>
      <c r="AP1194">
        <v>2</v>
      </c>
    </row>
    <row r="1195" spans="1:42">
      <c r="A1195">
        <v>38</v>
      </c>
      <c r="B1195" t="str" cm="1">
        <f t="array" ref="B1195">_xlfn.IFS(A1195&lt;=25,"18-25",A1195&lt;=35,"26-35",A1195&lt;=45,"36-45",A1195&lt;=55,"46-55",A1195&gt;55,"56+")</f>
        <v>36-45</v>
      </c>
      <c r="C1195" t="s">
        <v>39</v>
      </c>
      <c r="D1195" t="s">
        <v>40</v>
      </c>
      <c r="E1195" s="2">
        <v>148</v>
      </c>
      <c r="F1195" t="s">
        <v>41</v>
      </c>
      <c r="G1195">
        <v>2</v>
      </c>
      <c r="H1195" t="str">
        <f t="shared" si="18"/>
        <v>1-10 km</v>
      </c>
      <c r="I1195">
        <v>3</v>
      </c>
      <c r="J1195" t="str" cm="1">
        <f t="array" ref="J1195">_xlfn.IFS(I1195=1,"Below College",I1195=2,"College",I1195=3,"Bachelor",I1195=4,"Master",I1195=5,"Doctor")</f>
        <v>Bachelor</v>
      </c>
      <c r="K1195" t="s">
        <v>47</v>
      </c>
      <c r="L1195">
        <v>1675</v>
      </c>
      <c r="M1195">
        <v>4</v>
      </c>
      <c r="N1195" t="str" cm="1">
        <f t="array" ref="N1195">_xlfn.IFS(M1195=1,"Low",M1195=2,"Medium",M1195=3,"High",M1195=4,"Very High")</f>
        <v>Very High</v>
      </c>
      <c r="O1195" t="s">
        <v>36</v>
      </c>
      <c r="P1195" s="2">
        <v>42</v>
      </c>
      <c r="Q1195">
        <v>2</v>
      </c>
      <c r="R1195" t="str" cm="1">
        <f t="array" ref="R1195">_xlfn.IFS(Q1195=1,"Low",Q1195=2,"Medium",Q1195=3,"High",Q1195=4,"Very High")</f>
        <v>Medium</v>
      </c>
      <c r="S1195">
        <v>1</v>
      </c>
      <c r="T1195" t="str" cm="1">
        <f t="array" ref="T1195">_xlfn.IFS(S1195=1,"Entry Level",S1195=2,"Junior",S1195=3,"Mid-Level",S1195=4,"Senior",S1195=5,"Executive")</f>
        <v>Entry Level</v>
      </c>
      <c r="U1195" t="s">
        <v>46</v>
      </c>
      <c r="V1195">
        <v>2</v>
      </c>
      <c r="W1195" t="str" cm="1">
        <f t="array" ref="W1195">_xlfn.IFS(V1195=1,"Low",V1195=2,"Medium",V1195=3,"High",V1195=4,"Very High")</f>
        <v>Medium</v>
      </c>
      <c r="X1195" t="s">
        <v>38</v>
      </c>
      <c r="Y1195" s="2">
        <v>2440</v>
      </c>
      <c r="Z1195" s="2">
        <v>23826</v>
      </c>
      <c r="AA1195">
        <v>1</v>
      </c>
      <c r="AB1195" t="s">
        <v>39</v>
      </c>
      <c r="AC1195">
        <v>22</v>
      </c>
      <c r="AD1195">
        <v>4</v>
      </c>
      <c r="AE1195" t="str" cm="1">
        <f t="array" ref="AE1195">_xlfn.IFS(AD1195=1,"Low",AD1195=2,"Good",AD1195=3,"Excellent",AD1195=4,"Outstanding")</f>
        <v>Outstanding</v>
      </c>
      <c r="AF1195">
        <v>2</v>
      </c>
      <c r="AG1195" t="str" cm="1">
        <f t="array" ref="AG1195">_xlfn.IFS(AF1195=1,"Low",AF1195=2,"Medium",AF1195=3,"High",AF1195=4,"Very High")</f>
        <v>Medium</v>
      </c>
      <c r="AH1195">
        <v>0</v>
      </c>
      <c r="AI1195">
        <v>4</v>
      </c>
      <c r="AJ1195">
        <v>3</v>
      </c>
      <c r="AK1195">
        <v>3</v>
      </c>
      <c r="AL1195" t="str" cm="1">
        <f t="array" ref="AL1195">_xlfn.IFS(AK1195=1,"Low",AK1195=2,"Medium",AK1195=3,"High",AK1195=4,"Very High")</f>
        <v>High</v>
      </c>
      <c r="AM1195">
        <v>4</v>
      </c>
      <c r="AN1195">
        <v>3</v>
      </c>
      <c r="AO1195">
        <v>3</v>
      </c>
      <c r="AP1195">
        <v>3</v>
      </c>
    </row>
    <row r="1196" spans="1:42">
      <c r="A1196">
        <v>47</v>
      </c>
      <c r="B1196" t="str" cm="1">
        <f t="array" ref="B1196">_xlfn.IFS(A1196&lt;=25,"18-25",A1196&lt;=35,"26-35",A1196&lt;=45,"36-45",A1196&lt;=55,"46-55",A1196&gt;55,"56+")</f>
        <v>46-55</v>
      </c>
      <c r="C1196" t="s">
        <v>39</v>
      </c>
      <c r="D1196" t="s">
        <v>33</v>
      </c>
      <c r="E1196" s="2">
        <v>1225</v>
      </c>
      <c r="F1196" t="s">
        <v>34</v>
      </c>
      <c r="G1196">
        <v>2</v>
      </c>
      <c r="H1196" t="str">
        <f t="shared" si="18"/>
        <v>1-10 km</v>
      </c>
      <c r="I1196">
        <v>4</v>
      </c>
      <c r="J1196" t="str" cm="1">
        <f t="array" ref="J1196">_xlfn.IFS(I1196=1,"Below College",I1196=2,"College",I1196=3,"Bachelor",I1196=4,"Master",I1196=5,"Doctor")</f>
        <v>Master</v>
      </c>
      <c r="K1196" t="s">
        <v>35</v>
      </c>
      <c r="L1196">
        <v>1676</v>
      </c>
      <c r="M1196">
        <v>2</v>
      </c>
      <c r="N1196" t="str" cm="1">
        <f t="array" ref="N1196">_xlfn.IFS(M1196=1,"Low",M1196=2,"Medium",M1196=3,"High",M1196=4,"Very High")</f>
        <v>Medium</v>
      </c>
      <c r="O1196" t="s">
        <v>36</v>
      </c>
      <c r="P1196" s="2">
        <v>47</v>
      </c>
      <c r="Q1196">
        <v>4</v>
      </c>
      <c r="R1196" t="str" cm="1">
        <f t="array" ref="R1196">_xlfn.IFS(Q1196=1,"Low",Q1196=2,"Medium",Q1196=3,"High",Q1196=4,"Very High")</f>
        <v>Very High</v>
      </c>
      <c r="S1196">
        <v>4</v>
      </c>
      <c r="T1196" t="str" cm="1">
        <f t="array" ref="T1196">_xlfn.IFS(S1196=1,"Entry Level",S1196=2,"Junior",S1196=3,"Mid-Level",S1196=4,"Senior",S1196=5,"Executive")</f>
        <v>Senior</v>
      </c>
      <c r="U1196" t="s">
        <v>52</v>
      </c>
      <c r="V1196">
        <v>2</v>
      </c>
      <c r="W1196" t="str" cm="1">
        <f t="array" ref="W1196">_xlfn.IFS(V1196=1,"Low",V1196=2,"Medium",V1196=3,"High",V1196=4,"Very High")</f>
        <v>Medium</v>
      </c>
      <c r="X1196" t="s">
        <v>48</v>
      </c>
      <c r="Y1196" s="2">
        <v>15972</v>
      </c>
      <c r="Z1196" s="2">
        <v>21086</v>
      </c>
      <c r="AA1196">
        <v>6</v>
      </c>
      <c r="AB1196" t="s">
        <v>39</v>
      </c>
      <c r="AC1196">
        <v>14</v>
      </c>
      <c r="AD1196">
        <v>3</v>
      </c>
      <c r="AE1196" t="str" cm="1">
        <f t="array" ref="AE1196">_xlfn.IFS(AD1196=1,"Low",AD1196=2,"Good",AD1196=3,"Excellent",AD1196=4,"Outstanding")</f>
        <v>Excellent</v>
      </c>
      <c r="AF1196">
        <v>3</v>
      </c>
      <c r="AG1196" t="str" cm="1">
        <f t="array" ref="AG1196">_xlfn.IFS(AF1196=1,"Low",AF1196=2,"Medium",AF1196=3,"High",AF1196=4,"Very High")</f>
        <v>High</v>
      </c>
      <c r="AH1196">
        <v>3</v>
      </c>
      <c r="AI1196">
        <v>29</v>
      </c>
      <c r="AJ1196">
        <v>2</v>
      </c>
      <c r="AK1196">
        <v>3</v>
      </c>
      <c r="AL1196" t="str" cm="1">
        <f t="array" ref="AL1196">_xlfn.IFS(AK1196=1,"Low",AK1196=2,"Medium",AK1196=3,"High",AK1196=4,"Very High")</f>
        <v>High</v>
      </c>
      <c r="AM1196">
        <v>3</v>
      </c>
      <c r="AN1196">
        <v>2</v>
      </c>
      <c r="AO1196">
        <v>1</v>
      </c>
      <c r="AP1196">
        <v>2</v>
      </c>
    </row>
    <row r="1197" spans="1:42">
      <c r="A1197">
        <v>49</v>
      </c>
      <c r="B1197" t="str" cm="1">
        <f t="array" ref="B1197">_xlfn.IFS(A1197&lt;=25,"18-25",A1197&lt;=35,"26-35",A1197&lt;=45,"36-45",A1197&lt;=55,"46-55",A1197&gt;55,"56+")</f>
        <v>46-55</v>
      </c>
      <c r="C1197" t="s">
        <v>39</v>
      </c>
      <c r="D1197" t="s">
        <v>33</v>
      </c>
      <c r="E1197" s="2">
        <v>809</v>
      </c>
      <c r="F1197" t="s">
        <v>41</v>
      </c>
      <c r="G1197">
        <v>1</v>
      </c>
      <c r="H1197" t="str">
        <f t="shared" si="18"/>
        <v>1-10 km</v>
      </c>
      <c r="I1197">
        <v>3</v>
      </c>
      <c r="J1197" t="str" cm="1">
        <f t="array" ref="J1197">_xlfn.IFS(I1197=1,"Below College",I1197=2,"College",I1197=3,"Bachelor",I1197=4,"Master",I1197=5,"Doctor")</f>
        <v>Bachelor</v>
      </c>
      <c r="K1197" t="s">
        <v>35</v>
      </c>
      <c r="L1197">
        <v>1677</v>
      </c>
      <c r="M1197">
        <v>3</v>
      </c>
      <c r="N1197" t="str" cm="1">
        <f t="array" ref="N1197">_xlfn.IFS(M1197=1,"Low",M1197=2,"Medium",M1197=3,"High",M1197=4,"Very High")</f>
        <v>High</v>
      </c>
      <c r="O1197" t="s">
        <v>42</v>
      </c>
      <c r="P1197" s="2">
        <v>36</v>
      </c>
      <c r="Q1197">
        <v>3</v>
      </c>
      <c r="R1197" t="str" cm="1">
        <f t="array" ref="R1197">_xlfn.IFS(Q1197=1,"Low",Q1197=2,"Medium",Q1197=3,"High",Q1197=4,"Very High")</f>
        <v>High</v>
      </c>
      <c r="S1197">
        <v>4</v>
      </c>
      <c r="T1197" t="str" cm="1">
        <f t="array" ref="T1197">_xlfn.IFS(S1197=1,"Entry Level",S1197=2,"Junior",S1197=3,"Mid-Level",S1197=4,"Senior",S1197=5,"Executive")</f>
        <v>Senior</v>
      </c>
      <c r="U1197" t="s">
        <v>52</v>
      </c>
      <c r="V1197">
        <v>3</v>
      </c>
      <c r="W1197" t="str" cm="1">
        <f t="array" ref="W1197">_xlfn.IFS(V1197=1,"Low",V1197=2,"Medium",V1197=3,"High",V1197=4,"Very High")</f>
        <v>High</v>
      </c>
      <c r="X1197" t="s">
        <v>38</v>
      </c>
      <c r="Y1197" s="2">
        <v>15379</v>
      </c>
      <c r="Z1197" s="2">
        <v>22384</v>
      </c>
      <c r="AA1197">
        <v>4</v>
      </c>
      <c r="AB1197" t="s">
        <v>39</v>
      </c>
      <c r="AC1197">
        <v>14</v>
      </c>
      <c r="AD1197">
        <v>3</v>
      </c>
      <c r="AE1197" t="str" cm="1">
        <f t="array" ref="AE1197">_xlfn.IFS(AD1197=1,"Low",AD1197=2,"Good",AD1197=3,"Excellent",AD1197=4,"Outstanding")</f>
        <v>Excellent</v>
      </c>
      <c r="AF1197">
        <v>1</v>
      </c>
      <c r="AG1197" t="str" cm="1">
        <f t="array" ref="AG1197">_xlfn.IFS(AF1197=1,"Low",AF1197=2,"Medium",AF1197=3,"High",AF1197=4,"Very High")</f>
        <v>Low</v>
      </c>
      <c r="AH1197">
        <v>0</v>
      </c>
      <c r="AI1197">
        <v>23</v>
      </c>
      <c r="AJ1197">
        <v>2</v>
      </c>
      <c r="AK1197">
        <v>3</v>
      </c>
      <c r="AL1197" t="str" cm="1">
        <f t="array" ref="AL1197">_xlfn.IFS(AK1197=1,"Low",AK1197=2,"Medium",AK1197=3,"High",AK1197=4,"Very High")</f>
        <v>High</v>
      </c>
      <c r="AM1197">
        <v>8</v>
      </c>
      <c r="AN1197">
        <v>7</v>
      </c>
      <c r="AO1197">
        <v>0</v>
      </c>
      <c r="AP1197">
        <v>0</v>
      </c>
    </row>
    <row r="1198" spans="1:42">
      <c r="A1198">
        <v>41</v>
      </c>
      <c r="B1198" t="str" cm="1">
        <f t="array" ref="B1198">_xlfn.IFS(A1198&lt;=25,"18-25",A1198&lt;=35,"26-35",A1198&lt;=45,"36-45",A1198&lt;=55,"46-55",A1198&gt;55,"56+")</f>
        <v>36-45</v>
      </c>
      <c r="C1198" t="s">
        <v>39</v>
      </c>
      <c r="D1198" t="s">
        <v>33</v>
      </c>
      <c r="E1198" s="2">
        <v>1206</v>
      </c>
      <c r="F1198" t="s">
        <v>34</v>
      </c>
      <c r="G1198">
        <v>23</v>
      </c>
      <c r="H1198" t="str">
        <f t="shared" si="18"/>
        <v>21-30 km</v>
      </c>
      <c r="I1198">
        <v>2</v>
      </c>
      <c r="J1198" t="str" cm="1">
        <f t="array" ref="J1198">_xlfn.IFS(I1198=1,"Below College",I1198=2,"College",I1198=3,"Bachelor",I1198=4,"Master",I1198=5,"Doctor")</f>
        <v>College</v>
      </c>
      <c r="K1198" t="s">
        <v>35</v>
      </c>
      <c r="L1198">
        <v>1678</v>
      </c>
      <c r="M1198">
        <v>4</v>
      </c>
      <c r="N1198" t="str" cm="1">
        <f t="array" ref="N1198">_xlfn.IFS(M1198=1,"Low",M1198=2,"Medium",M1198=3,"High",M1198=4,"Very High")</f>
        <v>Very High</v>
      </c>
      <c r="O1198" t="s">
        <v>42</v>
      </c>
      <c r="P1198" s="2">
        <v>80</v>
      </c>
      <c r="Q1198">
        <v>3</v>
      </c>
      <c r="R1198" t="str" cm="1">
        <f t="array" ref="R1198">_xlfn.IFS(Q1198=1,"Low",Q1198=2,"Medium",Q1198=3,"High",Q1198=4,"Very High")</f>
        <v>High</v>
      </c>
      <c r="S1198">
        <v>3</v>
      </c>
      <c r="T1198" t="str" cm="1">
        <f t="array" ref="T1198">_xlfn.IFS(S1198=1,"Entry Level",S1198=2,"Junior",S1198=3,"Mid-Level",S1198=4,"Senior",S1198=5,"Executive")</f>
        <v>Mid-Level</v>
      </c>
      <c r="U1198" t="s">
        <v>37</v>
      </c>
      <c r="V1198">
        <v>3</v>
      </c>
      <c r="W1198" t="str" cm="1">
        <f t="array" ref="W1198">_xlfn.IFS(V1198=1,"Low",V1198=2,"Medium",V1198=3,"High",V1198=4,"Very High")</f>
        <v>High</v>
      </c>
      <c r="X1198" t="s">
        <v>38</v>
      </c>
      <c r="Y1198" s="2">
        <v>7082</v>
      </c>
      <c r="Z1198" s="2">
        <v>11591</v>
      </c>
      <c r="AA1198">
        <v>3</v>
      </c>
      <c r="AB1198" t="s">
        <v>32</v>
      </c>
      <c r="AC1198">
        <v>16</v>
      </c>
      <c r="AD1198">
        <v>3</v>
      </c>
      <c r="AE1198" t="str" cm="1">
        <f t="array" ref="AE1198">_xlfn.IFS(AD1198=1,"Low",AD1198=2,"Good",AD1198=3,"Excellent",AD1198=4,"Outstanding")</f>
        <v>Excellent</v>
      </c>
      <c r="AF1198">
        <v>4</v>
      </c>
      <c r="AG1198" t="str" cm="1">
        <f t="array" ref="AG1198">_xlfn.IFS(AF1198=1,"Low",AF1198=2,"Medium",AF1198=3,"High",AF1198=4,"Very High")</f>
        <v>Very High</v>
      </c>
      <c r="AH1198">
        <v>0</v>
      </c>
      <c r="AI1198">
        <v>21</v>
      </c>
      <c r="AJ1198">
        <v>2</v>
      </c>
      <c r="AK1198">
        <v>3</v>
      </c>
      <c r="AL1198" t="str" cm="1">
        <f t="array" ref="AL1198">_xlfn.IFS(AK1198=1,"Low",AK1198=2,"Medium",AK1198=3,"High",AK1198=4,"Very High")</f>
        <v>High</v>
      </c>
      <c r="AM1198">
        <v>2</v>
      </c>
      <c r="AN1198">
        <v>0</v>
      </c>
      <c r="AO1198">
        <v>0</v>
      </c>
      <c r="AP1198">
        <v>2</v>
      </c>
    </row>
    <row r="1199" spans="1:42">
      <c r="A1199">
        <v>20</v>
      </c>
      <c r="B1199" t="str" cm="1">
        <f t="array" ref="B1199">_xlfn.IFS(A1199&lt;=25,"18-25",A1199&lt;=35,"26-35",A1199&lt;=45,"36-45",A1199&lt;=55,"46-55",A1199&gt;55,"56+")</f>
        <v>18-25</v>
      </c>
      <c r="C1199" t="s">
        <v>39</v>
      </c>
      <c r="D1199" t="s">
        <v>33</v>
      </c>
      <c r="E1199" s="2">
        <v>727</v>
      </c>
      <c r="F1199" t="s">
        <v>34</v>
      </c>
      <c r="G1199">
        <v>9</v>
      </c>
      <c r="H1199" t="str">
        <f t="shared" si="18"/>
        <v>1-10 km</v>
      </c>
      <c r="I1199">
        <v>1</v>
      </c>
      <c r="J1199" t="str" cm="1">
        <f t="array" ref="J1199">_xlfn.IFS(I1199=1,"Below College",I1199=2,"College",I1199=3,"Bachelor",I1199=4,"Master",I1199=5,"Doctor")</f>
        <v>Below College</v>
      </c>
      <c r="K1199" t="s">
        <v>35</v>
      </c>
      <c r="L1199">
        <v>1680</v>
      </c>
      <c r="M1199">
        <v>4</v>
      </c>
      <c r="N1199" t="str" cm="1">
        <f t="array" ref="N1199">_xlfn.IFS(M1199=1,"Low",M1199=2,"Medium",M1199=3,"High",M1199=4,"Very High")</f>
        <v>Very High</v>
      </c>
      <c r="O1199" t="s">
        <v>42</v>
      </c>
      <c r="P1199" s="2">
        <v>54</v>
      </c>
      <c r="Q1199">
        <v>3</v>
      </c>
      <c r="R1199" t="str" cm="1">
        <f t="array" ref="R1199">_xlfn.IFS(Q1199=1,"Low",Q1199=2,"Medium",Q1199=3,"High",Q1199=4,"Very High")</f>
        <v>High</v>
      </c>
      <c r="S1199">
        <v>1</v>
      </c>
      <c r="T1199" t="str" cm="1">
        <f t="array" ref="T1199">_xlfn.IFS(S1199=1,"Entry Level",S1199=2,"Junior",S1199=3,"Mid-Level",S1199=4,"Senior",S1199=5,"Executive")</f>
        <v>Entry Level</v>
      </c>
      <c r="U1199" t="s">
        <v>53</v>
      </c>
      <c r="V1199">
        <v>1</v>
      </c>
      <c r="W1199" t="str" cm="1">
        <f t="array" ref="W1199">_xlfn.IFS(V1199=1,"Low",V1199=2,"Medium",V1199=3,"High",V1199=4,"Very High")</f>
        <v>Low</v>
      </c>
      <c r="X1199" t="s">
        <v>38</v>
      </c>
      <c r="Y1199" s="2">
        <v>2728</v>
      </c>
      <c r="Z1199" s="2">
        <v>21082</v>
      </c>
      <c r="AA1199">
        <v>1</v>
      </c>
      <c r="AB1199" t="s">
        <v>39</v>
      </c>
      <c r="AC1199">
        <v>11</v>
      </c>
      <c r="AD1199">
        <v>3</v>
      </c>
      <c r="AE1199" t="str" cm="1">
        <f t="array" ref="AE1199">_xlfn.IFS(AD1199=1,"Low",AD1199=2,"Good",AD1199=3,"Excellent",AD1199=4,"Outstanding")</f>
        <v>Excellent</v>
      </c>
      <c r="AF1199">
        <v>1</v>
      </c>
      <c r="AG1199" t="str" cm="1">
        <f t="array" ref="AG1199">_xlfn.IFS(AF1199=1,"Low",AF1199=2,"Medium",AF1199=3,"High",AF1199=4,"Very High")</f>
        <v>Low</v>
      </c>
      <c r="AH1199">
        <v>0</v>
      </c>
      <c r="AI1199">
        <v>2</v>
      </c>
      <c r="AJ1199">
        <v>3</v>
      </c>
      <c r="AK1199">
        <v>3</v>
      </c>
      <c r="AL1199" t="str" cm="1">
        <f t="array" ref="AL1199">_xlfn.IFS(AK1199=1,"Low",AK1199=2,"Medium",AK1199=3,"High",AK1199=4,"Very High")</f>
        <v>High</v>
      </c>
      <c r="AM1199">
        <v>2</v>
      </c>
      <c r="AN1199">
        <v>2</v>
      </c>
      <c r="AO1199">
        <v>0</v>
      </c>
      <c r="AP1199">
        <v>2</v>
      </c>
    </row>
    <row r="1200" spans="1:42">
      <c r="A1200">
        <v>33</v>
      </c>
      <c r="B1200" t="str" cm="1">
        <f t="array" ref="B1200">_xlfn.IFS(A1200&lt;=25,"18-25",A1200&lt;=35,"26-35",A1200&lt;=45,"36-45",A1200&lt;=55,"46-55",A1200&gt;55,"56+")</f>
        <v>26-35</v>
      </c>
      <c r="C1200" t="s">
        <v>39</v>
      </c>
      <c r="D1200" t="s">
        <v>51</v>
      </c>
      <c r="E1200" s="2">
        <v>530</v>
      </c>
      <c r="F1200" t="s">
        <v>34</v>
      </c>
      <c r="G1200">
        <v>16</v>
      </c>
      <c r="H1200" t="str">
        <f t="shared" si="18"/>
        <v>11-20 km</v>
      </c>
      <c r="I1200">
        <v>3</v>
      </c>
      <c r="J1200" t="str" cm="1">
        <f t="array" ref="J1200">_xlfn.IFS(I1200=1,"Below College",I1200=2,"College",I1200=3,"Bachelor",I1200=4,"Master",I1200=5,"Doctor")</f>
        <v>Bachelor</v>
      </c>
      <c r="K1200" t="s">
        <v>35</v>
      </c>
      <c r="L1200">
        <v>1681</v>
      </c>
      <c r="M1200">
        <v>3</v>
      </c>
      <c r="N1200" t="str" cm="1">
        <f t="array" ref="N1200">_xlfn.IFS(M1200=1,"Low",M1200=2,"Medium",M1200=3,"High",M1200=4,"Very High")</f>
        <v>High</v>
      </c>
      <c r="O1200" t="s">
        <v>36</v>
      </c>
      <c r="P1200" s="2">
        <v>36</v>
      </c>
      <c r="Q1200">
        <v>3</v>
      </c>
      <c r="R1200" t="str" cm="1">
        <f t="array" ref="R1200">_xlfn.IFS(Q1200=1,"Low",Q1200=2,"Medium",Q1200=3,"High",Q1200=4,"Very High")</f>
        <v>High</v>
      </c>
      <c r="S1200">
        <v>2</v>
      </c>
      <c r="T1200" t="str" cm="1">
        <f t="array" ref="T1200">_xlfn.IFS(S1200=1,"Entry Level",S1200=2,"Junior",S1200=3,"Mid-Level",S1200=4,"Senior",S1200=5,"Executive")</f>
        <v>Junior</v>
      </c>
      <c r="U1200" t="s">
        <v>37</v>
      </c>
      <c r="V1200">
        <v>4</v>
      </c>
      <c r="W1200" t="str" cm="1">
        <f t="array" ref="W1200">_xlfn.IFS(V1200=1,"Low",V1200=2,"Medium",V1200=3,"High",V1200=4,"Very High")</f>
        <v>Very High</v>
      </c>
      <c r="X1200" t="s">
        <v>48</v>
      </c>
      <c r="Y1200" s="2">
        <v>5368</v>
      </c>
      <c r="Z1200" s="2">
        <v>16130</v>
      </c>
      <c r="AA1200">
        <v>1</v>
      </c>
      <c r="AB1200" t="s">
        <v>32</v>
      </c>
      <c r="AC1200">
        <v>25</v>
      </c>
      <c r="AD1200">
        <v>4</v>
      </c>
      <c r="AE1200" t="str" cm="1">
        <f t="array" ref="AE1200">_xlfn.IFS(AD1200=1,"Low",AD1200=2,"Good",AD1200=3,"Excellent",AD1200=4,"Outstanding")</f>
        <v>Outstanding</v>
      </c>
      <c r="AF1200">
        <v>3</v>
      </c>
      <c r="AG1200" t="str" cm="1">
        <f t="array" ref="AG1200">_xlfn.IFS(AF1200=1,"Low",AF1200=2,"Medium",AF1200=3,"High",AF1200=4,"Very High")</f>
        <v>High</v>
      </c>
      <c r="AH1200">
        <v>1</v>
      </c>
      <c r="AI1200">
        <v>7</v>
      </c>
      <c r="AJ1200">
        <v>2</v>
      </c>
      <c r="AK1200">
        <v>3</v>
      </c>
      <c r="AL1200" t="str" cm="1">
        <f t="array" ref="AL1200">_xlfn.IFS(AK1200=1,"Low",AK1200=2,"Medium",AK1200=3,"High",AK1200=4,"Very High")</f>
        <v>High</v>
      </c>
      <c r="AM1200">
        <v>6</v>
      </c>
      <c r="AN1200">
        <v>5</v>
      </c>
      <c r="AO1200">
        <v>1</v>
      </c>
      <c r="AP1200">
        <v>2</v>
      </c>
    </row>
    <row r="1201" spans="1:42">
      <c r="A1201">
        <v>36</v>
      </c>
      <c r="B1201" t="str" cm="1">
        <f t="array" ref="B1201">_xlfn.IFS(A1201&lt;=25,"18-25",A1201&lt;=35,"26-35",A1201&lt;=45,"36-45",A1201&lt;=55,"46-55",A1201&gt;55,"56+")</f>
        <v>36-45</v>
      </c>
      <c r="C1201" t="s">
        <v>39</v>
      </c>
      <c r="D1201" t="s">
        <v>33</v>
      </c>
      <c r="E1201" s="2">
        <v>1351</v>
      </c>
      <c r="F1201" t="s">
        <v>41</v>
      </c>
      <c r="G1201">
        <v>26</v>
      </c>
      <c r="H1201" t="str">
        <f t="shared" si="18"/>
        <v>21-30 km</v>
      </c>
      <c r="I1201">
        <v>4</v>
      </c>
      <c r="J1201" t="str" cm="1">
        <f t="array" ref="J1201">_xlfn.IFS(I1201=1,"Below College",I1201=2,"College",I1201=3,"Bachelor",I1201=4,"Master",I1201=5,"Doctor")</f>
        <v>Master</v>
      </c>
      <c r="K1201" t="s">
        <v>35</v>
      </c>
      <c r="L1201">
        <v>1682</v>
      </c>
      <c r="M1201">
        <v>1</v>
      </c>
      <c r="N1201" t="str" cm="1">
        <f t="array" ref="N1201">_xlfn.IFS(M1201=1,"Low",M1201=2,"Medium",M1201=3,"High",M1201=4,"Very High")</f>
        <v>Low</v>
      </c>
      <c r="O1201" t="s">
        <v>42</v>
      </c>
      <c r="P1201" s="2">
        <v>80</v>
      </c>
      <c r="Q1201">
        <v>3</v>
      </c>
      <c r="R1201" t="str" cm="1">
        <f t="array" ref="R1201">_xlfn.IFS(Q1201=1,"Low",Q1201=2,"Medium",Q1201=3,"High",Q1201=4,"Very High")</f>
        <v>High</v>
      </c>
      <c r="S1201">
        <v>2</v>
      </c>
      <c r="T1201" t="str" cm="1">
        <f t="array" ref="T1201">_xlfn.IFS(S1201=1,"Entry Level",S1201=2,"Junior",S1201=3,"Mid-Level",S1201=4,"Senior",S1201=5,"Executive")</f>
        <v>Junior</v>
      </c>
      <c r="U1201" t="s">
        <v>50</v>
      </c>
      <c r="V1201">
        <v>3</v>
      </c>
      <c r="W1201" t="str" cm="1">
        <f t="array" ref="W1201">_xlfn.IFS(V1201=1,"Low",V1201=2,"Medium",V1201=3,"High",V1201=4,"Very High")</f>
        <v>High</v>
      </c>
      <c r="X1201" t="s">
        <v>44</v>
      </c>
      <c r="Y1201" s="2">
        <v>5347</v>
      </c>
      <c r="Z1201" s="2">
        <v>7419</v>
      </c>
      <c r="AA1201">
        <v>6</v>
      </c>
      <c r="AB1201" t="s">
        <v>39</v>
      </c>
      <c r="AC1201">
        <v>14</v>
      </c>
      <c r="AD1201">
        <v>3</v>
      </c>
      <c r="AE1201" t="str" cm="1">
        <f t="array" ref="AE1201">_xlfn.IFS(AD1201=1,"Low",AD1201=2,"Good",AD1201=3,"Excellent",AD1201=4,"Outstanding")</f>
        <v>Excellent</v>
      </c>
      <c r="AF1201">
        <v>2</v>
      </c>
      <c r="AG1201" t="str" cm="1">
        <f t="array" ref="AG1201">_xlfn.IFS(AF1201=1,"Low",AF1201=2,"Medium",AF1201=3,"High",AF1201=4,"Very High")</f>
        <v>Medium</v>
      </c>
      <c r="AH1201">
        <v>2</v>
      </c>
      <c r="AI1201">
        <v>10</v>
      </c>
      <c r="AJ1201">
        <v>2</v>
      </c>
      <c r="AK1201">
        <v>2</v>
      </c>
      <c r="AL1201" t="str" cm="1">
        <f t="array" ref="AL1201">_xlfn.IFS(AK1201=1,"Low",AK1201=2,"Medium",AK1201=3,"High",AK1201=4,"Very High")</f>
        <v>Medium</v>
      </c>
      <c r="AM1201">
        <v>3</v>
      </c>
      <c r="AN1201">
        <v>2</v>
      </c>
      <c r="AO1201">
        <v>0</v>
      </c>
      <c r="AP1201">
        <v>2</v>
      </c>
    </row>
    <row r="1202" spans="1:42">
      <c r="A1202">
        <v>44</v>
      </c>
      <c r="B1202" t="str" cm="1">
        <f t="array" ref="B1202">_xlfn.IFS(A1202&lt;=25,"18-25",A1202&lt;=35,"26-35",A1202&lt;=45,"36-45",A1202&lt;=55,"46-55",A1202&gt;55,"56+")</f>
        <v>36-45</v>
      </c>
      <c r="C1202" t="s">
        <v>39</v>
      </c>
      <c r="D1202" t="s">
        <v>33</v>
      </c>
      <c r="E1202" s="2">
        <v>528</v>
      </c>
      <c r="F1202" t="s">
        <v>57</v>
      </c>
      <c r="G1202">
        <v>1</v>
      </c>
      <c r="H1202" t="str">
        <f t="shared" si="18"/>
        <v>1-10 km</v>
      </c>
      <c r="I1202">
        <v>3</v>
      </c>
      <c r="J1202" t="str" cm="1">
        <f t="array" ref="J1202">_xlfn.IFS(I1202=1,"Below College",I1202=2,"College",I1202=3,"Bachelor",I1202=4,"Master",I1202=5,"Doctor")</f>
        <v>Bachelor</v>
      </c>
      <c r="K1202" t="s">
        <v>35</v>
      </c>
      <c r="L1202">
        <v>1683</v>
      </c>
      <c r="M1202">
        <v>3</v>
      </c>
      <c r="N1202" t="str" cm="1">
        <f t="array" ref="N1202">_xlfn.IFS(M1202=1,"Low",M1202=2,"Medium",M1202=3,"High",M1202=4,"Very High")</f>
        <v>High</v>
      </c>
      <c r="O1202" t="s">
        <v>36</v>
      </c>
      <c r="P1202" s="2">
        <v>44</v>
      </c>
      <c r="Q1202">
        <v>3</v>
      </c>
      <c r="R1202" t="str" cm="1">
        <f t="array" ref="R1202">_xlfn.IFS(Q1202=1,"Low",Q1202=2,"Medium",Q1202=3,"High",Q1202=4,"Very High")</f>
        <v>High</v>
      </c>
      <c r="S1202">
        <v>1</v>
      </c>
      <c r="T1202" t="str" cm="1">
        <f t="array" ref="T1202">_xlfn.IFS(S1202=1,"Entry Level",S1202=2,"Junior",S1202=3,"Mid-Level",S1202=4,"Senior",S1202=5,"Executive")</f>
        <v>Entry Level</v>
      </c>
      <c r="U1202" t="s">
        <v>57</v>
      </c>
      <c r="V1202">
        <v>4</v>
      </c>
      <c r="W1202" t="str" cm="1">
        <f t="array" ref="W1202">_xlfn.IFS(V1202=1,"Low",V1202=2,"Medium",V1202=3,"High",V1202=4,"Very High")</f>
        <v>Very High</v>
      </c>
      <c r="X1202" t="s">
        <v>48</v>
      </c>
      <c r="Y1202" s="2">
        <v>3195</v>
      </c>
      <c r="Z1202" s="2">
        <v>4167</v>
      </c>
      <c r="AA1202">
        <v>4</v>
      </c>
      <c r="AB1202" t="s">
        <v>32</v>
      </c>
      <c r="AC1202">
        <v>18</v>
      </c>
      <c r="AD1202">
        <v>3</v>
      </c>
      <c r="AE1202" t="str" cm="1">
        <f t="array" ref="AE1202">_xlfn.IFS(AD1202=1,"Low",AD1202=2,"Good",AD1202=3,"Excellent",AD1202=4,"Outstanding")</f>
        <v>Excellent</v>
      </c>
      <c r="AF1202">
        <v>1</v>
      </c>
      <c r="AG1202" t="str" cm="1">
        <f t="array" ref="AG1202">_xlfn.IFS(AF1202=1,"Low",AF1202=2,"Medium",AF1202=3,"High",AF1202=4,"Very High")</f>
        <v>Low</v>
      </c>
      <c r="AH1202">
        <v>3</v>
      </c>
      <c r="AI1202">
        <v>8</v>
      </c>
      <c r="AJ1202">
        <v>2</v>
      </c>
      <c r="AK1202">
        <v>3</v>
      </c>
      <c r="AL1202" t="str" cm="1">
        <f t="array" ref="AL1202">_xlfn.IFS(AK1202=1,"Low",AK1202=2,"Medium",AK1202=3,"High",AK1202=4,"Very High")</f>
        <v>High</v>
      </c>
      <c r="AM1202">
        <v>2</v>
      </c>
      <c r="AN1202">
        <v>2</v>
      </c>
      <c r="AO1202">
        <v>2</v>
      </c>
      <c r="AP1202">
        <v>2</v>
      </c>
    </row>
    <row r="1203" spans="1:42">
      <c r="A1203">
        <v>23</v>
      </c>
      <c r="B1203" t="str" cm="1">
        <f t="array" ref="B1203">_xlfn.IFS(A1203&lt;=25,"18-25",A1203&lt;=35,"26-35",A1203&lt;=45,"36-45",A1203&lt;=55,"46-55",A1203&gt;55,"56+")</f>
        <v>18-25</v>
      </c>
      <c r="C1203" t="s">
        <v>32</v>
      </c>
      <c r="D1203" t="s">
        <v>33</v>
      </c>
      <c r="E1203" s="2">
        <v>1320</v>
      </c>
      <c r="F1203" t="s">
        <v>41</v>
      </c>
      <c r="G1203">
        <v>8</v>
      </c>
      <c r="H1203" t="str">
        <f t="shared" si="18"/>
        <v>1-10 km</v>
      </c>
      <c r="I1203">
        <v>1</v>
      </c>
      <c r="J1203" t="str" cm="1">
        <f t="array" ref="J1203">_xlfn.IFS(I1203=1,"Below College",I1203=2,"College",I1203=3,"Bachelor",I1203=4,"Master",I1203=5,"Doctor")</f>
        <v>Below College</v>
      </c>
      <c r="K1203" t="s">
        <v>47</v>
      </c>
      <c r="L1203">
        <v>1684</v>
      </c>
      <c r="M1203">
        <v>4</v>
      </c>
      <c r="N1203" t="str" cm="1">
        <f t="array" ref="N1203">_xlfn.IFS(M1203=1,"Low",M1203=2,"Medium",M1203=3,"High",M1203=4,"Very High")</f>
        <v>Very High</v>
      </c>
      <c r="O1203" t="s">
        <v>42</v>
      </c>
      <c r="P1203" s="2">
        <v>93</v>
      </c>
      <c r="Q1203">
        <v>2</v>
      </c>
      <c r="R1203" t="str" cm="1">
        <f t="array" ref="R1203">_xlfn.IFS(Q1203=1,"Low",Q1203=2,"Medium",Q1203=3,"High",Q1203=4,"Very High")</f>
        <v>Medium</v>
      </c>
      <c r="S1203">
        <v>1</v>
      </c>
      <c r="T1203" t="str" cm="1">
        <f t="array" ref="T1203">_xlfn.IFS(S1203=1,"Entry Level",S1203=2,"Junior",S1203=3,"Mid-Level",S1203=4,"Senior",S1203=5,"Executive")</f>
        <v>Entry Level</v>
      </c>
      <c r="U1203" t="s">
        <v>46</v>
      </c>
      <c r="V1203">
        <v>3</v>
      </c>
      <c r="W1203" t="str" cm="1">
        <f t="array" ref="W1203">_xlfn.IFS(V1203=1,"Low",V1203=2,"Medium",V1203=3,"High",V1203=4,"Very High")</f>
        <v>High</v>
      </c>
      <c r="X1203" t="s">
        <v>38</v>
      </c>
      <c r="Y1203" s="2">
        <v>3989</v>
      </c>
      <c r="Z1203" s="2">
        <v>20586</v>
      </c>
      <c r="AA1203">
        <v>1</v>
      </c>
      <c r="AB1203" t="s">
        <v>32</v>
      </c>
      <c r="AC1203">
        <v>11</v>
      </c>
      <c r="AD1203">
        <v>3</v>
      </c>
      <c r="AE1203" t="str" cm="1">
        <f t="array" ref="AE1203">_xlfn.IFS(AD1203=1,"Low",AD1203=2,"Good",AD1203=3,"Excellent",AD1203=4,"Outstanding")</f>
        <v>Excellent</v>
      </c>
      <c r="AF1203">
        <v>1</v>
      </c>
      <c r="AG1203" t="str" cm="1">
        <f t="array" ref="AG1203">_xlfn.IFS(AF1203=1,"Low",AF1203=2,"Medium",AF1203=3,"High",AF1203=4,"Very High")</f>
        <v>Low</v>
      </c>
      <c r="AH1203">
        <v>0</v>
      </c>
      <c r="AI1203">
        <v>5</v>
      </c>
      <c r="AJ1203">
        <v>2</v>
      </c>
      <c r="AK1203">
        <v>3</v>
      </c>
      <c r="AL1203" t="str" cm="1">
        <f t="array" ref="AL1203">_xlfn.IFS(AK1203=1,"Low",AK1203=2,"Medium",AK1203=3,"High",AK1203=4,"Very High")</f>
        <v>High</v>
      </c>
      <c r="AM1203">
        <v>5</v>
      </c>
      <c r="AN1203">
        <v>4</v>
      </c>
      <c r="AO1203">
        <v>1</v>
      </c>
      <c r="AP1203">
        <v>2</v>
      </c>
    </row>
    <row r="1204" spans="1:42">
      <c r="A1204">
        <v>38</v>
      </c>
      <c r="B1204" t="str" cm="1">
        <f t="array" ref="B1204">_xlfn.IFS(A1204&lt;=25,"18-25",A1204&lt;=35,"26-35",A1204&lt;=45,"36-45",A1204&lt;=55,"46-55",A1204&gt;55,"56+")</f>
        <v>36-45</v>
      </c>
      <c r="C1204" t="s">
        <v>39</v>
      </c>
      <c r="D1204" t="s">
        <v>33</v>
      </c>
      <c r="E1204" s="2">
        <v>1495</v>
      </c>
      <c r="F1204" t="s">
        <v>41</v>
      </c>
      <c r="G1204">
        <v>4</v>
      </c>
      <c r="H1204" t="str">
        <f t="shared" si="18"/>
        <v>1-10 km</v>
      </c>
      <c r="I1204">
        <v>2</v>
      </c>
      <c r="J1204" t="str" cm="1">
        <f t="array" ref="J1204">_xlfn.IFS(I1204=1,"Below College",I1204=2,"College",I1204=3,"Bachelor",I1204=4,"Master",I1204=5,"Doctor")</f>
        <v>College</v>
      </c>
      <c r="K1204" t="s">
        <v>47</v>
      </c>
      <c r="L1204">
        <v>1687</v>
      </c>
      <c r="M1204">
        <v>4</v>
      </c>
      <c r="N1204" t="str" cm="1">
        <f t="array" ref="N1204">_xlfn.IFS(M1204=1,"Low",M1204=2,"Medium",M1204=3,"High",M1204=4,"Very High")</f>
        <v>Very High</v>
      </c>
      <c r="O1204" t="s">
        <v>36</v>
      </c>
      <c r="P1204" s="2">
        <v>87</v>
      </c>
      <c r="Q1204">
        <v>3</v>
      </c>
      <c r="R1204" t="str" cm="1">
        <f t="array" ref="R1204">_xlfn.IFS(Q1204=1,"Low",Q1204=2,"Medium",Q1204=3,"High",Q1204=4,"Very High")</f>
        <v>High</v>
      </c>
      <c r="S1204">
        <v>1</v>
      </c>
      <c r="T1204" t="str" cm="1">
        <f t="array" ref="T1204">_xlfn.IFS(S1204=1,"Entry Level",S1204=2,"Junior",S1204=3,"Mid-Level",S1204=4,"Senior",S1204=5,"Executive")</f>
        <v>Entry Level</v>
      </c>
      <c r="U1204" t="s">
        <v>46</v>
      </c>
      <c r="V1204">
        <v>3</v>
      </c>
      <c r="W1204" t="str" cm="1">
        <f t="array" ref="W1204">_xlfn.IFS(V1204=1,"Low",V1204=2,"Medium",V1204=3,"High",V1204=4,"Very High")</f>
        <v>High</v>
      </c>
      <c r="X1204" t="s">
        <v>44</v>
      </c>
      <c r="Y1204" s="2">
        <v>3306</v>
      </c>
      <c r="Z1204" s="2">
        <v>26176</v>
      </c>
      <c r="AA1204">
        <v>7</v>
      </c>
      <c r="AB1204" t="s">
        <v>39</v>
      </c>
      <c r="AC1204">
        <v>19</v>
      </c>
      <c r="AD1204">
        <v>3</v>
      </c>
      <c r="AE1204" t="str" cm="1">
        <f t="array" ref="AE1204">_xlfn.IFS(AD1204=1,"Low",AD1204=2,"Good",AD1204=3,"Excellent",AD1204=4,"Outstanding")</f>
        <v>Excellent</v>
      </c>
      <c r="AF1204">
        <v>4</v>
      </c>
      <c r="AG1204" t="str" cm="1">
        <f t="array" ref="AG1204">_xlfn.IFS(AF1204=1,"Low",AF1204=2,"Medium",AF1204=3,"High",AF1204=4,"Very High")</f>
        <v>Very High</v>
      </c>
      <c r="AH1204">
        <v>1</v>
      </c>
      <c r="AI1204">
        <v>7</v>
      </c>
      <c r="AJ1204">
        <v>5</v>
      </c>
      <c r="AK1204">
        <v>2</v>
      </c>
      <c r="AL1204" t="str" cm="1">
        <f t="array" ref="AL1204">_xlfn.IFS(AK1204=1,"Low",AK1204=2,"Medium",AK1204=3,"High",AK1204=4,"Very High")</f>
        <v>Medium</v>
      </c>
      <c r="AM1204">
        <v>0</v>
      </c>
      <c r="AN1204">
        <v>0</v>
      </c>
      <c r="AO1204">
        <v>0</v>
      </c>
      <c r="AP1204">
        <v>0</v>
      </c>
    </row>
    <row r="1205" spans="1:42">
      <c r="A1205">
        <v>53</v>
      </c>
      <c r="B1205" t="str" cm="1">
        <f t="array" ref="B1205">_xlfn.IFS(A1205&lt;=25,"18-25",A1205&lt;=35,"26-35",A1205&lt;=45,"36-45",A1205&lt;=55,"46-55",A1205&gt;55,"56+")</f>
        <v>46-55</v>
      </c>
      <c r="C1205" t="s">
        <v>39</v>
      </c>
      <c r="D1205" t="s">
        <v>33</v>
      </c>
      <c r="E1205" s="2">
        <v>1395</v>
      </c>
      <c r="F1205" t="s">
        <v>41</v>
      </c>
      <c r="G1205">
        <v>24</v>
      </c>
      <c r="H1205" t="str">
        <f t="shared" si="18"/>
        <v>21-30 km</v>
      </c>
      <c r="I1205">
        <v>4</v>
      </c>
      <c r="J1205" t="str" cm="1">
        <f t="array" ref="J1205">_xlfn.IFS(I1205=1,"Below College",I1205=2,"College",I1205=3,"Bachelor",I1205=4,"Master",I1205=5,"Doctor")</f>
        <v>Master</v>
      </c>
      <c r="K1205" t="s">
        <v>47</v>
      </c>
      <c r="L1205">
        <v>1689</v>
      </c>
      <c r="M1205">
        <v>2</v>
      </c>
      <c r="N1205" t="str" cm="1">
        <f t="array" ref="N1205">_xlfn.IFS(M1205=1,"Low",M1205=2,"Medium",M1205=3,"High",M1205=4,"Very High")</f>
        <v>Medium</v>
      </c>
      <c r="O1205" t="s">
        <v>42</v>
      </c>
      <c r="P1205" s="2">
        <v>48</v>
      </c>
      <c r="Q1205">
        <v>4</v>
      </c>
      <c r="R1205" t="str" cm="1">
        <f t="array" ref="R1205">_xlfn.IFS(Q1205=1,"Low",Q1205=2,"Medium",Q1205=3,"High",Q1205=4,"Very High")</f>
        <v>Very High</v>
      </c>
      <c r="S1205">
        <v>3</v>
      </c>
      <c r="T1205" t="str" cm="1">
        <f t="array" ref="T1205">_xlfn.IFS(S1205=1,"Entry Level",S1205=2,"Junior",S1205=3,"Mid-Level",S1205=4,"Senior",S1205=5,"Executive")</f>
        <v>Mid-Level</v>
      </c>
      <c r="U1205" t="s">
        <v>50</v>
      </c>
      <c r="V1205">
        <v>4</v>
      </c>
      <c r="W1205" t="str" cm="1">
        <f t="array" ref="W1205">_xlfn.IFS(V1205=1,"Low",V1205=2,"Medium",V1205=3,"High",V1205=4,"Very High")</f>
        <v>Very High</v>
      </c>
      <c r="X1205" t="s">
        <v>44</v>
      </c>
      <c r="Y1205" s="2">
        <v>7005</v>
      </c>
      <c r="Z1205" s="2">
        <v>3458</v>
      </c>
      <c r="AA1205">
        <v>3</v>
      </c>
      <c r="AB1205" t="s">
        <v>39</v>
      </c>
      <c r="AC1205">
        <v>15</v>
      </c>
      <c r="AD1205">
        <v>3</v>
      </c>
      <c r="AE1205" t="str" cm="1">
        <f t="array" ref="AE1205">_xlfn.IFS(AD1205=1,"Low",AD1205=2,"Good",AD1205=3,"Excellent",AD1205=4,"Outstanding")</f>
        <v>Excellent</v>
      </c>
      <c r="AF1205">
        <v>3</v>
      </c>
      <c r="AG1205" t="str" cm="1">
        <f t="array" ref="AG1205">_xlfn.IFS(AF1205=1,"Low",AF1205=2,"Medium",AF1205=3,"High",AF1205=4,"Very High")</f>
        <v>High</v>
      </c>
      <c r="AH1205">
        <v>0</v>
      </c>
      <c r="AI1205">
        <v>11</v>
      </c>
      <c r="AJ1205">
        <v>2</v>
      </c>
      <c r="AK1205">
        <v>3</v>
      </c>
      <c r="AL1205" t="str" cm="1">
        <f t="array" ref="AL1205">_xlfn.IFS(AK1205=1,"Low",AK1205=2,"Medium",AK1205=3,"High",AK1205=4,"Very High")</f>
        <v>High</v>
      </c>
      <c r="AM1205">
        <v>4</v>
      </c>
      <c r="AN1205">
        <v>3</v>
      </c>
      <c r="AO1205">
        <v>1</v>
      </c>
      <c r="AP1205">
        <v>2</v>
      </c>
    </row>
    <row r="1206" spans="1:42">
      <c r="A1206">
        <v>48</v>
      </c>
      <c r="B1206" t="str" cm="1">
        <f t="array" ref="B1206">_xlfn.IFS(A1206&lt;=25,"18-25",A1206&lt;=35,"26-35",A1206&lt;=45,"36-45",A1206&lt;=55,"46-55",A1206&gt;55,"56+")</f>
        <v>46-55</v>
      </c>
      <c r="C1206" t="s">
        <v>32</v>
      </c>
      <c r="D1206" t="s">
        <v>40</v>
      </c>
      <c r="E1206" s="2">
        <v>708</v>
      </c>
      <c r="F1206" t="s">
        <v>34</v>
      </c>
      <c r="G1206">
        <v>7</v>
      </c>
      <c r="H1206" t="str">
        <f t="shared" si="18"/>
        <v>1-10 km</v>
      </c>
      <c r="I1206">
        <v>2</v>
      </c>
      <c r="J1206" t="str" cm="1">
        <f t="array" ref="J1206">_xlfn.IFS(I1206=1,"Below College",I1206=2,"College",I1206=3,"Bachelor",I1206=4,"Master",I1206=5,"Doctor")</f>
        <v>College</v>
      </c>
      <c r="K1206" t="s">
        <v>47</v>
      </c>
      <c r="L1206">
        <v>1691</v>
      </c>
      <c r="M1206">
        <v>4</v>
      </c>
      <c r="N1206" t="str" cm="1">
        <f t="array" ref="N1206">_xlfn.IFS(M1206=1,"Low",M1206=2,"Medium",M1206=3,"High",M1206=4,"Very High")</f>
        <v>Very High</v>
      </c>
      <c r="O1206" t="s">
        <v>36</v>
      </c>
      <c r="P1206" s="2">
        <v>95</v>
      </c>
      <c r="Q1206">
        <v>3</v>
      </c>
      <c r="R1206" t="str" cm="1">
        <f t="array" ref="R1206">_xlfn.IFS(Q1206=1,"Low",Q1206=2,"Medium",Q1206=3,"High",Q1206=4,"Very High")</f>
        <v>High</v>
      </c>
      <c r="S1206">
        <v>1</v>
      </c>
      <c r="T1206" t="str" cm="1">
        <f t="array" ref="T1206">_xlfn.IFS(S1206=1,"Entry Level",S1206=2,"Junior",S1206=3,"Mid-Level",S1206=4,"Senior",S1206=5,"Executive")</f>
        <v>Entry Level</v>
      </c>
      <c r="U1206" t="s">
        <v>53</v>
      </c>
      <c r="V1206">
        <v>3</v>
      </c>
      <c r="W1206" t="str" cm="1">
        <f t="array" ref="W1206">_xlfn.IFS(V1206=1,"Low",V1206=2,"Medium",V1206=3,"High",V1206=4,"Very High")</f>
        <v>High</v>
      </c>
      <c r="X1206" t="s">
        <v>44</v>
      </c>
      <c r="Y1206" s="2">
        <v>2655</v>
      </c>
      <c r="Z1206" s="2">
        <v>11740</v>
      </c>
      <c r="AA1206">
        <v>2</v>
      </c>
      <c r="AB1206" t="s">
        <v>32</v>
      </c>
      <c r="AC1206">
        <v>11</v>
      </c>
      <c r="AD1206">
        <v>3</v>
      </c>
      <c r="AE1206" t="str" cm="1">
        <f t="array" ref="AE1206">_xlfn.IFS(AD1206=1,"Low",AD1206=2,"Good",AD1206=3,"Excellent",AD1206=4,"Outstanding")</f>
        <v>Excellent</v>
      </c>
      <c r="AF1206">
        <v>3</v>
      </c>
      <c r="AG1206" t="str" cm="1">
        <f t="array" ref="AG1206">_xlfn.IFS(AF1206=1,"Low",AF1206=2,"Medium",AF1206=3,"High",AF1206=4,"Very High")</f>
        <v>High</v>
      </c>
      <c r="AH1206">
        <v>2</v>
      </c>
      <c r="AI1206">
        <v>19</v>
      </c>
      <c r="AJ1206">
        <v>3</v>
      </c>
      <c r="AK1206">
        <v>3</v>
      </c>
      <c r="AL1206" t="str" cm="1">
        <f t="array" ref="AL1206">_xlfn.IFS(AK1206=1,"Low",AK1206=2,"Medium",AK1206=3,"High",AK1206=4,"Very High")</f>
        <v>High</v>
      </c>
      <c r="AM1206">
        <v>9</v>
      </c>
      <c r="AN1206">
        <v>7</v>
      </c>
      <c r="AO1206">
        <v>7</v>
      </c>
      <c r="AP1206">
        <v>7</v>
      </c>
    </row>
    <row r="1207" spans="1:42">
      <c r="A1207">
        <v>32</v>
      </c>
      <c r="B1207" t="str" cm="1">
        <f t="array" ref="B1207">_xlfn.IFS(A1207&lt;=25,"18-25",A1207&lt;=35,"26-35",A1207&lt;=45,"36-45",A1207&lt;=55,"46-55",A1207&gt;55,"56+")</f>
        <v>26-35</v>
      </c>
      <c r="C1207" t="s">
        <v>32</v>
      </c>
      <c r="D1207" t="s">
        <v>33</v>
      </c>
      <c r="E1207" s="2">
        <v>1259</v>
      </c>
      <c r="F1207" t="s">
        <v>41</v>
      </c>
      <c r="G1207">
        <v>2</v>
      </c>
      <c r="H1207" t="str">
        <f t="shared" si="18"/>
        <v>1-10 km</v>
      </c>
      <c r="I1207">
        <v>4</v>
      </c>
      <c r="J1207" t="str" cm="1">
        <f t="array" ref="J1207">_xlfn.IFS(I1207=1,"Below College",I1207=2,"College",I1207=3,"Bachelor",I1207=4,"Master",I1207=5,"Doctor")</f>
        <v>Master</v>
      </c>
      <c r="K1207" t="s">
        <v>35</v>
      </c>
      <c r="L1207">
        <v>1692</v>
      </c>
      <c r="M1207">
        <v>4</v>
      </c>
      <c r="N1207" t="str" cm="1">
        <f t="array" ref="N1207">_xlfn.IFS(M1207=1,"Low",M1207=2,"Medium",M1207=3,"High",M1207=4,"Very High")</f>
        <v>Very High</v>
      </c>
      <c r="O1207" t="s">
        <v>42</v>
      </c>
      <c r="P1207" s="2">
        <v>95</v>
      </c>
      <c r="Q1207">
        <v>3</v>
      </c>
      <c r="R1207" t="str" cm="1">
        <f t="array" ref="R1207">_xlfn.IFS(Q1207=1,"Low",Q1207=2,"Medium",Q1207=3,"High",Q1207=4,"Very High")</f>
        <v>High</v>
      </c>
      <c r="S1207">
        <v>1</v>
      </c>
      <c r="T1207" t="str" cm="1">
        <f t="array" ref="T1207">_xlfn.IFS(S1207=1,"Entry Level",S1207=2,"Junior",S1207=3,"Mid-Level",S1207=4,"Senior",S1207=5,"Executive")</f>
        <v>Entry Level</v>
      </c>
      <c r="U1207" t="s">
        <v>46</v>
      </c>
      <c r="V1207">
        <v>2</v>
      </c>
      <c r="W1207" t="str" cm="1">
        <f t="array" ref="W1207">_xlfn.IFS(V1207=1,"Low",V1207=2,"Medium",V1207=3,"High",V1207=4,"Very High")</f>
        <v>Medium</v>
      </c>
      <c r="X1207" t="s">
        <v>38</v>
      </c>
      <c r="Y1207" s="2">
        <v>1393</v>
      </c>
      <c r="Z1207" s="2">
        <v>24852</v>
      </c>
      <c r="AA1207">
        <v>1</v>
      </c>
      <c r="AB1207" t="s">
        <v>39</v>
      </c>
      <c r="AC1207">
        <v>12</v>
      </c>
      <c r="AD1207">
        <v>3</v>
      </c>
      <c r="AE1207" t="str" cm="1">
        <f t="array" ref="AE1207">_xlfn.IFS(AD1207=1,"Low",AD1207=2,"Good",AD1207=3,"Excellent",AD1207=4,"Outstanding")</f>
        <v>Excellent</v>
      </c>
      <c r="AF1207">
        <v>1</v>
      </c>
      <c r="AG1207" t="str" cm="1">
        <f t="array" ref="AG1207">_xlfn.IFS(AF1207=1,"Low",AF1207=2,"Medium",AF1207=3,"High",AF1207=4,"Very High")</f>
        <v>Low</v>
      </c>
      <c r="AH1207">
        <v>0</v>
      </c>
      <c r="AI1207">
        <v>1</v>
      </c>
      <c r="AJ1207">
        <v>2</v>
      </c>
      <c r="AK1207">
        <v>3</v>
      </c>
      <c r="AL1207" t="str" cm="1">
        <f t="array" ref="AL1207">_xlfn.IFS(AK1207=1,"Low",AK1207=2,"Medium",AK1207=3,"High",AK1207=4,"Very High")</f>
        <v>High</v>
      </c>
      <c r="AM1207">
        <v>1</v>
      </c>
      <c r="AN1207">
        <v>0</v>
      </c>
      <c r="AO1207">
        <v>0</v>
      </c>
      <c r="AP1207">
        <v>0</v>
      </c>
    </row>
    <row r="1208" spans="1:42">
      <c r="A1208">
        <v>26</v>
      </c>
      <c r="B1208" t="str" cm="1">
        <f t="array" ref="B1208">_xlfn.IFS(A1208&lt;=25,"18-25",A1208&lt;=35,"26-35",A1208&lt;=45,"36-45",A1208&lt;=55,"46-55",A1208&gt;55,"56+")</f>
        <v>26-35</v>
      </c>
      <c r="C1208" t="s">
        <v>39</v>
      </c>
      <c r="D1208" t="s">
        <v>51</v>
      </c>
      <c r="E1208" s="2">
        <v>786</v>
      </c>
      <c r="F1208" t="s">
        <v>41</v>
      </c>
      <c r="G1208">
        <v>7</v>
      </c>
      <c r="H1208" t="str">
        <f t="shared" si="18"/>
        <v>1-10 km</v>
      </c>
      <c r="I1208">
        <v>3</v>
      </c>
      <c r="J1208" t="str" cm="1">
        <f t="array" ref="J1208">_xlfn.IFS(I1208=1,"Below College",I1208=2,"College",I1208=3,"Bachelor",I1208=4,"Master",I1208=5,"Doctor")</f>
        <v>Bachelor</v>
      </c>
      <c r="K1208" t="s">
        <v>47</v>
      </c>
      <c r="L1208">
        <v>1693</v>
      </c>
      <c r="M1208">
        <v>4</v>
      </c>
      <c r="N1208" t="str" cm="1">
        <f t="array" ref="N1208">_xlfn.IFS(M1208=1,"Low",M1208=2,"Medium",M1208=3,"High",M1208=4,"Very High")</f>
        <v>Very High</v>
      </c>
      <c r="O1208" t="s">
        <v>42</v>
      </c>
      <c r="P1208" s="2">
        <v>76</v>
      </c>
      <c r="Q1208">
        <v>3</v>
      </c>
      <c r="R1208" t="str" cm="1">
        <f t="array" ref="R1208">_xlfn.IFS(Q1208=1,"Low",Q1208=2,"Medium",Q1208=3,"High",Q1208=4,"Very High")</f>
        <v>High</v>
      </c>
      <c r="S1208">
        <v>1</v>
      </c>
      <c r="T1208" t="str" cm="1">
        <f t="array" ref="T1208">_xlfn.IFS(S1208=1,"Entry Level",S1208=2,"Junior",S1208=3,"Mid-Level",S1208=4,"Senior",S1208=5,"Executive")</f>
        <v>Entry Level</v>
      </c>
      <c r="U1208" t="s">
        <v>46</v>
      </c>
      <c r="V1208">
        <v>4</v>
      </c>
      <c r="W1208" t="str" cm="1">
        <f t="array" ref="W1208">_xlfn.IFS(V1208=1,"Low",V1208=2,"Medium",V1208=3,"High",V1208=4,"Very High")</f>
        <v>Very High</v>
      </c>
      <c r="X1208" t="s">
        <v>38</v>
      </c>
      <c r="Y1208" s="2">
        <v>2570</v>
      </c>
      <c r="Z1208" s="2">
        <v>11925</v>
      </c>
      <c r="AA1208">
        <v>1</v>
      </c>
      <c r="AB1208" t="s">
        <v>39</v>
      </c>
      <c r="AC1208">
        <v>20</v>
      </c>
      <c r="AD1208">
        <v>4</v>
      </c>
      <c r="AE1208" t="str" cm="1">
        <f t="array" ref="AE1208">_xlfn.IFS(AD1208=1,"Low",AD1208=2,"Good",AD1208=3,"Excellent",AD1208=4,"Outstanding")</f>
        <v>Outstanding</v>
      </c>
      <c r="AF1208">
        <v>3</v>
      </c>
      <c r="AG1208" t="str" cm="1">
        <f t="array" ref="AG1208">_xlfn.IFS(AF1208=1,"Low",AF1208=2,"Medium",AF1208=3,"High",AF1208=4,"Very High")</f>
        <v>High</v>
      </c>
      <c r="AH1208">
        <v>0</v>
      </c>
      <c r="AI1208">
        <v>7</v>
      </c>
      <c r="AJ1208">
        <v>5</v>
      </c>
      <c r="AK1208">
        <v>3</v>
      </c>
      <c r="AL1208" t="str" cm="1">
        <f t="array" ref="AL1208">_xlfn.IFS(AK1208=1,"Low",AK1208=2,"Medium",AK1208=3,"High",AK1208=4,"Very High")</f>
        <v>High</v>
      </c>
      <c r="AM1208">
        <v>7</v>
      </c>
      <c r="AN1208">
        <v>7</v>
      </c>
      <c r="AO1208">
        <v>5</v>
      </c>
      <c r="AP1208">
        <v>7</v>
      </c>
    </row>
    <row r="1209" spans="1:42">
      <c r="A1209">
        <v>55</v>
      </c>
      <c r="B1209" t="str" cm="1">
        <f t="array" ref="B1209">_xlfn.IFS(A1209&lt;=25,"18-25",A1209&lt;=35,"26-35",A1209&lt;=45,"36-45",A1209&lt;=55,"46-55",A1209&gt;55,"56+")</f>
        <v>46-55</v>
      </c>
      <c r="C1209" t="s">
        <v>39</v>
      </c>
      <c r="D1209" t="s">
        <v>33</v>
      </c>
      <c r="E1209" s="2">
        <v>1441</v>
      </c>
      <c r="F1209" t="s">
        <v>41</v>
      </c>
      <c r="G1209">
        <v>22</v>
      </c>
      <c r="H1209" t="str">
        <f t="shared" si="18"/>
        <v>21-30 km</v>
      </c>
      <c r="I1209">
        <v>3</v>
      </c>
      <c r="J1209" t="str" cm="1">
        <f t="array" ref="J1209">_xlfn.IFS(I1209=1,"Below College",I1209=2,"College",I1209=3,"Bachelor",I1209=4,"Master",I1209=5,"Doctor")</f>
        <v>Bachelor</v>
      </c>
      <c r="K1209" t="s">
        <v>56</v>
      </c>
      <c r="L1209">
        <v>1694</v>
      </c>
      <c r="M1209">
        <v>1</v>
      </c>
      <c r="N1209" t="str" cm="1">
        <f t="array" ref="N1209">_xlfn.IFS(M1209=1,"Low",M1209=2,"Medium",M1209=3,"High",M1209=4,"Very High")</f>
        <v>Low</v>
      </c>
      <c r="O1209" t="s">
        <v>42</v>
      </c>
      <c r="P1209" s="2">
        <v>94</v>
      </c>
      <c r="Q1209">
        <v>2</v>
      </c>
      <c r="R1209" t="str" cm="1">
        <f t="array" ref="R1209">_xlfn.IFS(Q1209=1,"Low",Q1209=2,"Medium",Q1209=3,"High",Q1209=4,"Very High")</f>
        <v>Medium</v>
      </c>
      <c r="S1209">
        <v>1</v>
      </c>
      <c r="T1209" t="str" cm="1">
        <f t="array" ref="T1209">_xlfn.IFS(S1209=1,"Entry Level",S1209=2,"Junior",S1209=3,"Mid-Level",S1209=4,"Senior",S1209=5,"Executive")</f>
        <v>Entry Level</v>
      </c>
      <c r="U1209" t="s">
        <v>43</v>
      </c>
      <c r="V1209">
        <v>2</v>
      </c>
      <c r="W1209" t="str" cm="1">
        <f t="array" ref="W1209">_xlfn.IFS(V1209=1,"Low",V1209=2,"Medium",V1209=3,"High",V1209=4,"Very High")</f>
        <v>Medium</v>
      </c>
      <c r="X1209" t="s">
        <v>48</v>
      </c>
      <c r="Y1209" s="2">
        <v>3537</v>
      </c>
      <c r="Z1209" s="2">
        <v>23737</v>
      </c>
      <c r="AA1209">
        <v>5</v>
      </c>
      <c r="AB1209" t="s">
        <v>39</v>
      </c>
      <c r="AC1209">
        <v>12</v>
      </c>
      <c r="AD1209">
        <v>3</v>
      </c>
      <c r="AE1209" t="str" cm="1">
        <f t="array" ref="AE1209">_xlfn.IFS(AD1209=1,"Low",AD1209=2,"Good",AD1209=3,"Excellent",AD1209=4,"Outstanding")</f>
        <v>Excellent</v>
      </c>
      <c r="AF1209">
        <v>4</v>
      </c>
      <c r="AG1209" t="str" cm="1">
        <f t="array" ref="AG1209">_xlfn.IFS(AF1209=1,"Low",AF1209=2,"Medium",AF1209=3,"High",AF1209=4,"Very High")</f>
        <v>Very High</v>
      </c>
      <c r="AH1209">
        <v>1</v>
      </c>
      <c r="AI1209">
        <v>8</v>
      </c>
      <c r="AJ1209">
        <v>1</v>
      </c>
      <c r="AK1209">
        <v>3</v>
      </c>
      <c r="AL1209" t="str" cm="1">
        <f t="array" ref="AL1209">_xlfn.IFS(AK1209=1,"Low",AK1209=2,"Medium",AK1209=3,"High",AK1209=4,"Very High")</f>
        <v>High</v>
      </c>
      <c r="AM1209">
        <v>4</v>
      </c>
      <c r="AN1209">
        <v>2</v>
      </c>
      <c r="AO1209">
        <v>1</v>
      </c>
      <c r="AP1209">
        <v>2</v>
      </c>
    </row>
    <row r="1210" spans="1:42">
      <c r="A1210">
        <v>34</v>
      </c>
      <c r="B1210" t="str" cm="1">
        <f t="array" ref="B1210">_xlfn.IFS(A1210&lt;=25,"18-25",A1210&lt;=35,"26-35",A1210&lt;=45,"36-45",A1210&lt;=55,"46-55",A1210&gt;55,"56+")</f>
        <v>26-35</v>
      </c>
      <c r="C1210" t="s">
        <v>39</v>
      </c>
      <c r="D1210" t="s">
        <v>33</v>
      </c>
      <c r="E1210" s="2">
        <v>1157</v>
      </c>
      <c r="F1210" t="s">
        <v>41</v>
      </c>
      <c r="G1210">
        <v>5</v>
      </c>
      <c r="H1210" t="str">
        <f t="shared" si="18"/>
        <v>1-10 km</v>
      </c>
      <c r="I1210">
        <v>2</v>
      </c>
      <c r="J1210" t="str" cm="1">
        <f t="array" ref="J1210">_xlfn.IFS(I1210=1,"Below College",I1210=2,"College",I1210=3,"Bachelor",I1210=4,"Master",I1210=5,"Doctor")</f>
        <v>College</v>
      </c>
      <c r="K1210" t="s">
        <v>47</v>
      </c>
      <c r="L1210">
        <v>1696</v>
      </c>
      <c r="M1210">
        <v>2</v>
      </c>
      <c r="N1210" t="str" cm="1">
        <f t="array" ref="N1210">_xlfn.IFS(M1210=1,"Low",M1210=2,"Medium",M1210=3,"High",M1210=4,"Very High")</f>
        <v>Medium</v>
      </c>
      <c r="O1210" t="s">
        <v>42</v>
      </c>
      <c r="P1210" s="2">
        <v>57</v>
      </c>
      <c r="Q1210">
        <v>2</v>
      </c>
      <c r="R1210" t="str" cm="1">
        <f t="array" ref="R1210">_xlfn.IFS(Q1210=1,"Low",Q1210=2,"Medium",Q1210=3,"High",Q1210=4,"Very High")</f>
        <v>Medium</v>
      </c>
      <c r="S1210">
        <v>2</v>
      </c>
      <c r="T1210" t="str" cm="1">
        <f t="array" ref="T1210">_xlfn.IFS(S1210=1,"Entry Level",S1210=2,"Junior",S1210=3,"Mid-Level",S1210=4,"Senior",S1210=5,"Executive")</f>
        <v>Junior</v>
      </c>
      <c r="U1210" t="s">
        <v>46</v>
      </c>
      <c r="V1210">
        <v>4</v>
      </c>
      <c r="W1210" t="str" cm="1">
        <f t="array" ref="W1210">_xlfn.IFS(V1210=1,"Low",V1210=2,"Medium",V1210=3,"High",V1210=4,"Very High")</f>
        <v>Very High</v>
      </c>
      <c r="X1210" t="s">
        <v>44</v>
      </c>
      <c r="Y1210" s="2">
        <v>3986</v>
      </c>
      <c r="Z1210" s="2">
        <v>11912</v>
      </c>
      <c r="AA1210">
        <v>1</v>
      </c>
      <c r="AB1210" t="s">
        <v>39</v>
      </c>
      <c r="AC1210">
        <v>14</v>
      </c>
      <c r="AD1210">
        <v>3</v>
      </c>
      <c r="AE1210" t="str" cm="1">
        <f t="array" ref="AE1210">_xlfn.IFS(AD1210=1,"Low",AD1210=2,"Good",AD1210=3,"Excellent",AD1210=4,"Outstanding")</f>
        <v>Excellent</v>
      </c>
      <c r="AF1210">
        <v>3</v>
      </c>
      <c r="AG1210" t="str" cm="1">
        <f t="array" ref="AG1210">_xlfn.IFS(AF1210=1,"Low",AF1210=2,"Medium",AF1210=3,"High",AF1210=4,"Very High")</f>
        <v>High</v>
      </c>
      <c r="AH1210">
        <v>1</v>
      </c>
      <c r="AI1210">
        <v>15</v>
      </c>
      <c r="AJ1210">
        <v>3</v>
      </c>
      <c r="AK1210">
        <v>4</v>
      </c>
      <c r="AL1210" t="str" cm="1">
        <f t="array" ref="AL1210">_xlfn.IFS(AK1210=1,"Low",AK1210=2,"Medium",AK1210=3,"High",AK1210=4,"Very High")</f>
        <v>Very High</v>
      </c>
      <c r="AM1210">
        <v>15</v>
      </c>
      <c r="AN1210">
        <v>10</v>
      </c>
      <c r="AO1210">
        <v>4</v>
      </c>
      <c r="AP1210">
        <v>13</v>
      </c>
    </row>
    <row r="1211" spans="1:42">
      <c r="A1211">
        <v>60</v>
      </c>
      <c r="B1211" t="str" cm="1">
        <f t="array" ref="B1211">_xlfn.IFS(A1211&lt;=25,"18-25",A1211&lt;=35,"26-35",A1211&lt;=45,"36-45",A1211&lt;=55,"46-55",A1211&gt;55,"56+")</f>
        <v>56+</v>
      </c>
      <c r="C1211" t="s">
        <v>39</v>
      </c>
      <c r="D1211" t="s">
        <v>33</v>
      </c>
      <c r="E1211" s="2">
        <v>370</v>
      </c>
      <c r="F1211" t="s">
        <v>41</v>
      </c>
      <c r="G1211">
        <v>1</v>
      </c>
      <c r="H1211" t="str">
        <f t="shared" si="18"/>
        <v>1-10 km</v>
      </c>
      <c r="I1211">
        <v>4</v>
      </c>
      <c r="J1211" t="str" cm="1">
        <f t="array" ref="J1211">_xlfn.IFS(I1211=1,"Below College",I1211=2,"College",I1211=3,"Bachelor",I1211=4,"Master",I1211=5,"Doctor")</f>
        <v>Master</v>
      </c>
      <c r="K1211" t="s">
        <v>47</v>
      </c>
      <c r="L1211">
        <v>1697</v>
      </c>
      <c r="M1211">
        <v>3</v>
      </c>
      <c r="N1211" t="str" cm="1">
        <f t="array" ref="N1211">_xlfn.IFS(M1211=1,"Low",M1211=2,"Medium",M1211=3,"High",M1211=4,"Very High")</f>
        <v>High</v>
      </c>
      <c r="O1211" t="s">
        <v>42</v>
      </c>
      <c r="P1211" s="2">
        <v>92</v>
      </c>
      <c r="Q1211">
        <v>1</v>
      </c>
      <c r="R1211" t="str" cm="1">
        <f t="array" ref="R1211">_xlfn.IFS(Q1211=1,"Low",Q1211=2,"Medium",Q1211=3,"High",Q1211=4,"Very High")</f>
        <v>Low</v>
      </c>
      <c r="S1211">
        <v>3</v>
      </c>
      <c r="T1211" t="str" cm="1">
        <f t="array" ref="T1211">_xlfn.IFS(S1211=1,"Entry Level",S1211=2,"Junior",S1211=3,"Mid-Level",S1211=4,"Senior",S1211=5,"Executive")</f>
        <v>Mid-Level</v>
      </c>
      <c r="U1211" t="s">
        <v>50</v>
      </c>
      <c r="V1211">
        <v>4</v>
      </c>
      <c r="W1211" t="str" cm="1">
        <f t="array" ref="W1211">_xlfn.IFS(V1211=1,"Low",V1211=2,"Medium",V1211=3,"High",V1211=4,"Very High")</f>
        <v>Very High</v>
      </c>
      <c r="X1211" t="s">
        <v>48</v>
      </c>
      <c r="Y1211" s="2">
        <v>10883</v>
      </c>
      <c r="Z1211" s="2">
        <v>20467</v>
      </c>
      <c r="AA1211">
        <v>3</v>
      </c>
      <c r="AB1211" t="s">
        <v>39</v>
      </c>
      <c r="AC1211">
        <v>20</v>
      </c>
      <c r="AD1211">
        <v>4</v>
      </c>
      <c r="AE1211" t="str" cm="1">
        <f t="array" ref="AE1211">_xlfn.IFS(AD1211=1,"Low",AD1211=2,"Good",AD1211=3,"Excellent",AD1211=4,"Outstanding")</f>
        <v>Outstanding</v>
      </c>
      <c r="AF1211">
        <v>3</v>
      </c>
      <c r="AG1211" t="str" cm="1">
        <f t="array" ref="AG1211">_xlfn.IFS(AF1211=1,"Low",AF1211=2,"Medium",AF1211=3,"High",AF1211=4,"Very High")</f>
        <v>High</v>
      </c>
      <c r="AH1211">
        <v>1</v>
      </c>
      <c r="AI1211">
        <v>19</v>
      </c>
      <c r="AJ1211">
        <v>2</v>
      </c>
      <c r="AK1211">
        <v>4</v>
      </c>
      <c r="AL1211" t="str" cm="1">
        <f t="array" ref="AL1211">_xlfn.IFS(AK1211=1,"Low",AK1211=2,"Medium",AK1211=3,"High",AK1211=4,"Very High")</f>
        <v>Very High</v>
      </c>
      <c r="AM1211">
        <v>1</v>
      </c>
      <c r="AN1211">
        <v>0</v>
      </c>
      <c r="AO1211">
        <v>0</v>
      </c>
      <c r="AP1211">
        <v>0</v>
      </c>
    </row>
    <row r="1212" spans="1:42">
      <c r="A1212">
        <v>33</v>
      </c>
      <c r="B1212" t="str" cm="1">
        <f t="array" ref="B1212">_xlfn.IFS(A1212&lt;=25,"18-25",A1212&lt;=35,"26-35",A1212&lt;=45,"36-45",A1212&lt;=55,"46-55",A1212&gt;55,"56+")</f>
        <v>26-35</v>
      </c>
      <c r="C1212" t="s">
        <v>39</v>
      </c>
      <c r="D1212" t="s">
        <v>33</v>
      </c>
      <c r="E1212" s="2">
        <v>267</v>
      </c>
      <c r="F1212" t="s">
        <v>41</v>
      </c>
      <c r="G1212">
        <v>21</v>
      </c>
      <c r="H1212" t="str">
        <f t="shared" si="18"/>
        <v>21-30 km</v>
      </c>
      <c r="I1212">
        <v>3</v>
      </c>
      <c r="J1212" t="str" cm="1">
        <f t="array" ref="J1212">_xlfn.IFS(I1212=1,"Below College",I1212=2,"College",I1212=3,"Bachelor",I1212=4,"Master",I1212=5,"Doctor")</f>
        <v>Bachelor</v>
      </c>
      <c r="K1212" t="s">
        <v>47</v>
      </c>
      <c r="L1212">
        <v>1698</v>
      </c>
      <c r="M1212">
        <v>2</v>
      </c>
      <c r="N1212" t="str" cm="1">
        <f t="array" ref="N1212">_xlfn.IFS(M1212=1,"Low",M1212=2,"Medium",M1212=3,"High",M1212=4,"Very High")</f>
        <v>Medium</v>
      </c>
      <c r="O1212" t="s">
        <v>42</v>
      </c>
      <c r="P1212" s="2">
        <v>79</v>
      </c>
      <c r="Q1212">
        <v>4</v>
      </c>
      <c r="R1212" t="str" cm="1">
        <f t="array" ref="R1212">_xlfn.IFS(Q1212=1,"Low",Q1212=2,"Medium",Q1212=3,"High",Q1212=4,"Very High")</f>
        <v>Very High</v>
      </c>
      <c r="S1212">
        <v>1</v>
      </c>
      <c r="T1212" t="str" cm="1">
        <f t="array" ref="T1212">_xlfn.IFS(S1212=1,"Entry Level",S1212=2,"Junior",S1212=3,"Mid-Level",S1212=4,"Senior",S1212=5,"Executive")</f>
        <v>Entry Level</v>
      </c>
      <c r="U1212" t="s">
        <v>46</v>
      </c>
      <c r="V1212">
        <v>2</v>
      </c>
      <c r="W1212" t="str" cm="1">
        <f t="array" ref="W1212">_xlfn.IFS(V1212=1,"Low",V1212=2,"Medium",V1212=3,"High",V1212=4,"Very High")</f>
        <v>Medium</v>
      </c>
      <c r="X1212" t="s">
        <v>44</v>
      </c>
      <c r="Y1212" s="2">
        <v>2028</v>
      </c>
      <c r="Z1212" s="2">
        <v>13637</v>
      </c>
      <c r="AA1212">
        <v>1</v>
      </c>
      <c r="AB1212" t="s">
        <v>39</v>
      </c>
      <c r="AC1212">
        <v>18</v>
      </c>
      <c r="AD1212">
        <v>3</v>
      </c>
      <c r="AE1212" t="str" cm="1">
        <f t="array" ref="AE1212">_xlfn.IFS(AD1212=1,"Low",AD1212=2,"Good",AD1212=3,"Excellent",AD1212=4,"Outstanding")</f>
        <v>Excellent</v>
      </c>
      <c r="AF1212">
        <v>4</v>
      </c>
      <c r="AG1212" t="str" cm="1">
        <f t="array" ref="AG1212">_xlfn.IFS(AF1212=1,"Low",AF1212=2,"Medium",AF1212=3,"High",AF1212=4,"Very High")</f>
        <v>Very High</v>
      </c>
      <c r="AH1212">
        <v>3</v>
      </c>
      <c r="AI1212">
        <v>14</v>
      </c>
      <c r="AJ1212">
        <v>6</v>
      </c>
      <c r="AK1212">
        <v>3</v>
      </c>
      <c r="AL1212" t="str" cm="1">
        <f t="array" ref="AL1212">_xlfn.IFS(AK1212=1,"Low",AK1212=2,"Medium",AK1212=3,"High",AK1212=4,"Very High")</f>
        <v>High</v>
      </c>
      <c r="AM1212">
        <v>14</v>
      </c>
      <c r="AN1212">
        <v>11</v>
      </c>
      <c r="AO1212">
        <v>2</v>
      </c>
      <c r="AP1212">
        <v>13</v>
      </c>
    </row>
    <row r="1213" spans="1:42">
      <c r="A1213">
        <v>37</v>
      </c>
      <c r="B1213" t="str" cm="1">
        <f t="array" ref="B1213">_xlfn.IFS(A1213&lt;=25,"18-25",A1213&lt;=35,"26-35",A1213&lt;=45,"36-45",A1213&lt;=55,"46-55",A1213&gt;55,"56+")</f>
        <v>36-45</v>
      </c>
      <c r="C1213" t="s">
        <v>39</v>
      </c>
      <c r="D1213" t="s">
        <v>40</v>
      </c>
      <c r="E1213" s="2">
        <v>1278</v>
      </c>
      <c r="F1213" t="s">
        <v>34</v>
      </c>
      <c r="G1213">
        <v>1</v>
      </c>
      <c r="H1213" t="str">
        <f t="shared" si="18"/>
        <v>1-10 km</v>
      </c>
      <c r="I1213">
        <v>4</v>
      </c>
      <c r="J1213" t="str" cm="1">
        <f t="array" ref="J1213">_xlfn.IFS(I1213=1,"Below College",I1213=2,"College",I1213=3,"Bachelor",I1213=4,"Master",I1213=5,"Doctor")</f>
        <v>Master</v>
      </c>
      <c r="K1213" t="s">
        <v>47</v>
      </c>
      <c r="L1213">
        <v>1700</v>
      </c>
      <c r="M1213">
        <v>3</v>
      </c>
      <c r="N1213" t="str" cm="1">
        <f t="array" ref="N1213">_xlfn.IFS(M1213=1,"Low",M1213=2,"Medium",M1213=3,"High",M1213=4,"Very High")</f>
        <v>High</v>
      </c>
      <c r="O1213" t="s">
        <v>42</v>
      </c>
      <c r="P1213" s="2">
        <v>31</v>
      </c>
      <c r="Q1213">
        <v>1</v>
      </c>
      <c r="R1213" t="str" cm="1">
        <f t="array" ref="R1213">_xlfn.IFS(Q1213=1,"Low",Q1213=2,"Medium",Q1213=3,"High",Q1213=4,"Very High")</f>
        <v>Low</v>
      </c>
      <c r="S1213">
        <v>2</v>
      </c>
      <c r="T1213" t="str" cm="1">
        <f t="array" ref="T1213">_xlfn.IFS(S1213=1,"Entry Level",S1213=2,"Junior",S1213=3,"Mid-Level",S1213=4,"Senior",S1213=5,"Executive")</f>
        <v>Junior</v>
      </c>
      <c r="U1213" t="s">
        <v>37</v>
      </c>
      <c r="V1213">
        <v>4</v>
      </c>
      <c r="W1213" t="str" cm="1">
        <f t="array" ref="W1213">_xlfn.IFS(V1213=1,"Low",V1213=2,"Medium",V1213=3,"High",V1213=4,"Very High")</f>
        <v>Very High</v>
      </c>
      <c r="X1213" t="s">
        <v>48</v>
      </c>
      <c r="Y1213" s="2">
        <v>9525</v>
      </c>
      <c r="Z1213" s="2">
        <v>7677</v>
      </c>
      <c r="AA1213">
        <v>1</v>
      </c>
      <c r="AB1213" t="s">
        <v>39</v>
      </c>
      <c r="AC1213">
        <v>14</v>
      </c>
      <c r="AD1213">
        <v>3</v>
      </c>
      <c r="AE1213" t="str" cm="1">
        <f t="array" ref="AE1213">_xlfn.IFS(AD1213=1,"Low",AD1213=2,"Good",AD1213=3,"Excellent",AD1213=4,"Outstanding")</f>
        <v>Excellent</v>
      </c>
      <c r="AF1213">
        <v>3</v>
      </c>
      <c r="AG1213" t="str" cm="1">
        <f t="array" ref="AG1213">_xlfn.IFS(AF1213=1,"Low",AF1213=2,"Medium",AF1213=3,"High",AF1213=4,"Very High")</f>
        <v>High</v>
      </c>
      <c r="AH1213">
        <v>2</v>
      </c>
      <c r="AI1213">
        <v>6</v>
      </c>
      <c r="AJ1213">
        <v>2</v>
      </c>
      <c r="AK1213">
        <v>2</v>
      </c>
      <c r="AL1213" t="str" cm="1">
        <f t="array" ref="AL1213">_xlfn.IFS(AK1213=1,"Low",AK1213=2,"Medium",AK1213=3,"High",AK1213=4,"Very High")</f>
        <v>Medium</v>
      </c>
      <c r="AM1213">
        <v>6</v>
      </c>
      <c r="AN1213">
        <v>3</v>
      </c>
      <c r="AO1213">
        <v>1</v>
      </c>
      <c r="AP1213">
        <v>3</v>
      </c>
    </row>
    <row r="1214" spans="1:42">
      <c r="A1214">
        <v>34</v>
      </c>
      <c r="B1214" t="str" cm="1">
        <f t="array" ref="B1214">_xlfn.IFS(A1214&lt;=25,"18-25",A1214&lt;=35,"26-35",A1214&lt;=45,"36-45",A1214&lt;=55,"46-55",A1214&gt;55,"56+")</f>
        <v>26-35</v>
      </c>
      <c r="C1214" t="s">
        <v>39</v>
      </c>
      <c r="D1214" t="s">
        <v>33</v>
      </c>
      <c r="E1214" s="2">
        <v>678</v>
      </c>
      <c r="F1214" t="s">
        <v>41</v>
      </c>
      <c r="G1214">
        <v>19</v>
      </c>
      <c r="H1214" t="str">
        <f t="shared" si="18"/>
        <v>11-20 km</v>
      </c>
      <c r="I1214">
        <v>3</v>
      </c>
      <c r="J1214" t="str" cm="1">
        <f t="array" ref="J1214">_xlfn.IFS(I1214=1,"Below College",I1214=2,"College",I1214=3,"Bachelor",I1214=4,"Master",I1214=5,"Doctor")</f>
        <v>Bachelor</v>
      </c>
      <c r="K1214" t="s">
        <v>35</v>
      </c>
      <c r="L1214">
        <v>1701</v>
      </c>
      <c r="M1214">
        <v>2</v>
      </c>
      <c r="N1214" t="str" cm="1">
        <f t="array" ref="N1214">_xlfn.IFS(M1214=1,"Low",M1214=2,"Medium",M1214=3,"High",M1214=4,"Very High")</f>
        <v>Medium</v>
      </c>
      <c r="O1214" t="s">
        <v>36</v>
      </c>
      <c r="P1214" s="2">
        <v>35</v>
      </c>
      <c r="Q1214">
        <v>2</v>
      </c>
      <c r="R1214" t="str" cm="1">
        <f t="array" ref="R1214">_xlfn.IFS(Q1214=1,"Low",Q1214=2,"Medium",Q1214=3,"High",Q1214=4,"Very High")</f>
        <v>Medium</v>
      </c>
      <c r="S1214">
        <v>1</v>
      </c>
      <c r="T1214" t="str" cm="1">
        <f t="array" ref="T1214">_xlfn.IFS(S1214=1,"Entry Level",S1214=2,"Junior",S1214=3,"Mid-Level",S1214=4,"Senior",S1214=5,"Executive")</f>
        <v>Entry Level</v>
      </c>
      <c r="U1214" t="s">
        <v>43</v>
      </c>
      <c r="V1214">
        <v>4</v>
      </c>
      <c r="W1214" t="str" cm="1">
        <f t="array" ref="W1214">_xlfn.IFS(V1214=1,"Low",V1214=2,"Medium",V1214=3,"High",V1214=4,"Very High")</f>
        <v>Very High</v>
      </c>
      <c r="X1214" t="s">
        <v>44</v>
      </c>
      <c r="Y1214" s="2">
        <v>2929</v>
      </c>
      <c r="Z1214" s="2">
        <v>20338</v>
      </c>
      <c r="AA1214">
        <v>1</v>
      </c>
      <c r="AB1214" t="s">
        <v>39</v>
      </c>
      <c r="AC1214">
        <v>12</v>
      </c>
      <c r="AD1214">
        <v>3</v>
      </c>
      <c r="AE1214" t="str" cm="1">
        <f t="array" ref="AE1214">_xlfn.IFS(AD1214=1,"Low",AD1214=2,"Good",AD1214=3,"Excellent",AD1214=4,"Outstanding")</f>
        <v>Excellent</v>
      </c>
      <c r="AF1214">
        <v>2</v>
      </c>
      <c r="AG1214" t="str" cm="1">
        <f t="array" ref="AG1214">_xlfn.IFS(AF1214=1,"Low",AF1214=2,"Medium",AF1214=3,"High",AF1214=4,"Very High")</f>
        <v>Medium</v>
      </c>
      <c r="AH1214">
        <v>0</v>
      </c>
      <c r="AI1214">
        <v>10</v>
      </c>
      <c r="AJ1214">
        <v>3</v>
      </c>
      <c r="AK1214">
        <v>3</v>
      </c>
      <c r="AL1214" t="str" cm="1">
        <f t="array" ref="AL1214">_xlfn.IFS(AK1214=1,"Low",AK1214=2,"Medium",AK1214=3,"High",AK1214=4,"Very High")</f>
        <v>High</v>
      </c>
      <c r="AM1214">
        <v>10</v>
      </c>
      <c r="AN1214">
        <v>9</v>
      </c>
      <c r="AO1214">
        <v>8</v>
      </c>
      <c r="AP1214">
        <v>7</v>
      </c>
    </row>
    <row r="1215" spans="1:42">
      <c r="A1215">
        <v>23</v>
      </c>
      <c r="B1215" t="str" cm="1">
        <f t="array" ref="B1215">_xlfn.IFS(A1215&lt;=25,"18-25",A1215&lt;=35,"26-35",A1215&lt;=45,"36-45",A1215&lt;=55,"46-55",A1215&gt;55,"56+")</f>
        <v>18-25</v>
      </c>
      <c r="C1215" t="s">
        <v>32</v>
      </c>
      <c r="D1215" t="s">
        <v>33</v>
      </c>
      <c r="E1215" s="2">
        <v>427</v>
      </c>
      <c r="F1215" t="s">
        <v>34</v>
      </c>
      <c r="G1215">
        <v>7</v>
      </c>
      <c r="H1215" t="str">
        <f t="shared" si="18"/>
        <v>1-10 km</v>
      </c>
      <c r="I1215">
        <v>3</v>
      </c>
      <c r="J1215" t="str" cm="1">
        <f t="array" ref="J1215">_xlfn.IFS(I1215=1,"Below College",I1215=2,"College",I1215=3,"Bachelor",I1215=4,"Master",I1215=5,"Doctor")</f>
        <v>Bachelor</v>
      </c>
      <c r="K1215" t="s">
        <v>35</v>
      </c>
      <c r="L1215">
        <v>1702</v>
      </c>
      <c r="M1215">
        <v>3</v>
      </c>
      <c r="N1215" t="str" cm="1">
        <f t="array" ref="N1215">_xlfn.IFS(M1215=1,"Low",M1215=2,"Medium",M1215=3,"High",M1215=4,"Very High")</f>
        <v>High</v>
      </c>
      <c r="O1215" t="s">
        <v>42</v>
      </c>
      <c r="P1215" s="2">
        <v>99</v>
      </c>
      <c r="Q1215">
        <v>3</v>
      </c>
      <c r="R1215" t="str" cm="1">
        <f t="array" ref="R1215">_xlfn.IFS(Q1215=1,"Low",Q1215=2,"Medium",Q1215=3,"High",Q1215=4,"Very High")</f>
        <v>High</v>
      </c>
      <c r="S1215">
        <v>1</v>
      </c>
      <c r="T1215" t="str" cm="1">
        <f t="array" ref="T1215">_xlfn.IFS(S1215=1,"Entry Level",S1215=2,"Junior",S1215=3,"Mid-Level",S1215=4,"Senior",S1215=5,"Executive")</f>
        <v>Entry Level</v>
      </c>
      <c r="U1215" t="s">
        <v>53</v>
      </c>
      <c r="V1215">
        <v>4</v>
      </c>
      <c r="W1215" t="str" cm="1">
        <f t="array" ref="W1215">_xlfn.IFS(V1215=1,"Low",V1215=2,"Medium",V1215=3,"High",V1215=4,"Very High")</f>
        <v>Very High</v>
      </c>
      <c r="X1215" t="s">
        <v>48</v>
      </c>
      <c r="Y1215" s="2">
        <v>2275</v>
      </c>
      <c r="Z1215" s="2">
        <v>25103</v>
      </c>
      <c r="AA1215">
        <v>1</v>
      </c>
      <c r="AB1215" t="s">
        <v>32</v>
      </c>
      <c r="AC1215">
        <v>21</v>
      </c>
      <c r="AD1215">
        <v>4</v>
      </c>
      <c r="AE1215" t="str" cm="1">
        <f t="array" ref="AE1215">_xlfn.IFS(AD1215=1,"Low",AD1215=2,"Good",AD1215=3,"Excellent",AD1215=4,"Outstanding")</f>
        <v>Outstanding</v>
      </c>
      <c r="AF1215">
        <v>2</v>
      </c>
      <c r="AG1215" t="str" cm="1">
        <f t="array" ref="AG1215">_xlfn.IFS(AF1215=1,"Low",AF1215=2,"Medium",AF1215=3,"High",AF1215=4,"Very High")</f>
        <v>Medium</v>
      </c>
      <c r="AH1215">
        <v>1</v>
      </c>
      <c r="AI1215">
        <v>3</v>
      </c>
      <c r="AJ1215">
        <v>2</v>
      </c>
      <c r="AK1215">
        <v>3</v>
      </c>
      <c r="AL1215" t="str" cm="1">
        <f t="array" ref="AL1215">_xlfn.IFS(AK1215=1,"Low",AK1215=2,"Medium",AK1215=3,"High",AK1215=4,"Very High")</f>
        <v>High</v>
      </c>
      <c r="AM1215">
        <v>3</v>
      </c>
      <c r="AN1215">
        <v>2</v>
      </c>
      <c r="AO1215">
        <v>0</v>
      </c>
      <c r="AP1215">
        <v>2</v>
      </c>
    </row>
    <row r="1216" spans="1:42">
      <c r="A1216">
        <v>44</v>
      </c>
      <c r="B1216" t="str" cm="1">
        <f t="array" ref="B1216">_xlfn.IFS(A1216&lt;=25,"18-25",A1216&lt;=35,"26-35",A1216&lt;=45,"36-45",A1216&lt;=55,"46-55",A1216&gt;55,"56+")</f>
        <v>36-45</v>
      </c>
      <c r="C1216" t="s">
        <v>39</v>
      </c>
      <c r="D1216" t="s">
        <v>33</v>
      </c>
      <c r="E1216" s="2">
        <v>921</v>
      </c>
      <c r="F1216" t="s">
        <v>41</v>
      </c>
      <c r="G1216">
        <v>2</v>
      </c>
      <c r="H1216" t="str">
        <f t="shared" si="18"/>
        <v>1-10 km</v>
      </c>
      <c r="I1216">
        <v>3</v>
      </c>
      <c r="J1216" t="str" cm="1">
        <f t="array" ref="J1216">_xlfn.IFS(I1216=1,"Below College",I1216=2,"College",I1216=3,"Bachelor",I1216=4,"Master",I1216=5,"Doctor")</f>
        <v>Bachelor</v>
      </c>
      <c r="K1216" t="s">
        <v>35</v>
      </c>
      <c r="L1216">
        <v>1703</v>
      </c>
      <c r="M1216">
        <v>3</v>
      </c>
      <c r="N1216" t="str" cm="1">
        <f t="array" ref="N1216">_xlfn.IFS(M1216=1,"Low",M1216=2,"Medium",M1216=3,"High",M1216=4,"Very High")</f>
        <v>High</v>
      </c>
      <c r="O1216" t="s">
        <v>36</v>
      </c>
      <c r="P1216" s="2">
        <v>96</v>
      </c>
      <c r="Q1216">
        <v>4</v>
      </c>
      <c r="R1216" t="str" cm="1">
        <f t="array" ref="R1216">_xlfn.IFS(Q1216=1,"Low",Q1216=2,"Medium",Q1216=3,"High",Q1216=4,"Very High")</f>
        <v>Very High</v>
      </c>
      <c r="S1216">
        <v>3</v>
      </c>
      <c r="T1216" t="str" cm="1">
        <f t="array" ref="T1216">_xlfn.IFS(S1216=1,"Entry Level",S1216=2,"Junior",S1216=3,"Mid-Level",S1216=4,"Senior",S1216=5,"Executive")</f>
        <v>Mid-Level</v>
      </c>
      <c r="U1216" t="s">
        <v>50</v>
      </c>
      <c r="V1216">
        <v>4</v>
      </c>
      <c r="W1216" t="str" cm="1">
        <f t="array" ref="W1216">_xlfn.IFS(V1216=1,"Low",V1216=2,"Medium",V1216=3,"High",V1216=4,"Very High")</f>
        <v>Very High</v>
      </c>
      <c r="X1216" t="s">
        <v>44</v>
      </c>
      <c r="Y1216" s="2">
        <v>7879</v>
      </c>
      <c r="Z1216" s="2">
        <v>14810</v>
      </c>
      <c r="AA1216">
        <v>1</v>
      </c>
      <c r="AB1216" t="s">
        <v>32</v>
      </c>
      <c r="AC1216">
        <v>19</v>
      </c>
      <c r="AD1216">
        <v>3</v>
      </c>
      <c r="AE1216" t="str" cm="1">
        <f t="array" ref="AE1216">_xlfn.IFS(AD1216=1,"Low",AD1216=2,"Good",AD1216=3,"Excellent",AD1216=4,"Outstanding")</f>
        <v>Excellent</v>
      </c>
      <c r="AF1216">
        <v>2</v>
      </c>
      <c r="AG1216" t="str" cm="1">
        <f t="array" ref="AG1216">_xlfn.IFS(AF1216=1,"Low",AF1216=2,"Medium",AF1216=3,"High",AF1216=4,"Very High")</f>
        <v>Medium</v>
      </c>
      <c r="AH1216">
        <v>1</v>
      </c>
      <c r="AI1216">
        <v>9</v>
      </c>
      <c r="AJ1216">
        <v>2</v>
      </c>
      <c r="AK1216">
        <v>3</v>
      </c>
      <c r="AL1216" t="str" cm="1">
        <f t="array" ref="AL1216">_xlfn.IFS(AK1216=1,"Low",AK1216=2,"Medium",AK1216=3,"High",AK1216=4,"Very High")</f>
        <v>High</v>
      </c>
      <c r="AM1216">
        <v>8</v>
      </c>
      <c r="AN1216">
        <v>7</v>
      </c>
      <c r="AO1216">
        <v>6</v>
      </c>
      <c r="AP1216">
        <v>7</v>
      </c>
    </row>
    <row r="1217" spans="1:42">
      <c r="A1217">
        <v>35</v>
      </c>
      <c r="B1217" t="str" cm="1">
        <f t="array" ref="B1217">_xlfn.IFS(A1217&lt;=25,"18-25",A1217&lt;=35,"26-35",A1217&lt;=45,"36-45",A1217&lt;=55,"46-55",A1217&gt;55,"56+")</f>
        <v>26-35</v>
      </c>
      <c r="C1217" t="s">
        <v>39</v>
      </c>
      <c r="D1217" t="s">
        <v>40</v>
      </c>
      <c r="E1217" s="2">
        <v>146</v>
      </c>
      <c r="F1217" t="s">
        <v>41</v>
      </c>
      <c r="G1217">
        <v>2</v>
      </c>
      <c r="H1217" t="str">
        <f t="shared" si="18"/>
        <v>1-10 km</v>
      </c>
      <c r="I1217">
        <v>4</v>
      </c>
      <c r="J1217" t="str" cm="1">
        <f t="array" ref="J1217">_xlfn.IFS(I1217=1,"Below College",I1217=2,"College",I1217=3,"Bachelor",I1217=4,"Master",I1217=5,"Doctor")</f>
        <v>Master</v>
      </c>
      <c r="K1217" t="s">
        <v>47</v>
      </c>
      <c r="L1217">
        <v>1704</v>
      </c>
      <c r="M1217">
        <v>1</v>
      </c>
      <c r="N1217" t="str" cm="1">
        <f t="array" ref="N1217">_xlfn.IFS(M1217=1,"Low",M1217=2,"Medium",M1217=3,"High",M1217=4,"Very High")</f>
        <v>Low</v>
      </c>
      <c r="O1217" t="s">
        <v>42</v>
      </c>
      <c r="P1217" s="2">
        <v>79</v>
      </c>
      <c r="Q1217">
        <v>2</v>
      </c>
      <c r="R1217" t="str" cm="1">
        <f t="array" ref="R1217">_xlfn.IFS(Q1217=1,"Low",Q1217=2,"Medium",Q1217=3,"High",Q1217=4,"Very High")</f>
        <v>Medium</v>
      </c>
      <c r="S1217">
        <v>1</v>
      </c>
      <c r="T1217" t="str" cm="1">
        <f t="array" ref="T1217">_xlfn.IFS(S1217=1,"Entry Level",S1217=2,"Junior",S1217=3,"Mid-Level",S1217=4,"Senior",S1217=5,"Executive")</f>
        <v>Entry Level</v>
      </c>
      <c r="U1217" t="s">
        <v>43</v>
      </c>
      <c r="V1217">
        <v>4</v>
      </c>
      <c r="W1217" t="str" cm="1">
        <f t="array" ref="W1217">_xlfn.IFS(V1217=1,"Low",V1217=2,"Medium",V1217=3,"High",V1217=4,"Very High")</f>
        <v>Very High</v>
      </c>
      <c r="X1217" t="s">
        <v>38</v>
      </c>
      <c r="Y1217" s="2">
        <v>4930</v>
      </c>
      <c r="Z1217" s="2">
        <v>13970</v>
      </c>
      <c r="AA1217">
        <v>0</v>
      </c>
      <c r="AB1217" t="s">
        <v>32</v>
      </c>
      <c r="AC1217">
        <v>14</v>
      </c>
      <c r="AD1217">
        <v>3</v>
      </c>
      <c r="AE1217" t="str" cm="1">
        <f t="array" ref="AE1217">_xlfn.IFS(AD1217=1,"Low",AD1217=2,"Good",AD1217=3,"Excellent",AD1217=4,"Outstanding")</f>
        <v>Excellent</v>
      </c>
      <c r="AF1217">
        <v>3</v>
      </c>
      <c r="AG1217" t="str" cm="1">
        <f t="array" ref="AG1217">_xlfn.IFS(AF1217=1,"Low",AF1217=2,"Medium",AF1217=3,"High",AF1217=4,"Very High")</f>
        <v>High</v>
      </c>
      <c r="AH1217">
        <v>0</v>
      </c>
      <c r="AI1217">
        <v>6</v>
      </c>
      <c r="AJ1217">
        <v>2</v>
      </c>
      <c r="AK1217">
        <v>4</v>
      </c>
      <c r="AL1217" t="str" cm="1">
        <f t="array" ref="AL1217">_xlfn.IFS(AK1217=1,"Low",AK1217=2,"Medium",AK1217=3,"High",AK1217=4,"Very High")</f>
        <v>Very High</v>
      </c>
      <c r="AM1217">
        <v>5</v>
      </c>
      <c r="AN1217">
        <v>4</v>
      </c>
      <c r="AO1217">
        <v>1</v>
      </c>
      <c r="AP1217">
        <v>4</v>
      </c>
    </row>
    <row r="1218" spans="1:42">
      <c r="A1218">
        <v>43</v>
      </c>
      <c r="B1218" t="str" cm="1">
        <f t="array" ref="B1218">_xlfn.IFS(A1218&lt;=25,"18-25",A1218&lt;=35,"26-35",A1218&lt;=45,"36-45",A1218&lt;=55,"46-55",A1218&gt;55,"56+")</f>
        <v>36-45</v>
      </c>
      <c r="C1218" t="s">
        <v>39</v>
      </c>
      <c r="D1218" t="s">
        <v>33</v>
      </c>
      <c r="E1218" s="2">
        <v>1179</v>
      </c>
      <c r="F1218" t="s">
        <v>34</v>
      </c>
      <c r="G1218">
        <v>2</v>
      </c>
      <c r="H1218" t="str">
        <f t="shared" si="18"/>
        <v>1-10 km</v>
      </c>
      <c r="I1218">
        <v>3</v>
      </c>
      <c r="J1218" t="str" cm="1">
        <f t="array" ref="J1218">_xlfn.IFS(I1218=1,"Below College",I1218=2,"College",I1218=3,"Bachelor",I1218=4,"Master",I1218=5,"Doctor")</f>
        <v>Bachelor</v>
      </c>
      <c r="K1218" t="s">
        <v>47</v>
      </c>
      <c r="L1218">
        <v>1706</v>
      </c>
      <c r="M1218">
        <v>4</v>
      </c>
      <c r="N1218" t="str" cm="1">
        <f t="array" ref="N1218">_xlfn.IFS(M1218=1,"Low",M1218=2,"Medium",M1218=3,"High",M1218=4,"Very High")</f>
        <v>Very High</v>
      </c>
      <c r="O1218" t="s">
        <v>42</v>
      </c>
      <c r="P1218" s="2">
        <v>73</v>
      </c>
      <c r="Q1218">
        <v>3</v>
      </c>
      <c r="R1218" t="str" cm="1">
        <f t="array" ref="R1218">_xlfn.IFS(Q1218=1,"Low",Q1218=2,"Medium",Q1218=3,"High",Q1218=4,"Very High")</f>
        <v>High</v>
      </c>
      <c r="S1218">
        <v>2</v>
      </c>
      <c r="T1218" t="str" cm="1">
        <f t="array" ref="T1218">_xlfn.IFS(S1218=1,"Entry Level",S1218=2,"Junior",S1218=3,"Mid-Level",S1218=4,"Senior",S1218=5,"Executive")</f>
        <v>Junior</v>
      </c>
      <c r="U1218" t="s">
        <v>37</v>
      </c>
      <c r="V1218">
        <v>4</v>
      </c>
      <c r="W1218" t="str" cm="1">
        <f t="array" ref="W1218">_xlfn.IFS(V1218=1,"Low",V1218=2,"Medium",V1218=3,"High",V1218=4,"Very High")</f>
        <v>Very High</v>
      </c>
      <c r="X1218" t="s">
        <v>44</v>
      </c>
      <c r="Y1218" s="2">
        <v>7847</v>
      </c>
      <c r="Z1218" s="2">
        <v>6069</v>
      </c>
      <c r="AA1218">
        <v>1</v>
      </c>
      <c r="AB1218" t="s">
        <v>32</v>
      </c>
      <c r="AC1218">
        <v>17</v>
      </c>
      <c r="AD1218">
        <v>3</v>
      </c>
      <c r="AE1218" t="str" cm="1">
        <f t="array" ref="AE1218">_xlfn.IFS(AD1218=1,"Low",AD1218=2,"Good",AD1218=3,"Excellent",AD1218=4,"Outstanding")</f>
        <v>Excellent</v>
      </c>
      <c r="AF1218">
        <v>1</v>
      </c>
      <c r="AG1218" t="str" cm="1">
        <f t="array" ref="AG1218">_xlfn.IFS(AF1218=1,"Low",AF1218=2,"Medium",AF1218=3,"High",AF1218=4,"Very High")</f>
        <v>Low</v>
      </c>
      <c r="AH1218">
        <v>1</v>
      </c>
      <c r="AI1218">
        <v>10</v>
      </c>
      <c r="AJ1218">
        <v>3</v>
      </c>
      <c r="AK1218">
        <v>3</v>
      </c>
      <c r="AL1218" t="str" cm="1">
        <f t="array" ref="AL1218">_xlfn.IFS(AK1218=1,"Low",AK1218=2,"Medium",AK1218=3,"High",AK1218=4,"Very High")</f>
        <v>High</v>
      </c>
      <c r="AM1218">
        <v>10</v>
      </c>
      <c r="AN1218">
        <v>9</v>
      </c>
      <c r="AO1218">
        <v>8</v>
      </c>
      <c r="AP1218">
        <v>8</v>
      </c>
    </row>
    <row r="1219" spans="1:42">
      <c r="A1219">
        <v>24</v>
      </c>
      <c r="B1219" t="str" cm="1">
        <f t="array" ref="B1219">_xlfn.IFS(A1219&lt;=25,"18-25",A1219&lt;=35,"26-35",A1219&lt;=45,"36-45",A1219&lt;=55,"46-55",A1219&gt;55,"56+")</f>
        <v>18-25</v>
      </c>
      <c r="C1219" t="s">
        <v>39</v>
      </c>
      <c r="D1219" t="s">
        <v>33</v>
      </c>
      <c r="E1219" s="2">
        <v>581</v>
      </c>
      <c r="F1219" t="s">
        <v>41</v>
      </c>
      <c r="G1219">
        <v>9</v>
      </c>
      <c r="H1219" t="str">
        <f t="shared" ref="H1219:H1282" si="19">IF(G1219&lt;=10,"1-10 km",IF(G1219&lt;=20,"11-20 km",IF(G1219&lt;=30,"21-30 km","31+ km")))</f>
        <v>1-10 km</v>
      </c>
      <c r="I1219">
        <v>3</v>
      </c>
      <c r="J1219" t="str" cm="1">
        <f t="array" ref="J1219">_xlfn.IFS(I1219=1,"Below College",I1219=2,"College",I1219=3,"Bachelor",I1219=4,"Master",I1219=5,"Doctor")</f>
        <v>Bachelor</v>
      </c>
      <c r="K1219" t="s">
        <v>47</v>
      </c>
      <c r="L1219">
        <v>1707</v>
      </c>
      <c r="M1219">
        <v>3</v>
      </c>
      <c r="N1219" t="str" cm="1">
        <f t="array" ref="N1219">_xlfn.IFS(M1219=1,"Low",M1219=2,"Medium",M1219=3,"High",M1219=4,"Very High")</f>
        <v>High</v>
      </c>
      <c r="O1219" t="s">
        <v>42</v>
      </c>
      <c r="P1219" s="2">
        <v>62</v>
      </c>
      <c r="Q1219">
        <v>4</v>
      </c>
      <c r="R1219" t="str" cm="1">
        <f t="array" ref="R1219">_xlfn.IFS(Q1219=1,"Low",Q1219=2,"Medium",Q1219=3,"High",Q1219=4,"Very High")</f>
        <v>Very High</v>
      </c>
      <c r="S1219">
        <v>1</v>
      </c>
      <c r="T1219" t="str" cm="1">
        <f t="array" ref="T1219">_xlfn.IFS(S1219=1,"Entry Level",S1219=2,"Junior",S1219=3,"Mid-Level",S1219=4,"Senior",S1219=5,"Executive")</f>
        <v>Entry Level</v>
      </c>
      <c r="U1219" t="s">
        <v>43</v>
      </c>
      <c r="V1219">
        <v>3</v>
      </c>
      <c r="W1219" t="str" cm="1">
        <f t="array" ref="W1219">_xlfn.IFS(V1219=1,"Low",V1219=2,"Medium",V1219=3,"High",V1219=4,"Very High")</f>
        <v>High</v>
      </c>
      <c r="X1219" t="s">
        <v>44</v>
      </c>
      <c r="Y1219" s="2">
        <v>4401</v>
      </c>
      <c r="Z1219" s="2">
        <v>17616</v>
      </c>
      <c r="AA1219">
        <v>1</v>
      </c>
      <c r="AB1219" t="s">
        <v>39</v>
      </c>
      <c r="AC1219">
        <v>16</v>
      </c>
      <c r="AD1219">
        <v>3</v>
      </c>
      <c r="AE1219" t="str" cm="1">
        <f t="array" ref="AE1219">_xlfn.IFS(AD1219=1,"Low",AD1219=2,"Good",AD1219=3,"Excellent",AD1219=4,"Outstanding")</f>
        <v>Excellent</v>
      </c>
      <c r="AF1219">
        <v>4</v>
      </c>
      <c r="AG1219" t="str" cm="1">
        <f t="array" ref="AG1219">_xlfn.IFS(AF1219=1,"Low",AF1219=2,"Medium",AF1219=3,"High",AF1219=4,"Very High")</f>
        <v>Very High</v>
      </c>
      <c r="AH1219">
        <v>1</v>
      </c>
      <c r="AI1219">
        <v>5</v>
      </c>
      <c r="AJ1219">
        <v>1</v>
      </c>
      <c r="AK1219">
        <v>3</v>
      </c>
      <c r="AL1219" t="str" cm="1">
        <f t="array" ref="AL1219">_xlfn.IFS(AK1219=1,"Low",AK1219=2,"Medium",AK1219=3,"High",AK1219=4,"Very High")</f>
        <v>High</v>
      </c>
      <c r="AM1219">
        <v>5</v>
      </c>
      <c r="AN1219">
        <v>3</v>
      </c>
      <c r="AO1219">
        <v>0</v>
      </c>
      <c r="AP1219">
        <v>4</v>
      </c>
    </row>
    <row r="1220" spans="1:42">
      <c r="A1220">
        <v>41</v>
      </c>
      <c r="B1220" t="str" cm="1">
        <f t="array" ref="B1220">_xlfn.IFS(A1220&lt;=25,"18-25",A1220&lt;=35,"26-35",A1220&lt;=45,"36-45",A1220&lt;=55,"46-55",A1220&gt;55,"56+")</f>
        <v>36-45</v>
      </c>
      <c r="C1220" t="s">
        <v>39</v>
      </c>
      <c r="D1220" t="s">
        <v>33</v>
      </c>
      <c r="E1220" s="2">
        <v>918</v>
      </c>
      <c r="F1220" t="s">
        <v>34</v>
      </c>
      <c r="G1220">
        <v>6</v>
      </c>
      <c r="H1220" t="str">
        <f t="shared" si="19"/>
        <v>1-10 km</v>
      </c>
      <c r="I1220">
        <v>3</v>
      </c>
      <c r="J1220" t="str" cm="1">
        <f t="array" ref="J1220">_xlfn.IFS(I1220=1,"Below College",I1220=2,"College",I1220=3,"Bachelor",I1220=4,"Master",I1220=5,"Doctor")</f>
        <v>Bachelor</v>
      </c>
      <c r="K1220" t="s">
        <v>55</v>
      </c>
      <c r="L1220">
        <v>1708</v>
      </c>
      <c r="M1220">
        <v>4</v>
      </c>
      <c r="N1220" t="str" cm="1">
        <f t="array" ref="N1220">_xlfn.IFS(M1220=1,"Low",M1220=2,"Medium",M1220=3,"High",M1220=4,"Very High")</f>
        <v>Very High</v>
      </c>
      <c r="O1220" t="s">
        <v>42</v>
      </c>
      <c r="P1220" s="2">
        <v>35</v>
      </c>
      <c r="Q1220">
        <v>3</v>
      </c>
      <c r="R1220" t="str" cm="1">
        <f t="array" ref="R1220">_xlfn.IFS(Q1220=1,"Low",Q1220=2,"Medium",Q1220=3,"High",Q1220=4,"Very High")</f>
        <v>High</v>
      </c>
      <c r="S1220">
        <v>3</v>
      </c>
      <c r="T1220" t="str" cm="1">
        <f t="array" ref="T1220">_xlfn.IFS(S1220=1,"Entry Level",S1220=2,"Junior",S1220=3,"Mid-Level",S1220=4,"Senior",S1220=5,"Executive")</f>
        <v>Mid-Level</v>
      </c>
      <c r="U1220" t="s">
        <v>37</v>
      </c>
      <c r="V1220">
        <v>3</v>
      </c>
      <c r="W1220" t="str" cm="1">
        <f t="array" ref="W1220">_xlfn.IFS(V1220=1,"Low",V1220=2,"Medium",V1220=3,"High",V1220=4,"Very High")</f>
        <v>High</v>
      </c>
      <c r="X1220" t="s">
        <v>38</v>
      </c>
      <c r="Y1220" s="2">
        <v>9241</v>
      </c>
      <c r="Z1220" s="2">
        <v>15869</v>
      </c>
      <c r="AA1220">
        <v>1</v>
      </c>
      <c r="AB1220" t="s">
        <v>39</v>
      </c>
      <c r="AC1220">
        <v>12</v>
      </c>
      <c r="AD1220">
        <v>3</v>
      </c>
      <c r="AE1220" t="str" cm="1">
        <f t="array" ref="AE1220">_xlfn.IFS(AD1220=1,"Low",AD1220=2,"Good",AD1220=3,"Excellent",AD1220=4,"Outstanding")</f>
        <v>Excellent</v>
      </c>
      <c r="AF1220">
        <v>2</v>
      </c>
      <c r="AG1220" t="str" cm="1">
        <f t="array" ref="AG1220">_xlfn.IFS(AF1220=1,"Low",AF1220=2,"Medium",AF1220=3,"High",AF1220=4,"Very High")</f>
        <v>Medium</v>
      </c>
      <c r="AH1220">
        <v>0</v>
      </c>
      <c r="AI1220">
        <v>10</v>
      </c>
      <c r="AJ1220">
        <v>3</v>
      </c>
      <c r="AK1220">
        <v>3</v>
      </c>
      <c r="AL1220" t="str" cm="1">
        <f t="array" ref="AL1220">_xlfn.IFS(AK1220=1,"Low",AK1220=2,"Medium",AK1220=3,"High",AK1220=4,"Very High")</f>
        <v>High</v>
      </c>
      <c r="AM1220">
        <v>10</v>
      </c>
      <c r="AN1220">
        <v>8</v>
      </c>
      <c r="AO1220">
        <v>8</v>
      </c>
      <c r="AP1220">
        <v>7</v>
      </c>
    </row>
    <row r="1221" spans="1:42">
      <c r="A1221">
        <v>29</v>
      </c>
      <c r="B1221" t="str" cm="1">
        <f t="array" ref="B1221">_xlfn.IFS(A1221&lt;=25,"18-25",A1221&lt;=35,"26-35",A1221&lt;=45,"36-45",A1221&lt;=55,"46-55",A1221&gt;55,"56+")</f>
        <v>26-35</v>
      </c>
      <c r="C1221" t="s">
        <v>39</v>
      </c>
      <c r="D1221" t="s">
        <v>33</v>
      </c>
      <c r="E1221" s="2">
        <v>1082</v>
      </c>
      <c r="F1221" t="s">
        <v>41</v>
      </c>
      <c r="G1221">
        <v>9</v>
      </c>
      <c r="H1221" t="str">
        <f t="shared" si="19"/>
        <v>1-10 km</v>
      </c>
      <c r="I1221">
        <v>4</v>
      </c>
      <c r="J1221" t="str" cm="1">
        <f t="array" ref="J1221">_xlfn.IFS(I1221=1,"Below College",I1221=2,"College",I1221=3,"Bachelor",I1221=4,"Master",I1221=5,"Doctor")</f>
        <v>Master</v>
      </c>
      <c r="K1221" t="s">
        <v>47</v>
      </c>
      <c r="L1221">
        <v>1709</v>
      </c>
      <c r="M1221">
        <v>4</v>
      </c>
      <c r="N1221" t="str" cm="1">
        <f t="array" ref="N1221">_xlfn.IFS(M1221=1,"Low",M1221=2,"Medium",M1221=3,"High",M1221=4,"Very High")</f>
        <v>Very High</v>
      </c>
      <c r="O1221" t="s">
        <v>36</v>
      </c>
      <c r="P1221" s="2">
        <v>43</v>
      </c>
      <c r="Q1221">
        <v>3</v>
      </c>
      <c r="R1221" t="str" cm="1">
        <f t="array" ref="R1221">_xlfn.IFS(Q1221=1,"Low",Q1221=2,"Medium",Q1221=3,"High",Q1221=4,"Very High")</f>
        <v>High</v>
      </c>
      <c r="S1221">
        <v>1</v>
      </c>
      <c r="T1221" t="str" cm="1">
        <f t="array" ref="T1221">_xlfn.IFS(S1221=1,"Entry Level",S1221=2,"Junior",S1221=3,"Mid-Level",S1221=4,"Senior",S1221=5,"Executive")</f>
        <v>Entry Level</v>
      </c>
      <c r="U1221" t="s">
        <v>46</v>
      </c>
      <c r="V1221">
        <v>3</v>
      </c>
      <c r="W1221" t="str" cm="1">
        <f t="array" ref="W1221">_xlfn.IFS(V1221=1,"Low",V1221=2,"Medium",V1221=3,"High",V1221=4,"Very High")</f>
        <v>High</v>
      </c>
      <c r="X1221" t="s">
        <v>44</v>
      </c>
      <c r="Y1221" s="2">
        <v>2974</v>
      </c>
      <c r="Z1221" s="2">
        <v>25412</v>
      </c>
      <c r="AA1221">
        <v>9</v>
      </c>
      <c r="AB1221" t="s">
        <v>39</v>
      </c>
      <c r="AC1221">
        <v>17</v>
      </c>
      <c r="AD1221">
        <v>3</v>
      </c>
      <c r="AE1221" t="str" cm="1">
        <f t="array" ref="AE1221">_xlfn.IFS(AD1221=1,"Low",AD1221=2,"Good",AD1221=3,"Excellent",AD1221=4,"Outstanding")</f>
        <v>Excellent</v>
      </c>
      <c r="AF1221">
        <v>3</v>
      </c>
      <c r="AG1221" t="str" cm="1">
        <f t="array" ref="AG1221">_xlfn.IFS(AF1221=1,"Low",AF1221=2,"Medium",AF1221=3,"High",AF1221=4,"Very High")</f>
        <v>High</v>
      </c>
      <c r="AH1221">
        <v>1</v>
      </c>
      <c r="AI1221">
        <v>9</v>
      </c>
      <c r="AJ1221">
        <v>2</v>
      </c>
      <c r="AK1221">
        <v>3</v>
      </c>
      <c r="AL1221" t="str" cm="1">
        <f t="array" ref="AL1221">_xlfn.IFS(AK1221=1,"Low",AK1221=2,"Medium",AK1221=3,"High",AK1221=4,"Very High")</f>
        <v>High</v>
      </c>
      <c r="AM1221">
        <v>5</v>
      </c>
      <c r="AN1221">
        <v>3</v>
      </c>
      <c r="AO1221">
        <v>1</v>
      </c>
      <c r="AP1221">
        <v>2</v>
      </c>
    </row>
    <row r="1222" spans="1:42">
      <c r="A1222">
        <v>36</v>
      </c>
      <c r="B1222" t="str" cm="1">
        <f t="array" ref="B1222">_xlfn.IFS(A1222&lt;=25,"18-25",A1222&lt;=35,"26-35",A1222&lt;=45,"36-45",A1222&lt;=55,"46-55",A1222&gt;55,"56+")</f>
        <v>36-45</v>
      </c>
      <c r="C1222" t="s">
        <v>39</v>
      </c>
      <c r="D1222" t="s">
        <v>33</v>
      </c>
      <c r="E1222" s="2">
        <v>530</v>
      </c>
      <c r="F1222" t="s">
        <v>34</v>
      </c>
      <c r="G1222">
        <v>2</v>
      </c>
      <c r="H1222" t="str">
        <f t="shared" si="19"/>
        <v>1-10 km</v>
      </c>
      <c r="I1222">
        <v>4</v>
      </c>
      <c r="J1222" t="str" cm="1">
        <f t="array" ref="J1222">_xlfn.IFS(I1222=1,"Below College",I1222=2,"College",I1222=3,"Bachelor",I1222=4,"Master",I1222=5,"Doctor")</f>
        <v>Master</v>
      </c>
      <c r="K1222" t="s">
        <v>35</v>
      </c>
      <c r="L1222">
        <v>1710</v>
      </c>
      <c r="M1222">
        <v>3</v>
      </c>
      <c r="N1222" t="str" cm="1">
        <f t="array" ref="N1222">_xlfn.IFS(M1222=1,"Low",M1222=2,"Medium",M1222=3,"High",M1222=4,"Very High")</f>
        <v>High</v>
      </c>
      <c r="O1222" t="s">
        <v>36</v>
      </c>
      <c r="P1222" s="2">
        <v>51</v>
      </c>
      <c r="Q1222">
        <v>3</v>
      </c>
      <c r="R1222" t="str" cm="1">
        <f t="array" ref="R1222">_xlfn.IFS(Q1222=1,"Low",Q1222=2,"Medium",Q1222=3,"High",Q1222=4,"Very High")</f>
        <v>High</v>
      </c>
      <c r="S1222">
        <v>2</v>
      </c>
      <c r="T1222" t="str" cm="1">
        <f t="array" ref="T1222">_xlfn.IFS(S1222=1,"Entry Level",S1222=2,"Junior",S1222=3,"Mid-Level",S1222=4,"Senior",S1222=5,"Executive")</f>
        <v>Junior</v>
      </c>
      <c r="U1222" t="s">
        <v>53</v>
      </c>
      <c r="V1222">
        <v>4</v>
      </c>
      <c r="W1222" t="str" cm="1">
        <f t="array" ref="W1222">_xlfn.IFS(V1222=1,"Low",V1222=2,"Medium",V1222=3,"High",V1222=4,"Very High")</f>
        <v>Very High</v>
      </c>
      <c r="X1222" t="s">
        <v>38</v>
      </c>
      <c r="Y1222" s="2">
        <v>4502</v>
      </c>
      <c r="Z1222" s="2">
        <v>7439</v>
      </c>
      <c r="AA1222">
        <v>3</v>
      </c>
      <c r="AB1222" t="s">
        <v>39</v>
      </c>
      <c r="AC1222">
        <v>15</v>
      </c>
      <c r="AD1222">
        <v>3</v>
      </c>
      <c r="AE1222" t="str" cm="1">
        <f t="array" ref="AE1222">_xlfn.IFS(AD1222=1,"Low",AD1222=2,"Good",AD1222=3,"Excellent",AD1222=4,"Outstanding")</f>
        <v>Excellent</v>
      </c>
      <c r="AF1222">
        <v>3</v>
      </c>
      <c r="AG1222" t="str" cm="1">
        <f t="array" ref="AG1222">_xlfn.IFS(AF1222=1,"Low",AF1222=2,"Medium",AF1222=3,"High",AF1222=4,"Very High")</f>
        <v>High</v>
      </c>
      <c r="AH1222">
        <v>0</v>
      </c>
      <c r="AI1222">
        <v>17</v>
      </c>
      <c r="AJ1222">
        <v>2</v>
      </c>
      <c r="AK1222">
        <v>2</v>
      </c>
      <c r="AL1222" t="str" cm="1">
        <f t="array" ref="AL1222">_xlfn.IFS(AK1222=1,"Low",AK1222=2,"Medium",AK1222=3,"High",AK1222=4,"Very High")</f>
        <v>Medium</v>
      </c>
      <c r="AM1222">
        <v>13</v>
      </c>
      <c r="AN1222">
        <v>7</v>
      </c>
      <c r="AO1222">
        <v>6</v>
      </c>
      <c r="AP1222">
        <v>7</v>
      </c>
    </row>
    <row r="1223" spans="1:42">
      <c r="A1223">
        <v>45</v>
      </c>
      <c r="B1223" t="str" cm="1">
        <f t="array" ref="B1223">_xlfn.IFS(A1223&lt;=25,"18-25",A1223&lt;=35,"26-35",A1223&lt;=45,"36-45",A1223&lt;=55,"46-55",A1223&gt;55,"56+")</f>
        <v>36-45</v>
      </c>
      <c r="C1223" t="s">
        <v>39</v>
      </c>
      <c r="D1223" t="s">
        <v>51</v>
      </c>
      <c r="E1223" s="2">
        <v>1238</v>
      </c>
      <c r="F1223" t="s">
        <v>41</v>
      </c>
      <c r="G1223">
        <v>1</v>
      </c>
      <c r="H1223" t="str">
        <f t="shared" si="19"/>
        <v>1-10 km</v>
      </c>
      <c r="I1223">
        <v>1</v>
      </c>
      <c r="J1223" t="str" cm="1">
        <f t="array" ref="J1223">_xlfn.IFS(I1223=1,"Below College",I1223=2,"College",I1223=3,"Bachelor",I1223=4,"Master",I1223=5,"Doctor")</f>
        <v>Below College</v>
      </c>
      <c r="K1223" t="s">
        <v>35</v>
      </c>
      <c r="L1223">
        <v>1712</v>
      </c>
      <c r="M1223">
        <v>3</v>
      </c>
      <c r="N1223" t="str" cm="1">
        <f t="array" ref="N1223">_xlfn.IFS(M1223=1,"Low",M1223=2,"Medium",M1223=3,"High",M1223=4,"Very High")</f>
        <v>High</v>
      </c>
      <c r="O1223" t="s">
        <v>42</v>
      </c>
      <c r="P1223" s="2">
        <v>74</v>
      </c>
      <c r="Q1223">
        <v>2</v>
      </c>
      <c r="R1223" t="str" cm="1">
        <f t="array" ref="R1223">_xlfn.IFS(Q1223=1,"Low",Q1223=2,"Medium",Q1223=3,"High",Q1223=4,"Very High")</f>
        <v>Medium</v>
      </c>
      <c r="S1223">
        <v>3</v>
      </c>
      <c r="T1223" t="str" cm="1">
        <f t="array" ref="T1223">_xlfn.IFS(S1223=1,"Entry Level",S1223=2,"Junior",S1223=3,"Mid-Level",S1223=4,"Senior",S1223=5,"Executive")</f>
        <v>Mid-Level</v>
      </c>
      <c r="U1223" t="s">
        <v>50</v>
      </c>
      <c r="V1223">
        <v>3</v>
      </c>
      <c r="W1223" t="str" cm="1">
        <f t="array" ref="W1223">_xlfn.IFS(V1223=1,"Low",V1223=2,"Medium",V1223=3,"High",V1223=4,"Very High")</f>
        <v>High</v>
      </c>
      <c r="X1223" t="s">
        <v>44</v>
      </c>
      <c r="Y1223" s="2">
        <v>10748</v>
      </c>
      <c r="Z1223" s="2">
        <v>3395</v>
      </c>
      <c r="AA1223">
        <v>3</v>
      </c>
      <c r="AB1223" t="s">
        <v>39</v>
      </c>
      <c r="AC1223">
        <v>23</v>
      </c>
      <c r="AD1223">
        <v>4</v>
      </c>
      <c r="AE1223" t="str" cm="1">
        <f t="array" ref="AE1223">_xlfn.IFS(AD1223=1,"Low",AD1223=2,"Good",AD1223=3,"Excellent",AD1223=4,"Outstanding")</f>
        <v>Outstanding</v>
      </c>
      <c r="AF1223">
        <v>4</v>
      </c>
      <c r="AG1223" t="str" cm="1">
        <f t="array" ref="AG1223">_xlfn.IFS(AF1223=1,"Low",AF1223=2,"Medium",AF1223=3,"High",AF1223=4,"Very High")</f>
        <v>Very High</v>
      </c>
      <c r="AH1223">
        <v>1</v>
      </c>
      <c r="AI1223">
        <v>25</v>
      </c>
      <c r="AJ1223">
        <v>3</v>
      </c>
      <c r="AK1223">
        <v>2</v>
      </c>
      <c r="AL1223" t="str" cm="1">
        <f t="array" ref="AL1223">_xlfn.IFS(AK1223=1,"Low",AK1223=2,"Medium",AK1223=3,"High",AK1223=4,"Very High")</f>
        <v>Medium</v>
      </c>
      <c r="AM1223">
        <v>23</v>
      </c>
      <c r="AN1223">
        <v>15</v>
      </c>
      <c r="AO1223">
        <v>14</v>
      </c>
      <c r="AP1223">
        <v>4</v>
      </c>
    </row>
    <row r="1224" spans="1:42">
      <c r="A1224">
        <v>24</v>
      </c>
      <c r="B1224" t="str" cm="1">
        <f t="array" ref="B1224">_xlfn.IFS(A1224&lt;=25,"18-25",A1224&lt;=35,"26-35",A1224&lt;=45,"36-45",A1224&lt;=55,"46-55",A1224&gt;55,"56+")</f>
        <v>18-25</v>
      </c>
      <c r="C1224" t="s">
        <v>32</v>
      </c>
      <c r="D1224" t="s">
        <v>33</v>
      </c>
      <c r="E1224" s="2">
        <v>240</v>
      </c>
      <c r="F1224" t="s">
        <v>57</v>
      </c>
      <c r="G1224">
        <v>22</v>
      </c>
      <c r="H1224" t="str">
        <f t="shared" si="19"/>
        <v>21-30 km</v>
      </c>
      <c r="I1224">
        <v>1</v>
      </c>
      <c r="J1224" t="str" cm="1">
        <f t="array" ref="J1224">_xlfn.IFS(I1224=1,"Below College",I1224=2,"College",I1224=3,"Bachelor",I1224=4,"Master",I1224=5,"Doctor")</f>
        <v>Below College</v>
      </c>
      <c r="K1224" t="s">
        <v>57</v>
      </c>
      <c r="L1224">
        <v>1714</v>
      </c>
      <c r="M1224">
        <v>4</v>
      </c>
      <c r="N1224" t="str" cm="1">
        <f t="array" ref="N1224">_xlfn.IFS(M1224=1,"Low",M1224=2,"Medium",M1224=3,"High",M1224=4,"Very High")</f>
        <v>Very High</v>
      </c>
      <c r="O1224" t="s">
        <v>42</v>
      </c>
      <c r="P1224" s="2">
        <v>58</v>
      </c>
      <c r="Q1224">
        <v>1</v>
      </c>
      <c r="R1224" t="str" cm="1">
        <f t="array" ref="R1224">_xlfn.IFS(Q1224=1,"Low",Q1224=2,"Medium",Q1224=3,"High",Q1224=4,"Very High")</f>
        <v>Low</v>
      </c>
      <c r="S1224">
        <v>1</v>
      </c>
      <c r="T1224" t="str" cm="1">
        <f t="array" ref="T1224">_xlfn.IFS(S1224=1,"Entry Level",S1224=2,"Junior",S1224=3,"Mid-Level",S1224=4,"Senior",S1224=5,"Executive")</f>
        <v>Entry Level</v>
      </c>
      <c r="U1224" t="s">
        <v>57</v>
      </c>
      <c r="V1224">
        <v>3</v>
      </c>
      <c r="W1224" t="str" cm="1">
        <f t="array" ref="W1224">_xlfn.IFS(V1224=1,"Low",V1224=2,"Medium",V1224=3,"High",V1224=4,"Very High")</f>
        <v>High</v>
      </c>
      <c r="X1224" t="s">
        <v>44</v>
      </c>
      <c r="Y1224" s="2">
        <v>1555</v>
      </c>
      <c r="Z1224" s="2">
        <v>11585</v>
      </c>
      <c r="AA1224">
        <v>1</v>
      </c>
      <c r="AB1224" t="s">
        <v>39</v>
      </c>
      <c r="AC1224">
        <v>11</v>
      </c>
      <c r="AD1224">
        <v>3</v>
      </c>
      <c r="AE1224" t="str" cm="1">
        <f t="array" ref="AE1224">_xlfn.IFS(AD1224=1,"Low",AD1224=2,"Good",AD1224=3,"Excellent",AD1224=4,"Outstanding")</f>
        <v>Excellent</v>
      </c>
      <c r="AF1224">
        <v>3</v>
      </c>
      <c r="AG1224" t="str" cm="1">
        <f t="array" ref="AG1224">_xlfn.IFS(AF1224=1,"Low",AF1224=2,"Medium",AF1224=3,"High",AF1224=4,"Very High")</f>
        <v>High</v>
      </c>
      <c r="AH1224">
        <v>1</v>
      </c>
      <c r="AI1224">
        <v>1</v>
      </c>
      <c r="AJ1224">
        <v>2</v>
      </c>
      <c r="AK1224">
        <v>3</v>
      </c>
      <c r="AL1224" t="str" cm="1">
        <f t="array" ref="AL1224">_xlfn.IFS(AK1224=1,"Low",AK1224=2,"Medium",AK1224=3,"High",AK1224=4,"Very High")</f>
        <v>High</v>
      </c>
      <c r="AM1224">
        <v>1</v>
      </c>
      <c r="AN1224">
        <v>0</v>
      </c>
      <c r="AO1224">
        <v>0</v>
      </c>
      <c r="AP1224">
        <v>0</v>
      </c>
    </row>
    <row r="1225" spans="1:42">
      <c r="A1225">
        <v>47</v>
      </c>
      <c r="B1225" t="str" cm="1">
        <f t="array" ref="B1225">_xlfn.IFS(A1225&lt;=25,"18-25",A1225&lt;=35,"26-35",A1225&lt;=45,"36-45",A1225&lt;=55,"46-55",A1225&gt;55,"56+")</f>
        <v>46-55</v>
      </c>
      <c r="C1225" t="s">
        <v>32</v>
      </c>
      <c r="D1225" t="s">
        <v>40</v>
      </c>
      <c r="E1225" s="2">
        <v>1093</v>
      </c>
      <c r="F1225" t="s">
        <v>34</v>
      </c>
      <c r="G1225">
        <v>9</v>
      </c>
      <c r="H1225" t="str">
        <f t="shared" si="19"/>
        <v>1-10 km</v>
      </c>
      <c r="I1225">
        <v>3</v>
      </c>
      <c r="J1225" t="str" cm="1">
        <f t="array" ref="J1225">_xlfn.IFS(I1225=1,"Below College",I1225=2,"College",I1225=3,"Bachelor",I1225=4,"Master",I1225=5,"Doctor")</f>
        <v>Bachelor</v>
      </c>
      <c r="K1225" t="s">
        <v>35</v>
      </c>
      <c r="L1225">
        <v>1716</v>
      </c>
      <c r="M1225">
        <v>3</v>
      </c>
      <c r="N1225" t="str" cm="1">
        <f t="array" ref="N1225">_xlfn.IFS(M1225=1,"Low",M1225=2,"Medium",M1225=3,"High",M1225=4,"Very High")</f>
        <v>High</v>
      </c>
      <c r="O1225" t="s">
        <v>42</v>
      </c>
      <c r="P1225" s="2">
        <v>82</v>
      </c>
      <c r="Q1225">
        <v>1</v>
      </c>
      <c r="R1225" t="str" cm="1">
        <f t="array" ref="R1225">_xlfn.IFS(Q1225=1,"Low",Q1225=2,"Medium",Q1225=3,"High",Q1225=4,"Very High")</f>
        <v>Low</v>
      </c>
      <c r="S1225">
        <v>4</v>
      </c>
      <c r="T1225" t="str" cm="1">
        <f t="array" ref="T1225">_xlfn.IFS(S1225=1,"Entry Level",S1225=2,"Junior",S1225=3,"Mid-Level",S1225=4,"Senior",S1225=5,"Executive")</f>
        <v>Senior</v>
      </c>
      <c r="U1225" t="s">
        <v>37</v>
      </c>
      <c r="V1225">
        <v>3</v>
      </c>
      <c r="W1225" t="str" cm="1">
        <f t="array" ref="W1225">_xlfn.IFS(V1225=1,"Low",V1225=2,"Medium",V1225=3,"High",V1225=4,"Very High")</f>
        <v>High</v>
      </c>
      <c r="X1225" t="s">
        <v>44</v>
      </c>
      <c r="Y1225" s="2">
        <v>12936</v>
      </c>
      <c r="Z1225" s="2">
        <v>24164</v>
      </c>
      <c r="AA1225">
        <v>7</v>
      </c>
      <c r="AB1225" t="s">
        <v>39</v>
      </c>
      <c r="AC1225">
        <v>11</v>
      </c>
      <c r="AD1225">
        <v>3</v>
      </c>
      <c r="AE1225" t="str" cm="1">
        <f t="array" ref="AE1225">_xlfn.IFS(AD1225=1,"Low",AD1225=2,"Good",AD1225=3,"Excellent",AD1225=4,"Outstanding")</f>
        <v>Excellent</v>
      </c>
      <c r="AF1225">
        <v>3</v>
      </c>
      <c r="AG1225" t="str" cm="1">
        <f t="array" ref="AG1225">_xlfn.IFS(AF1225=1,"Low",AF1225=2,"Medium",AF1225=3,"High",AF1225=4,"Very High")</f>
        <v>High</v>
      </c>
      <c r="AH1225">
        <v>0</v>
      </c>
      <c r="AI1225">
        <v>25</v>
      </c>
      <c r="AJ1225">
        <v>3</v>
      </c>
      <c r="AK1225">
        <v>1</v>
      </c>
      <c r="AL1225" t="str" cm="1">
        <f t="array" ref="AL1225">_xlfn.IFS(AK1225=1,"Low",AK1225=2,"Medium",AK1225=3,"High",AK1225=4,"Very High")</f>
        <v>Low</v>
      </c>
      <c r="AM1225">
        <v>23</v>
      </c>
      <c r="AN1225">
        <v>5</v>
      </c>
      <c r="AO1225">
        <v>14</v>
      </c>
      <c r="AP1225">
        <v>10</v>
      </c>
    </row>
    <row r="1226" spans="1:42">
      <c r="A1226">
        <v>26</v>
      </c>
      <c r="B1226" t="str" cm="1">
        <f t="array" ref="B1226">_xlfn.IFS(A1226&lt;=25,"18-25",A1226&lt;=35,"26-35",A1226&lt;=45,"36-45",A1226&lt;=55,"46-55",A1226&gt;55,"56+")</f>
        <v>26-35</v>
      </c>
      <c r="C1226" t="s">
        <v>39</v>
      </c>
      <c r="D1226" t="s">
        <v>33</v>
      </c>
      <c r="E1226" s="2">
        <v>390</v>
      </c>
      <c r="F1226" t="s">
        <v>41</v>
      </c>
      <c r="G1226">
        <v>17</v>
      </c>
      <c r="H1226" t="str">
        <f t="shared" si="19"/>
        <v>11-20 km</v>
      </c>
      <c r="I1226">
        <v>4</v>
      </c>
      <c r="J1226" t="str" cm="1">
        <f t="array" ref="J1226">_xlfn.IFS(I1226=1,"Below College",I1226=2,"College",I1226=3,"Bachelor",I1226=4,"Master",I1226=5,"Doctor")</f>
        <v>Master</v>
      </c>
      <c r="K1226" t="s">
        <v>47</v>
      </c>
      <c r="L1226">
        <v>1718</v>
      </c>
      <c r="M1226">
        <v>4</v>
      </c>
      <c r="N1226" t="str" cm="1">
        <f t="array" ref="N1226">_xlfn.IFS(M1226=1,"Low",M1226=2,"Medium",M1226=3,"High",M1226=4,"Very High")</f>
        <v>Very High</v>
      </c>
      <c r="O1226" t="s">
        <v>42</v>
      </c>
      <c r="P1226" s="2">
        <v>62</v>
      </c>
      <c r="Q1226">
        <v>1</v>
      </c>
      <c r="R1226" t="str" cm="1">
        <f t="array" ref="R1226">_xlfn.IFS(Q1226=1,"Low",Q1226=2,"Medium",Q1226=3,"High",Q1226=4,"Very High")</f>
        <v>Low</v>
      </c>
      <c r="S1226">
        <v>1</v>
      </c>
      <c r="T1226" t="str" cm="1">
        <f t="array" ref="T1226">_xlfn.IFS(S1226=1,"Entry Level",S1226=2,"Junior",S1226=3,"Mid-Level",S1226=4,"Senior",S1226=5,"Executive")</f>
        <v>Entry Level</v>
      </c>
      <c r="U1226" t="s">
        <v>46</v>
      </c>
      <c r="V1226">
        <v>3</v>
      </c>
      <c r="W1226" t="str" cm="1">
        <f t="array" ref="W1226">_xlfn.IFS(V1226=1,"Low",V1226=2,"Medium",V1226=3,"High",V1226=4,"Very High")</f>
        <v>High</v>
      </c>
      <c r="X1226" t="s">
        <v>44</v>
      </c>
      <c r="Y1226" s="2">
        <v>2305</v>
      </c>
      <c r="Z1226" s="2">
        <v>6217</v>
      </c>
      <c r="AA1226">
        <v>1</v>
      </c>
      <c r="AB1226" t="s">
        <v>39</v>
      </c>
      <c r="AC1226">
        <v>15</v>
      </c>
      <c r="AD1226">
        <v>3</v>
      </c>
      <c r="AE1226" t="str" cm="1">
        <f t="array" ref="AE1226">_xlfn.IFS(AD1226=1,"Low",AD1226=2,"Good",AD1226=3,"Excellent",AD1226=4,"Outstanding")</f>
        <v>Excellent</v>
      </c>
      <c r="AF1226">
        <v>3</v>
      </c>
      <c r="AG1226" t="str" cm="1">
        <f t="array" ref="AG1226">_xlfn.IFS(AF1226=1,"Low",AF1226=2,"Medium",AF1226=3,"High",AF1226=4,"Very High")</f>
        <v>High</v>
      </c>
      <c r="AH1226">
        <v>3</v>
      </c>
      <c r="AI1226">
        <v>3</v>
      </c>
      <c r="AJ1226">
        <v>3</v>
      </c>
      <c r="AK1226">
        <v>4</v>
      </c>
      <c r="AL1226" t="str" cm="1">
        <f t="array" ref="AL1226">_xlfn.IFS(AK1226=1,"Low",AK1226=2,"Medium",AK1226=3,"High",AK1226=4,"Very High")</f>
        <v>Very High</v>
      </c>
      <c r="AM1226">
        <v>3</v>
      </c>
      <c r="AN1226">
        <v>2</v>
      </c>
      <c r="AO1226">
        <v>0</v>
      </c>
      <c r="AP1226">
        <v>2</v>
      </c>
    </row>
    <row r="1227" spans="1:42">
      <c r="A1227">
        <v>45</v>
      </c>
      <c r="B1227" t="str" cm="1">
        <f t="array" ref="B1227">_xlfn.IFS(A1227&lt;=25,"18-25",A1227&lt;=35,"26-35",A1227&lt;=45,"36-45",A1227&lt;=55,"46-55",A1227&gt;55,"56+")</f>
        <v>36-45</v>
      </c>
      <c r="C1227" t="s">
        <v>39</v>
      </c>
      <c r="D1227" t="s">
        <v>33</v>
      </c>
      <c r="E1227" s="2">
        <v>1005</v>
      </c>
      <c r="F1227" t="s">
        <v>41</v>
      </c>
      <c r="G1227">
        <v>28</v>
      </c>
      <c r="H1227" t="str">
        <f t="shared" si="19"/>
        <v>21-30 km</v>
      </c>
      <c r="I1227">
        <v>2</v>
      </c>
      <c r="J1227" t="str" cm="1">
        <f t="array" ref="J1227">_xlfn.IFS(I1227=1,"Below College",I1227=2,"College",I1227=3,"Bachelor",I1227=4,"Master",I1227=5,"Doctor")</f>
        <v>College</v>
      </c>
      <c r="K1227" t="s">
        <v>56</v>
      </c>
      <c r="L1227">
        <v>1719</v>
      </c>
      <c r="M1227">
        <v>4</v>
      </c>
      <c r="N1227" t="str" cm="1">
        <f t="array" ref="N1227">_xlfn.IFS(M1227=1,"Low",M1227=2,"Medium",M1227=3,"High",M1227=4,"Very High")</f>
        <v>Very High</v>
      </c>
      <c r="O1227" t="s">
        <v>36</v>
      </c>
      <c r="P1227" s="2">
        <v>48</v>
      </c>
      <c r="Q1227">
        <v>2</v>
      </c>
      <c r="R1227" t="str" cm="1">
        <f t="array" ref="R1227">_xlfn.IFS(Q1227=1,"Low",Q1227=2,"Medium",Q1227=3,"High",Q1227=4,"Very High")</f>
        <v>Medium</v>
      </c>
      <c r="S1227">
        <v>4</v>
      </c>
      <c r="T1227" t="str" cm="1">
        <f t="array" ref="T1227">_xlfn.IFS(S1227=1,"Entry Level",S1227=2,"Junior",S1227=3,"Mid-Level",S1227=4,"Senior",S1227=5,"Executive")</f>
        <v>Senior</v>
      </c>
      <c r="U1227" t="s">
        <v>54</v>
      </c>
      <c r="V1227">
        <v>2</v>
      </c>
      <c r="W1227" t="str" cm="1">
        <f t="array" ref="W1227">_xlfn.IFS(V1227=1,"Low",V1227=2,"Medium",V1227=3,"High",V1227=4,"Very High")</f>
        <v>Medium</v>
      </c>
      <c r="X1227" t="s">
        <v>38</v>
      </c>
      <c r="Y1227" s="2">
        <v>16704</v>
      </c>
      <c r="Z1227" s="2">
        <v>17119</v>
      </c>
      <c r="AA1227">
        <v>1</v>
      </c>
      <c r="AB1227" t="s">
        <v>39</v>
      </c>
      <c r="AC1227">
        <v>11</v>
      </c>
      <c r="AD1227">
        <v>3</v>
      </c>
      <c r="AE1227" t="str" cm="1">
        <f t="array" ref="AE1227">_xlfn.IFS(AD1227=1,"Low",AD1227=2,"Good",AD1227=3,"Excellent",AD1227=4,"Outstanding")</f>
        <v>Excellent</v>
      </c>
      <c r="AF1227">
        <v>3</v>
      </c>
      <c r="AG1227" t="str" cm="1">
        <f t="array" ref="AG1227">_xlfn.IFS(AF1227=1,"Low",AF1227=2,"Medium",AF1227=3,"High",AF1227=4,"Very High")</f>
        <v>High</v>
      </c>
      <c r="AH1227">
        <v>0</v>
      </c>
      <c r="AI1227">
        <v>21</v>
      </c>
      <c r="AJ1227">
        <v>2</v>
      </c>
      <c r="AK1227">
        <v>3</v>
      </c>
      <c r="AL1227" t="str" cm="1">
        <f t="array" ref="AL1227">_xlfn.IFS(AK1227=1,"Low",AK1227=2,"Medium",AK1227=3,"High",AK1227=4,"Very High")</f>
        <v>High</v>
      </c>
      <c r="AM1227">
        <v>21</v>
      </c>
      <c r="AN1227">
        <v>6</v>
      </c>
      <c r="AO1227">
        <v>8</v>
      </c>
      <c r="AP1227">
        <v>6</v>
      </c>
    </row>
    <row r="1228" spans="1:42">
      <c r="A1228">
        <v>32</v>
      </c>
      <c r="B1228" t="str" cm="1">
        <f t="array" ref="B1228">_xlfn.IFS(A1228&lt;=25,"18-25",A1228&lt;=35,"26-35",A1228&lt;=45,"36-45",A1228&lt;=55,"46-55",A1228&gt;55,"56+")</f>
        <v>26-35</v>
      </c>
      <c r="C1228" t="s">
        <v>39</v>
      </c>
      <c r="D1228" t="s">
        <v>40</v>
      </c>
      <c r="E1228" s="2">
        <v>585</v>
      </c>
      <c r="F1228" t="s">
        <v>41</v>
      </c>
      <c r="G1228">
        <v>10</v>
      </c>
      <c r="H1228" t="str">
        <f t="shared" si="19"/>
        <v>1-10 km</v>
      </c>
      <c r="I1228">
        <v>3</v>
      </c>
      <c r="J1228" t="str" cm="1">
        <f t="array" ref="J1228">_xlfn.IFS(I1228=1,"Below College",I1228=2,"College",I1228=3,"Bachelor",I1228=4,"Master",I1228=5,"Doctor")</f>
        <v>Bachelor</v>
      </c>
      <c r="K1228" t="s">
        <v>35</v>
      </c>
      <c r="L1228">
        <v>1720</v>
      </c>
      <c r="M1228">
        <v>1</v>
      </c>
      <c r="N1228" t="str" cm="1">
        <f t="array" ref="N1228">_xlfn.IFS(M1228=1,"Low",M1228=2,"Medium",M1228=3,"High",M1228=4,"Very High")</f>
        <v>Low</v>
      </c>
      <c r="O1228" t="s">
        <v>42</v>
      </c>
      <c r="P1228" s="2">
        <v>56</v>
      </c>
      <c r="Q1228">
        <v>3</v>
      </c>
      <c r="R1228" t="str" cm="1">
        <f t="array" ref="R1228">_xlfn.IFS(Q1228=1,"Low",Q1228=2,"Medium",Q1228=3,"High",Q1228=4,"Very High")</f>
        <v>High</v>
      </c>
      <c r="S1228">
        <v>1</v>
      </c>
      <c r="T1228" t="str" cm="1">
        <f t="array" ref="T1228">_xlfn.IFS(S1228=1,"Entry Level",S1228=2,"Junior",S1228=3,"Mid-Level",S1228=4,"Senior",S1228=5,"Executive")</f>
        <v>Entry Level</v>
      </c>
      <c r="U1228" t="s">
        <v>43</v>
      </c>
      <c r="V1228">
        <v>3</v>
      </c>
      <c r="W1228" t="str" cm="1">
        <f t="array" ref="W1228">_xlfn.IFS(V1228=1,"Low",V1228=2,"Medium",V1228=3,"High",V1228=4,"Very High")</f>
        <v>High</v>
      </c>
      <c r="X1228" t="s">
        <v>44</v>
      </c>
      <c r="Y1228" s="2">
        <v>3433</v>
      </c>
      <c r="Z1228" s="2">
        <v>17360</v>
      </c>
      <c r="AA1228">
        <v>6</v>
      </c>
      <c r="AB1228" t="s">
        <v>39</v>
      </c>
      <c r="AC1228">
        <v>13</v>
      </c>
      <c r="AD1228">
        <v>3</v>
      </c>
      <c r="AE1228" t="str" cm="1">
        <f t="array" ref="AE1228">_xlfn.IFS(AD1228=1,"Low",AD1228=2,"Good",AD1228=3,"Excellent",AD1228=4,"Outstanding")</f>
        <v>Excellent</v>
      </c>
      <c r="AF1228">
        <v>1</v>
      </c>
      <c r="AG1228" t="str" cm="1">
        <f t="array" ref="AG1228">_xlfn.IFS(AF1228=1,"Low",AF1228=2,"Medium",AF1228=3,"High",AF1228=4,"Very High")</f>
        <v>Low</v>
      </c>
      <c r="AH1228">
        <v>1</v>
      </c>
      <c r="AI1228">
        <v>10</v>
      </c>
      <c r="AJ1228">
        <v>3</v>
      </c>
      <c r="AK1228">
        <v>2</v>
      </c>
      <c r="AL1228" t="str" cm="1">
        <f t="array" ref="AL1228">_xlfn.IFS(AK1228=1,"Low",AK1228=2,"Medium",AK1228=3,"High",AK1228=4,"Very High")</f>
        <v>Medium</v>
      </c>
      <c r="AM1228">
        <v>5</v>
      </c>
      <c r="AN1228">
        <v>2</v>
      </c>
      <c r="AO1228">
        <v>1</v>
      </c>
      <c r="AP1228">
        <v>3</v>
      </c>
    </row>
    <row r="1229" spans="1:42">
      <c r="A1229">
        <v>31</v>
      </c>
      <c r="B1229" t="str" cm="1">
        <f t="array" ref="B1229">_xlfn.IFS(A1229&lt;=25,"18-25",A1229&lt;=35,"26-35",A1229&lt;=45,"36-45",A1229&lt;=55,"46-55",A1229&gt;55,"56+")</f>
        <v>26-35</v>
      </c>
      <c r="C1229" t="s">
        <v>39</v>
      </c>
      <c r="D1229" t="s">
        <v>33</v>
      </c>
      <c r="E1229" s="2">
        <v>741</v>
      </c>
      <c r="F1229" t="s">
        <v>41</v>
      </c>
      <c r="G1229">
        <v>2</v>
      </c>
      <c r="H1229" t="str">
        <f t="shared" si="19"/>
        <v>1-10 km</v>
      </c>
      <c r="I1229">
        <v>4</v>
      </c>
      <c r="J1229" t="str" cm="1">
        <f t="array" ref="J1229">_xlfn.IFS(I1229=1,"Below College",I1229=2,"College",I1229=3,"Bachelor",I1229=4,"Master",I1229=5,"Doctor")</f>
        <v>Master</v>
      </c>
      <c r="K1229" t="s">
        <v>35</v>
      </c>
      <c r="L1229">
        <v>1721</v>
      </c>
      <c r="M1229">
        <v>2</v>
      </c>
      <c r="N1229" t="str" cm="1">
        <f t="array" ref="N1229">_xlfn.IFS(M1229=1,"Low",M1229=2,"Medium",M1229=3,"High",M1229=4,"Very High")</f>
        <v>Medium</v>
      </c>
      <c r="O1229" t="s">
        <v>42</v>
      </c>
      <c r="P1229" s="2">
        <v>69</v>
      </c>
      <c r="Q1229">
        <v>3</v>
      </c>
      <c r="R1229" t="str" cm="1">
        <f t="array" ref="R1229">_xlfn.IFS(Q1229=1,"Low",Q1229=2,"Medium",Q1229=3,"High",Q1229=4,"Very High")</f>
        <v>High</v>
      </c>
      <c r="S1229">
        <v>1</v>
      </c>
      <c r="T1229" t="str" cm="1">
        <f t="array" ref="T1229">_xlfn.IFS(S1229=1,"Entry Level",S1229=2,"Junior",S1229=3,"Mid-Level",S1229=4,"Senior",S1229=5,"Executive")</f>
        <v>Entry Level</v>
      </c>
      <c r="U1229" t="s">
        <v>46</v>
      </c>
      <c r="V1229">
        <v>3</v>
      </c>
      <c r="W1229" t="str" cm="1">
        <f t="array" ref="W1229">_xlfn.IFS(V1229=1,"Low",V1229=2,"Medium",V1229=3,"High",V1229=4,"Very High")</f>
        <v>High</v>
      </c>
      <c r="X1229" t="s">
        <v>44</v>
      </c>
      <c r="Y1229" s="2">
        <v>3477</v>
      </c>
      <c r="Z1229" s="2">
        <v>18103</v>
      </c>
      <c r="AA1229">
        <v>1</v>
      </c>
      <c r="AB1229" t="s">
        <v>39</v>
      </c>
      <c r="AC1229">
        <v>14</v>
      </c>
      <c r="AD1229">
        <v>3</v>
      </c>
      <c r="AE1229" t="str" cm="1">
        <f t="array" ref="AE1229">_xlfn.IFS(AD1229=1,"Low",AD1229=2,"Good",AD1229=3,"Excellent",AD1229=4,"Outstanding")</f>
        <v>Excellent</v>
      </c>
      <c r="AF1229">
        <v>4</v>
      </c>
      <c r="AG1229" t="str" cm="1">
        <f t="array" ref="AG1229">_xlfn.IFS(AF1229=1,"Low",AF1229=2,"Medium",AF1229=3,"High",AF1229=4,"Very High")</f>
        <v>Very High</v>
      </c>
      <c r="AH1229">
        <v>1</v>
      </c>
      <c r="AI1229">
        <v>6</v>
      </c>
      <c r="AJ1229">
        <v>2</v>
      </c>
      <c r="AK1229">
        <v>4</v>
      </c>
      <c r="AL1229" t="str" cm="1">
        <f t="array" ref="AL1229">_xlfn.IFS(AK1229=1,"Low",AK1229=2,"Medium",AK1229=3,"High",AK1229=4,"Very High")</f>
        <v>Very High</v>
      </c>
      <c r="AM1229">
        <v>5</v>
      </c>
      <c r="AN1229">
        <v>2</v>
      </c>
      <c r="AO1229">
        <v>0</v>
      </c>
      <c r="AP1229">
        <v>3</v>
      </c>
    </row>
    <row r="1230" spans="1:42">
      <c r="A1230">
        <v>41</v>
      </c>
      <c r="B1230" t="str" cm="1">
        <f t="array" ref="B1230">_xlfn.IFS(A1230&lt;=25,"18-25",A1230&lt;=35,"26-35",A1230&lt;=45,"36-45",A1230&lt;=55,"46-55",A1230&gt;55,"56+")</f>
        <v>36-45</v>
      </c>
      <c r="C1230" t="s">
        <v>39</v>
      </c>
      <c r="D1230" t="s">
        <v>51</v>
      </c>
      <c r="E1230" s="2">
        <v>552</v>
      </c>
      <c r="F1230" t="s">
        <v>57</v>
      </c>
      <c r="G1230">
        <v>4</v>
      </c>
      <c r="H1230" t="str">
        <f t="shared" si="19"/>
        <v>1-10 km</v>
      </c>
      <c r="I1230">
        <v>3</v>
      </c>
      <c r="J1230" t="str" cm="1">
        <f t="array" ref="J1230">_xlfn.IFS(I1230=1,"Below College",I1230=2,"College",I1230=3,"Bachelor",I1230=4,"Master",I1230=5,"Doctor")</f>
        <v>Bachelor</v>
      </c>
      <c r="K1230" t="s">
        <v>57</v>
      </c>
      <c r="L1230">
        <v>1722</v>
      </c>
      <c r="M1230">
        <v>3</v>
      </c>
      <c r="N1230" t="str" cm="1">
        <f t="array" ref="N1230">_xlfn.IFS(M1230=1,"Low",M1230=2,"Medium",M1230=3,"High",M1230=4,"Very High")</f>
        <v>High</v>
      </c>
      <c r="O1230" t="s">
        <v>42</v>
      </c>
      <c r="P1230" s="2">
        <v>60</v>
      </c>
      <c r="Q1230">
        <v>1</v>
      </c>
      <c r="R1230" t="str" cm="1">
        <f t="array" ref="R1230">_xlfn.IFS(Q1230=1,"Low",Q1230=2,"Medium",Q1230=3,"High",Q1230=4,"Very High")</f>
        <v>Low</v>
      </c>
      <c r="S1230">
        <v>2</v>
      </c>
      <c r="T1230" t="str" cm="1">
        <f t="array" ref="T1230">_xlfn.IFS(S1230=1,"Entry Level",S1230=2,"Junior",S1230=3,"Mid-Level",S1230=4,"Senior",S1230=5,"Executive")</f>
        <v>Junior</v>
      </c>
      <c r="U1230" t="s">
        <v>57</v>
      </c>
      <c r="V1230">
        <v>2</v>
      </c>
      <c r="W1230" t="str" cm="1">
        <f t="array" ref="W1230">_xlfn.IFS(V1230=1,"Low",V1230=2,"Medium",V1230=3,"High",V1230=4,"Very High")</f>
        <v>Medium</v>
      </c>
      <c r="X1230" t="s">
        <v>44</v>
      </c>
      <c r="Y1230" s="2">
        <v>6430</v>
      </c>
      <c r="Z1230" s="2">
        <v>20794</v>
      </c>
      <c r="AA1230">
        <v>6</v>
      </c>
      <c r="AB1230" t="s">
        <v>39</v>
      </c>
      <c r="AC1230">
        <v>19</v>
      </c>
      <c r="AD1230">
        <v>3</v>
      </c>
      <c r="AE1230" t="str" cm="1">
        <f t="array" ref="AE1230">_xlfn.IFS(AD1230=1,"Low",AD1230=2,"Good",AD1230=3,"Excellent",AD1230=4,"Outstanding")</f>
        <v>Excellent</v>
      </c>
      <c r="AF1230">
        <v>2</v>
      </c>
      <c r="AG1230" t="str" cm="1">
        <f t="array" ref="AG1230">_xlfn.IFS(AF1230=1,"Low",AF1230=2,"Medium",AF1230=3,"High",AF1230=4,"Very High")</f>
        <v>Medium</v>
      </c>
      <c r="AH1230">
        <v>1</v>
      </c>
      <c r="AI1230">
        <v>10</v>
      </c>
      <c r="AJ1230">
        <v>4</v>
      </c>
      <c r="AK1230">
        <v>3</v>
      </c>
      <c r="AL1230" t="str" cm="1">
        <f t="array" ref="AL1230">_xlfn.IFS(AK1230=1,"Low",AK1230=2,"Medium",AK1230=3,"High",AK1230=4,"Very High")</f>
        <v>High</v>
      </c>
      <c r="AM1230">
        <v>3</v>
      </c>
      <c r="AN1230">
        <v>2</v>
      </c>
      <c r="AO1230">
        <v>1</v>
      </c>
      <c r="AP1230">
        <v>2</v>
      </c>
    </row>
    <row r="1231" spans="1:42">
      <c r="A1231">
        <v>40</v>
      </c>
      <c r="B1231" t="str" cm="1">
        <f t="array" ref="B1231">_xlfn.IFS(A1231&lt;=25,"18-25",A1231&lt;=35,"26-35",A1231&lt;=45,"36-45",A1231&lt;=55,"46-55",A1231&gt;55,"56+")</f>
        <v>36-45</v>
      </c>
      <c r="C1231" t="s">
        <v>39</v>
      </c>
      <c r="D1231" t="s">
        <v>33</v>
      </c>
      <c r="E1231" s="2">
        <v>369</v>
      </c>
      <c r="F1231" t="s">
        <v>41</v>
      </c>
      <c r="G1231">
        <v>8</v>
      </c>
      <c r="H1231" t="str">
        <f t="shared" si="19"/>
        <v>1-10 km</v>
      </c>
      <c r="I1231">
        <v>2</v>
      </c>
      <c r="J1231" t="str" cm="1">
        <f t="array" ref="J1231">_xlfn.IFS(I1231=1,"Below College",I1231=2,"College",I1231=3,"Bachelor",I1231=4,"Master",I1231=5,"Doctor")</f>
        <v>College</v>
      </c>
      <c r="K1231" t="s">
        <v>35</v>
      </c>
      <c r="L1231">
        <v>1724</v>
      </c>
      <c r="M1231">
        <v>2</v>
      </c>
      <c r="N1231" t="str" cm="1">
        <f t="array" ref="N1231">_xlfn.IFS(M1231=1,"Low",M1231=2,"Medium",M1231=3,"High",M1231=4,"Very High")</f>
        <v>Medium</v>
      </c>
      <c r="O1231" t="s">
        <v>36</v>
      </c>
      <c r="P1231" s="2">
        <v>92</v>
      </c>
      <c r="Q1231">
        <v>3</v>
      </c>
      <c r="R1231" t="str" cm="1">
        <f t="array" ref="R1231">_xlfn.IFS(Q1231=1,"Low",Q1231=2,"Medium",Q1231=3,"High",Q1231=4,"Very High")</f>
        <v>High</v>
      </c>
      <c r="S1231">
        <v>2</v>
      </c>
      <c r="T1231" t="str" cm="1">
        <f t="array" ref="T1231">_xlfn.IFS(S1231=1,"Entry Level",S1231=2,"Junior",S1231=3,"Mid-Level",S1231=4,"Senior",S1231=5,"Executive")</f>
        <v>Junior</v>
      </c>
      <c r="U1231" t="s">
        <v>49</v>
      </c>
      <c r="V1231">
        <v>1</v>
      </c>
      <c r="W1231" t="str" cm="1">
        <f t="array" ref="W1231">_xlfn.IFS(V1231=1,"Low",V1231=2,"Medium",V1231=3,"High",V1231=4,"Very High")</f>
        <v>Low</v>
      </c>
      <c r="X1231" t="s">
        <v>44</v>
      </c>
      <c r="Y1231" s="2">
        <v>6516</v>
      </c>
      <c r="Z1231" s="2">
        <v>5041</v>
      </c>
      <c r="AA1231">
        <v>2</v>
      </c>
      <c r="AB1231" t="s">
        <v>32</v>
      </c>
      <c r="AC1231">
        <v>16</v>
      </c>
      <c r="AD1231">
        <v>3</v>
      </c>
      <c r="AE1231" t="str" cm="1">
        <f t="array" ref="AE1231">_xlfn.IFS(AD1231=1,"Low",AD1231=2,"Good",AD1231=3,"Excellent",AD1231=4,"Outstanding")</f>
        <v>Excellent</v>
      </c>
      <c r="AF1231">
        <v>2</v>
      </c>
      <c r="AG1231" t="str" cm="1">
        <f t="array" ref="AG1231">_xlfn.IFS(AF1231=1,"Low",AF1231=2,"Medium",AF1231=3,"High",AF1231=4,"Very High")</f>
        <v>Medium</v>
      </c>
      <c r="AH1231">
        <v>1</v>
      </c>
      <c r="AI1231">
        <v>18</v>
      </c>
      <c r="AJ1231">
        <v>3</v>
      </c>
      <c r="AK1231">
        <v>3</v>
      </c>
      <c r="AL1231" t="str" cm="1">
        <f t="array" ref="AL1231">_xlfn.IFS(AK1231=1,"Low",AK1231=2,"Medium",AK1231=3,"High",AK1231=4,"Very High")</f>
        <v>High</v>
      </c>
      <c r="AM1231">
        <v>1</v>
      </c>
      <c r="AN1231">
        <v>0</v>
      </c>
      <c r="AO1231">
        <v>0</v>
      </c>
      <c r="AP1231">
        <v>0</v>
      </c>
    </row>
    <row r="1232" spans="1:42">
      <c r="A1232">
        <v>24</v>
      </c>
      <c r="B1232" t="str" cm="1">
        <f t="array" ref="B1232">_xlfn.IFS(A1232&lt;=25,"18-25",A1232&lt;=35,"26-35",A1232&lt;=45,"36-45",A1232&lt;=55,"46-55",A1232&gt;55,"56+")</f>
        <v>18-25</v>
      </c>
      <c r="C1232" t="s">
        <v>39</v>
      </c>
      <c r="D1232" t="s">
        <v>33</v>
      </c>
      <c r="E1232" s="2">
        <v>506</v>
      </c>
      <c r="F1232" t="s">
        <v>41</v>
      </c>
      <c r="G1232">
        <v>29</v>
      </c>
      <c r="H1232" t="str">
        <f t="shared" si="19"/>
        <v>21-30 km</v>
      </c>
      <c r="I1232">
        <v>1</v>
      </c>
      <c r="J1232" t="str" cm="1">
        <f t="array" ref="J1232">_xlfn.IFS(I1232=1,"Below College",I1232=2,"College",I1232=3,"Bachelor",I1232=4,"Master",I1232=5,"Doctor")</f>
        <v>Below College</v>
      </c>
      <c r="K1232" t="s">
        <v>47</v>
      </c>
      <c r="L1232">
        <v>1725</v>
      </c>
      <c r="M1232">
        <v>2</v>
      </c>
      <c r="N1232" t="str" cm="1">
        <f t="array" ref="N1232">_xlfn.IFS(M1232=1,"Low",M1232=2,"Medium",M1232=3,"High",M1232=4,"Very High")</f>
        <v>Medium</v>
      </c>
      <c r="O1232" t="s">
        <v>42</v>
      </c>
      <c r="P1232" s="2">
        <v>91</v>
      </c>
      <c r="Q1232">
        <v>3</v>
      </c>
      <c r="R1232" t="str" cm="1">
        <f t="array" ref="R1232">_xlfn.IFS(Q1232=1,"Low",Q1232=2,"Medium",Q1232=3,"High",Q1232=4,"Very High")</f>
        <v>High</v>
      </c>
      <c r="S1232">
        <v>1</v>
      </c>
      <c r="T1232" t="str" cm="1">
        <f t="array" ref="T1232">_xlfn.IFS(S1232=1,"Entry Level",S1232=2,"Junior",S1232=3,"Mid-Level",S1232=4,"Senior",S1232=5,"Executive")</f>
        <v>Entry Level</v>
      </c>
      <c r="U1232" t="s">
        <v>46</v>
      </c>
      <c r="V1232">
        <v>1</v>
      </c>
      <c r="W1232" t="str" cm="1">
        <f t="array" ref="W1232">_xlfn.IFS(V1232=1,"Low",V1232=2,"Medium",V1232=3,"High",V1232=4,"Very High")</f>
        <v>Low</v>
      </c>
      <c r="X1232" t="s">
        <v>48</v>
      </c>
      <c r="Y1232" s="2">
        <v>3907</v>
      </c>
      <c r="Z1232" s="2">
        <v>3622</v>
      </c>
      <c r="AA1232">
        <v>1</v>
      </c>
      <c r="AB1232" t="s">
        <v>39</v>
      </c>
      <c r="AC1232">
        <v>13</v>
      </c>
      <c r="AD1232">
        <v>3</v>
      </c>
      <c r="AE1232" t="str" cm="1">
        <f t="array" ref="AE1232">_xlfn.IFS(AD1232=1,"Low",AD1232=2,"Good",AD1232=3,"Excellent",AD1232=4,"Outstanding")</f>
        <v>Excellent</v>
      </c>
      <c r="AF1232">
        <v>2</v>
      </c>
      <c r="AG1232" t="str" cm="1">
        <f t="array" ref="AG1232">_xlfn.IFS(AF1232=1,"Low",AF1232=2,"Medium",AF1232=3,"High",AF1232=4,"Very High")</f>
        <v>Medium</v>
      </c>
      <c r="AH1232">
        <v>3</v>
      </c>
      <c r="AI1232">
        <v>6</v>
      </c>
      <c r="AJ1232">
        <v>2</v>
      </c>
      <c r="AK1232">
        <v>4</v>
      </c>
      <c r="AL1232" t="str" cm="1">
        <f t="array" ref="AL1232">_xlfn.IFS(AK1232=1,"Low",AK1232=2,"Medium",AK1232=3,"High",AK1232=4,"Very High")</f>
        <v>Very High</v>
      </c>
      <c r="AM1232">
        <v>6</v>
      </c>
      <c r="AN1232">
        <v>2</v>
      </c>
      <c r="AO1232">
        <v>1</v>
      </c>
      <c r="AP1232">
        <v>2</v>
      </c>
    </row>
    <row r="1233" spans="1:42">
      <c r="A1233">
        <v>46</v>
      </c>
      <c r="B1233" t="str" cm="1">
        <f t="array" ref="B1233">_xlfn.IFS(A1233&lt;=25,"18-25",A1233&lt;=35,"26-35",A1233&lt;=45,"36-45",A1233&lt;=55,"46-55",A1233&gt;55,"56+")</f>
        <v>46-55</v>
      </c>
      <c r="C1233" t="s">
        <v>39</v>
      </c>
      <c r="D1233" t="s">
        <v>33</v>
      </c>
      <c r="E1233" s="2">
        <v>717</v>
      </c>
      <c r="F1233" t="s">
        <v>41</v>
      </c>
      <c r="G1233">
        <v>13</v>
      </c>
      <c r="H1233" t="str">
        <f t="shared" si="19"/>
        <v>11-20 km</v>
      </c>
      <c r="I1233">
        <v>4</v>
      </c>
      <c r="J1233" t="str" cm="1">
        <f t="array" ref="J1233">_xlfn.IFS(I1233=1,"Below College",I1233=2,"College",I1233=3,"Bachelor",I1233=4,"Master",I1233=5,"Doctor")</f>
        <v>Master</v>
      </c>
      <c r="K1233" t="s">
        <v>35</v>
      </c>
      <c r="L1233">
        <v>1727</v>
      </c>
      <c r="M1233">
        <v>3</v>
      </c>
      <c r="N1233" t="str" cm="1">
        <f t="array" ref="N1233">_xlfn.IFS(M1233=1,"Low",M1233=2,"Medium",M1233=3,"High",M1233=4,"Very High")</f>
        <v>High</v>
      </c>
      <c r="O1233" t="s">
        <v>42</v>
      </c>
      <c r="P1233" s="2">
        <v>34</v>
      </c>
      <c r="Q1233">
        <v>3</v>
      </c>
      <c r="R1233" t="str" cm="1">
        <f t="array" ref="R1233">_xlfn.IFS(Q1233=1,"Low",Q1233=2,"Medium",Q1233=3,"High",Q1233=4,"Very High")</f>
        <v>High</v>
      </c>
      <c r="S1233">
        <v>2</v>
      </c>
      <c r="T1233" t="str" cm="1">
        <f t="array" ref="T1233">_xlfn.IFS(S1233=1,"Entry Level",S1233=2,"Junior",S1233=3,"Mid-Level",S1233=4,"Senior",S1233=5,"Executive")</f>
        <v>Junior</v>
      </c>
      <c r="U1233" t="s">
        <v>50</v>
      </c>
      <c r="V1233">
        <v>2</v>
      </c>
      <c r="W1233" t="str" cm="1">
        <f t="array" ref="W1233">_xlfn.IFS(V1233=1,"Low",V1233=2,"Medium",V1233=3,"High",V1233=4,"Very High")</f>
        <v>Medium</v>
      </c>
      <c r="X1233" t="s">
        <v>38</v>
      </c>
      <c r="Y1233" s="2">
        <v>5562</v>
      </c>
      <c r="Z1233" s="2">
        <v>9697</v>
      </c>
      <c r="AA1233">
        <v>6</v>
      </c>
      <c r="AB1233" t="s">
        <v>39</v>
      </c>
      <c r="AC1233">
        <v>14</v>
      </c>
      <c r="AD1233">
        <v>3</v>
      </c>
      <c r="AE1233" t="str" cm="1">
        <f t="array" ref="AE1233">_xlfn.IFS(AD1233=1,"Low",AD1233=2,"Good",AD1233=3,"Excellent",AD1233=4,"Outstanding")</f>
        <v>Excellent</v>
      </c>
      <c r="AF1233">
        <v>4</v>
      </c>
      <c r="AG1233" t="str" cm="1">
        <f t="array" ref="AG1233">_xlfn.IFS(AF1233=1,"Low",AF1233=2,"Medium",AF1233=3,"High",AF1233=4,"Very High")</f>
        <v>Very High</v>
      </c>
      <c r="AH1233">
        <v>0</v>
      </c>
      <c r="AI1233">
        <v>19</v>
      </c>
      <c r="AJ1233">
        <v>3</v>
      </c>
      <c r="AK1233">
        <v>3</v>
      </c>
      <c r="AL1233" t="str" cm="1">
        <f t="array" ref="AL1233">_xlfn.IFS(AK1233=1,"Low",AK1233=2,"Medium",AK1233=3,"High",AK1233=4,"Very High")</f>
        <v>High</v>
      </c>
      <c r="AM1233">
        <v>10</v>
      </c>
      <c r="AN1233">
        <v>7</v>
      </c>
      <c r="AO1233">
        <v>0</v>
      </c>
      <c r="AP1233">
        <v>9</v>
      </c>
    </row>
    <row r="1234" spans="1:42">
      <c r="A1234">
        <v>35</v>
      </c>
      <c r="B1234" t="str" cm="1">
        <f t="array" ref="B1234">_xlfn.IFS(A1234&lt;=25,"18-25",A1234&lt;=35,"26-35",A1234&lt;=45,"36-45",A1234&lt;=55,"46-55",A1234&gt;55,"56+")</f>
        <v>26-35</v>
      </c>
      <c r="C1234" t="s">
        <v>39</v>
      </c>
      <c r="D1234" t="s">
        <v>33</v>
      </c>
      <c r="E1234" s="2">
        <v>1370</v>
      </c>
      <c r="F1234" t="s">
        <v>41</v>
      </c>
      <c r="G1234">
        <v>27</v>
      </c>
      <c r="H1234" t="str">
        <f t="shared" si="19"/>
        <v>21-30 km</v>
      </c>
      <c r="I1234">
        <v>4</v>
      </c>
      <c r="J1234" t="str" cm="1">
        <f t="array" ref="J1234">_xlfn.IFS(I1234=1,"Below College",I1234=2,"College",I1234=3,"Bachelor",I1234=4,"Master",I1234=5,"Doctor")</f>
        <v>Master</v>
      </c>
      <c r="K1234" t="s">
        <v>35</v>
      </c>
      <c r="L1234">
        <v>1728</v>
      </c>
      <c r="M1234">
        <v>4</v>
      </c>
      <c r="N1234" t="str" cm="1">
        <f t="array" ref="N1234">_xlfn.IFS(M1234=1,"Low",M1234=2,"Medium",M1234=3,"High",M1234=4,"Very High")</f>
        <v>Very High</v>
      </c>
      <c r="O1234" t="s">
        <v>42</v>
      </c>
      <c r="P1234" s="2">
        <v>49</v>
      </c>
      <c r="Q1234">
        <v>3</v>
      </c>
      <c r="R1234" t="str" cm="1">
        <f t="array" ref="R1234">_xlfn.IFS(Q1234=1,"Low",Q1234=2,"Medium",Q1234=3,"High",Q1234=4,"Very High")</f>
        <v>High</v>
      </c>
      <c r="S1234">
        <v>2</v>
      </c>
      <c r="T1234" t="str" cm="1">
        <f t="array" ref="T1234">_xlfn.IFS(S1234=1,"Entry Level",S1234=2,"Junior",S1234=3,"Mid-Level",S1234=4,"Senior",S1234=5,"Executive")</f>
        <v>Junior</v>
      </c>
      <c r="U1234" t="s">
        <v>49</v>
      </c>
      <c r="V1234">
        <v>3</v>
      </c>
      <c r="W1234" t="str" cm="1">
        <f t="array" ref="W1234">_xlfn.IFS(V1234=1,"Low",V1234=2,"Medium",V1234=3,"High",V1234=4,"Very High")</f>
        <v>High</v>
      </c>
      <c r="X1234" t="s">
        <v>44</v>
      </c>
      <c r="Y1234" s="2">
        <v>6883</v>
      </c>
      <c r="Z1234" s="2">
        <v>5151</v>
      </c>
      <c r="AA1234">
        <v>2</v>
      </c>
      <c r="AB1234" t="s">
        <v>39</v>
      </c>
      <c r="AC1234">
        <v>16</v>
      </c>
      <c r="AD1234">
        <v>3</v>
      </c>
      <c r="AE1234" t="str" cm="1">
        <f t="array" ref="AE1234">_xlfn.IFS(AD1234=1,"Low",AD1234=2,"Good",AD1234=3,"Excellent",AD1234=4,"Outstanding")</f>
        <v>Excellent</v>
      </c>
      <c r="AF1234">
        <v>2</v>
      </c>
      <c r="AG1234" t="str" cm="1">
        <f t="array" ref="AG1234">_xlfn.IFS(AF1234=1,"Low",AF1234=2,"Medium",AF1234=3,"High",AF1234=4,"Very High")</f>
        <v>Medium</v>
      </c>
      <c r="AH1234">
        <v>1</v>
      </c>
      <c r="AI1234">
        <v>17</v>
      </c>
      <c r="AJ1234">
        <v>3</v>
      </c>
      <c r="AK1234">
        <v>3</v>
      </c>
      <c r="AL1234" t="str" cm="1">
        <f t="array" ref="AL1234">_xlfn.IFS(AK1234=1,"Low",AK1234=2,"Medium",AK1234=3,"High",AK1234=4,"Very High")</f>
        <v>High</v>
      </c>
      <c r="AM1234">
        <v>7</v>
      </c>
      <c r="AN1234">
        <v>7</v>
      </c>
      <c r="AO1234">
        <v>0</v>
      </c>
      <c r="AP1234">
        <v>7</v>
      </c>
    </row>
    <row r="1235" spans="1:42">
      <c r="A1235">
        <v>30</v>
      </c>
      <c r="B1235" t="str" cm="1">
        <f t="array" ref="B1235">_xlfn.IFS(A1235&lt;=25,"18-25",A1235&lt;=35,"26-35",A1235&lt;=45,"36-45",A1235&lt;=55,"46-55",A1235&gt;55,"56+")</f>
        <v>26-35</v>
      </c>
      <c r="C1235" t="s">
        <v>39</v>
      </c>
      <c r="D1235" t="s">
        <v>33</v>
      </c>
      <c r="E1235" s="2">
        <v>793</v>
      </c>
      <c r="F1235" t="s">
        <v>41</v>
      </c>
      <c r="G1235">
        <v>16</v>
      </c>
      <c r="H1235" t="str">
        <f t="shared" si="19"/>
        <v>11-20 km</v>
      </c>
      <c r="I1235">
        <v>1</v>
      </c>
      <c r="J1235" t="str" cm="1">
        <f t="array" ref="J1235">_xlfn.IFS(I1235=1,"Below College",I1235=2,"College",I1235=3,"Bachelor",I1235=4,"Master",I1235=5,"Doctor")</f>
        <v>Below College</v>
      </c>
      <c r="K1235" t="s">
        <v>35</v>
      </c>
      <c r="L1235">
        <v>1729</v>
      </c>
      <c r="M1235">
        <v>2</v>
      </c>
      <c r="N1235" t="str" cm="1">
        <f t="array" ref="N1235">_xlfn.IFS(M1235=1,"Low",M1235=2,"Medium",M1235=3,"High",M1235=4,"Very High")</f>
        <v>Medium</v>
      </c>
      <c r="O1235" t="s">
        <v>42</v>
      </c>
      <c r="P1235" s="2">
        <v>33</v>
      </c>
      <c r="Q1235">
        <v>3</v>
      </c>
      <c r="R1235" t="str" cm="1">
        <f t="array" ref="R1235">_xlfn.IFS(Q1235=1,"Low",Q1235=2,"Medium",Q1235=3,"High",Q1235=4,"Very High")</f>
        <v>High</v>
      </c>
      <c r="S1235">
        <v>1</v>
      </c>
      <c r="T1235" t="str" cm="1">
        <f t="array" ref="T1235">_xlfn.IFS(S1235=1,"Entry Level",S1235=2,"Junior",S1235=3,"Mid-Level",S1235=4,"Senior",S1235=5,"Executive")</f>
        <v>Entry Level</v>
      </c>
      <c r="U1235" t="s">
        <v>43</v>
      </c>
      <c r="V1235">
        <v>4</v>
      </c>
      <c r="W1235" t="str" cm="1">
        <f t="array" ref="W1235">_xlfn.IFS(V1235=1,"Low",V1235=2,"Medium",V1235=3,"High",V1235=4,"Very High")</f>
        <v>Very High</v>
      </c>
      <c r="X1235" t="s">
        <v>44</v>
      </c>
      <c r="Y1235" s="2">
        <v>2862</v>
      </c>
      <c r="Z1235" s="2">
        <v>3811</v>
      </c>
      <c r="AA1235">
        <v>1</v>
      </c>
      <c r="AB1235" t="s">
        <v>39</v>
      </c>
      <c r="AC1235">
        <v>12</v>
      </c>
      <c r="AD1235">
        <v>3</v>
      </c>
      <c r="AE1235" t="str" cm="1">
        <f t="array" ref="AE1235">_xlfn.IFS(AD1235=1,"Low",AD1235=2,"Good",AD1235=3,"Excellent",AD1235=4,"Outstanding")</f>
        <v>Excellent</v>
      </c>
      <c r="AF1235">
        <v>2</v>
      </c>
      <c r="AG1235" t="str" cm="1">
        <f t="array" ref="AG1235">_xlfn.IFS(AF1235=1,"Low",AF1235=2,"Medium",AF1235=3,"High",AF1235=4,"Very High")</f>
        <v>Medium</v>
      </c>
      <c r="AH1235">
        <v>1</v>
      </c>
      <c r="AI1235">
        <v>10</v>
      </c>
      <c r="AJ1235">
        <v>2</v>
      </c>
      <c r="AK1235">
        <v>2</v>
      </c>
      <c r="AL1235" t="str" cm="1">
        <f t="array" ref="AL1235">_xlfn.IFS(AK1235=1,"Low",AK1235=2,"Medium",AK1235=3,"High",AK1235=4,"Very High")</f>
        <v>Medium</v>
      </c>
      <c r="AM1235">
        <v>10</v>
      </c>
      <c r="AN1235">
        <v>0</v>
      </c>
      <c r="AO1235">
        <v>0</v>
      </c>
      <c r="AP1235">
        <v>8</v>
      </c>
    </row>
    <row r="1236" spans="1:42">
      <c r="A1236">
        <v>47</v>
      </c>
      <c r="B1236" t="str" cm="1">
        <f t="array" ref="B1236">_xlfn.IFS(A1236&lt;=25,"18-25",A1236&lt;=35,"26-35",A1236&lt;=45,"36-45",A1236&lt;=55,"46-55",A1236&gt;55,"56+")</f>
        <v>46-55</v>
      </c>
      <c r="C1236" t="s">
        <v>39</v>
      </c>
      <c r="D1236" t="s">
        <v>51</v>
      </c>
      <c r="E1236" s="2">
        <v>543</v>
      </c>
      <c r="F1236" t="s">
        <v>34</v>
      </c>
      <c r="G1236">
        <v>2</v>
      </c>
      <c r="H1236" t="str">
        <f t="shared" si="19"/>
        <v>1-10 km</v>
      </c>
      <c r="I1236">
        <v>4</v>
      </c>
      <c r="J1236" t="str" cm="1">
        <f t="array" ref="J1236">_xlfn.IFS(I1236=1,"Below College",I1236=2,"College",I1236=3,"Bachelor",I1236=4,"Master",I1236=5,"Doctor")</f>
        <v>Master</v>
      </c>
      <c r="K1236" t="s">
        <v>55</v>
      </c>
      <c r="L1236">
        <v>1731</v>
      </c>
      <c r="M1236">
        <v>3</v>
      </c>
      <c r="N1236" t="str" cm="1">
        <f t="array" ref="N1236">_xlfn.IFS(M1236=1,"Low",M1236=2,"Medium",M1236=3,"High",M1236=4,"Very High")</f>
        <v>High</v>
      </c>
      <c r="O1236" t="s">
        <v>42</v>
      </c>
      <c r="P1236" s="2">
        <v>87</v>
      </c>
      <c r="Q1236">
        <v>3</v>
      </c>
      <c r="R1236" t="str" cm="1">
        <f t="array" ref="R1236">_xlfn.IFS(Q1236=1,"Low",Q1236=2,"Medium",Q1236=3,"High",Q1236=4,"Very High")</f>
        <v>High</v>
      </c>
      <c r="S1236">
        <v>2</v>
      </c>
      <c r="T1236" t="str" cm="1">
        <f t="array" ref="T1236">_xlfn.IFS(S1236=1,"Entry Level",S1236=2,"Junior",S1236=3,"Mid-Level",S1236=4,"Senior",S1236=5,"Executive")</f>
        <v>Junior</v>
      </c>
      <c r="U1236" t="s">
        <v>37</v>
      </c>
      <c r="V1236">
        <v>2</v>
      </c>
      <c r="W1236" t="str" cm="1">
        <f t="array" ref="W1236">_xlfn.IFS(V1236=1,"Low",V1236=2,"Medium",V1236=3,"High",V1236=4,"Very High")</f>
        <v>Medium</v>
      </c>
      <c r="X1236" t="s">
        <v>44</v>
      </c>
      <c r="Y1236" s="2">
        <v>4978</v>
      </c>
      <c r="Z1236" s="2">
        <v>3536</v>
      </c>
      <c r="AA1236">
        <v>7</v>
      </c>
      <c r="AB1236" t="s">
        <v>39</v>
      </c>
      <c r="AC1236">
        <v>11</v>
      </c>
      <c r="AD1236">
        <v>3</v>
      </c>
      <c r="AE1236" t="str" cm="1">
        <f t="array" ref="AE1236">_xlfn.IFS(AD1236=1,"Low",AD1236=2,"Good",AD1236=3,"Excellent",AD1236=4,"Outstanding")</f>
        <v>Excellent</v>
      </c>
      <c r="AF1236">
        <v>4</v>
      </c>
      <c r="AG1236" t="str" cm="1">
        <f t="array" ref="AG1236">_xlfn.IFS(AF1236=1,"Low",AF1236=2,"Medium",AF1236=3,"High",AF1236=4,"Very High")</f>
        <v>Very High</v>
      </c>
      <c r="AH1236">
        <v>1</v>
      </c>
      <c r="AI1236">
        <v>4</v>
      </c>
      <c r="AJ1236">
        <v>3</v>
      </c>
      <c r="AK1236">
        <v>1</v>
      </c>
      <c r="AL1236" t="str" cm="1">
        <f t="array" ref="AL1236">_xlfn.IFS(AK1236=1,"Low",AK1236=2,"Medium",AK1236=3,"High",AK1236=4,"Very High")</f>
        <v>Low</v>
      </c>
      <c r="AM1236">
        <v>1</v>
      </c>
      <c r="AN1236">
        <v>0</v>
      </c>
      <c r="AO1236">
        <v>0</v>
      </c>
      <c r="AP1236">
        <v>0</v>
      </c>
    </row>
    <row r="1237" spans="1:42">
      <c r="A1237">
        <v>46</v>
      </c>
      <c r="B1237" t="str" cm="1">
        <f t="array" ref="B1237">_xlfn.IFS(A1237&lt;=25,"18-25",A1237&lt;=35,"26-35",A1237&lt;=45,"36-45",A1237&lt;=55,"46-55",A1237&gt;55,"56+")</f>
        <v>46-55</v>
      </c>
      <c r="C1237" t="s">
        <v>39</v>
      </c>
      <c r="D1237" t="s">
        <v>33</v>
      </c>
      <c r="E1237" s="2">
        <v>1277</v>
      </c>
      <c r="F1237" t="s">
        <v>34</v>
      </c>
      <c r="G1237">
        <v>2</v>
      </c>
      <c r="H1237" t="str">
        <f t="shared" si="19"/>
        <v>1-10 km</v>
      </c>
      <c r="I1237">
        <v>3</v>
      </c>
      <c r="J1237" t="str" cm="1">
        <f t="array" ref="J1237">_xlfn.IFS(I1237=1,"Below College",I1237=2,"College",I1237=3,"Bachelor",I1237=4,"Master",I1237=5,"Doctor")</f>
        <v>Bachelor</v>
      </c>
      <c r="K1237" t="s">
        <v>35</v>
      </c>
      <c r="L1237">
        <v>1732</v>
      </c>
      <c r="M1237">
        <v>3</v>
      </c>
      <c r="N1237" t="str" cm="1">
        <f t="array" ref="N1237">_xlfn.IFS(M1237=1,"Low",M1237=2,"Medium",M1237=3,"High",M1237=4,"Very High")</f>
        <v>High</v>
      </c>
      <c r="O1237" t="s">
        <v>42</v>
      </c>
      <c r="P1237" s="2">
        <v>74</v>
      </c>
      <c r="Q1237">
        <v>3</v>
      </c>
      <c r="R1237" t="str" cm="1">
        <f t="array" ref="R1237">_xlfn.IFS(Q1237=1,"Low",Q1237=2,"Medium",Q1237=3,"High",Q1237=4,"Very High")</f>
        <v>High</v>
      </c>
      <c r="S1237">
        <v>3</v>
      </c>
      <c r="T1237" t="str" cm="1">
        <f t="array" ref="T1237">_xlfn.IFS(S1237=1,"Entry Level",S1237=2,"Junior",S1237=3,"Mid-Level",S1237=4,"Senior",S1237=5,"Executive")</f>
        <v>Mid-Level</v>
      </c>
      <c r="U1237" t="s">
        <v>37</v>
      </c>
      <c r="V1237">
        <v>4</v>
      </c>
      <c r="W1237" t="str" cm="1">
        <f t="array" ref="W1237">_xlfn.IFS(V1237=1,"Low",V1237=2,"Medium",V1237=3,"High",V1237=4,"Very High")</f>
        <v>Very High</v>
      </c>
      <c r="X1237" t="s">
        <v>48</v>
      </c>
      <c r="Y1237" s="2">
        <v>10368</v>
      </c>
      <c r="Z1237" s="2">
        <v>5596</v>
      </c>
      <c r="AA1237">
        <v>4</v>
      </c>
      <c r="AB1237" t="s">
        <v>32</v>
      </c>
      <c r="AC1237">
        <v>12</v>
      </c>
      <c r="AD1237">
        <v>3</v>
      </c>
      <c r="AE1237" t="str" cm="1">
        <f t="array" ref="AE1237">_xlfn.IFS(AD1237=1,"Low",AD1237=2,"Good",AD1237=3,"Excellent",AD1237=4,"Outstanding")</f>
        <v>Excellent</v>
      </c>
      <c r="AF1237">
        <v>2</v>
      </c>
      <c r="AG1237" t="str" cm="1">
        <f t="array" ref="AG1237">_xlfn.IFS(AF1237=1,"Low",AF1237=2,"Medium",AF1237=3,"High",AF1237=4,"Very High")</f>
        <v>Medium</v>
      </c>
      <c r="AH1237">
        <v>1</v>
      </c>
      <c r="AI1237">
        <v>13</v>
      </c>
      <c r="AJ1237">
        <v>5</v>
      </c>
      <c r="AK1237">
        <v>2</v>
      </c>
      <c r="AL1237" t="str" cm="1">
        <f t="array" ref="AL1237">_xlfn.IFS(AK1237=1,"Low",AK1237=2,"Medium",AK1237=3,"High",AK1237=4,"Very High")</f>
        <v>Medium</v>
      </c>
      <c r="AM1237">
        <v>10</v>
      </c>
      <c r="AN1237">
        <v>6</v>
      </c>
      <c r="AO1237">
        <v>0</v>
      </c>
      <c r="AP1237">
        <v>3</v>
      </c>
    </row>
    <row r="1238" spans="1:42">
      <c r="A1238">
        <v>36</v>
      </c>
      <c r="B1238" t="str" cm="1">
        <f t="array" ref="B1238">_xlfn.IFS(A1238&lt;=25,"18-25",A1238&lt;=35,"26-35",A1238&lt;=45,"36-45",A1238&lt;=55,"46-55",A1238&gt;55,"56+")</f>
        <v>36-45</v>
      </c>
      <c r="C1238" t="s">
        <v>32</v>
      </c>
      <c r="D1238" t="s">
        <v>33</v>
      </c>
      <c r="E1238" s="2">
        <v>1456</v>
      </c>
      <c r="F1238" t="s">
        <v>34</v>
      </c>
      <c r="G1238">
        <v>13</v>
      </c>
      <c r="H1238" t="str">
        <f t="shared" si="19"/>
        <v>11-20 km</v>
      </c>
      <c r="I1238">
        <v>5</v>
      </c>
      <c r="J1238" t="str" cm="1">
        <f t="array" ref="J1238">_xlfn.IFS(I1238=1,"Below College",I1238=2,"College",I1238=3,"Bachelor",I1238=4,"Master",I1238=5,"Doctor")</f>
        <v>Doctor</v>
      </c>
      <c r="K1238" t="s">
        <v>55</v>
      </c>
      <c r="L1238">
        <v>1733</v>
      </c>
      <c r="M1238">
        <v>2</v>
      </c>
      <c r="N1238" t="str" cm="1">
        <f t="array" ref="N1238">_xlfn.IFS(M1238=1,"Low",M1238=2,"Medium",M1238=3,"High",M1238=4,"Very High")</f>
        <v>Medium</v>
      </c>
      <c r="O1238" t="s">
        <v>42</v>
      </c>
      <c r="P1238" s="2">
        <v>96</v>
      </c>
      <c r="Q1238">
        <v>2</v>
      </c>
      <c r="R1238" t="str" cm="1">
        <f t="array" ref="R1238">_xlfn.IFS(Q1238=1,"Low",Q1238=2,"Medium",Q1238=3,"High",Q1238=4,"Very High")</f>
        <v>Medium</v>
      </c>
      <c r="S1238">
        <v>2</v>
      </c>
      <c r="T1238" t="str" cm="1">
        <f t="array" ref="T1238">_xlfn.IFS(S1238=1,"Entry Level",S1238=2,"Junior",S1238=3,"Mid-Level",S1238=4,"Senior",S1238=5,"Executive")</f>
        <v>Junior</v>
      </c>
      <c r="U1238" t="s">
        <v>37</v>
      </c>
      <c r="V1238">
        <v>1</v>
      </c>
      <c r="W1238" t="str" cm="1">
        <f t="array" ref="W1238">_xlfn.IFS(V1238=1,"Low",V1238=2,"Medium",V1238=3,"High",V1238=4,"Very High")</f>
        <v>Low</v>
      </c>
      <c r="X1238" t="s">
        <v>48</v>
      </c>
      <c r="Y1238" s="2">
        <v>6134</v>
      </c>
      <c r="Z1238" s="2">
        <v>8658</v>
      </c>
      <c r="AA1238">
        <v>5</v>
      </c>
      <c r="AB1238" t="s">
        <v>32</v>
      </c>
      <c r="AC1238">
        <v>13</v>
      </c>
      <c r="AD1238">
        <v>3</v>
      </c>
      <c r="AE1238" t="str" cm="1">
        <f t="array" ref="AE1238">_xlfn.IFS(AD1238=1,"Low",AD1238=2,"Good",AD1238=3,"Excellent",AD1238=4,"Outstanding")</f>
        <v>Excellent</v>
      </c>
      <c r="AF1238">
        <v>2</v>
      </c>
      <c r="AG1238" t="str" cm="1">
        <f t="array" ref="AG1238">_xlfn.IFS(AF1238=1,"Low",AF1238=2,"Medium",AF1238=3,"High",AF1238=4,"Very High")</f>
        <v>Medium</v>
      </c>
      <c r="AH1238">
        <v>3</v>
      </c>
      <c r="AI1238">
        <v>16</v>
      </c>
      <c r="AJ1238">
        <v>3</v>
      </c>
      <c r="AK1238">
        <v>3</v>
      </c>
      <c r="AL1238" t="str" cm="1">
        <f t="array" ref="AL1238">_xlfn.IFS(AK1238=1,"Low",AK1238=2,"Medium",AK1238=3,"High",AK1238=4,"Very High")</f>
        <v>High</v>
      </c>
      <c r="AM1238">
        <v>2</v>
      </c>
      <c r="AN1238">
        <v>2</v>
      </c>
      <c r="AO1238">
        <v>2</v>
      </c>
      <c r="AP1238">
        <v>2</v>
      </c>
    </row>
    <row r="1239" spans="1:42">
      <c r="A1239">
        <v>32</v>
      </c>
      <c r="B1239" t="str" cm="1">
        <f t="array" ref="B1239">_xlfn.IFS(A1239&lt;=25,"18-25",A1239&lt;=35,"26-35",A1239&lt;=45,"36-45",A1239&lt;=55,"46-55",A1239&gt;55,"56+")</f>
        <v>26-35</v>
      </c>
      <c r="C1239" t="s">
        <v>32</v>
      </c>
      <c r="D1239" t="s">
        <v>33</v>
      </c>
      <c r="E1239" s="2">
        <v>964</v>
      </c>
      <c r="F1239" t="s">
        <v>34</v>
      </c>
      <c r="G1239">
        <v>1</v>
      </c>
      <c r="H1239" t="str">
        <f t="shared" si="19"/>
        <v>1-10 km</v>
      </c>
      <c r="I1239">
        <v>2</v>
      </c>
      <c r="J1239" t="str" cm="1">
        <f t="array" ref="J1239">_xlfn.IFS(I1239=1,"Below College",I1239=2,"College",I1239=3,"Bachelor",I1239=4,"Master",I1239=5,"Doctor")</f>
        <v>College</v>
      </c>
      <c r="K1239" t="s">
        <v>35</v>
      </c>
      <c r="L1239">
        <v>1734</v>
      </c>
      <c r="M1239">
        <v>1</v>
      </c>
      <c r="N1239" t="str" cm="1">
        <f t="array" ref="N1239">_xlfn.IFS(M1239=1,"Low",M1239=2,"Medium",M1239=3,"High",M1239=4,"Very High")</f>
        <v>Low</v>
      </c>
      <c r="O1239" t="s">
        <v>42</v>
      </c>
      <c r="P1239" s="2">
        <v>34</v>
      </c>
      <c r="Q1239">
        <v>1</v>
      </c>
      <c r="R1239" t="str" cm="1">
        <f t="array" ref="R1239">_xlfn.IFS(Q1239=1,"Low",Q1239=2,"Medium",Q1239=3,"High",Q1239=4,"Very High")</f>
        <v>Low</v>
      </c>
      <c r="S1239">
        <v>2</v>
      </c>
      <c r="T1239" t="str" cm="1">
        <f t="array" ref="T1239">_xlfn.IFS(S1239=1,"Entry Level",S1239=2,"Junior",S1239=3,"Mid-Level",S1239=4,"Senior",S1239=5,"Executive")</f>
        <v>Junior</v>
      </c>
      <c r="U1239" t="s">
        <v>37</v>
      </c>
      <c r="V1239">
        <v>2</v>
      </c>
      <c r="W1239" t="str" cm="1">
        <f t="array" ref="W1239">_xlfn.IFS(V1239=1,"Low",V1239=2,"Medium",V1239=3,"High",V1239=4,"Very High")</f>
        <v>Medium</v>
      </c>
      <c r="X1239" t="s">
        <v>38</v>
      </c>
      <c r="Y1239" s="2">
        <v>6735</v>
      </c>
      <c r="Z1239" s="2">
        <v>12147</v>
      </c>
      <c r="AA1239">
        <v>6</v>
      </c>
      <c r="AB1239" t="s">
        <v>39</v>
      </c>
      <c r="AC1239">
        <v>15</v>
      </c>
      <c r="AD1239">
        <v>3</v>
      </c>
      <c r="AE1239" t="str" cm="1">
        <f t="array" ref="AE1239">_xlfn.IFS(AD1239=1,"Low",AD1239=2,"Good",AD1239=3,"Excellent",AD1239=4,"Outstanding")</f>
        <v>Excellent</v>
      </c>
      <c r="AF1239">
        <v>2</v>
      </c>
      <c r="AG1239" t="str" cm="1">
        <f t="array" ref="AG1239">_xlfn.IFS(AF1239=1,"Low",AF1239=2,"Medium",AF1239=3,"High",AF1239=4,"Very High")</f>
        <v>Medium</v>
      </c>
      <c r="AH1239">
        <v>0</v>
      </c>
      <c r="AI1239">
        <v>10</v>
      </c>
      <c r="AJ1239">
        <v>2</v>
      </c>
      <c r="AK1239">
        <v>3</v>
      </c>
      <c r="AL1239" t="str" cm="1">
        <f t="array" ref="AL1239">_xlfn.IFS(AK1239=1,"Low",AK1239=2,"Medium",AK1239=3,"High",AK1239=4,"Very High")</f>
        <v>High</v>
      </c>
      <c r="AM1239">
        <v>0</v>
      </c>
      <c r="AN1239">
        <v>0</v>
      </c>
      <c r="AO1239">
        <v>0</v>
      </c>
      <c r="AP1239">
        <v>0</v>
      </c>
    </row>
    <row r="1240" spans="1:42">
      <c r="A1240">
        <v>23</v>
      </c>
      <c r="B1240" t="str" cm="1">
        <f t="array" ref="B1240">_xlfn.IFS(A1240&lt;=25,"18-25",A1240&lt;=35,"26-35",A1240&lt;=45,"36-45",A1240&lt;=55,"46-55",A1240&gt;55,"56+")</f>
        <v>18-25</v>
      </c>
      <c r="C1240" t="s">
        <v>39</v>
      </c>
      <c r="D1240" t="s">
        <v>33</v>
      </c>
      <c r="E1240" s="2">
        <v>160</v>
      </c>
      <c r="F1240" t="s">
        <v>41</v>
      </c>
      <c r="G1240">
        <v>4</v>
      </c>
      <c r="H1240" t="str">
        <f t="shared" si="19"/>
        <v>1-10 km</v>
      </c>
      <c r="I1240">
        <v>1</v>
      </c>
      <c r="J1240" t="str" cm="1">
        <f t="array" ref="J1240">_xlfn.IFS(I1240=1,"Below College",I1240=2,"College",I1240=3,"Bachelor",I1240=4,"Master",I1240=5,"Doctor")</f>
        <v>Below College</v>
      </c>
      <c r="K1240" t="s">
        <v>47</v>
      </c>
      <c r="L1240">
        <v>1735</v>
      </c>
      <c r="M1240">
        <v>3</v>
      </c>
      <c r="N1240" t="str" cm="1">
        <f t="array" ref="N1240">_xlfn.IFS(M1240=1,"Low",M1240=2,"Medium",M1240=3,"High",M1240=4,"Very High")</f>
        <v>High</v>
      </c>
      <c r="O1240" t="s">
        <v>36</v>
      </c>
      <c r="P1240" s="2">
        <v>51</v>
      </c>
      <c r="Q1240">
        <v>3</v>
      </c>
      <c r="R1240" t="str" cm="1">
        <f t="array" ref="R1240">_xlfn.IFS(Q1240=1,"Low",Q1240=2,"Medium",Q1240=3,"High",Q1240=4,"Very High")</f>
        <v>High</v>
      </c>
      <c r="S1240">
        <v>1</v>
      </c>
      <c r="T1240" t="str" cm="1">
        <f t="array" ref="T1240">_xlfn.IFS(S1240=1,"Entry Level",S1240=2,"Junior",S1240=3,"Mid-Level",S1240=4,"Senior",S1240=5,"Executive")</f>
        <v>Entry Level</v>
      </c>
      <c r="U1240" t="s">
        <v>46</v>
      </c>
      <c r="V1240">
        <v>2</v>
      </c>
      <c r="W1240" t="str" cm="1">
        <f t="array" ref="W1240">_xlfn.IFS(V1240=1,"Low",V1240=2,"Medium",V1240=3,"High",V1240=4,"Very High")</f>
        <v>Medium</v>
      </c>
      <c r="X1240" t="s">
        <v>38</v>
      </c>
      <c r="Y1240" s="2">
        <v>3295</v>
      </c>
      <c r="Z1240" s="2">
        <v>12862</v>
      </c>
      <c r="AA1240">
        <v>1</v>
      </c>
      <c r="AB1240" t="s">
        <v>39</v>
      </c>
      <c r="AC1240">
        <v>13</v>
      </c>
      <c r="AD1240">
        <v>3</v>
      </c>
      <c r="AE1240" t="str" cm="1">
        <f t="array" ref="AE1240">_xlfn.IFS(AD1240=1,"Low",AD1240=2,"Good",AD1240=3,"Excellent",AD1240=4,"Outstanding")</f>
        <v>Excellent</v>
      </c>
      <c r="AF1240">
        <v>3</v>
      </c>
      <c r="AG1240" t="str" cm="1">
        <f t="array" ref="AG1240">_xlfn.IFS(AF1240=1,"Low",AF1240=2,"Medium",AF1240=3,"High",AF1240=4,"Very High")</f>
        <v>High</v>
      </c>
      <c r="AH1240">
        <v>0</v>
      </c>
      <c r="AI1240">
        <v>3</v>
      </c>
      <c r="AJ1240">
        <v>3</v>
      </c>
      <c r="AK1240">
        <v>1</v>
      </c>
      <c r="AL1240" t="str" cm="1">
        <f t="array" ref="AL1240">_xlfn.IFS(AK1240=1,"Low",AK1240=2,"Medium",AK1240=3,"High",AK1240=4,"Very High")</f>
        <v>Low</v>
      </c>
      <c r="AM1240">
        <v>3</v>
      </c>
      <c r="AN1240">
        <v>2</v>
      </c>
      <c r="AO1240">
        <v>1</v>
      </c>
      <c r="AP1240">
        <v>2</v>
      </c>
    </row>
    <row r="1241" spans="1:42">
      <c r="A1241">
        <v>31</v>
      </c>
      <c r="B1241" t="str" cm="1">
        <f t="array" ref="B1241">_xlfn.IFS(A1241&lt;=25,"18-25",A1241&lt;=35,"26-35",A1241&lt;=45,"36-45",A1241&lt;=55,"46-55",A1241&gt;55,"56+")</f>
        <v>26-35</v>
      </c>
      <c r="C1241" t="s">
        <v>39</v>
      </c>
      <c r="D1241" t="s">
        <v>40</v>
      </c>
      <c r="E1241" s="2">
        <v>163</v>
      </c>
      <c r="F1241" t="s">
        <v>41</v>
      </c>
      <c r="G1241">
        <v>24</v>
      </c>
      <c r="H1241" t="str">
        <f t="shared" si="19"/>
        <v>21-30 km</v>
      </c>
      <c r="I1241">
        <v>1</v>
      </c>
      <c r="J1241" t="str" cm="1">
        <f t="array" ref="J1241">_xlfn.IFS(I1241=1,"Below College",I1241=2,"College",I1241=3,"Bachelor",I1241=4,"Master",I1241=5,"Doctor")</f>
        <v>Below College</v>
      </c>
      <c r="K1241" t="s">
        <v>56</v>
      </c>
      <c r="L1241">
        <v>1736</v>
      </c>
      <c r="M1241">
        <v>4</v>
      </c>
      <c r="N1241" t="str" cm="1">
        <f t="array" ref="N1241">_xlfn.IFS(M1241=1,"Low",M1241=2,"Medium",M1241=3,"High",M1241=4,"Very High")</f>
        <v>Very High</v>
      </c>
      <c r="O1241" t="s">
        <v>36</v>
      </c>
      <c r="P1241" s="2">
        <v>30</v>
      </c>
      <c r="Q1241">
        <v>3</v>
      </c>
      <c r="R1241" t="str" cm="1">
        <f t="array" ref="R1241">_xlfn.IFS(Q1241=1,"Low",Q1241=2,"Medium",Q1241=3,"High",Q1241=4,"Very High")</f>
        <v>High</v>
      </c>
      <c r="S1241">
        <v>2</v>
      </c>
      <c r="T1241" t="str" cm="1">
        <f t="array" ref="T1241">_xlfn.IFS(S1241=1,"Entry Level",S1241=2,"Junior",S1241=3,"Mid-Level",S1241=4,"Senior",S1241=5,"Executive")</f>
        <v>Junior</v>
      </c>
      <c r="U1241" t="s">
        <v>49</v>
      </c>
      <c r="V1241">
        <v>4</v>
      </c>
      <c r="W1241" t="str" cm="1">
        <f t="array" ref="W1241">_xlfn.IFS(V1241=1,"Low",V1241=2,"Medium",V1241=3,"High",V1241=4,"Very High")</f>
        <v>Very High</v>
      </c>
      <c r="X1241" t="s">
        <v>38</v>
      </c>
      <c r="Y1241" s="2">
        <v>5238</v>
      </c>
      <c r="Z1241" s="2">
        <v>6670</v>
      </c>
      <c r="AA1241">
        <v>2</v>
      </c>
      <c r="AB1241" t="s">
        <v>39</v>
      </c>
      <c r="AC1241">
        <v>20</v>
      </c>
      <c r="AD1241">
        <v>4</v>
      </c>
      <c r="AE1241" t="str" cm="1">
        <f t="array" ref="AE1241">_xlfn.IFS(AD1241=1,"Low",AD1241=2,"Good",AD1241=3,"Excellent",AD1241=4,"Outstanding")</f>
        <v>Outstanding</v>
      </c>
      <c r="AF1241">
        <v>4</v>
      </c>
      <c r="AG1241" t="str" cm="1">
        <f t="array" ref="AG1241">_xlfn.IFS(AF1241=1,"Low",AF1241=2,"Medium",AF1241=3,"High",AF1241=4,"Very High")</f>
        <v>Very High</v>
      </c>
      <c r="AH1241">
        <v>0</v>
      </c>
      <c r="AI1241">
        <v>9</v>
      </c>
      <c r="AJ1241">
        <v>3</v>
      </c>
      <c r="AK1241">
        <v>2</v>
      </c>
      <c r="AL1241" t="str" cm="1">
        <f t="array" ref="AL1241">_xlfn.IFS(AK1241=1,"Low",AK1241=2,"Medium",AK1241=3,"High",AK1241=4,"Very High")</f>
        <v>Medium</v>
      </c>
      <c r="AM1241">
        <v>5</v>
      </c>
      <c r="AN1241">
        <v>4</v>
      </c>
      <c r="AO1241">
        <v>1</v>
      </c>
      <c r="AP1241">
        <v>4</v>
      </c>
    </row>
    <row r="1242" spans="1:42">
      <c r="A1242">
        <v>39</v>
      </c>
      <c r="B1242" t="str" cm="1">
        <f t="array" ref="B1242">_xlfn.IFS(A1242&lt;=25,"18-25",A1242&lt;=35,"26-35",A1242&lt;=45,"36-45",A1242&lt;=55,"46-55",A1242&gt;55,"56+")</f>
        <v>36-45</v>
      </c>
      <c r="C1242" t="s">
        <v>39</v>
      </c>
      <c r="D1242" t="s">
        <v>51</v>
      </c>
      <c r="E1242" s="2">
        <v>792</v>
      </c>
      <c r="F1242" t="s">
        <v>41</v>
      </c>
      <c r="G1242">
        <v>1</v>
      </c>
      <c r="H1242" t="str">
        <f t="shared" si="19"/>
        <v>1-10 km</v>
      </c>
      <c r="I1242">
        <v>3</v>
      </c>
      <c r="J1242" t="str" cm="1">
        <f t="array" ref="J1242">_xlfn.IFS(I1242=1,"Below College",I1242=2,"College",I1242=3,"Bachelor",I1242=4,"Master",I1242=5,"Doctor")</f>
        <v>Bachelor</v>
      </c>
      <c r="K1242" t="s">
        <v>35</v>
      </c>
      <c r="L1242">
        <v>1737</v>
      </c>
      <c r="M1242">
        <v>4</v>
      </c>
      <c r="N1242" t="str" cm="1">
        <f t="array" ref="N1242">_xlfn.IFS(M1242=1,"Low",M1242=2,"Medium",M1242=3,"High",M1242=4,"Very High")</f>
        <v>Very High</v>
      </c>
      <c r="O1242" t="s">
        <v>42</v>
      </c>
      <c r="P1242" s="2">
        <v>77</v>
      </c>
      <c r="Q1242">
        <v>3</v>
      </c>
      <c r="R1242" t="str" cm="1">
        <f t="array" ref="R1242">_xlfn.IFS(Q1242=1,"Low",Q1242=2,"Medium",Q1242=3,"High",Q1242=4,"Very High")</f>
        <v>High</v>
      </c>
      <c r="S1242">
        <v>2</v>
      </c>
      <c r="T1242" t="str" cm="1">
        <f t="array" ref="T1242">_xlfn.IFS(S1242=1,"Entry Level",S1242=2,"Junior",S1242=3,"Mid-Level",S1242=4,"Senior",S1242=5,"Executive")</f>
        <v>Junior</v>
      </c>
      <c r="U1242" t="s">
        <v>46</v>
      </c>
      <c r="V1242">
        <v>4</v>
      </c>
      <c r="W1242" t="str" cm="1">
        <f t="array" ref="W1242">_xlfn.IFS(V1242=1,"Low",V1242=2,"Medium",V1242=3,"High",V1242=4,"Very High")</f>
        <v>Very High</v>
      </c>
      <c r="X1242" t="s">
        <v>44</v>
      </c>
      <c r="Y1242" s="2">
        <v>6472</v>
      </c>
      <c r="Z1242" s="2">
        <v>8989</v>
      </c>
      <c r="AA1242">
        <v>1</v>
      </c>
      <c r="AB1242" t="s">
        <v>32</v>
      </c>
      <c r="AC1242">
        <v>15</v>
      </c>
      <c r="AD1242">
        <v>3</v>
      </c>
      <c r="AE1242" t="str" cm="1">
        <f t="array" ref="AE1242">_xlfn.IFS(AD1242=1,"Low",AD1242=2,"Good",AD1242=3,"Excellent",AD1242=4,"Outstanding")</f>
        <v>Excellent</v>
      </c>
      <c r="AF1242">
        <v>4</v>
      </c>
      <c r="AG1242" t="str" cm="1">
        <f t="array" ref="AG1242">_xlfn.IFS(AF1242=1,"Low",AF1242=2,"Medium",AF1242=3,"High",AF1242=4,"Very High")</f>
        <v>Very High</v>
      </c>
      <c r="AH1242">
        <v>1</v>
      </c>
      <c r="AI1242">
        <v>9</v>
      </c>
      <c r="AJ1242">
        <v>2</v>
      </c>
      <c r="AK1242">
        <v>3</v>
      </c>
      <c r="AL1242" t="str" cm="1">
        <f t="array" ref="AL1242">_xlfn.IFS(AK1242=1,"Low",AK1242=2,"Medium",AK1242=3,"High",AK1242=4,"Very High")</f>
        <v>High</v>
      </c>
      <c r="AM1242">
        <v>9</v>
      </c>
      <c r="AN1242">
        <v>8</v>
      </c>
      <c r="AO1242">
        <v>5</v>
      </c>
      <c r="AP1242">
        <v>8</v>
      </c>
    </row>
    <row r="1243" spans="1:42">
      <c r="A1243">
        <v>32</v>
      </c>
      <c r="B1243" t="str" cm="1">
        <f t="array" ref="B1243">_xlfn.IFS(A1243&lt;=25,"18-25",A1243&lt;=35,"26-35",A1243&lt;=45,"36-45",A1243&lt;=55,"46-55",A1243&gt;55,"56+")</f>
        <v>26-35</v>
      </c>
      <c r="C1243" t="s">
        <v>39</v>
      </c>
      <c r="D1243" t="s">
        <v>33</v>
      </c>
      <c r="E1243" s="2">
        <v>371</v>
      </c>
      <c r="F1243" t="s">
        <v>34</v>
      </c>
      <c r="G1243">
        <v>19</v>
      </c>
      <c r="H1243" t="str">
        <f t="shared" si="19"/>
        <v>11-20 km</v>
      </c>
      <c r="I1243">
        <v>3</v>
      </c>
      <c r="J1243" t="str" cm="1">
        <f t="array" ref="J1243">_xlfn.IFS(I1243=1,"Below College",I1243=2,"College",I1243=3,"Bachelor",I1243=4,"Master",I1243=5,"Doctor")</f>
        <v>Bachelor</v>
      </c>
      <c r="K1243" t="s">
        <v>35</v>
      </c>
      <c r="L1243">
        <v>1739</v>
      </c>
      <c r="M1243">
        <v>4</v>
      </c>
      <c r="N1243" t="str" cm="1">
        <f t="array" ref="N1243">_xlfn.IFS(M1243=1,"Low",M1243=2,"Medium",M1243=3,"High",M1243=4,"Very High")</f>
        <v>Very High</v>
      </c>
      <c r="O1243" t="s">
        <v>42</v>
      </c>
      <c r="P1243" s="2">
        <v>80</v>
      </c>
      <c r="Q1243">
        <v>1</v>
      </c>
      <c r="R1243" t="str" cm="1">
        <f t="array" ref="R1243">_xlfn.IFS(Q1243=1,"Low",Q1243=2,"Medium",Q1243=3,"High",Q1243=4,"Very High")</f>
        <v>Low</v>
      </c>
      <c r="S1243">
        <v>3</v>
      </c>
      <c r="T1243" t="str" cm="1">
        <f t="array" ref="T1243">_xlfn.IFS(S1243=1,"Entry Level",S1243=2,"Junior",S1243=3,"Mid-Level",S1243=4,"Senior",S1243=5,"Executive")</f>
        <v>Mid-Level</v>
      </c>
      <c r="U1243" t="s">
        <v>37</v>
      </c>
      <c r="V1243">
        <v>3</v>
      </c>
      <c r="W1243" t="str" cm="1">
        <f t="array" ref="W1243">_xlfn.IFS(V1243=1,"Low",V1243=2,"Medium",V1243=3,"High",V1243=4,"Very High")</f>
        <v>High</v>
      </c>
      <c r="X1243" t="s">
        <v>44</v>
      </c>
      <c r="Y1243" s="2">
        <v>9610</v>
      </c>
      <c r="Z1243" s="2">
        <v>3840</v>
      </c>
      <c r="AA1243">
        <v>3</v>
      </c>
      <c r="AB1243" t="s">
        <v>39</v>
      </c>
      <c r="AC1243">
        <v>13</v>
      </c>
      <c r="AD1243">
        <v>3</v>
      </c>
      <c r="AE1243" t="str" cm="1">
        <f t="array" ref="AE1243">_xlfn.IFS(AD1243=1,"Low",AD1243=2,"Good",AD1243=3,"Excellent",AD1243=4,"Outstanding")</f>
        <v>Excellent</v>
      </c>
      <c r="AF1243">
        <v>3</v>
      </c>
      <c r="AG1243" t="str" cm="1">
        <f t="array" ref="AG1243">_xlfn.IFS(AF1243=1,"Low",AF1243=2,"Medium",AF1243=3,"High",AF1243=4,"Very High")</f>
        <v>High</v>
      </c>
      <c r="AH1243">
        <v>1</v>
      </c>
      <c r="AI1243">
        <v>10</v>
      </c>
      <c r="AJ1243">
        <v>2</v>
      </c>
      <c r="AK1243">
        <v>1</v>
      </c>
      <c r="AL1243" t="str" cm="1">
        <f t="array" ref="AL1243">_xlfn.IFS(AK1243=1,"Low",AK1243=2,"Medium",AK1243=3,"High",AK1243=4,"Very High")</f>
        <v>Low</v>
      </c>
      <c r="AM1243">
        <v>4</v>
      </c>
      <c r="AN1243">
        <v>3</v>
      </c>
      <c r="AO1243">
        <v>0</v>
      </c>
      <c r="AP1243">
        <v>2</v>
      </c>
    </row>
    <row r="1244" spans="1:42">
      <c r="A1244">
        <v>40</v>
      </c>
      <c r="B1244" t="str" cm="1">
        <f t="array" ref="B1244">_xlfn.IFS(A1244&lt;=25,"18-25",A1244&lt;=35,"26-35",A1244&lt;=45,"36-45",A1244&lt;=55,"46-55",A1244&gt;55,"56+")</f>
        <v>36-45</v>
      </c>
      <c r="C1244" t="s">
        <v>39</v>
      </c>
      <c r="D1244" t="s">
        <v>33</v>
      </c>
      <c r="E1244" s="2">
        <v>611</v>
      </c>
      <c r="F1244" t="s">
        <v>34</v>
      </c>
      <c r="G1244">
        <v>7</v>
      </c>
      <c r="H1244" t="str">
        <f t="shared" si="19"/>
        <v>1-10 km</v>
      </c>
      <c r="I1244">
        <v>4</v>
      </c>
      <c r="J1244" t="str" cm="1">
        <f t="array" ref="J1244">_xlfn.IFS(I1244=1,"Below College",I1244=2,"College",I1244=3,"Bachelor",I1244=4,"Master",I1244=5,"Doctor")</f>
        <v>Master</v>
      </c>
      <c r="K1244" t="s">
        <v>47</v>
      </c>
      <c r="L1244">
        <v>1740</v>
      </c>
      <c r="M1244">
        <v>2</v>
      </c>
      <c r="N1244" t="str" cm="1">
        <f t="array" ref="N1244">_xlfn.IFS(M1244=1,"Low",M1244=2,"Medium",M1244=3,"High",M1244=4,"Very High")</f>
        <v>Medium</v>
      </c>
      <c r="O1244" t="s">
        <v>42</v>
      </c>
      <c r="P1244" s="2">
        <v>88</v>
      </c>
      <c r="Q1244">
        <v>3</v>
      </c>
      <c r="R1244" t="str" cm="1">
        <f t="array" ref="R1244">_xlfn.IFS(Q1244=1,"Low",Q1244=2,"Medium",Q1244=3,"High",Q1244=4,"Very High")</f>
        <v>High</v>
      </c>
      <c r="S1244">
        <v>5</v>
      </c>
      <c r="T1244" t="str" cm="1">
        <f t="array" ref="T1244">_xlfn.IFS(S1244=1,"Entry Level",S1244=2,"Junior",S1244=3,"Mid-Level",S1244=4,"Senior",S1244=5,"Executive")</f>
        <v>Executive</v>
      </c>
      <c r="U1244" t="s">
        <v>52</v>
      </c>
      <c r="V1244">
        <v>2</v>
      </c>
      <c r="W1244" t="str" cm="1">
        <f t="array" ref="W1244">_xlfn.IFS(V1244=1,"Low",V1244=2,"Medium",V1244=3,"High",V1244=4,"Very High")</f>
        <v>Medium</v>
      </c>
      <c r="X1244" t="s">
        <v>38</v>
      </c>
      <c r="Y1244" s="2">
        <v>19833</v>
      </c>
      <c r="Z1244" s="2">
        <v>4349</v>
      </c>
      <c r="AA1244">
        <v>1</v>
      </c>
      <c r="AB1244" t="s">
        <v>39</v>
      </c>
      <c r="AC1244">
        <v>14</v>
      </c>
      <c r="AD1244">
        <v>3</v>
      </c>
      <c r="AE1244" t="str" cm="1">
        <f t="array" ref="AE1244">_xlfn.IFS(AD1244=1,"Low",AD1244=2,"Good",AD1244=3,"Excellent",AD1244=4,"Outstanding")</f>
        <v>Excellent</v>
      </c>
      <c r="AF1244">
        <v>2</v>
      </c>
      <c r="AG1244" t="str" cm="1">
        <f t="array" ref="AG1244">_xlfn.IFS(AF1244=1,"Low",AF1244=2,"Medium",AF1244=3,"High",AF1244=4,"Very High")</f>
        <v>Medium</v>
      </c>
      <c r="AH1244">
        <v>0</v>
      </c>
      <c r="AI1244">
        <v>21</v>
      </c>
      <c r="AJ1244">
        <v>3</v>
      </c>
      <c r="AK1244">
        <v>2</v>
      </c>
      <c r="AL1244" t="str" cm="1">
        <f t="array" ref="AL1244">_xlfn.IFS(AK1244=1,"Low",AK1244=2,"Medium",AK1244=3,"High",AK1244=4,"Very High")</f>
        <v>Medium</v>
      </c>
      <c r="AM1244">
        <v>21</v>
      </c>
      <c r="AN1244">
        <v>8</v>
      </c>
      <c r="AO1244">
        <v>12</v>
      </c>
      <c r="AP1244">
        <v>8</v>
      </c>
    </row>
    <row r="1245" spans="1:42">
      <c r="A1245">
        <v>45</v>
      </c>
      <c r="B1245" t="str" cm="1">
        <f t="array" ref="B1245">_xlfn.IFS(A1245&lt;=25,"18-25",A1245&lt;=35,"26-35",A1245&lt;=45,"36-45",A1245&lt;=55,"46-55",A1245&gt;55,"56+")</f>
        <v>36-45</v>
      </c>
      <c r="C1245" t="s">
        <v>39</v>
      </c>
      <c r="D1245" t="s">
        <v>33</v>
      </c>
      <c r="E1245" s="2">
        <v>176</v>
      </c>
      <c r="F1245" t="s">
        <v>57</v>
      </c>
      <c r="G1245">
        <v>4</v>
      </c>
      <c r="H1245" t="str">
        <f t="shared" si="19"/>
        <v>1-10 km</v>
      </c>
      <c r="I1245">
        <v>3</v>
      </c>
      <c r="J1245" t="str" cm="1">
        <f t="array" ref="J1245">_xlfn.IFS(I1245=1,"Below College",I1245=2,"College",I1245=3,"Bachelor",I1245=4,"Master",I1245=5,"Doctor")</f>
        <v>Bachelor</v>
      </c>
      <c r="K1245" t="s">
        <v>35</v>
      </c>
      <c r="L1245">
        <v>1744</v>
      </c>
      <c r="M1245">
        <v>3</v>
      </c>
      <c r="N1245" t="str" cm="1">
        <f t="array" ref="N1245">_xlfn.IFS(M1245=1,"Low",M1245=2,"Medium",M1245=3,"High",M1245=4,"Very High")</f>
        <v>High</v>
      </c>
      <c r="O1245" t="s">
        <v>36</v>
      </c>
      <c r="P1245" s="2">
        <v>56</v>
      </c>
      <c r="Q1245">
        <v>1</v>
      </c>
      <c r="R1245" t="str" cm="1">
        <f t="array" ref="R1245">_xlfn.IFS(Q1245=1,"Low",Q1245=2,"Medium",Q1245=3,"High",Q1245=4,"Very High")</f>
        <v>Low</v>
      </c>
      <c r="S1245">
        <v>3</v>
      </c>
      <c r="T1245" t="str" cm="1">
        <f t="array" ref="T1245">_xlfn.IFS(S1245=1,"Entry Level",S1245=2,"Junior",S1245=3,"Mid-Level",S1245=4,"Senior",S1245=5,"Executive")</f>
        <v>Mid-Level</v>
      </c>
      <c r="U1245" t="s">
        <v>57</v>
      </c>
      <c r="V1245">
        <v>3</v>
      </c>
      <c r="W1245" t="str" cm="1">
        <f t="array" ref="W1245">_xlfn.IFS(V1245=1,"Low",V1245=2,"Medium",V1245=3,"High",V1245=4,"Very High")</f>
        <v>High</v>
      </c>
      <c r="X1245" t="s">
        <v>44</v>
      </c>
      <c r="Y1245" s="2">
        <v>9756</v>
      </c>
      <c r="Z1245" s="2">
        <v>6595</v>
      </c>
      <c r="AA1245">
        <v>4</v>
      </c>
      <c r="AB1245" t="s">
        <v>39</v>
      </c>
      <c r="AC1245">
        <v>21</v>
      </c>
      <c r="AD1245">
        <v>4</v>
      </c>
      <c r="AE1245" t="str" cm="1">
        <f t="array" ref="AE1245">_xlfn.IFS(AD1245=1,"Low",AD1245=2,"Good",AD1245=3,"Excellent",AD1245=4,"Outstanding")</f>
        <v>Outstanding</v>
      </c>
      <c r="AF1245">
        <v>3</v>
      </c>
      <c r="AG1245" t="str" cm="1">
        <f t="array" ref="AG1245">_xlfn.IFS(AF1245=1,"Low",AF1245=2,"Medium",AF1245=3,"High",AF1245=4,"Very High")</f>
        <v>High</v>
      </c>
      <c r="AH1245">
        <v>2</v>
      </c>
      <c r="AI1245">
        <v>9</v>
      </c>
      <c r="AJ1245">
        <v>2</v>
      </c>
      <c r="AK1245">
        <v>4</v>
      </c>
      <c r="AL1245" t="str" cm="1">
        <f t="array" ref="AL1245">_xlfn.IFS(AK1245=1,"Low",AK1245=2,"Medium",AK1245=3,"High",AK1245=4,"Very High")</f>
        <v>Very High</v>
      </c>
      <c r="AM1245">
        <v>5</v>
      </c>
      <c r="AN1245">
        <v>0</v>
      </c>
      <c r="AO1245">
        <v>0</v>
      </c>
      <c r="AP1245">
        <v>3</v>
      </c>
    </row>
    <row r="1246" spans="1:42">
      <c r="A1246">
        <v>30</v>
      </c>
      <c r="B1246" t="str" cm="1">
        <f t="array" ref="B1246">_xlfn.IFS(A1246&lt;=25,"18-25",A1246&lt;=35,"26-35",A1246&lt;=45,"36-45",A1246&lt;=55,"46-55",A1246&gt;55,"56+")</f>
        <v>26-35</v>
      </c>
      <c r="C1246" t="s">
        <v>39</v>
      </c>
      <c r="D1246" t="s">
        <v>40</v>
      </c>
      <c r="E1246" s="2">
        <v>1312</v>
      </c>
      <c r="F1246" t="s">
        <v>41</v>
      </c>
      <c r="G1246">
        <v>2</v>
      </c>
      <c r="H1246" t="str">
        <f t="shared" si="19"/>
        <v>1-10 km</v>
      </c>
      <c r="I1246">
        <v>4</v>
      </c>
      <c r="J1246" t="str" cm="1">
        <f t="array" ref="J1246">_xlfn.IFS(I1246=1,"Below College",I1246=2,"College",I1246=3,"Bachelor",I1246=4,"Master",I1246=5,"Doctor")</f>
        <v>Master</v>
      </c>
      <c r="K1246" t="s">
        <v>56</v>
      </c>
      <c r="L1246">
        <v>1745</v>
      </c>
      <c r="M1246">
        <v>4</v>
      </c>
      <c r="N1246" t="str" cm="1">
        <f t="array" ref="N1246">_xlfn.IFS(M1246=1,"Low",M1246=2,"Medium",M1246=3,"High",M1246=4,"Very High")</f>
        <v>Very High</v>
      </c>
      <c r="O1246" t="s">
        <v>36</v>
      </c>
      <c r="P1246" s="2">
        <v>78</v>
      </c>
      <c r="Q1246">
        <v>2</v>
      </c>
      <c r="R1246" t="str" cm="1">
        <f t="array" ref="R1246">_xlfn.IFS(Q1246=1,"Low",Q1246=2,"Medium",Q1246=3,"High",Q1246=4,"Very High")</f>
        <v>Medium</v>
      </c>
      <c r="S1246">
        <v>1</v>
      </c>
      <c r="T1246" t="str" cm="1">
        <f t="array" ref="T1246">_xlfn.IFS(S1246=1,"Entry Level",S1246=2,"Junior",S1246=3,"Mid-Level",S1246=4,"Senior",S1246=5,"Executive")</f>
        <v>Entry Level</v>
      </c>
      <c r="U1246" t="s">
        <v>43</v>
      </c>
      <c r="V1246">
        <v>1</v>
      </c>
      <c r="W1246" t="str" cm="1">
        <f t="array" ref="W1246">_xlfn.IFS(V1246=1,"Low",V1246=2,"Medium",V1246=3,"High",V1246=4,"Very High")</f>
        <v>Low</v>
      </c>
      <c r="X1246" t="s">
        <v>38</v>
      </c>
      <c r="Y1246" s="2">
        <v>4968</v>
      </c>
      <c r="Z1246" s="2">
        <v>26427</v>
      </c>
      <c r="AA1246">
        <v>0</v>
      </c>
      <c r="AB1246" t="s">
        <v>39</v>
      </c>
      <c r="AC1246">
        <v>16</v>
      </c>
      <c r="AD1246">
        <v>3</v>
      </c>
      <c r="AE1246" t="str" cm="1">
        <f t="array" ref="AE1246">_xlfn.IFS(AD1246=1,"Low",AD1246=2,"Good",AD1246=3,"Excellent",AD1246=4,"Outstanding")</f>
        <v>Excellent</v>
      </c>
      <c r="AF1246">
        <v>4</v>
      </c>
      <c r="AG1246" t="str" cm="1">
        <f t="array" ref="AG1246">_xlfn.IFS(AF1246=1,"Low",AF1246=2,"Medium",AF1246=3,"High",AF1246=4,"Very High")</f>
        <v>Very High</v>
      </c>
      <c r="AH1246">
        <v>0</v>
      </c>
      <c r="AI1246">
        <v>10</v>
      </c>
      <c r="AJ1246">
        <v>2</v>
      </c>
      <c r="AK1246">
        <v>3</v>
      </c>
      <c r="AL1246" t="str" cm="1">
        <f t="array" ref="AL1246">_xlfn.IFS(AK1246=1,"Low",AK1246=2,"Medium",AK1246=3,"High",AK1246=4,"Very High")</f>
        <v>High</v>
      </c>
      <c r="AM1246">
        <v>9</v>
      </c>
      <c r="AN1246">
        <v>7</v>
      </c>
      <c r="AO1246">
        <v>0</v>
      </c>
      <c r="AP1246">
        <v>7</v>
      </c>
    </row>
    <row r="1247" spans="1:42">
      <c r="A1247">
        <v>24</v>
      </c>
      <c r="B1247" t="str" cm="1">
        <f t="array" ref="B1247">_xlfn.IFS(A1247&lt;=25,"18-25",A1247&lt;=35,"26-35",A1247&lt;=45,"36-45",A1247&lt;=55,"46-55",A1247&gt;55,"56+")</f>
        <v>18-25</v>
      </c>
      <c r="C1247" t="s">
        <v>39</v>
      </c>
      <c r="D1247" t="s">
        <v>40</v>
      </c>
      <c r="E1247" s="2">
        <v>897</v>
      </c>
      <c r="F1247" t="s">
        <v>57</v>
      </c>
      <c r="G1247">
        <v>10</v>
      </c>
      <c r="H1247" t="str">
        <f t="shared" si="19"/>
        <v>1-10 km</v>
      </c>
      <c r="I1247">
        <v>3</v>
      </c>
      <c r="J1247" t="str" cm="1">
        <f t="array" ref="J1247">_xlfn.IFS(I1247=1,"Below College",I1247=2,"College",I1247=3,"Bachelor",I1247=4,"Master",I1247=5,"Doctor")</f>
        <v>Bachelor</v>
      </c>
      <c r="K1247" t="s">
        <v>47</v>
      </c>
      <c r="L1247">
        <v>1746</v>
      </c>
      <c r="M1247">
        <v>1</v>
      </c>
      <c r="N1247" t="str" cm="1">
        <f t="array" ref="N1247">_xlfn.IFS(M1247=1,"Low",M1247=2,"Medium",M1247=3,"High",M1247=4,"Very High")</f>
        <v>Low</v>
      </c>
      <c r="O1247" t="s">
        <v>42</v>
      </c>
      <c r="P1247" s="2">
        <v>59</v>
      </c>
      <c r="Q1247">
        <v>3</v>
      </c>
      <c r="R1247" t="str" cm="1">
        <f t="array" ref="R1247">_xlfn.IFS(Q1247=1,"Low",Q1247=2,"Medium",Q1247=3,"High",Q1247=4,"Very High")</f>
        <v>High</v>
      </c>
      <c r="S1247">
        <v>1</v>
      </c>
      <c r="T1247" t="str" cm="1">
        <f t="array" ref="T1247">_xlfn.IFS(S1247=1,"Entry Level",S1247=2,"Junior",S1247=3,"Mid-Level",S1247=4,"Senior",S1247=5,"Executive")</f>
        <v>Entry Level</v>
      </c>
      <c r="U1247" t="s">
        <v>57</v>
      </c>
      <c r="V1247">
        <v>4</v>
      </c>
      <c r="W1247" t="str" cm="1">
        <f t="array" ref="W1247">_xlfn.IFS(V1247=1,"Low",V1247=2,"Medium",V1247=3,"High",V1247=4,"Very High")</f>
        <v>Very High</v>
      </c>
      <c r="X1247" t="s">
        <v>44</v>
      </c>
      <c r="Y1247" s="2">
        <v>2145</v>
      </c>
      <c r="Z1247" s="2">
        <v>2097</v>
      </c>
      <c r="AA1247">
        <v>0</v>
      </c>
      <c r="AB1247" t="s">
        <v>39</v>
      </c>
      <c r="AC1247">
        <v>14</v>
      </c>
      <c r="AD1247">
        <v>3</v>
      </c>
      <c r="AE1247" t="str" cm="1">
        <f t="array" ref="AE1247">_xlfn.IFS(AD1247=1,"Low",AD1247=2,"Good",AD1247=3,"Excellent",AD1247=4,"Outstanding")</f>
        <v>Excellent</v>
      </c>
      <c r="AF1247">
        <v>4</v>
      </c>
      <c r="AG1247" t="str" cm="1">
        <f t="array" ref="AG1247">_xlfn.IFS(AF1247=1,"Low",AF1247=2,"Medium",AF1247=3,"High",AF1247=4,"Very High")</f>
        <v>Very High</v>
      </c>
      <c r="AH1247">
        <v>1</v>
      </c>
      <c r="AI1247">
        <v>3</v>
      </c>
      <c r="AJ1247">
        <v>2</v>
      </c>
      <c r="AK1247">
        <v>3</v>
      </c>
      <c r="AL1247" t="str" cm="1">
        <f t="array" ref="AL1247">_xlfn.IFS(AK1247=1,"Low",AK1247=2,"Medium",AK1247=3,"High",AK1247=4,"Very High")</f>
        <v>High</v>
      </c>
      <c r="AM1247">
        <v>2</v>
      </c>
      <c r="AN1247">
        <v>2</v>
      </c>
      <c r="AO1247">
        <v>2</v>
      </c>
      <c r="AP1247">
        <v>1</v>
      </c>
    </row>
    <row r="1248" spans="1:42">
      <c r="A1248">
        <v>30</v>
      </c>
      <c r="B1248" t="str" cm="1">
        <f t="array" ref="B1248">_xlfn.IFS(A1248&lt;=25,"18-25",A1248&lt;=35,"26-35",A1248&lt;=45,"36-45",A1248&lt;=55,"46-55",A1248&gt;55,"56+")</f>
        <v>26-35</v>
      </c>
      <c r="C1248" t="s">
        <v>32</v>
      </c>
      <c r="D1248" t="s">
        <v>40</v>
      </c>
      <c r="E1248" s="2">
        <v>600</v>
      </c>
      <c r="F1248" t="s">
        <v>57</v>
      </c>
      <c r="G1248">
        <v>8</v>
      </c>
      <c r="H1248" t="str">
        <f t="shared" si="19"/>
        <v>1-10 km</v>
      </c>
      <c r="I1248">
        <v>3</v>
      </c>
      <c r="J1248" t="str" cm="1">
        <f t="array" ref="J1248">_xlfn.IFS(I1248=1,"Below College",I1248=2,"College",I1248=3,"Bachelor",I1248=4,"Master",I1248=5,"Doctor")</f>
        <v>Bachelor</v>
      </c>
      <c r="K1248" t="s">
        <v>57</v>
      </c>
      <c r="L1248">
        <v>1747</v>
      </c>
      <c r="M1248">
        <v>3</v>
      </c>
      <c r="N1248" t="str" cm="1">
        <f t="array" ref="N1248">_xlfn.IFS(M1248=1,"Low",M1248=2,"Medium",M1248=3,"High",M1248=4,"Very High")</f>
        <v>High</v>
      </c>
      <c r="O1248" t="s">
        <v>36</v>
      </c>
      <c r="P1248" s="2">
        <v>66</v>
      </c>
      <c r="Q1248">
        <v>2</v>
      </c>
      <c r="R1248" t="str" cm="1">
        <f t="array" ref="R1248">_xlfn.IFS(Q1248=1,"Low",Q1248=2,"Medium",Q1248=3,"High",Q1248=4,"Very High")</f>
        <v>Medium</v>
      </c>
      <c r="S1248">
        <v>1</v>
      </c>
      <c r="T1248" t="str" cm="1">
        <f t="array" ref="T1248">_xlfn.IFS(S1248=1,"Entry Level",S1248=2,"Junior",S1248=3,"Mid-Level",S1248=4,"Senior",S1248=5,"Executive")</f>
        <v>Entry Level</v>
      </c>
      <c r="U1248" t="s">
        <v>57</v>
      </c>
      <c r="V1248">
        <v>4</v>
      </c>
      <c r="W1248" t="str" cm="1">
        <f t="array" ref="W1248">_xlfn.IFS(V1248=1,"Low",V1248=2,"Medium",V1248=3,"High",V1248=4,"Very High")</f>
        <v>Very High</v>
      </c>
      <c r="X1248" t="s">
        <v>48</v>
      </c>
      <c r="Y1248" s="2">
        <v>2180</v>
      </c>
      <c r="Z1248" s="2">
        <v>9732</v>
      </c>
      <c r="AA1248">
        <v>6</v>
      </c>
      <c r="AB1248" t="s">
        <v>39</v>
      </c>
      <c r="AC1248">
        <v>11</v>
      </c>
      <c r="AD1248">
        <v>3</v>
      </c>
      <c r="AE1248" t="str" cm="1">
        <f t="array" ref="AE1248">_xlfn.IFS(AD1248=1,"Low",AD1248=2,"Good",AD1248=3,"Excellent",AD1248=4,"Outstanding")</f>
        <v>Excellent</v>
      </c>
      <c r="AF1248">
        <v>3</v>
      </c>
      <c r="AG1248" t="str" cm="1">
        <f t="array" ref="AG1248">_xlfn.IFS(AF1248=1,"Low",AF1248=2,"Medium",AF1248=3,"High",AF1248=4,"Very High")</f>
        <v>High</v>
      </c>
      <c r="AH1248">
        <v>1</v>
      </c>
      <c r="AI1248">
        <v>6</v>
      </c>
      <c r="AJ1248">
        <v>0</v>
      </c>
      <c r="AK1248">
        <v>2</v>
      </c>
      <c r="AL1248" t="str" cm="1">
        <f t="array" ref="AL1248">_xlfn.IFS(AK1248=1,"Low",AK1248=2,"Medium",AK1248=3,"High",AK1248=4,"Very High")</f>
        <v>Medium</v>
      </c>
      <c r="AM1248">
        <v>4</v>
      </c>
      <c r="AN1248">
        <v>2</v>
      </c>
      <c r="AO1248">
        <v>1</v>
      </c>
      <c r="AP1248">
        <v>2</v>
      </c>
    </row>
    <row r="1249" spans="1:42">
      <c r="A1249">
        <v>31</v>
      </c>
      <c r="B1249" t="str" cm="1">
        <f t="array" ref="B1249">_xlfn.IFS(A1249&lt;=25,"18-25",A1249&lt;=35,"26-35",A1249&lt;=45,"36-45",A1249&lt;=55,"46-55",A1249&gt;55,"56+")</f>
        <v>26-35</v>
      </c>
      <c r="C1249" t="s">
        <v>39</v>
      </c>
      <c r="D1249" t="s">
        <v>33</v>
      </c>
      <c r="E1249" s="2">
        <v>1003</v>
      </c>
      <c r="F1249" t="s">
        <v>34</v>
      </c>
      <c r="G1249">
        <v>5</v>
      </c>
      <c r="H1249" t="str">
        <f t="shared" si="19"/>
        <v>1-10 km</v>
      </c>
      <c r="I1249">
        <v>3</v>
      </c>
      <c r="J1249" t="str" cm="1">
        <f t="array" ref="J1249">_xlfn.IFS(I1249=1,"Below College",I1249=2,"College",I1249=3,"Bachelor",I1249=4,"Master",I1249=5,"Doctor")</f>
        <v>Bachelor</v>
      </c>
      <c r="K1249" t="s">
        <v>56</v>
      </c>
      <c r="L1249">
        <v>1749</v>
      </c>
      <c r="M1249">
        <v>1</v>
      </c>
      <c r="N1249" t="str" cm="1">
        <f t="array" ref="N1249">_xlfn.IFS(M1249=1,"Low",M1249=2,"Medium",M1249=3,"High",M1249=4,"Very High")</f>
        <v>Low</v>
      </c>
      <c r="O1249" t="s">
        <v>42</v>
      </c>
      <c r="P1249" s="2">
        <v>51</v>
      </c>
      <c r="Q1249">
        <v>3</v>
      </c>
      <c r="R1249" t="str" cm="1">
        <f t="array" ref="R1249">_xlfn.IFS(Q1249=1,"Low",Q1249=2,"Medium",Q1249=3,"High",Q1249=4,"Very High")</f>
        <v>High</v>
      </c>
      <c r="S1249">
        <v>2</v>
      </c>
      <c r="T1249" t="str" cm="1">
        <f t="array" ref="T1249">_xlfn.IFS(S1249=1,"Entry Level",S1249=2,"Junior",S1249=3,"Mid-Level",S1249=4,"Senior",S1249=5,"Executive")</f>
        <v>Junior</v>
      </c>
      <c r="U1249" t="s">
        <v>37</v>
      </c>
      <c r="V1249">
        <v>3</v>
      </c>
      <c r="W1249" t="str" cm="1">
        <f t="array" ref="W1249">_xlfn.IFS(V1249=1,"Low",V1249=2,"Medium",V1249=3,"High",V1249=4,"Very High")</f>
        <v>High</v>
      </c>
      <c r="X1249" t="s">
        <v>44</v>
      </c>
      <c r="Y1249" s="2">
        <v>8346</v>
      </c>
      <c r="Z1249" s="2">
        <v>20943</v>
      </c>
      <c r="AA1249">
        <v>1</v>
      </c>
      <c r="AB1249" t="s">
        <v>39</v>
      </c>
      <c r="AC1249">
        <v>19</v>
      </c>
      <c r="AD1249">
        <v>3</v>
      </c>
      <c r="AE1249" t="str" cm="1">
        <f t="array" ref="AE1249">_xlfn.IFS(AD1249=1,"Low",AD1249=2,"Good",AD1249=3,"Excellent",AD1249=4,"Outstanding")</f>
        <v>Excellent</v>
      </c>
      <c r="AF1249">
        <v>3</v>
      </c>
      <c r="AG1249" t="str" cm="1">
        <f t="array" ref="AG1249">_xlfn.IFS(AF1249=1,"Low",AF1249=2,"Medium",AF1249=3,"High",AF1249=4,"Very High")</f>
        <v>High</v>
      </c>
      <c r="AH1249">
        <v>1</v>
      </c>
      <c r="AI1249">
        <v>6</v>
      </c>
      <c r="AJ1249">
        <v>3</v>
      </c>
      <c r="AK1249">
        <v>3</v>
      </c>
      <c r="AL1249" t="str" cm="1">
        <f t="array" ref="AL1249">_xlfn.IFS(AK1249=1,"Low",AK1249=2,"Medium",AK1249=3,"High",AK1249=4,"Very High")</f>
        <v>High</v>
      </c>
      <c r="AM1249">
        <v>5</v>
      </c>
      <c r="AN1249">
        <v>2</v>
      </c>
      <c r="AO1249">
        <v>0</v>
      </c>
      <c r="AP1249">
        <v>2</v>
      </c>
    </row>
    <row r="1250" spans="1:42">
      <c r="A1250">
        <v>27</v>
      </c>
      <c r="B1250" t="str" cm="1">
        <f t="array" ref="B1250">_xlfn.IFS(A1250&lt;=25,"18-25",A1250&lt;=35,"26-35",A1250&lt;=45,"36-45",A1250&lt;=55,"46-55",A1250&gt;55,"56+")</f>
        <v>26-35</v>
      </c>
      <c r="C1250" t="s">
        <v>39</v>
      </c>
      <c r="D1250" t="s">
        <v>33</v>
      </c>
      <c r="E1250" s="2">
        <v>1054</v>
      </c>
      <c r="F1250" t="s">
        <v>41</v>
      </c>
      <c r="G1250">
        <v>8</v>
      </c>
      <c r="H1250" t="str">
        <f t="shared" si="19"/>
        <v>1-10 km</v>
      </c>
      <c r="I1250">
        <v>3</v>
      </c>
      <c r="J1250" t="str" cm="1">
        <f t="array" ref="J1250">_xlfn.IFS(I1250=1,"Below College",I1250=2,"College",I1250=3,"Bachelor",I1250=4,"Master",I1250=5,"Doctor")</f>
        <v>Bachelor</v>
      </c>
      <c r="K1250" t="s">
        <v>47</v>
      </c>
      <c r="L1250">
        <v>1751</v>
      </c>
      <c r="M1250">
        <v>3</v>
      </c>
      <c r="N1250" t="str" cm="1">
        <f t="array" ref="N1250">_xlfn.IFS(M1250=1,"Low",M1250=2,"Medium",M1250=3,"High",M1250=4,"Very High")</f>
        <v>High</v>
      </c>
      <c r="O1250" t="s">
        <v>36</v>
      </c>
      <c r="P1250" s="2">
        <v>67</v>
      </c>
      <c r="Q1250">
        <v>3</v>
      </c>
      <c r="R1250" t="str" cm="1">
        <f t="array" ref="R1250">_xlfn.IFS(Q1250=1,"Low",Q1250=2,"Medium",Q1250=3,"High",Q1250=4,"Very High")</f>
        <v>High</v>
      </c>
      <c r="S1250">
        <v>1</v>
      </c>
      <c r="T1250" t="str" cm="1">
        <f t="array" ref="T1250">_xlfn.IFS(S1250=1,"Entry Level",S1250=2,"Junior",S1250=3,"Mid-Level",S1250=4,"Senior",S1250=5,"Executive")</f>
        <v>Entry Level</v>
      </c>
      <c r="U1250" t="s">
        <v>43</v>
      </c>
      <c r="V1250">
        <v>4</v>
      </c>
      <c r="W1250" t="str" cm="1">
        <f t="array" ref="W1250">_xlfn.IFS(V1250=1,"Low",V1250=2,"Medium",V1250=3,"High",V1250=4,"Very High")</f>
        <v>Very High</v>
      </c>
      <c r="X1250" t="s">
        <v>38</v>
      </c>
      <c r="Y1250" s="2">
        <v>3445</v>
      </c>
      <c r="Z1250" s="2">
        <v>6152</v>
      </c>
      <c r="AA1250">
        <v>1</v>
      </c>
      <c r="AB1250" t="s">
        <v>39</v>
      </c>
      <c r="AC1250">
        <v>11</v>
      </c>
      <c r="AD1250">
        <v>3</v>
      </c>
      <c r="AE1250" t="str" cm="1">
        <f t="array" ref="AE1250">_xlfn.IFS(AD1250=1,"Low",AD1250=2,"Good",AD1250=3,"Excellent",AD1250=4,"Outstanding")</f>
        <v>Excellent</v>
      </c>
      <c r="AF1250">
        <v>3</v>
      </c>
      <c r="AG1250" t="str" cm="1">
        <f t="array" ref="AG1250">_xlfn.IFS(AF1250=1,"Low",AF1250=2,"Medium",AF1250=3,"High",AF1250=4,"Very High")</f>
        <v>High</v>
      </c>
      <c r="AH1250">
        <v>0</v>
      </c>
      <c r="AI1250">
        <v>6</v>
      </c>
      <c r="AJ1250">
        <v>5</v>
      </c>
      <c r="AK1250">
        <v>2</v>
      </c>
      <c r="AL1250" t="str" cm="1">
        <f t="array" ref="AL1250">_xlfn.IFS(AK1250=1,"Low",AK1250=2,"Medium",AK1250=3,"High",AK1250=4,"Very High")</f>
        <v>Medium</v>
      </c>
      <c r="AM1250">
        <v>6</v>
      </c>
      <c r="AN1250">
        <v>2</v>
      </c>
      <c r="AO1250">
        <v>1</v>
      </c>
      <c r="AP1250">
        <v>4</v>
      </c>
    </row>
    <row r="1251" spans="1:42">
      <c r="A1251">
        <v>29</v>
      </c>
      <c r="B1251" t="str" cm="1">
        <f t="array" ref="B1251">_xlfn.IFS(A1251&lt;=25,"18-25",A1251&lt;=35,"26-35",A1251&lt;=45,"36-45",A1251&lt;=55,"46-55",A1251&gt;55,"56+")</f>
        <v>26-35</v>
      </c>
      <c r="C1251" t="s">
        <v>32</v>
      </c>
      <c r="D1251" t="s">
        <v>33</v>
      </c>
      <c r="E1251" s="2">
        <v>428</v>
      </c>
      <c r="F1251" t="s">
        <v>34</v>
      </c>
      <c r="G1251">
        <v>9</v>
      </c>
      <c r="H1251" t="str">
        <f t="shared" si="19"/>
        <v>1-10 km</v>
      </c>
      <c r="I1251">
        <v>3</v>
      </c>
      <c r="J1251" t="str" cm="1">
        <f t="array" ref="J1251">_xlfn.IFS(I1251=1,"Below College",I1251=2,"College",I1251=3,"Bachelor",I1251=4,"Master",I1251=5,"Doctor")</f>
        <v>Bachelor</v>
      </c>
      <c r="K1251" t="s">
        <v>55</v>
      </c>
      <c r="L1251">
        <v>1752</v>
      </c>
      <c r="M1251">
        <v>2</v>
      </c>
      <c r="N1251" t="str" cm="1">
        <f t="array" ref="N1251">_xlfn.IFS(M1251=1,"Low",M1251=2,"Medium",M1251=3,"High",M1251=4,"Very High")</f>
        <v>Medium</v>
      </c>
      <c r="O1251" t="s">
        <v>36</v>
      </c>
      <c r="P1251" s="2">
        <v>52</v>
      </c>
      <c r="Q1251">
        <v>1</v>
      </c>
      <c r="R1251" t="str" cm="1">
        <f t="array" ref="R1251">_xlfn.IFS(Q1251=1,"Low",Q1251=2,"Medium",Q1251=3,"High",Q1251=4,"Very High")</f>
        <v>Low</v>
      </c>
      <c r="S1251">
        <v>1</v>
      </c>
      <c r="T1251" t="str" cm="1">
        <f t="array" ref="T1251">_xlfn.IFS(S1251=1,"Entry Level",S1251=2,"Junior",S1251=3,"Mid-Level",S1251=4,"Senior",S1251=5,"Executive")</f>
        <v>Entry Level</v>
      </c>
      <c r="U1251" t="s">
        <v>53</v>
      </c>
      <c r="V1251">
        <v>2</v>
      </c>
      <c r="W1251" t="str" cm="1">
        <f t="array" ref="W1251">_xlfn.IFS(V1251=1,"Low",V1251=2,"Medium",V1251=3,"High",V1251=4,"Very High")</f>
        <v>Medium</v>
      </c>
      <c r="X1251" t="s">
        <v>38</v>
      </c>
      <c r="Y1251" s="2">
        <v>2760</v>
      </c>
      <c r="Z1251" s="2">
        <v>14630</v>
      </c>
      <c r="AA1251">
        <v>1</v>
      </c>
      <c r="AB1251" t="s">
        <v>39</v>
      </c>
      <c r="AC1251">
        <v>13</v>
      </c>
      <c r="AD1251">
        <v>3</v>
      </c>
      <c r="AE1251" t="str" cm="1">
        <f t="array" ref="AE1251">_xlfn.IFS(AD1251=1,"Low",AD1251=2,"Good",AD1251=3,"Excellent",AD1251=4,"Outstanding")</f>
        <v>Excellent</v>
      </c>
      <c r="AF1251">
        <v>3</v>
      </c>
      <c r="AG1251" t="str" cm="1">
        <f t="array" ref="AG1251">_xlfn.IFS(AF1251=1,"Low",AF1251=2,"Medium",AF1251=3,"High",AF1251=4,"Very High")</f>
        <v>High</v>
      </c>
      <c r="AH1251">
        <v>0</v>
      </c>
      <c r="AI1251">
        <v>2</v>
      </c>
      <c r="AJ1251">
        <v>3</v>
      </c>
      <c r="AK1251">
        <v>3</v>
      </c>
      <c r="AL1251" t="str" cm="1">
        <f t="array" ref="AL1251">_xlfn.IFS(AK1251=1,"Low",AK1251=2,"Medium",AK1251=3,"High",AK1251=4,"Very High")</f>
        <v>High</v>
      </c>
      <c r="AM1251">
        <v>2</v>
      </c>
      <c r="AN1251">
        <v>2</v>
      </c>
      <c r="AO1251">
        <v>2</v>
      </c>
      <c r="AP1251">
        <v>2</v>
      </c>
    </row>
    <row r="1252" spans="1:42">
      <c r="A1252">
        <v>29</v>
      </c>
      <c r="B1252" t="str" cm="1">
        <f t="array" ref="B1252">_xlfn.IFS(A1252&lt;=25,"18-25",A1252&lt;=35,"26-35",A1252&lt;=45,"36-45",A1252&lt;=55,"46-55",A1252&gt;55,"56+")</f>
        <v>26-35</v>
      </c>
      <c r="C1252" t="s">
        <v>39</v>
      </c>
      <c r="D1252" t="s">
        <v>40</v>
      </c>
      <c r="E1252" s="2">
        <v>461</v>
      </c>
      <c r="F1252" t="s">
        <v>41</v>
      </c>
      <c r="G1252">
        <v>1</v>
      </c>
      <c r="H1252" t="str">
        <f t="shared" si="19"/>
        <v>1-10 km</v>
      </c>
      <c r="I1252">
        <v>3</v>
      </c>
      <c r="J1252" t="str" cm="1">
        <f t="array" ref="J1252">_xlfn.IFS(I1252=1,"Below College",I1252=2,"College",I1252=3,"Bachelor",I1252=4,"Master",I1252=5,"Doctor")</f>
        <v>Bachelor</v>
      </c>
      <c r="K1252" t="s">
        <v>35</v>
      </c>
      <c r="L1252">
        <v>1753</v>
      </c>
      <c r="M1252">
        <v>4</v>
      </c>
      <c r="N1252" t="str" cm="1">
        <f t="array" ref="N1252">_xlfn.IFS(M1252=1,"Low",M1252=2,"Medium",M1252=3,"High",M1252=4,"Very High")</f>
        <v>Very High</v>
      </c>
      <c r="O1252" t="s">
        <v>42</v>
      </c>
      <c r="P1252" s="2">
        <v>70</v>
      </c>
      <c r="Q1252">
        <v>4</v>
      </c>
      <c r="R1252" t="str" cm="1">
        <f t="array" ref="R1252">_xlfn.IFS(Q1252=1,"Low",Q1252=2,"Medium",Q1252=3,"High",Q1252=4,"Very High")</f>
        <v>Very High</v>
      </c>
      <c r="S1252">
        <v>2</v>
      </c>
      <c r="T1252" t="str" cm="1">
        <f t="array" ref="T1252">_xlfn.IFS(S1252=1,"Entry Level",S1252=2,"Junior",S1252=3,"Mid-Level",S1252=4,"Senior",S1252=5,"Executive")</f>
        <v>Junior</v>
      </c>
      <c r="U1252" t="s">
        <v>50</v>
      </c>
      <c r="V1252">
        <v>3</v>
      </c>
      <c r="W1252" t="str" cm="1">
        <f t="array" ref="W1252">_xlfn.IFS(V1252=1,"Low",V1252=2,"Medium",V1252=3,"High",V1252=4,"Very High")</f>
        <v>High</v>
      </c>
      <c r="X1252" t="s">
        <v>38</v>
      </c>
      <c r="Y1252" s="2">
        <v>6294</v>
      </c>
      <c r="Z1252" s="2">
        <v>23060</v>
      </c>
      <c r="AA1252">
        <v>8</v>
      </c>
      <c r="AB1252" t="s">
        <v>32</v>
      </c>
      <c r="AC1252">
        <v>12</v>
      </c>
      <c r="AD1252">
        <v>3</v>
      </c>
      <c r="AE1252" t="str" cm="1">
        <f t="array" ref="AE1252">_xlfn.IFS(AD1252=1,"Low",AD1252=2,"Good",AD1252=3,"Excellent",AD1252=4,"Outstanding")</f>
        <v>Excellent</v>
      </c>
      <c r="AF1252">
        <v>4</v>
      </c>
      <c r="AG1252" t="str" cm="1">
        <f t="array" ref="AG1252">_xlfn.IFS(AF1252=1,"Low",AF1252=2,"Medium",AF1252=3,"High",AF1252=4,"Very High")</f>
        <v>Very High</v>
      </c>
      <c r="AH1252">
        <v>0</v>
      </c>
      <c r="AI1252">
        <v>10</v>
      </c>
      <c r="AJ1252">
        <v>5</v>
      </c>
      <c r="AK1252">
        <v>4</v>
      </c>
      <c r="AL1252" t="str" cm="1">
        <f t="array" ref="AL1252">_xlfn.IFS(AK1252=1,"Low",AK1252=2,"Medium",AK1252=3,"High",AK1252=4,"Very High")</f>
        <v>Very High</v>
      </c>
      <c r="AM1252">
        <v>3</v>
      </c>
      <c r="AN1252">
        <v>2</v>
      </c>
      <c r="AO1252">
        <v>0</v>
      </c>
      <c r="AP1252">
        <v>2</v>
      </c>
    </row>
    <row r="1253" spans="1:42">
      <c r="A1253">
        <v>30</v>
      </c>
      <c r="B1253" t="str" cm="1">
        <f t="array" ref="B1253">_xlfn.IFS(A1253&lt;=25,"18-25",A1253&lt;=35,"26-35",A1253&lt;=45,"36-45",A1253&lt;=55,"46-55",A1253&gt;55,"56+")</f>
        <v>26-35</v>
      </c>
      <c r="C1253" t="s">
        <v>39</v>
      </c>
      <c r="D1253" t="s">
        <v>33</v>
      </c>
      <c r="E1253" s="2">
        <v>979</v>
      </c>
      <c r="F1253" t="s">
        <v>34</v>
      </c>
      <c r="G1253">
        <v>15</v>
      </c>
      <c r="H1253" t="str">
        <f t="shared" si="19"/>
        <v>11-20 km</v>
      </c>
      <c r="I1253">
        <v>2</v>
      </c>
      <c r="J1253" t="str" cm="1">
        <f t="array" ref="J1253">_xlfn.IFS(I1253=1,"Below College",I1253=2,"College",I1253=3,"Bachelor",I1253=4,"Master",I1253=5,"Doctor")</f>
        <v>College</v>
      </c>
      <c r="K1253" t="s">
        <v>55</v>
      </c>
      <c r="L1253">
        <v>1754</v>
      </c>
      <c r="M1253">
        <v>3</v>
      </c>
      <c r="N1253" t="str" cm="1">
        <f t="array" ref="N1253">_xlfn.IFS(M1253=1,"Low",M1253=2,"Medium",M1253=3,"High",M1253=4,"Very High")</f>
        <v>High</v>
      </c>
      <c r="O1253" t="s">
        <v>42</v>
      </c>
      <c r="P1253" s="2">
        <v>94</v>
      </c>
      <c r="Q1253">
        <v>2</v>
      </c>
      <c r="R1253" t="str" cm="1">
        <f t="array" ref="R1253">_xlfn.IFS(Q1253=1,"Low",Q1253=2,"Medium",Q1253=3,"High",Q1253=4,"Very High")</f>
        <v>Medium</v>
      </c>
      <c r="S1253">
        <v>3</v>
      </c>
      <c r="T1253" t="str" cm="1">
        <f t="array" ref="T1253">_xlfn.IFS(S1253=1,"Entry Level",S1253=2,"Junior",S1253=3,"Mid-Level",S1253=4,"Senior",S1253=5,"Executive")</f>
        <v>Mid-Level</v>
      </c>
      <c r="U1253" t="s">
        <v>37</v>
      </c>
      <c r="V1253">
        <v>1</v>
      </c>
      <c r="W1253" t="str" cm="1">
        <f t="array" ref="W1253">_xlfn.IFS(V1253=1,"Low",V1253=2,"Medium",V1253=3,"High",V1253=4,"Very High")</f>
        <v>Low</v>
      </c>
      <c r="X1253" t="s">
        <v>48</v>
      </c>
      <c r="Y1253" s="2">
        <v>7140</v>
      </c>
      <c r="Z1253" s="2">
        <v>3088</v>
      </c>
      <c r="AA1253">
        <v>2</v>
      </c>
      <c r="AB1253" t="s">
        <v>39</v>
      </c>
      <c r="AC1253">
        <v>11</v>
      </c>
      <c r="AD1253">
        <v>3</v>
      </c>
      <c r="AE1253" t="str" cm="1">
        <f t="array" ref="AE1253">_xlfn.IFS(AD1253=1,"Low",AD1253=2,"Good",AD1253=3,"Excellent",AD1253=4,"Outstanding")</f>
        <v>Excellent</v>
      </c>
      <c r="AF1253">
        <v>1</v>
      </c>
      <c r="AG1253" t="str" cm="1">
        <f t="array" ref="AG1253">_xlfn.IFS(AF1253=1,"Low",AF1253=2,"Medium",AF1253=3,"High",AF1253=4,"Very High")</f>
        <v>Low</v>
      </c>
      <c r="AH1253">
        <v>1</v>
      </c>
      <c r="AI1253">
        <v>12</v>
      </c>
      <c r="AJ1253">
        <v>2</v>
      </c>
      <c r="AK1253">
        <v>3</v>
      </c>
      <c r="AL1253" t="str" cm="1">
        <f t="array" ref="AL1253">_xlfn.IFS(AK1253=1,"Low",AK1253=2,"Medium",AK1253=3,"High",AK1253=4,"Very High")</f>
        <v>High</v>
      </c>
      <c r="AM1253">
        <v>7</v>
      </c>
      <c r="AN1253">
        <v>7</v>
      </c>
      <c r="AO1253">
        <v>1</v>
      </c>
      <c r="AP1253">
        <v>7</v>
      </c>
    </row>
    <row r="1254" spans="1:42">
      <c r="A1254">
        <v>34</v>
      </c>
      <c r="B1254" t="str" cm="1">
        <f t="array" ref="B1254">_xlfn.IFS(A1254&lt;=25,"18-25",A1254&lt;=35,"26-35",A1254&lt;=45,"36-45",A1254&lt;=55,"46-55",A1254&gt;55,"56+")</f>
        <v>26-35</v>
      </c>
      <c r="C1254" t="s">
        <v>39</v>
      </c>
      <c r="D1254" t="s">
        <v>33</v>
      </c>
      <c r="E1254" s="2">
        <v>181</v>
      </c>
      <c r="F1254" t="s">
        <v>41</v>
      </c>
      <c r="G1254">
        <v>2</v>
      </c>
      <c r="H1254" t="str">
        <f t="shared" si="19"/>
        <v>1-10 km</v>
      </c>
      <c r="I1254">
        <v>4</v>
      </c>
      <c r="J1254" t="str" cm="1">
        <f t="array" ref="J1254">_xlfn.IFS(I1254=1,"Below College",I1254=2,"College",I1254=3,"Bachelor",I1254=4,"Master",I1254=5,"Doctor")</f>
        <v>Master</v>
      </c>
      <c r="K1254" t="s">
        <v>47</v>
      </c>
      <c r="L1254">
        <v>1755</v>
      </c>
      <c r="M1254">
        <v>4</v>
      </c>
      <c r="N1254" t="str" cm="1">
        <f t="array" ref="N1254">_xlfn.IFS(M1254=1,"Low",M1254=2,"Medium",M1254=3,"High",M1254=4,"Very High")</f>
        <v>Very High</v>
      </c>
      <c r="O1254" t="s">
        <v>42</v>
      </c>
      <c r="P1254" s="2">
        <v>97</v>
      </c>
      <c r="Q1254">
        <v>4</v>
      </c>
      <c r="R1254" t="str" cm="1">
        <f t="array" ref="R1254">_xlfn.IFS(Q1254=1,"Low",Q1254=2,"Medium",Q1254=3,"High",Q1254=4,"Very High")</f>
        <v>Very High</v>
      </c>
      <c r="S1254">
        <v>1</v>
      </c>
      <c r="T1254" t="str" cm="1">
        <f t="array" ref="T1254">_xlfn.IFS(S1254=1,"Entry Level",S1254=2,"Junior",S1254=3,"Mid-Level",S1254=4,"Senior",S1254=5,"Executive")</f>
        <v>Entry Level</v>
      </c>
      <c r="U1254" t="s">
        <v>43</v>
      </c>
      <c r="V1254">
        <v>4</v>
      </c>
      <c r="W1254" t="str" cm="1">
        <f t="array" ref="W1254">_xlfn.IFS(V1254=1,"Low",V1254=2,"Medium",V1254=3,"High",V1254=4,"Very High")</f>
        <v>Very High</v>
      </c>
      <c r="X1254" t="s">
        <v>44</v>
      </c>
      <c r="Y1254" s="2">
        <v>2932</v>
      </c>
      <c r="Z1254" s="2">
        <v>5586</v>
      </c>
      <c r="AA1254">
        <v>0</v>
      </c>
      <c r="AB1254" t="s">
        <v>32</v>
      </c>
      <c r="AC1254">
        <v>14</v>
      </c>
      <c r="AD1254">
        <v>3</v>
      </c>
      <c r="AE1254" t="str" cm="1">
        <f t="array" ref="AE1254">_xlfn.IFS(AD1254=1,"Low",AD1254=2,"Good",AD1254=3,"Excellent",AD1254=4,"Outstanding")</f>
        <v>Excellent</v>
      </c>
      <c r="AF1254">
        <v>1</v>
      </c>
      <c r="AG1254" t="str" cm="1">
        <f t="array" ref="AG1254">_xlfn.IFS(AF1254=1,"Low",AF1254=2,"Medium",AF1254=3,"High",AF1254=4,"Very High")</f>
        <v>Low</v>
      </c>
      <c r="AH1254">
        <v>3</v>
      </c>
      <c r="AI1254">
        <v>6</v>
      </c>
      <c r="AJ1254">
        <v>3</v>
      </c>
      <c r="AK1254">
        <v>3</v>
      </c>
      <c r="AL1254" t="str" cm="1">
        <f t="array" ref="AL1254">_xlfn.IFS(AK1254=1,"Low",AK1254=2,"Medium",AK1254=3,"High",AK1254=4,"Very High")</f>
        <v>High</v>
      </c>
      <c r="AM1254">
        <v>5</v>
      </c>
      <c r="AN1254">
        <v>0</v>
      </c>
      <c r="AO1254">
        <v>1</v>
      </c>
      <c r="AP1254">
        <v>2</v>
      </c>
    </row>
    <row r="1255" spans="1:42">
      <c r="A1255">
        <v>33</v>
      </c>
      <c r="B1255" t="str" cm="1">
        <f t="array" ref="B1255">_xlfn.IFS(A1255&lt;=25,"18-25",A1255&lt;=35,"26-35",A1255&lt;=45,"36-45",A1255&lt;=55,"46-55",A1255&gt;55,"56+")</f>
        <v>26-35</v>
      </c>
      <c r="C1255" t="s">
        <v>39</v>
      </c>
      <c r="D1255" t="s">
        <v>51</v>
      </c>
      <c r="E1255" s="2">
        <v>1283</v>
      </c>
      <c r="F1255" t="s">
        <v>34</v>
      </c>
      <c r="G1255">
        <v>2</v>
      </c>
      <c r="H1255" t="str">
        <f t="shared" si="19"/>
        <v>1-10 km</v>
      </c>
      <c r="I1255">
        <v>3</v>
      </c>
      <c r="J1255" t="str" cm="1">
        <f t="array" ref="J1255">_xlfn.IFS(I1255=1,"Below College",I1255=2,"College",I1255=3,"Bachelor",I1255=4,"Master",I1255=5,"Doctor")</f>
        <v>Bachelor</v>
      </c>
      <c r="K1255" t="s">
        <v>55</v>
      </c>
      <c r="L1255">
        <v>1756</v>
      </c>
      <c r="M1255">
        <v>4</v>
      </c>
      <c r="N1255" t="str" cm="1">
        <f t="array" ref="N1255">_xlfn.IFS(M1255=1,"Low",M1255=2,"Medium",M1255=3,"High",M1255=4,"Very High")</f>
        <v>Very High</v>
      </c>
      <c r="O1255" t="s">
        <v>36</v>
      </c>
      <c r="P1255" s="2">
        <v>62</v>
      </c>
      <c r="Q1255">
        <v>3</v>
      </c>
      <c r="R1255" t="str" cm="1">
        <f t="array" ref="R1255">_xlfn.IFS(Q1255=1,"Low",Q1255=2,"Medium",Q1255=3,"High",Q1255=4,"Very High")</f>
        <v>High</v>
      </c>
      <c r="S1255">
        <v>2</v>
      </c>
      <c r="T1255" t="str" cm="1">
        <f t="array" ref="T1255">_xlfn.IFS(S1255=1,"Entry Level",S1255=2,"Junior",S1255=3,"Mid-Level",S1255=4,"Senior",S1255=5,"Executive")</f>
        <v>Junior</v>
      </c>
      <c r="U1255" t="s">
        <v>37</v>
      </c>
      <c r="V1255">
        <v>2</v>
      </c>
      <c r="W1255" t="str" cm="1">
        <f t="array" ref="W1255">_xlfn.IFS(V1255=1,"Low",V1255=2,"Medium",V1255=3,"High",V1255=4,"Very High")</f>
        <v>Medium</v>
      </c>
      <c r="X1255" t="s">
        <v>38</v>
      </c>
      <c r="Y1255" s="2">
        <v>5147</v>
      </c>
      <c r="Z1255" s="2">
        <v>10697</v>
      </c>
      <c r="AA1255">
        <v>8</v>
      </c>
      <c r="AB1255" t="s">
        <v>39</v>
      </c>
      <c r="AC1255">
        <v>15</v>
      </c>
      <c r="AD1255">
        <v>3</v>
      </c>
      <c r="AE1255" t="str" cm="1">
        <f t="array" ref="AE1255">_xlfn.IFS(AD1255=1,"Low",AD1255=2,"Good",AD1255=3,"Excellent",AD1255=4,"Outstanding")</f>
        <v>Excellent</v>
      </c>
      <c r="AF1255">
        <v>4</v>
      </c>
      <c r="AG1255" t="str" cm="1">
        <f t="array" ref="AG1255">_xlfn.IFS(AF1255=1,"Low",AF1255=2,"Medium",AF1255=3,"High",AF1255=4,"Very High")</f>
        <v>Very High</v>
      </c>
      <c r="AH1255">
        <v>0</v>
      </c>
      <c r="AI1255">
        <v>13</v>
      </c>
      <c r="AJ1255">
        <v>2</v>
      </c>
      <c r="AK1255">
        <v>2</v>
      </c>
      <c r="AL1255" t="str" cm="1">
        <f t="array" ref="AL1255">_xlfn.IFS(AK1255=1,"Low",AK1255=2,"Medium",AK1255=3,"High",AK1255=4,"Very High")</f>
        <v>Medium</v>
      </c>
      <c r="AM1255">
        <v>11</v>
      </c>
      <c r="AN1255">
        <v>7</v>
      </c>
      <c r="AO1255">
        <v>1</v>
      </c>
      <c r="AP1255">
        <v>7</v>
      </c>
    </row>
    <row r="1256" spans="1:42">
      <c r="A1256">
        <v>49</v>
      </c>
      <c r="B1256" t="str" cm="1">
        <f t="array" ref="B1256">_xlfn.IFS(A1256&lt;=25,"18-25",A1256&lt;=35,"26-35",A1256&lt;=45,"36-45",A1256&lt;=55,"46-55",A1256&gt;55,"56+")</f>
        <v>46-55</v>
      </c>
      <c r="C1256" t="s">
        <v>39</v>
      </c>
      <c r="D1256" t="s">
        <v>33</v>
      </c>
      <c r="E1256" s="2">
        <v>1313</v>
      </c>
      <c r="F1256" t="s">
        <v>34</v>
      </c>
      <c r="G1256">
        <v>11</v>
      </c>
      <c r="H1256" t="str">
        <f t="shared" si="19"/>
        <v>11-20 km</v>
      </c>
      <c r="I1256">
        <v>4</v>
      </c>
      <c r="J1256" t="str" cm="1">
        <f t="array" ref="J1256">_xlfn.IFS(I1256=1,"Below College",I1256=2,"College",I1256=3,"Bachelor",I1256=4,"Master",I1256=5,"Doctor")</f>
        <v>Master</v>
      </c>
      <c r="K1256" t="s">
        <v>55</v>
      </c>
      <c r="L1256">
        <v>1757</v>
      </c>
      <c r="M1256">
        <v>4</v>
      </c>
      <c r="N1256" t="str" cm="1">
        <f t="array" ref="N1256">_xlfn.IFS(M1256=1,"Low",M1256=2,"Medium",M1256=3,"High",M1256=4,"Very High")</f>
        <v>Very High</v>
      </c>
      <c r="O1256" t="s">
        <v>36</v>
      </c>
      <c r="P1256" s="2">
        <v>80</v>
      </c>
      <c r="Q1256">
        <v>3</v>
      </c>
      <c r="R1256" t="str" cm="1">
        <f t="array" ref="R1256">_xlfn.IFS(Q1256=1,"Low",Q1256=2,"Medium",Q1256=3,"High",Q1256=4,"Very High")</f>
        <v>High</v>
      </c>
      <c r="S1256">
        <v>2</v>
      </c>
      <c r="T1256" t="str" cm="1">
        <f t="array" ref="T1256">_xlfn.IFS(S1256=1,"Entry Level",S1256=2,"Junior",S1256=3,"Mid-Level",S1256=4,"Senior",S1256=5,"Executive")</f>
        <v>Junior</v>
      </c>
      <c r="U1256" t="s">
        <v>37</v>
      </c>
      <c r="V1256">
        <v>4</v>
      </c>
      <c r="W1256" t="str" cm="1">
        <f t="array" ref="W1256">_xlfn.IFS(V1256=1,"Low",V1256=2,"Medium",V1256=3,"High",V1256=4,"Very High")</f>
        <v>Very High</v>
      </c>
      <c r="X1256" t="s">
        <v>38</v>
      </c>
      <c r="Y1256" s="2">
        <v>4507</v>
      </c>
      <c r="Z1256" s="2">
        <v>8191</v>
      </c>
      <c r="AA1256">
        <v>3</v>
      </c>
      <c r="AB1256" t="s">
        <v>39</v>
      </c>
      <c r="AC1256">
        <v>12</v>
      </c>
      <c r="AD1256">
        <v>3</v>
      </c>
      <c r="AE1256" t="str" cm="1">
        <f t="array" ref="AE1256">_xlfn.IFS(AD1256=1,"Low",AD1256=2,"Good",AD1256=3,"Excellent",AD1256=4,"Outstanding")</f>
        <v>Excellent</v>
      </c>
      <c r="AF1256">
        <v>3</v>
      </c>
      <c r="AG1256" t="str" cm="1">
        <f t="array" ref="AG1256">_xlfn.IFS(AF1256=1,"Low",AF1256=2,"Medium",AF1256=3,"High",AF1256=4,"Very High")</f>
        <v>High</v>
      </c>
      <c r="AH1256">
        <v>0</v>
      </c>
      <c r="AI1256">
        <v>8</v>
      </c>
      <c r="AJ1256">
        <v>1</v>
      </c>
      <c r="AK1256">
        <v>4</v>
      </c>
      <c r="AL1256" t="str" cm="1">
        <f t="array" ref="AL1256">_xlfn.IFS(AK1256=1,"Low",AK1256=2,"Medium",AK1256=3,"High",AK1256=4,"Very High")</f>
        <v>Very High</v>
      </c>
      <c r="AM1256">
        <v>5</v>
      </c>
      <c r="AN1256">
        <v>1</v>
      </c>
      <c r="AO1256">
        <v>0</v>
      </c>
      <c r="AP1256">
        <v>4</v>
      </c>
    </row>
    <row r="1257" spans="1:42">
      <c r="A1257">
        <v>33</v>
      </c>
      <c r="B1257" t="str" cm="1">
        <f t="array" ref="B1257">_xlfn.IFS(A1257&lt;=25,"18-25",A1257&lt;=35,"26-35",A1257&lt;=45,"36-45",A1257&lt;=55,"46-55",A1257&gt;55,"56+")</f>
        <v>26-35</v>
      </c>
      <c r="C1257" t="s">
        <v>32</v>
      </c>
      <c r="D1257" t="s">
        <v>33</v>
      </c>
      <c r="E1257" s="2">
        <v>211</v>
      </c>
      <c r="F1257" t="s">
        <v>34</v>
      </c>
      <c r="G1257">
        <v>16</v>
      </c>
      <c r="H1257" t="str">
        <f t="shared" si="19"/>
        <v>11-20 km</v>
      </c>
      <c r="I1257">
        <v>3</v>
      </c>
      <c r="J1257" t="str" cm="1">
        <f t="array" ref="J1257">_xlfn.IFS(I1257=1,"Below College",I1257=2,"College",I1257=3,"Bachelor",I1257=4,"Master",I1257=5,"Doctor")</f>
        <v>Bachelor</v>
      </c>
      <c r="K1257" t="s">
        <v>35</v>
      </c>
      <c r="L1257">
        <v>1758</v>
      </c>
      <c r="M1257">
        <v>1</v>
      </c>
      <c r="N1257" t="str" cm="1">
        <f t="array" ref="N1257">_xlfn.IFS(M1257=1,"Low",M1257=2,"Medium",M1257=3,"High",M1257=4,"Very High")</f>
        <v>Low</v>
      </c>
      <c r="O1257" t="s">
        <v>36</v>
      </c>
      <c r="P1257" s="2">
        <v>74</v>
      </c>
      <c r="Q1257">
        <v>3</v>
      </c>
      <c r="R1257" t="str" cm="1">
        <f t="array" ref="R1257">_xlfn.IFS(Q1257=1,"Low",Q1257=2,"Medium",Q1257=3,"High",Q1257=4,"Very High")</f>
        <v>High</v>
      </c>
      <c r="S1257">
        <v>3</v>
      </c>
      <c r="T1257" t="str" cm="1">
        <f t="array" ref="T1257">_xlfn.IFS(S1257=1,"Entry Level",S1257=2,"Junior",S1257=3,"Mid-Level",S1257=4,"Senior",S1257=5,"Executive")</f>
        <v>Mid-Level</v>
      </c>
      <c r="U1257" t="s">
        <v>37</v>
      </c>
      <c r="V1257">
        <v>1</v>
      </c>
      <c r="W1257" t="str" cm="1">
        <f t="array" ref="W1257">_xlfn.IFS(V1257=1,"Low",V1257=2,"Medium",V1257=3,"High",V1257=4,"Very High")</f>
        <v>Low</v>
      </c>
      <c r="X1257" t="s">
        <v>38</v>
      </c>
      <c r="Y1257" s="2">
        <v>8564</v>
      </c>
      <c r="Z1257" s="2">
        <v>10092</v>
      </c>
      <c r="AA1257">
        <v>2</v>
      </c>
      <c r="AB1257" t="s">
        <v>32</v>
      </c>
      <c r="AC1257">
        <v>20</v>
      </c>
      <c r="AD1257">
        <v>4</v>
      </c>
      <c r="AE1257" t="str" cm="1">
        <f t="array" ref="AE1257">_xlfn.IFS(AD1257=1,"Low",AD1257=2,"Good",AD1257=3,"Excellent",AD1257=4,"Outstanding")</f>
        <v>Outstanding</v>
      </c>
      <c r="AF1257">
        <v>3</v>
      </c>
      <c r="AG1257" t="str" cm="1">
        <f t="array" ref="AG1257">_xlfn.IFS(AF1257=1,"Low",AF1257=2,"Medium",AF1257=3,"High",AF1257=4,"Very High")</f>
        <v>High</v>
      </c>
      <c r="AH1257">
        <v>0</v>
      </c>
      <c r="AI1257">
        <v>11</v>
      </c>
      <c r="AJ1257">
        <v>2</v>
      </c>
      <c r="AK1257">
        <v>2</v>
      </c>
      <c r="AL1257" t="str" cm="1">
        <f t="array" ref="AL1257">_xlfn.IFS(AK1257=1,"Low",AK1257=2,"Medium",AK1257=3,"High",AK1257=4,"Very High")</f>
        <v>Medium</v>
      </c>
      <c r="AM1257">
        <v>0</v>
      </c>
      <c r="AN1257">
        <v>0</v>
      </c>
      <c r="AO1257">
        <v>0</v>
      </c>
      <c r="AP1257">
        <v>0</v>
      </c>
    </row>
    <row r="1258" spans="1:42">
      <c r="A1258">
        <v>38</v>
      </c>
      <c r="B1258" t="str" cm="1">
        <f t="array" ref="B1258">_xlfn.IFS(A1258&lt;=25,"18-25",A1258&lt;=35,"26-35",A1258&lt;=45,"36-45",A1258&lt;=55,"46-55",A1258&gt;55,"56+")</f>
        <v>36-45</v>
      </c>
      <c r="C1258" t="s">
        <v>39</v>
      </c>
      <c r="D1258" t="s">
        <v>40</v>
      </c>
      <c r="E1258" s="2">
        <v>594</v>
      </c>
      <c r="F1258" t="s">
        <v>41</v>
      </c>
      <c r="G1258">
        <v>2</v>
      </c>
      <c r="H1258" t="str">
        <f t="shared" si="19"/>
        <v>1-10 km</v>
      </c>
      <c r="I1258">
        <v>2</v>
      </c>
      <c r="J1258" t="str" cm="1">
        <f t="array" ref="J1258">_xlfn.IFS(I1258=1,"Below College",I1258=2,"College",I1258=3,"Bachelor",I1258=4,"Master",I1258=5,"Doctor")</f>
        <v>College</v>
      </c>
      <c r="K1258" t="s">
        <v>47</v>
      </c>
      <c r="L1258">
        <v>1760</v>
      </c>
      <c r="M1258">
        <v>3</v>
      </c>
      <c r="N1258" t="str" cm="1">
        <f t="array" ref="N1258">_xlfn.IFS(M1258=1,"Low",M1258=2,"Medium",M1258=3,"High",M1258=4,"Very High")</f>
        <v>High</v>
      </c>
      <c r="O1258" t="s">
        <v>36</v>
      </c>
      <c r="P1258" s="2">
        <v>75</v>
      </c>
      <c r="Q1258">
        <v>2</v>
      </c>
      <c r="R1258" t="str" cm="1">
        <f t="array" ref="R1258">_xlfn.IFS(Q1258=1,"Low",Q1258=2,"Medium",Q1258=3,"High",Q1258=4,"Very High")</f>
        <v>Medium</v>
      </c>
      <c r="S1258">
        <v>1</v>
      </c>
      <c r="T1258" t="str" cm="1">
        <f t="array" ref="T1258">_xlfn.IFS(S1258=1,"Entry Level",S1258=2,"Junior",S1258=3,"Mid-Level",S1258=4,"Senior",S1258=5,"Executive")</f>
        <v>Entry Level</v>
      </c>
      <c r="U1258" t="s">
        <v>46</v>
      </c>
      <c r="V1258">
        <v>2</v>
      </c>
      <c r="W1258" t="str" cm="1">
        <f t="array" ref="W1258">_xlfn.IFS(V1258=1,"Low",V1258=2,"Medium",V1258=3,"High",V1258=4,"Very High")</f>
        <v>Medium</v>
      </c>
      <c r="X1258" t="s">
        <v>44</v>
      </c>
      <c r="Y1258" s="2">
        <v>2468</v>
      </c>
      <c r="Z1258" s="2">
        <v>15963</v>
      </c>
      <c r="AA1258">
        <v>4</v>
      </c>
      <c r="AB1258" t="s">
        <v>39</v>
      </c>
      <c r="AC1258">
        <v>14</v>
      </c>
      <c r="AD1258">
        <v>3</v>
      </c>
      <c r="AE1258" t="str" cm="1">
        <f t="array" ref="AE1258">_xlfn.IFS(AD1258=1,"Low",AD1258=2,"Good",AD1258=3,"Excellent",AD1258=4,"Outstanding")</f>
        <v>Excellent</v>
      </c>
      <c r="AF1258">
        <v>2</v>
      </c>
      <c r="AG1258" t="str" cm="1">
        <f t="array" ref="AG1258">_xlfn.IFS(AF1258=1,"Low",AF1258=2,"Medium",AF1258=3,"High",AF1258=4,"Very High")</f>
        <v>Medium</v>
      </c>
      <c r="AH1258">
        <v>1</v>
      </c>
      <c r="AI1258">
        <v>9</v>
      </c>
      <c r="AJ1258">
        <v>4</v>
      </c>
      <c r="AK1258">
        <v>2</v>
      </c>
      <c r="AL1258" t="str" cm="1">
        <f t="array" ref="AL1258">_xlfn.IFS(AK1258=1,"Low",AK1258=2,"Medium",AK1258=3,"High",AK1258=4,"Very High")</f>
        <v>Medium</v>
      </c>
      <c r="AM1258">
        <v>6</v>
      </c>
      <c r="AN1258">
        <v>1</v>
      </c>
      <c r="AO1258">
        <v>0</v>
      </c>
      <c r="AP1258">
        <v>5</v>
      </c>
    </row>
    <row r="1259" spans="1:42">
      <c r="A1259">
        <v>31</v>
      </c>
      <c r="B1259" t="str" cm="1">
        <f t="array" ref="B1259">_xlfn.IFS(A1259&lt;=25,"18-25",A1259&lt;=35,"26-35",A1259&lt;=45,"36-45",A1259&lt;=55,"46-55",A1259&gt;55,"56+")</f>
        <v>26-35</v>
      </c>
      <c r="C1259" t="s">
        <v>32</v>
      </c>
      <c r="D1259" t="s">
        <v>33</v>
      </c>
      <c r="E1259" s="2">
        <v>1079</v>
      </c>
      <c r="F1259" t="s">
        <v>34</v>
      </c>
      <c r="G1259">
        <v>16</v>
      </c>
      <c r="H1259" t="str">
        <f t="shared" si="19"/>
        <v>11-20 km</v>
      </c>
      <c r="I1259">
        <v>4</v>
      </c>
      <c r="J1259" t="str" cm="1">
        <f t="array" ref="J1259">_xlfn.IFS(I1259=1,"Below College",I1259=2,"College",I1259=3,"Bachelor",I1259=4,"Master",I1259=5,"Doctor")</f>
        <v>Master</v>
      </c>
      <c r="K1259" t="s">
        <v>55</v>
      </c>
      <c r="L1259">
        <v>1761</v>
      </c>
      <c r="M1259">
        <v>1</v>
      </c>
      <c r="N1259" t="str" cm="1">
        <f t="array" ref="N1259">_xlfn.IFS(M1259=1,"Low",M1259=2,"Medium",M1259=3,"High",M1259=4,"Very High")</f>
        <v>Low</v>
      </c>
      <c r="O1259" t="s">
        <v>42</v>
      </c>
      <c r="P1259" s="2">
        <v>70</v>
      </c>
      <c r="Q1259">
        <v>3</v>
      </c>
      <c r="R1259" t="str" cm="1">
        <f t="array" ref="R1259">_xlfn.IFS(Q1259=1,"Low",Q1259=2,"Medium",Q1259=3,"High",Q1259=4,"Very High")</f>
        <v>High</v>
      </c>
      <c r="S1259">
        <v>3</v>
      </c>
      <c r="T1259" t="str" cm="1">
        <f t="array" ref="T1259">_xlfn.IFS(S1259=1,"Entry Level",S1259=2,"Junior",S1259=3,"Mid-Level",S1259=4,"Senior",S1259=5,"Executive")</f>
        <v>Mid-Level</v>
      </c>
      <c r="U1259" t="s">
        <v>37</v>
      </c>
      <c r="V1259">
        <v>3</v>
      </c>
      <c r="W1259" t="str" cm="1">
        <f t="array" ref="W1259">_xlfn.IFS(V1259=1,"Low",V1259=2,"Medium",V1259=3,"High",V1259=4,"Very High")</f>
        <v>High</v>
      </c>
      <c r="X1259" t="s">
        <v>44</v>
      </c>
      <c r="Y1259" s="2">
        <v>8161</v>
      </c>
      <c r="Z1259" s="2">
        <v>19002</v>
      </c>
      <c r="AA1259">
        <v>2</v>
      </c>
      <c r="AB1259" t="s">
        <v>39</v>
      </c>
      <c r="AC1259">
        <v>13</v>
      </c>
      <c r="AD1259">
        <v>3</v>
      </c>
      <c r="AE1259" t="str" cm="1">
        <f t="array" ref="AE1259">_xlfn.IFS(AD1259=1,"Low",AD1259=2,"Good",AD1259=3,"Excellent",AD1259=4,"Outstanding")</f>
        <v>Excellent</v>
      </c>
      <c r="AF1259">
        <v>1</v>
      </c>
      <c r="AG1259" t="str" cm="1">
        <f t="array" ref="AG1259">_xlfn.IFS(AF1259=1,"Low",AF1259=2,"Medium",AF1259=3,"High",AF1259=4,"Very High")</f>
        <v>Low</v>
      </c>
      <c r="AH1259">
        <v>3</v>
      </c>
      <c r="AI1259">
        <v>10</v>
      </c>
      <c r="AJ1259">
        <v>2</v>
      </c>
      <c r="AK1259">
        <v>3</v>
      </c>
      <c r="AL1259" t="str" cm="1">
        <f t="array" ref="AL1259">_xlfn.IFS(AK1259=1,"Low",AK1259=2,"Medium",AK1259=3,"High",AK1259=4,"Very High")</f>
        <v>High</v>
      </c>
      <c r="AM1259">
        <v>1</v>
      </c>
      <c r="AN1259">
        <v>0</v>
      </c>
      <c r="AO1259">
        <v>0</v>
      </c>
      <c r="AP1259">
        <v>0</v>
      </c>
    </row>
    <row r="1260" spans="1:42">
      <c r="A1260">
        <v>29</v>
      </c>
      <c r="B1260" t="str" cm="1">
        <f t="array" ref="B1260">_xlfn.IFS(A1260&lt;=25,"18-25",A1260&lt;=35,"26-35",A1260&lt;=45,"36-45",A1260&lt;=55,"46-55",A1260&gt;55,"56+")</f>
        <v>26-35</v>
      </c>
      <c r="C1260" t="s">
        <v>39</v>
      </c>
      <c r="D1260" t="s">
        <v>33</v>
      </c>
      <c r="E1260" s="2">
        <v>590</v>
      </c>
      <c r="F1260" t="s">
        <v>41</v>
      </c>
      <c r="G1260">
        <v>4</v>
      </c>
      <c r="H1260" t="str">
        <f t="shared" si="19"/>
        <v>1-10 km</v>
      </c>
      <c r="I1260">
        <v>3</v>
      </c>
      <c r="J1260" t="str" cm="1">
        <f t="array" ref="J1260">_xlfn.IFS(I1260=1,"Below College",I1260=2,"College",I1260=3,"Bachelor",I1260=4,"Master",I1260=5,"Doctor")</f>
        <v>Bachelor</v>
      </c>
      <c r="K1260" t="s">
        <v>56</v>
      </c>
      <c r="L1260">
        <v>1762</v>
      </c>
      <c r="M1260">
        <v>4</v>
      </c>
      <c r="N1260" t="str" cm="1">
        <f t="array" ref="N1260">_xlfn.IFS(M1260=1,"Low",M1260=2,"Medium",M1260=3,"High",M1260=4,"Very High")</f>
        <v>Very High</v>
      </c>
      <c r="O1260" t="s">
        <v>36</v>
      </c>
      <c r="P1260" s="2">
        <v>91</v>
      </c>
      <c r="Q1260">
        <v>2</v>
      </c>
      <c r="R1260" t="str" cm="1">
        <f t="array" ref="R1260">_xlfn.IFS(Q1260=1,"Low",Q1260=2,"Medium",Q1260=3,"High",Q1260=4,"Very High")</f>
        <v>Medium</v>
      </c>
      <c r="S1260">
        <v>1</v>
      </c>
      <c r="T1260" t="str" cm="1">
        <f t="array" ref="T1260">_xlfn.IFS(S1260=1,"Entry Level",S1260=2,"Junior",S1260=3,"Mid-Level",S1260=4,"Senior",S1260=5,"Executive")</f>
        <v>Entry Level</v>
      </c>
      <c r="U1260" t="s">
        <v>43</v>
      </c>
      <c r="V1260">
        <v>1</v>
      </c>
      <c r="W1260" t="str" cm="1">
        <f t="array" ref="W1260">_xlfn.IFS(V1260=1,"Low",V1260=2,"Medium",V1260=3,"High",V1260=4,"Very High")</f>
        <v>Low</v>
      </c>
      <c r="X1260" t="s">
        <v>48</v>
      </c>
      <c r="Y1260" s="2">
        <v>2109</v>
      </c>
      <c r="Z1260" s="2">
        <v>10007</v>
      </c>
      <c r="AA1260">
        <v>1</v>
      </c>
      <c r="AB1260" t="s">
        <v>39</v>
      </c>
      <c r="AC1260">
        <v>13</v>
      </c>
      <c r="AD1260">
        <v>3</v>
      </c>
      <c r="AE1260" t="str" cm="1">
        <f t="array" ref="AE1260">_xlfn.IFS(AD1260=1,"Low",AD1260=2,"Good",AD1260=3,"Excellent",AD1260=4,"Outstanding")</f>
        <v>Excellent</v>
      </c>
      <c r="AF1260">
        <v>3</v>
      </c>
      <c r="AG1260" t="str" cm="1">
        <f t="array" ref="AG1260">_xlfn.IFS(AF1260=1,"Low",AF1260=2,"Medium",AF1260=3,"High",AF1260=4,"Very High")</f>
        <v>High</v>
      </c>
      <c r="AH1260">
        <v>1</v>
      </c>
      <c r="AI1260">
        <v>1</v>
      </c>
      <c r="AJ1260">
        <v>2</v>
      </c>
      <c r="AK1260">
        <v>3</v>
      </c>
      <c r="AL1260" t="str" cm="1">
        <f t="array" ref="AL1260">_xlfn.IFS(AK1260=1,"Low",AK1260=2,"Medium",AK1260=3,"High",AK1260=4,"Very High")</f>
        <v>High</v>
      </c>
      <c r="AM1260">
        <v>1</v>
      </c>
      <c r="AN1260">
        <v>0</v>
      </c>
      <c r="AO1260">
        <v>0</v>
      </c>
      <c r="AP1260">
        <v>0</v>
      </c>
    </row>
    <row r="1261" spans="1:42">
      <c r="A1261">
        <v>30</v>
      </c>
      <c r="B1261" t="str" cm="1">
        <f t="array" ref="B1261">_xlfn.IFS(A1261&lt;=25,"18-25",A1261&lt;=35,"26-35",A1261&lt;=45,"36-45",A1261&lt;=55,"46-55",A1261&gt;55,"56+")</f>
        <v>26-35</v>
      </c>
      <c r="C1261" t="s">
        <v>39</v>
      </c>
      <c r="D1261" t="s">
        <v>33</v>
      </c>
      <c r="E1261" s="2">
        <v>305</v>
      </c>
      <c r="F1261" t="s">
        <v>41</v>
      </c>
      <c r="G1261">
        <v>16</v>
      </c>
      <c r="H1261" t="str">
        <f t="shared" si="19"/>
        <v>11-20 km</v>
      </c>
      <c r="I1261">
        <v>3</v>
      </c>
      <c r="J1261" t="str" cm="1">
        <f t="array" ref="J1261">_xlfn.IFS(I1261=1,"Below College",I1261=2,"College",I1261=3,"Bachelor",I1261=4,"Master",I1261=5,"Doctor")</f>
        <v>Bachelor</v>
      </c>
      <c r="K1261" t="s">
        <v>35</v>
      </c>
      <c r="L1261">
        <v>1763</v>
      </c>
      <c r="M1261">
        <v>3</v>
      </c>
      <c r="N1261" t="str" cm="1">
        <f t="array" ref="N1261">_xlfn.IFS(M1261=1,"Low",M1261=2,"Medium",M1261=3,"High",M1261=4,"Very High")</f>
        <v>High</v>
      </c>
      <c r="O1261" t="s">
        <v>42</v>
      </c>
      <c r="P1261" s="2">
        <v>58</v>
      </c>
      <c r="Q1261">
        <v>4</v>
      </c>
      <c r="R1261" t="str" cm="1">
        <f t="array" ref="R1261">_xlfn.IFS(Q1261=1,"Low",Q1261=2,"Medium",Q1261=3,"High",Q1261=4,"Very High")</f>
        <v>Very High</v>
      </c>
      <c r="S1261">
        <v>2</v>
      </c>
      <c r="T1261" t="str" cm="1">
        <f t="array" ref="T1261">_xlfn.IFS(S1261=1,"Entry Level",S1261=2,"Junior",S1261=3,"Mid-Level",S1261=4,"Senior",S1261=5,"Executive")</f>
        <v>Junior</v>
      </c>
      <c r="U1261" t="s">
        <v>50</v>
      </c>
      <c r="V1261">
        <v>3</v>
      </c>
      <c r="W1261" t="str" cm="1">
        <f t="array" ref="W1261">_xlfn.IFS(V1261=1,"Low",V1261=2,"Medium",V1261=3,"High",V1261=4,"Very High")</f>
        <v>High</v>
      </c>
      <c r="X1261" t="s">
        <v>44</v>
      </c>
      <c r="Y1261" s="2">
        <v>5294</v>
      </c>
      <c r="Z1261" s="2">
        <v>9128</v>
      </c>
      <c r="AA1261">
        <v>3</v>
      </c>
      <c r="AB1261" t="s">
        <v>39</v>
      </c>
      <c r="AC1261">
        <v>16</v>
      </c>
      <c r="AD1261">
        <v>3</v>
      </c>
      <c r="AE1261" t="str" cm="1">
        <f t="array" ref="AE1261">_xlfn.IFS(AD1261=1,"Low",AD1261=2,"Good",AD1261=3,"Excellent",AD1261=4,"Outstanding")</f>
        <v>Excellent</v>
      </c>
      <c r="AF1261">
        <v>3</v>
      </c>
      <c r="AG1261" t="str" cm="1">
        <f t="array" ref="AG1261">_xlfn.IFS(AF1261=1,"Low",AF1261=2,"Medium",AF1261=3,"High",AF1261=4,"Very High")</f>
        <v>High</v>
      </c>
      <c r="AH1261">
        <v>1</v>
      </c>
      <c r="AI1261">
        <v>10</v>
      </c>
      <c r="AJ1261">
        <v>3</v>
      </c>
      <c r="AK1261">
        <v>3</v>
      </c>
      <c r="AL1261" t="str" cm="1">
        <f t="array" ref="AL1261">_xlfn.IFS(AK1261=1,"Low",AK1261=2,"Medium",AK1261=3,"High",AK1261=4,"Very High")</f>
        <v>High</v>
      </c>
      <c r="AM1261">
        <v>7</v>
      </c>
      <c r="AN1261">
        <v>0</v>
      </c>
      <c r="AO1261">
        <v>1</v>
      </c>
      <c r="AP1261">
        <v>7</v>
      </c>
    </row>
    <row r="1262" spans="1:42">
      <c r="A1262">
        <v>32</v>
      </c>
      <c r="B1262" t="str" cm="1">
        <f t="array" ref="B1262">_xlfn.IFS(A1262&lt;=25,"18-25",A1262&lt;=35,"26-35",A1262&lt;=45,"36-45",A1262&lt;=55,"46-55",A1262&gt;55,"56+")</f>
        <v>26-35</v>
      </c>
      <c r="C1262" t="s">
        <v>39</v>
      </c>
      <c r="D1262" t="s">
        <v>51</v>
      </c>
      <c r="E1262" s="2">
        <v>953</v>
      </c>
      <c r="F1262" t="s">
        <v>41</v>
      </c>
      <c r="G1262">
        <v>5</v>
      </c>
      <c r="H1262" t="str">
        <f t="shared" si="19"/>
        <v>1-10 km</v>
      </c>
      <c r="I1262">
        <v>4</v>
      </c>
      <c r="J1262" t="str" cm="1">
        <f t="array" ref="J1262">_xlfn.IFS(I1262=1,"Below College",I1262=2,"College",I1262=3,"Bachelor",I1262=4,"Master",I1262=5,"Doctor")</f>
        <v>Master</v>
      </c>
      <c r="K1262" t="s">
        <v>56</v>
      </c>
      <c r="L1262">
        <v>1764</v>
      </c>
      <c r="M1262">
        <v>2</v>
      </c>
      <c r="N1262" t="str" cm="1">
        <f t="array" ref="N1262">_xlfn.IFS(M1262=1,"Low",M1262=2,"Medium",M1262=3,"High",M1262=4,"Very High")</f>
        <v>Medium</v>
      </c>
      <c r="O1262" t="s">
        <v>42</v>
      </c>
      <c r="P1262" s="2">
        <v>65</v>
      </c>
      <c r="Q1262">
        <v>3</v>
      </c>
      <c r="R1262" t="str" cm="1">
        <f t="array" ref="R1262">_xlfn.IFS(Q1262=1,"Low",Q1262=2,"Medium",Q1262=3,"High",Q1262=4,"Very High")</f>
        <v>High</v>
      </c>
      <c r="S1262">
        <v>1</v>
      </c>
      <c r="T1262" t="str" cm="1">
        <f t="array" ref="T1262">_xlfn.IFS(S1262=1,"Entry Level",S1262=2,"Junior",S1262=3,"Mid-Level",S1262=4,"Senior",S1262=5,"Executive")</f>
        <v>Entry Level</v>
      </c>
      <c r="U1262" t="s">
        <v>43</v>
      </c>
      <c r="V1262">
        <v>2</v>
      </c>
      <c r="W1262" t="str" cm="1">
        <f t="array" ref="W1262">_xlfn.IFS(V1262=1,"Low",V1262=2,"Medium",V1262=3,"High",V1262=4,"Very High")</f>
        <v>Medium</v>
      </c>
      <c r="X1262" t="s">
        <v>38</v>
      </c>
      <c r="Y1262" s="2">
        <v>2718</v>
      </c>
      <c r="Z1262" s="2">
        <v>17674</v>
      </c>
      <c r="AA1262">
        <v>2</v>
      </c>
      <c r="AB1262" t="s">
        <v>39</v>
      </c>
      <c r="AC1262">
        <v>14</v>
      </c>
      <c r="AD1262">
        <v>3</v>
      </c>
      <c r="AE1262" t="str" cm="1">
        <f t="array" ref="AE1262">_xlfn.IFS(AD1262=1,"Low",AD1262=2,"Good",AD1262=3,"Excellent",AD1262=4,"Outstanding")</f>
        <v>Excellent</v>
      </c>
      <c r="AF1262">
        <v>2</v>
      </c>
      <c r="AG1262" t="str" cm="1">
        <f t="array" ref="AG1262">_xlfn.IFS(AF1262=1,"Low",AF1262=2,"Medium",AF1262=3,"High",AF1262=4,"Very High")</f>
        <v>Medium</v>
      </c>
      <c r="AH1262">
        <v>0</v>
      </c>
      <c r="AI1262">
        <v>12</v>
      </c>
      <c r="AJ1262">
        <v>3</v>
      </c>
      <c r="AK1262">
        <v>3</v>
      </c>
      <c r="AL1262" t="str" cm="1">
        <f t="array" ref="AL1262">_xlfn.IFS(AK1262=1,"Low",AK1262=2,"Medium",AK1262=3,"High",AK1262=4,"Very High")</f>
        <v>High</v>
      </c>
      <c r="AM1262">
        <v>7</v>
      </c>
      <c r="AN1262">
        <v>7</v>
      </c>
      <c r="AO1262">
        <v>0</v>
      </c>
      <c r="AP1262">
        <v>7</v>
      </c>
    </row>
    <row r="1263" spans="1:42">
      <c r="A1263">
        <v>38</v>
      </c>
      <c r="B1263" t="str" cm="1">
        <f t="array" ref="B1263">_xlfn.IFS(A1263&lt;=25,"18-25",A1263&lt;=35,"26-35",A1263&lt;=45,"36-45",A1263&lt;=55,"46-55",A1263&gt;55,"56+")</f>
        <v>36-45</v>
      </c>
      <c r="C1263" t="s">
        <v>39</v>
      </c>
      <c r="D1263" t="s">
        <v>33</v>
      </c>
      <c r="E1263" s="2">
        <v>833</v>
      </c>
      <c r="F1263" t="s">
        <v>41</v>
      </c>
      <c r="G1263">
        <v>18</v>
      </c>
      <c r="H1263" t="str">
        <f t="shared" si="19"/>
        <v>11-20 km</v>
      </c>
      <c r="I1263">
        <v>3</v>
      </c>
      <c r="J1263" t="str" cm="1">
        <f t="array" ref="J1263">_xlfn.IFS(I1263=1,"Below College",I1263=2,"College",I1263=3,"Bachelor",I1263=4,"Master",I1263=5,"Doctor")</f>
        <v>Bachelor</v>
      </c>
      <c r="K1263" t="s">
        <v>47</v>
      </c>
      <c r="L1263">
        <v>1766</v>
      </c>
      <c r="M1263">
        <v>2</v>
      </c>
      <c r="N1263" t="str" cm="1">
        <f t="array" ref="N1263">_xlfn.IFS(M1263=1,"Low",M1263=2,"Medium",M1263=3,"High",M1263=4,"Very High")</f>
        <v>Medium</v>
      </c>
      <c r="O1263" t="s">
        <v>42</v>
      </c>
      <c r="P1263" s="2">
        <v>60</v>
      </c>
      <c r="Q1263">
        <v>1</v>
      </c>
      <c r="R1263" t="str" cm="1">
        <f t="array" ref="R1263">_xlfn.IFS(Q1263=1,"Low",Q1263=2,"Medium",Q1263=3,"High",Q1263=4,"Very High")</f>
        <v>Low</v>
      </c>
      <c r="S1263">
        <v>2</v>
      </c>
      <c r="T1263" t="str" cm="1">
        <f t="array" ref="T1263">_xlfn.IFS(S1263=1,"Entry Level",S1263=2,"Junior",S1263=3,"Mid-Level",S1263=4,"Senior",S1263=5,"Executive")</f>
        <v>Junior</v>
      </c>
      <c r="U1263" t="s">
        <v>50</v>
      </c>
      <c r="V1263">
        <v>4</v>
      </c>
      <c r="W1263" t="str" cm="1">
        <f t="array" ref="W1263">_xlfn.IFS(V1263=1,"Low",V1263=2,"Medium",V1263=3,"High",V1263=4,"Very High")</f>
        <v>Very High</v>
      </c>
      <c r="X1263" t="s">
        <v>44</v>
      </c>
      <c r="Y1263" s="2">
        <v>5811</v>
      </c>
      <c r="Z1263" s="2">
        <v>24539</v>
      </c>
      <c r="AA1263">
        <v>3</v>
      </c>
      <c r="AB1263" t="s">
        <v>32</v>
      </c>
      <c r="AC1263">
        <v>16</v>
      </c>
      <c r="AD1263">
        <v>3</v>
      </c>
      <c r="AE1263" t="str" cm="1">
        <f t="array" ref="AE1263">_xlfn.IFS(AD1263=1,"Low",AD1263=2,"Good",AD1263=3,"Excellent",AD1263=4,"Outstanding")</f>
        <v>Excellent</v>
      </c>
      <c r="AF1263">
        <v>3</v>
      </c>
      <c r="AG1263" t="str" cm="1">
        <f t="array" ref="AG1263">_xlfn.IFS(AF1263=1,"Low",AF1263=2,"Medium",AF1263=3,"High",AF1263=4,"Very High")</f>
        <v>High</v>
      </c>
      <c r="AH1263">
        <v>1</v>
      </c>
      <c r="AI1263">
        <v>15</v>
      </c>
      <c r="AJ1263">
        <v>2</v>
      </c>
      <c r="AK1263">
        <v>3</v>
      </c>
      <c r="AL1263" t="str" cm="1">
        <f t="array" ref="AL1263">_xlfn.IFS(AK1263=1,"Low",AK1263=2,"Medium",AK1263=3,"High",AK1263=4,"Very High")</f>
        <v>High</v>
      </c>
      <c r="AM1263">
        <v>1</v>
      </c>
      <c r="AN1263">
        <v>0</v>
      </c>
      <c r="AO1263">
        <v>1</v>
      </c>
      <c r="AP1263">
        <v>0</v>
      </c>
    </row>
    <row r="1264" spans="1:42">
      <c r="A1264">
        <v>43</v>
      </c>
      <c r="B1264" t="str" cm="1">
        <f t="array" ref="B1264">_xlfn.IFS(A1264&lt;=25,"18-25",A1264&lt;=35,"26-35",A1264&lt;=45,"36-45",A1264&lt;=55,"46-55",A1264&gt;55,"56+")</f>
        <v>36-45</v>
      </c>
      <c r="C1264" t="s">
        <v>32</v>
      </c>
      <c r="D1264" t="s">
        <v>40</v>
      </c>
      <c r="E1264" s="2">
        <v>807</v>
      </c>
      <c r="F1264" t="s">
        <v>41</v>
      </c>
      <c r="G1264">
        <v>17</v>
      </c>
      <c r="H1264" t="str">
        <f t="shared" si="19"/>
        <v>11-20 km</v>
      </c>
      <c r="I1264">
        <v>3</v>
      </c>
      <c r="J1264" t="str" cm="1">
        <f t="array" ref="J1264">_xlfn.IFS(I1264=1,"Below College",I1264=2,"College",I1264=3,"Bachelor",I1264=4,"Master",I1264=5,"Doctor")</f>
        <v>Bachelor</v>
      </c>
      <c r="K1264" t="s">
        <v>56</v>
      </c>
      <c r="L1264">
        <v>1767</v>
      </c>
      <c r="M1264">
        <v>3</v>
      </c>
      <c r="N1264" t="str" cm="1">
        <f t="array" ref="N1264">_xlfn.IFS(M1264=1,"Low",M1264=2,"Medium",M1264=3,"High",M1264=4,"Very High")</f>
        <v>High</v>
      </c>
      <c r="O1264" t="s">
        <v>42</v>
      </c>
      <c r="P1264" s="2">
        <v>38</v>
      </c>
      <c r="Q1264">
        <v>2</v>
      </c>
      <c r="R1264" t="str" cm="1">
        <f t="array" ref="R1264">_xlfn.IFS(Q1264=1,"Low",Q1264=2,"Medium",Q1264=3,"High",Q1264=4,"Very High")</f>
        <v>Medium</v>
      </c>
      <c r="S1264">
        <v>1</v>
      </c>
      <c r="T1264" t="str" cm="1">
        <f t="array" ref="T1264">_xlfn.IFS(S1264=1,"Entry Level",S1264=2,"Junior",S1264=3,"Mid-Level",S1264=4,"Senior",S1264=5,"Executive")</f>
        <v>Entry Level</v>
      </c>
      <c r="U1264" t="s">
        <v>43</v>
      </c>
      <c r="V1264">
        <v>3</v>
      </c>
      <c r="W1264" t="str" cm="1">
        <f t="array" ref="W1264">_xlfn.IFS(V1264=1,"Low",V1264=2,"Medium",V1264=3,"High",V1264=4,"Very High")</f>
        <v>High</v>
      </c>
      <c r="X1264" t="s">
        <v>44</v>
      </c>
      <c r="Y1264" s="2">
        <v>2437</v>
      </c>
      <c r="Z1264" s="2">
        <v>15587</v>
      </c>
      <c r="AA1264">
        <v>9</v>
      </c>
      <c r="AB1264" t="s">
        <v>32</v>
      </c>
      <c r="AC1264">
        <v>16</v>
      </c>
      <c r="AD1264">
        <v>3</v>
      </c>
      <c r="AE1264" t="str" cm="1">
        <f t="array" ref="AE1264">_xlfn.IFS(AD1264=1,"Low",AD1264=2,"Good",AD1264=3,"Excellent",AD1264=4,"Outstanding")</f>
        <v>Excellent</v>
      </c>
      <c r="AF1264">
        <v>4</v>
      </c>
      <c r="AG1264" t="str" cm="1">
        <f t="array" ref="AG1264">_xlfn.IFS(AF1264=1,"Low",AF1264=2,"Medium",AF1264=3,"High",AF1264=4,"Very High")</f>
        <v>Very High</v>
      </c>
      <c r="AH1264">
        <v>1</v>
      </c>
      <c r="AI1264">
        <v>6</v>
      </c>
      <c r="AJ1264">
        <v>4</v>
      </c>
      <c r="AK1264">
        <v>3</v>
      </c>
      <c r="AL1264" t="str" cm="1">
        <f t="array" ref="AL1264">_xlfn.IFS(AK1264=1,"Low",AK1264=2,"Medium",AK1264=3,"High",AK1264=4,"Very High")</f>
        <v>High</v>
      </c>
      <c r="AM1264">
        <v>1</v>
      </c>
      <c r="AN1264">
        <v>0</v>
      </c>
      <c r="AO1264">
        <v>0</v>
      </c>
      <c r="AP1264">
        <v>0</v>
      </c>
    </row>
    <row r="1265" spans="1:42">
      <c r="A1265">
        <v>42</v>
      </c>
      <c r="B1265" t="str" cm="1">
        <f t="array" ref="B1265">_xlfn.IFS(A1265&lt;=25,"18-25",A1265&lt;=35,"26-35",A1265&lt;=45,"36-45",A1265&lt;=55,"46-55",A1265&gt;55,"56+")</f>
        <v>36-45</v>
      </c>
      <c r="C1265" t="s">
        <v>39</v>
      </c>
      <c r="D1265" t="s">
        <v>33</v>
      </c>
      <c r="E1265" s="2">
        <v>855</v>
      </c>
      <c r="F1265" t="s">
        <v>41</v>
      </c>
      <c r="G1265">
        <v>12</v>
      </c>
      <c r="H1265" t="str">
        <f t="shared" si="19"/>
        <v>11-20 km</v>
      </c>
      <c r="I1265">
        <v>3</v>
      </c>
      <c r="J1265" t="str" cm="1">
        <f t="array" ref="J1265">_xlfn.IFS(I1265=1,"Below College",I1265=2,"College",I1265=3,"Bachelor",I1265=4,"Master",I1265=5,"Doctor")</f>
        <v>Bachelor</v>
      </c>
      <c r="K1265" t="s">
        <v>47</v>
      </c>
      <c r="L1265">
        <v>1768</v>
      </c>
      <c r="M1265">
        <v>2</v>
      </c>
      <c r="N1265" t="str" cm="1">
        <f t="array" ref="N1265">_xlfn.IFS(M1265=1,"Low",M1265=2,"Medium",M1265=3,"High",M1265=4,"Very High")</f>
        <v>Medium</v>
      </c>
      <c r="O1265" t="s">
        <v>42</v>
      </c>
      <c r="P1265" s="2">
        <v>57</v>
      </c>
      <c r="Q1265">
        <v>3</v>
      </c>
      <c r="R1265" t="str" cm="1">
        <f t="array" ref="R1265">_xlfn.IFS(Q1265=1,"Low",Q1265=2,"Medium",Q1265=3,"High",Q1265=4,"Very High")</f>
        <v>High</v>
      </c>
      <c r="S1265">
        <v>1</v>
      </c>
      <c r="T1265" t="str" cm="1">
        <f t="array" ref="T1265">_xlfn.IFS(S1265=1,"Entry Level",S1265=2,"Junior",S1265=3,"Mid-Level",S1265=4,"Senior",S1265=5,"Executive")</f>
        <v>Entry Level</v>
      </c>
      <c r="U1265" t="s">
        <v>46</v>
      </c>
      <c r="V1265">
        <v>2</v>
      </c>
      <c r="W1265" t="str" cm="1">
        <f t="array" ref="W1265">_xlfn.IFS(V1265=1,"Low",V1265=2,"Medium",V1265=3,"High",V1265=4,"Very High")</f>
        <v>Medium</v>
      </c>
      <c r="X1265" t="s">
        <v>48</v>
      </c>
      <c r="Y1265" s="2">
        <v>2766</v>
      </c>
      <c r="Z1265" s="2">
        <v>8952</v>
      </c>
      <c r="AA1265">
        <v>8</v>
      </c>
      <c r="AB1265" t="s">
        <v>39</v>
      </c>
      <c r="AC1265">
        <v>22</v>
      </c>
      <c r="AD1265">
        <v>4</v>
      </c>
      <c r="AE1265" t="str" cm="1">
        <f t="array" ref="AE1265">_xlfn.IFS(AD1265=1,"Low",AD1265=2,"Good",AD1265=3,"Excellent",AD1265=4,"Outstanding")</f>
        <v>Outstanding</v>
      </c>
      <c r="AF1265">
        <v>2</v>
      </c>
      <c r="AG1265" t="str" cm="1">
        <f t="array" ref="AG1265">_xlfn.IFS(AF1265=1,"Low",AF1265=2,"Medium",AF1265=3,"High",AF1265=4,"Very High")</f>
        <v>Medium</v>
      </c>
      <c r="AH1265">
        <v>3</v>
      </c>
      <c r="AI1265">
        <v>7</v>
      </c>
      <c r="AJ1265">
        <v>6</v>
      </c>
      <c r="AK1265">
        <v>2</v>
      </c>
      <c r="AL1265" t="str" cm="1">
        <f t="array" ref="AL1265">_xlfn.IFS(AK1265=1,"Low",AK1265=2,"Medium",AK1265=3,"High",AK1265=4,"Very High")</f>
        <v>Medium</v>
      </c>
      <c r="AM1265">
        <v>5</v>
      </c>
      <c r="AN1265">
        <v>3</v>
      </c>
      <c r="AO1265">
        <v>0</v>
      </c>
      <c r="AP1265">
        <v>4</v>
      </c>
    </row>
    <row r="1266" spans="1:42">
      <c r="A1266">
        <v>55</v>
      </c>
      <c r="B1266" t="str" cm="1">
        <f t="array" ref="B1266">_xlfn.IFS(A1266&lt;=25,"18-25",A1266&lt;=35,"26-35",A1266&lt;=45,"36-45",A1266&lt;=55,"46-55",A1266&gt;55,"56+")</f>
        <v>46-55</v>
      </c>
      <c r="C1266" t="s">
        <v>39</v>
      </c>
      <c r="D1266" t="s">
        <v>33</v>
      </c>
      <c r="E1266" s="2">
        <v>478</v>
      </c>
      <c r="F1266" t="s">
        <v>41</v>
      </c>
      <c r="G1266">
        <v>2</v>
      </c>
      <c r="H1266" t="str">
        <f t="shared" si="19"/>
        <v>1-10 km</v>
      </c>
      <c r="I1266">
        <v>3</v>
      </c>
      <c r="J1266" t="str" cm="1">
        <f t="array" ref="J1266">_xlfn.IFS(I1266=1,"Below College",I1266=2,"College",I1266=3,"Bachelor",I1266=4,"Master",I1266=5,"Doctor")</f>
        <v>Bachelor</v>
      </c>
      <c r="K1266" t="s">
        <v>47</v>
      </c>
      <c r="L1266">
        <v>1770</v>
      </c>
      <c r="M1266">
        <v>3</v>
      </c>
      <c r="N1266" t="str" cm="1">
        <f t="array" ref="N1266">_xlfn.IFS(M1266=1,"Low",M1266=2,"Medium",M1266=3,"High",M1266=4,"Very High")</f>
        <v>High</v>
      </c>
      <c r="O1266" t="s">
        <v>42</v>
      </c>
      <c r="P1266" s="2">
        <v>60</v>
      </c>
      <c r="Q1266">
        <v>2</v>
      </c>
      <c r="R1266" t="str" cm="1">
        <f t="array" ref="R1266">_xlfn.IFS(Q1266=1,"Low",Q1266=2,"Medium",Q1266=3,"High",Q1266=4,"Very High")</f>
        <v>Medium</v>
      </c>
      <c r="S1266">
        <v>5</v>
      </c>
      <c r="T1266" t="str" cm="1">
        <f t="array" ref="T1266">_xlfn.IFS(S1266=1,"Entry Level",S1266=2,"Junior",S1266=3,"Mid-Level",S1266=4,"Senior",S1266=5,"Executive")</f>
        <v>Executive</v>
      </c>
      <c r="U1266" t="s">
        <v>54</v>
      </c>
      <c r="V1266">
        <v>1</v>
      </c>
      <c r="W1266" t="str" cm="1">
        <f t="array" ref="W1266">_xlfn.IFS(V1266=1,"Low",V1266=2,"Medium",V1266=3,"High",V1266=4,"Very High")</f>
        <v>Low</v>
      </c>
      <c r="X1266" t="s">
        <v>44</v>
      </c>
      <c r="Y1266" s="2">
        <v>19038</v>
      </c>
      <c r="Z1266" s="2">
        <v>19805</v>
      </c>
      <c r="AA1266">
        <v>8</v>
      </c>
      <c r="AB1266" t="s">
        <v>39</v>
      </c>
      <c r="AC1266">
        <v>12</v>
      </c>
      <c r="AD1266">
        <v>3</v>
      </c>
      <c r="AE1266" t="str" cm="1">
        <f t="array" ref="AE1266">_xlfn.IFS(AD1266=1,"Low",AD1266=2,"Good",AD1266=3,"Excellent",AD1266=4,"Outstanding")</f>
        <v>Excellent</v>
      </c>
      <c r="AF1266">
        <v>2</v>
      </c>
      <c r="AG1266" t="str" cm="1">
        <f t="array" ref="AG1266">_xlfn.IFS(AF1266=1,"Low",AF1266=2,"Medium",AF1266=3,"High",AF1266=4,"Very High")</f>
        <v>Medium</v>
      </c>
      <c r="AH1266">
        <v>3</v>
      </c>
      <c r="AI1266">
        <v>34</v>
      </c>
      <c r="AJ1266">
        <v>2</v>
      </c>
      <c r="AK1266">
        <v>3</v>
      </c>
      <c r="AL1266" t="str" cm="1">
        <f t="array" ref="AL1266">_xlfn.IFS(AK1266=1,"Low",AK1266=2,"Medium",AK1266=3,"High",AK1266=4,"Very High")</f>
        <v>High</v>
      </c>
      <c r="AM1266">
        <v>1</v>
      </c>
      <c r="AN1266">
        <v>0</v>
      </c>
      <c r="AO1266">
        <v>0</v>
      </c>
      <c r="AP1266">
        <v>0</v>
      </c>
    </row>
    <row r="1267" spans="1:42">
      <c r="A1267">
        <v>33</v>
      </c>
      <c r="B1267" t="str" cm="1">
        <f t="array" ref="B1267">_xlfn.IFS(A1267&lt;=25,"18-25",A1267&lt;=35,"26-35",A1267&lt;=45,"36-45",A1267&lt;=55,"46-55",A1267&gt;55,"56+")</f>
        <v>26-35</v>
      </c>
      <c r="C1267" t="s">
        <v>39</v>
      </c>
      <c r="D1267" t="s">
        <v>51</v>
      </c>
      <c r="E1267" s="2">
        <v>775</v>
      </c>
      <c r="F1267" t="s">
        <v>41</v>
      </c>
      <c r="G1267">
        <v>4</v>
      </c>
      <c r="H1267" t="str">
        <f t="shared" si="19"/>
        <v>1-10 km</v>
      </c>
      <c r="I1267">
        <v>3</v>
      </c>
      <c r="J1267" t="str" cm="1">
        <f t="array" ref="J1267">_xlfn.IFS(I1267=1,"Below College",I1267=2,"College",I1267=3,"Bachelor",I1267=4,"Master",I1267=5,"Doctor")</f>
        <v>Bachelor</v>
      </c>
      <c r="K1267" t="s">
        <v>56</v>
      </c>
      <c r="L1267">
        <v>1771</v>
      </c>
      <c r="M1267">
        <v>4</v>
      </c>
      <c r="N1267" t="str" cm="1">
        <f t="array" ref="N1267">_xlfn.IFS(M1267=1,"Low",M1267=2,"Medium",M1267=3,"High",M1267=4,"Very High")</f>
        <v>Very High</v>
      </c>
      <c r="O1267" t="s">
        <v>42</v>
      </c>
      <c r="P1267" s="2">
        <v>90</v>
      </c>
      <c r="Q1267">
        <v>3</v>
      </c>
      <c r="R1267" t="str" cm="1">
        <f t="array" ref="R1267">_xlfn.IFS(Q1267=1,"Low",Q1267=2,"Medium",Q1267=3,"High",Q1267=4,"Very High")</f>
        <v>High</v>
      </c>
      <c r="S1267">
        <v>2</v>
      </c>
      <c r="T1267" t="str" cm="1">
        <f t="array" ref="T1267">_xlfn.IFS(S1267=1,"Entry Level",S1267=2,"Junior",S1267=3,"Mid-Level",S1267=4,"Senior",S1267=5,"Executive")</f>
        <v>Junior</v>
      </c>
      <c r="U1267" t="s">
        <v>43</v>
      </c>
      <c r="V1267">
        <v>2</v>
      </c>
      <c r="W1267" t="str" cm="1">
        <f t="array" ref="W1267">_xlfn.IFS(V1267=1,"Low",V1267=2,"Medium",V1267=3,"High",V1267=4,"Very High")</f>
        <v>Medium</v>
      </c>
      <c r="X1267" t="s">
        <v>48</v>
      </c>
      <c r="Y1267" s="2">
        <v>3055</v>
      </c>
      <c r="Z1267" s="2">
        <v>6194</v>
      </c>
      <c r="AA1267">
        <v>5</v>
      </c>
      <c r="AB1267" t="s">
        <v>39</v>
      </c>
      <c r="AC1267">
        <v>15</v>
      </c>
      <c r="AD1267">
        <v>3</v>
      </c>
      <c r="AE1267" t="str" cm="1">
        <f t="array" ref="AE1267">_xlfn.IFS(AD1267=1,"Low",AD1267=2,"Good",AD1267=3,"Excellent",AD1267=4,"Outstanding")</f>
        <v>Excellent</v>
      </c>
      <c r="AF1267">
        <v>4</v>
      </c>
      <c r="AG1267" t="str" cm="1">
        <f t="array" ref="AG1267">_xlfn.IFS(AF1267=1,"Low",AF1267=2,"Medium",AF1267=3,"High",AF1267=4,"Very High")</f>
        <v>Very High</v>
      </c>
      <c r="AH1267">
        <v>2</v>
      </c>
      <c r="AI1267">
        <v>11</v>
      </c>
      <c r="AJ1267">
        <v>2</v>
      </c>
      <c r="AK1267">
        <v>2</v>
      </c>
      <c r="AL1267" t="str" cm="1">
        <f t="array" ref="AL1267">_xlfn.IFS(AK1267=1,"Low",AK1267=2,"Medium",AK1267=3,"High",AK1267=4,"Very High")</f>
        <v>Medium</v>
      </c>
      <c r="AM1267">
        <v>9</v>
      </c>
      <c r="AN1267">
        <v>8</v>
      </c>
      <c r="AO1267">
        <v>1</v>
      </c>
      <c r="AP1267">
        <v>7</v>
      </c>
    </row>
    <row r="1268" spans="1:42">
      <c r="A1268">
        <v>41</v>
      </c>
      <c r="B1268" t="str" cm="1">
        <f t="array" ref="B1268">_xlfn.IFS(A1268&lt;=25,"18-25",A1268&lt;=35,"26-35",A1268&lt;=45,"36-45",A1268&lt;=55,"46-55",A1268&gt;55,"56+")</f>
        <v>36-45</v>
      </c>
      <c r="C1268" t="s">
        <v>39</v>
      </c>
      <c r="D1268" t="s">
        <v>33</v>
      </c>
      <c r="E1268" s="2">
        <v>548</v>
      </c>
      <c r="F1268" t="s">
        <v>41</v>
      </c>
      <c r="G1268">
        <v>9</v>
      </c>
      <c r="H1268" t="str">
        <f t="shared" si="19"/>
        <v>1-10 km</v>
      </c>
      <c r="I1268">
        <v>4</v>
      </c>
      <c r="J1268" t="str" cm="1">
        <f t="array" ref="J1268">_xlfn.IFS(I1268=1,"Below College",I1268=2,"College",I1268=3,"Bachelor",I1268=4,"Master",I1268=5,"Doctor")</f>
        <v>Master</v>
      </c>
      <c r="K1268" t="s">
        <v>35</v>
      </c>
      <c r="L1268">
        <v>1772</v>
      </c>
      <c r="M1268">
        <v>3</v>
      </c>
      <c r="N1268" t="str" cm="1">
        <f t="array" ref="N1268">_xlfn.IFS(M1268=1,"Low",M1268=2,"Medium",M1268=3,"High",M1268=4,"Very High")</f>
        <v>High</v>
      </c>
      <c r="O1268" t="s">
        <v>42</v>
      </c>
      <c r="P1268" s="2">
        <v>94</v>
      </c>
      <c r="Q1268">
        <v>3</v>
      </c>
      <c r="R1268" t="str" cm="1">
        <f t="array" ref="R1268">_xlfn.IFS(Q1268=1,"Low",Q1268=2,"Medium",Q1268=3,"High",Q1268=4,"Very High")</f>
        <v>High</v>
      </c>
      <c r="S1268">
        <v>1</v>
      </c>
      <c r="T1268" t="str" cm="1">
        <f t="array" ref="T1268">_xlfn.IFS(S1268=1,"Entry Level",S1268=2,"Junior",S1268=3,"Mid-Level",S1268=4,"Senior",S1268=5,"Executive")</f>
        <v>Entry Level</v>
      </c>
      <c r="U1268" t="s">
        <v>46</v>
      </c>
      <c r="V1268">
        <v>1</v>
      </c>
      <c r="W1268" t="str" cm="1">
        <f t="array" ref="W1268">_xlfn.IFS(V1268=1,"Low",V1268=2,"Medium",V1268=3,"High",V1268=4,"Very High")</f>
        <v>Low</v>
      </c>
      <c r="X1268" t="s">
        <v>48</v>
      </c>
      <c r="Y1268" s="2">
        <v>2289</v>
      </c>
      <c r="Z1268" s="2">
        <v>20520</v>
      </c>
      <c r="AA1268">
        <v>1</v>
      </c>
      <c r="AB1268" t="s">
        <v>39</v>
      </c>
      <c r="AC1268">
        <v>20</v>
      </c>
      <c r="AD1268">
        <v>4</v>
      </c>
      <c r="AE1268" t="str" cm="1">
        <f t="array" ref="AE1268">_xlfn.IFS(AD1268=1,"Low",AD1268=2,"Good",AD1268=3,"Excellent",AD1268=4,"Outstanding")</f>
        <v>Outstanding</v>
      </c>
      <c r="AF1268">
        <v>2</v>
      </c>
      <c r="AG1268" t="str" cm="1">
        <f t="array" ref="AG1268">_xlfn.IFS(AF1268=1,"Low",AF1268=2,"Medium",AF1268=3,"High",AF1268=4,"Very High")</f>
        <v>Medium</v>
      </c>
      <c r="AH1268">
        <v>2</v>
      </c>
      <c r="AI1268">
        <v>5</v>
      </c>
      <c r="AJ1268">
        <v>2</v>
      </c>
      <c r="AK1268">
        <v>3</v>
      </c>
      <c r="AL1268" t="str" cm="1">
        <f t="array" ref="AL1268">_xlfn.IFS(AK1268=1,"Low",AK1268=2,"Medium",AK1268=3,"High",AK1268=4,"Very High")</f>
        <v>High</v>
      </c>
      <c r="AM1268">
        <v>5</v>
      </c>
      <c r="AN1268">
        <v>3</v>
      </c>
      <c r="AO1268">
        <v>0</v>
      </c>
      <c r="AP1268">
        <v>4</v>
      </c>
    </row>
    <row r="1269" spans="1:42">
      <c r="A1269">
        <v>34</v>
      </c>
      <c r="B1269" t="str" cm="1">
        <f t="array" ref="B1269">_xlfn.IFS(A1269&lt;=25,"18-25",A1269&lt;=35,"26-35",A1269&lt;=45,"36-45",A1269&lt;=55,"46-55",A1269&gt;55,"56+")</f>
        <v>26-35</v>
      </c>
      <c r="C1269" t="s">
        <v>39</v>
      </c>
      <c r="D1269" t="s">
        <v>51</v>
      </c>
      <c r="E1269" s="2">
        <v>1375</v>
      </c>
      <c r="F1269" t="s">
        <v>34</v>
      </c>
      <c r="G1269">
        <v>10</v>
      </c>
      <c r="H1269" t="str">
        <f t="shared" si="19"/>
        <v>1-10 km</v>
      </c>
      <c r="I1269">
        <v>3</v>
      </c>
      <c r="J1269" t="str" cm="1">
        <f t="array" ref="J1269">_xlfn.IFS(I1269=1,"Below College",I1269=2,"College",I1269=3,"Bachelor",I1269=4,"Master",I1269=5,"Doctor")</f>
        <v>Bachelor</v>
      </c>
      <c r="K1269" t="s">
        <v>35</v>
      </c>
      <c r="L1269">
        <v>1774</v>
      </c>
      <c r="M1269">
        <v>4</v>
      </c>
      <c r="N1269" t="str" cm="1">
        <f t="array" ref="N1269">_xlfn.IFS(M1269=1,"Low",M1269=2,"Medium",M1269=3,"High",M1269=4,"Very High")</f>
        <v>Very High</v>
      </c>
      <c r="O1269" t="s">
        <v>42</v>
      </c>
      <c r="P1269" s="2">
        <v>87</v>
      </c>
      <c r="Q1269">
        <v>3</v>
      </c>
      <c r="R1269" t="str" cm="1">
        <f t="array" ref="R1269">_xlfn.IFS(Q1269=1,"Low",Q1269=2,"Medium",Q1269=3,"High",Q1269=4,"Very High")</f>
        <v>High</v>
      </c>
      <c r="S1269">
        <v>2</v>
      </c>
      <c r="T1269" t="str" cm="1">
        <f t="array" ref="T1269">_xlfn.IFS(S1269=1,"Entry Level",S1269=2,"Junior",S1269=3,"Mid-Level",S1269=4,"Senior",S1269=5,"Executive")</f>
        <v>Junior</v>
      </c>
      <c r="U1269" t="s">
        <v>37</v>
      </c>
      <c r="V1269">
        <v>3</v>
      </c>
      <c r="W1269" t="str" cm="1">
        <f t="array" ref="W1269">_xlfn.IFS(V1269=1,"Low",V1269=2,"Medium",V1269=3,"High",V1269=4,"Very High")</f>
        <v>High</v>
      </c>
      <c r="X1269" t="s">
        <v>48</v>
      </c>
      <c r="Y1269" s="2">
        <v>4001</v>
      </c>
      <c r="Z1269" s="2">
        <v>12313</v>
      </c>
      <c r="AA1269">
        <v>1</v>
      </c>
      <c r="AB1269" t="s">
        <v>32</v>
      </c>
      <c r="AC1269">
        <v>14</v>
      </c>
      <c r="AD1269">
        <v>3</v>
      </c>
      <c r="AE1269" t="str" cm="1">
        <f t="array" ref="AE1269">_xlfn.IFS(AD1269=1,"Low",AD1269=2,"Good",AD1269=3,"Excellent",AD1269=4,"Outstanding")</f>
        <v>Excellent</v>
      </c>
      <c r="AF1269">
        <v>3</v>
      </c>
      <c r="AG1269" t="str" cm="1">
        <f t="array" ref="AG1269">_xlfn.IFS(AF1269=1,"Low",AF1269=2,"Medium",AF1269=3,"High",AF1269=4,"Very High")</f>
        <v>High</v>
      </c>
      <c r="AH1269">
        <v>1</v>
      </c>
      <c r="AI1269">
        <v>15</v>
      </c>
      <c r="AJ1269">
        <v>3</v>
      </c>
      <c r="AK1269">
        <v>3</v>
      </c>
      <c r="AL1269" t="str" cm="1">
        <f t="array" ref="AL1269">_xlfn.IFS(AK1269=1,"Low",AK1269=2,"Medium",AK1269=3,"High",AK1269=4,"Very High")</f>
        <v>High</v>
      </c>
      <c r="AM1269">
        <v>15</v>
      </c>
      <c r="AN1269">
        <v>14</v>
      </c>
      <c r="AO1269">
        <v>0</v>
      </c>
      <c r="AP1269">
        <v>7</v>
      </c>
    </row>
    <row r="1270" spans="1:42">
      <c r="A1270">
        <v>53</v>
      </c>
      <c r="B1270" t="str" cm="1">
        <f t="array" ref="B1270">_xlfn.IFS(A1270&lt;=25,"18-25",A1270&lt;=35,"26-35",A1270&lt;=45,"36-45",A1270&lt;=55,"46-55",A1270&gt;55,"56+")</f>
        <v>46-55</v>
      </c>
      <c r="C1270" t="s">
        <v>39</v>
      </c>
      <c r="D1270" t="s">
        <v>51</v>
      </c>
      <c r="E1270" s="2">
        <v>661</v>
      </c>
      <c r="F1270" t="s">
        <v>41</v>
      </c>
      <c r="G1270">
        <v>1</v>
      </c>
      <c r="H1270" t="str">
        <f t="shared" si="19"/>
        <v>1-10 km</v>
      </c>
      <c r="I1270">
        <v>4</v>
      </c>
      <c r="J1270" t="str" cm="1">
        <f t="array" ref="J1270">_xlfn.IFS(I1270=1,"Below College",I1270=2,"College",I1270=3,"Bachelor",I1270=4,"Master",I1270=5,"Doctor")</f>
        <v>Master</v>
      </c>
      <c r="K1270" t="s">
        <v>47</v>
      </c>
      <c r="L1270">
        <v>1775</v>
      </c>
      <c r="M1270">
        <v>1</v>
      </c>
      <c r="N1270" t="str" cm="1">
        <f t="array" ref="N1270">_xlfn.IFS(M1270=1,"Low",M1270=2,"Medium",M1270=3,"High",M1270=4,"Very High")</f>
        <v>Low</v>
      </c>
      <c r="O1270" t="s">
        <v>36</v>
      </c>
      <c r="P1270" s="2">
        <v>60</v>
      </c>
      <c r="Q1270">
        <v>2</v>
      </c>
      <c r="R1270" t="str" cm="1">
        <f t="array" ref="R1270">_xlfn.IFS(Q1270=1,"Low",Q1270=2,"Medium",Q1270=3,"High",Q1270=4,"Very High")</f>
        <v>Medium</v>
      </c>
      <c r="S1270">
        <v>4</v>
      </c>
      <c r="T1270" t="str" cm="1">
        <f t="array" ref="T1270">_xlfn.IFS(S1270=1,"Entry Level",S1270=2,"Junior",S1270=3,"Mid-Level",S1270=4,"Senior",S1270=5,"Executive")</f>
        <v>Senior</v>
      </c>
      <c r="U1270" t="s">
        <v>49</v>
      </c>
      <c r="V1270">
        <v>3</v>
      </c>
      <c r="W1270" t="str" cm="1">
        <f t="array" ref="W1270">_xlfn.IFS(V1270=1,"Low",V1270=2,"Medium",V1270=3,"High",V1270=4,"Very High")</f>
        <v>High</v>
      </c>
      <c r="X1270" t="s">
        <v>44</v>
      </c>
      <c r="Y1270" s="2">
        <v>12965</v>
      </c>
      <c r="Z1270" s="2">
        <v>22308</v>
      </c>
      <c r="AA1270">
        <v>4</v>
      </c>
      <c r="AB1270" t="s">
        <v>32</v>
      </c>
      <c r="AC1270">
        <v>20</v>
      </c>
      <c r="AD1270">
        <v>4</v>
      </c>
      <c r="AE1270" t="str" cm="1">
        <f t="array" ref="AE1270">_xlfn.IFS(AD1270=1,"Low",AD1270=2,"Good",AD1270=3,"Excellent",AD1270=4,"Outstanding")</f>
        <v>Outstanding</v>
      </c>
      <c r="AF1270">
        <v>4</v>
      </c>
      <c r="AG1270" t="str" cm="1">
        <f t="array" ref="AG1270">_xlfn.IFS(AF1270=1,"Low",AF1270=2,"Medium",AF1270=3,"High",AF1270=4,"Very High")</f>
        <v>Very High</v>
      </c>
      <c r="AH1270">
        <v>3</v>
      </c>
      <c r="AI1270">
        <v>27</v>
      </c>
      <c r="AJ1270">
        <v>2</v>
      </c>
      <c r="AK1270">
        <v>2</v>
      </c>
      <c r="AL1270" t="str" cm="1">
        <f t="array" ref="AL1270">_xlfn.IFS(AK1270=1,"Low",AK1270=2,"Medium",AK1270=3,"High",AK1270=4,"Very High")</f>
        <v>Medium</v>
      </c>
      <c r="AM1270">
        <v>3</v>
      </c>
      <c r="AN1270">
        <v>2</v>
      </c>
      <c r="AO1270">
        <v>0</v>
      </c>
      <c r="AP1270">
        <v>2</v>
      </c>
    </row>
    <row r="1271" spans="1:42">
      <c r="A1271">
        <v>43</v>
      </c>
      <c r="B1271" t="str" cm="1">
        <f t="array" ref="B1271">_xlfn.IFS(A1271&lt;=25,"18-25",A1271&lt;=35,"26-35",A1271&lt;=45,"36-45",A1271&lt;=55,"46-55",A1271&gt;55,"56+")</f>
        <v>36-45</v>
      </c>
      <c r="C1271" t="s">
        <v>39</v>
      </c>
      <c r="D1271" t="s">
        <v>33</v>
      </c>
      <c r="E1271" s="2">
        <v>244</v>
      </c>
      <c r="F1271" t="s">
        <v>57</v>
      </c>
      <c r="G1271">
        <v>2</v>
      </c>
      <c r="H1271" t="str">
        <f t="shared" si="19"/>
        <v>1-10 km</v>
      </c>
      <c r="I1271">
        <v>3</v>
      </c>
      <c r="J1271" t="str" cm="1">
        <f t="array" ref="J1271">_xlfn.IFS(I1271=1,"Below College",I1271=2,"College",I1271=3,"Bachelor",I1271=4,"Master",I1271=5,"Doctor")</f>
        <v>Bachelor</v>
      </c>
      <c r="K1271" t="s">
        <v>35</v>
      </c>
      <c r="L1271">
        <v>1778</v>
      </c>
      <c r="M1271">
        <v>2</v>
      </c>
      <c r="N1271" t="str" cm="1">
        <f t="array" ref="N1271">_xlfn.IFS(M1271=1,"Low",M1271=2,"Medium",M1271=3,"High",M1271=4,"Very High")</f>
        <v>Medium</v>
      </c>
      <c r="O1271" t="s">
        <v>42</v>
      </c>
      <c r="P1271" s="2">
        <v>97</v>
      </c>
      <c r="Q1271">
        <v>3</v>
      </c>
      <c r="R1271" t="str" cm="1">
        <f t="array" ref="R1271">_xlfn.IFS(Q1271=1,"Low",Q1271=2,"Medium",Q1271=3,"High",Q1271=4,"Very High")</f>
        <v>High</v>
      </c>
      <c r="S1271">
        <v>1</v>
      </c>
      <c r="T1271" t="str" cm="1">
        <f t="array" ref="T1271">_xlfn.IFS(S1271=1,"Entry Level",S1271=2,"Junior",S1271=3,"Mid-Level",S1271=4,"Senior",S1271=5,"Executive")</f>
        <v>Entry Level</v>
      </c>
      <c r="U1271" t="s">
        <v>57</v>
      </c>
      <c r="V1271">
        <v>4</v>
      </c>
      <c r="W1271" t="str" cm="1">
        <f t="array" ref="W1271">_xlfn.IFS(V1271=1,"Low",V1271=2,"Medium",V1271=3,"High",V1271=4,"Very High")</f>
        <v>Very High</v>
      </c>
      <c r="X1271" t="s">
        <v>38</v>
      </c>
      <c r="Y1271" s="2">
        <v>3539</v>
      </c>
      <c r="Z1271" s="2">
        <v>5033</v>
      </c>
      <c r="AA1271">
        <v>0</v>
      </c>
      <c r="AB1271" t="s">
        <v>39</v>
      </c>
      <c r="AC1271">
        <v>13</v>
      </c>
      <c r="AD1271">
        <v>3</v>
      </c>
      <c r="AE1271" t="str" cm="1">
        <f t="array" ref="AE1271">_xlfn.IFS(AD1271=1,"Low",AD1271=2,"Good",AD1271=3,"Excellent",AD1271=4,"Outstanding")</f>
        <v>Excellent</v>
      </c>
      <c r="AF1271">
        <v>2</v>
      </c>
      <c r="AG1271" t="str" cm="1">
        <f t="array" ref="AG1271">_xlfn.IFS(AF1271=1,"Low",AF1271=2,"Medium",AF1271=3,"High",AF1271=4,"Very High")</f>
        <v>Medium</v>
      </c>
      <c r="AH1271">
        <v>0</v>
      </c>
      <c r="AI1271">
        <v>10</v>
      </c>
      <c r="AJ1271">
        <v>5</v>
      </c>
      <c r="AK1271">
        <v>3</v>
      </c>
      <c r="AL1271" t="str" cm="1">
        <f t="array" ref="AL1271">_xlfn.IFS(AK1271=1,"Low",AK1271=2,"Medium",AK1271=3,"High",AK1271=4,"Very High")</f>
        <v>High</v>
      </c>
      <c r="AM1271">
        <v>9</v>
      </c>
      <c r="AN1271">
        <v>7</v>
      </c>
      <c r="AO1271">
        <v>1</v>
      </c>
      <c r="AP1271">
        <v>8</v>
      </c>
    </row>
    <row r="1272" spans="1:42">
      <c r="A1272">
        <v>34</v>
      </c>
      <c r="B1272" t="str" cm="1">
        <f t="array" ref="B1272">_xlfn.IFS(A1272&lt;=25,"18-25",A1272&lt;=35,"26-35",A1272&lt;=45,"36-45",A1272&lt;=55,"46-55",A1272&gt;55,"56+")</f>
        <v>26-35</v>
      </c>
      <c r="C1272" t="s">
        <v>39</v>
      </c>
      <c r="D1272" t="s">
        <v>33</v>
      </c>
      <c r="E1272" s="2">
        <v>511</v>
      </c>
      <c r="F1272" t="s">
        <v>34</v>
      </c>
      <c r="G1272">
        <v>3</v>
      </c>
      <c r="H1272" t="str">
        <f t="shared" si="19"/>
        <v>1-10 km</v>
      </c>
      <c r="I1272">
        <v>2</v>
      </c>
      <c r="J1272" t="str" cm="1">
        <f t="array" ref="J1272">_xlfn.IFS(I1272=1,"Below College",I1272=2,"College",I1272=3,"Bachelor",I1272=4,"Master",I1272=5,"Doctor")</f>
        <v>College</v>
      </c>
      <c r="K1272" t="s">
        <v>35</v>
      </c>
      <c r="L1272">
        <v>1779</v>
      </c>
      <c r="M1272">
        <v>4</v>
      </c>
      <c r="N1272" t="str" cm="1">
        <f t="array" ref="N1272">_xlfn.IFS(M1272=1,"Low",M1272=2,"Medium",M1272=3,"High",M1272=4,"Very High")</f>
        <v>Very High</v>
      </c>
      <c r="O1272" t="s">
        <v>36</v>
      </c>
      <c r="P1272" s="2">
        <v>32</v>
      </c>
      <c r="Q1272">
        <v>1</v>
      </c>
      <c r="R1272" t="str" cm="1">
        <f t="array" ref="R1272">_xlfn.IFS(Q1272=1,"Low",Q1272=2,"Medium",Q1272=3,"High",Q1272=4,"Very High")</f>
        <v>Low</v>
      </c>
      <c r="S1272">
        <v>2</v>
      </c>
      <c r="T1272" t="str" cm="1">
        <f t="array" ref="T1272">_xlfn.IFS(S1272=1,"Entry Level",S1272=2,"Junior",S1272=3,"Mid-Level",S1272=4,"Senior",S1272=5,"Executive")</f>
        <v>Junior</v>
      </c>
      <c r="U1272" t="s">
        <v>37</v>
      </c>
      <c r="V1272">
        <v>4</v>
      </c>
      <c r="W1272" t="str" cm="1">
        <f t="array" ref="W1272">_xlfn.IFS(V1272=1,"Low",V1272=2,"Medium",V1272=3,"High",V1272=4,"Very High")</f>
        <v>Very High</v>
      </c>
      <c r="X1272" t="s">
        <v>38</v>
      </c>
      <c r="Y1272" s="2">
        <v>6029</v>
      </c>
      <c r="Z1272" s="2">
        <v>25353</v>
      </c>
      <c r="AA1272">
        <v>5</v>
      </c>
      <c r="AB1272" t="s">
        <v>39</v>
      </c>
      <c r="AC1272">
        <v>12</v>
      </c>
      <c r="AD1272">
        <v>3</v>
      </c>
      <c r="AE1272" t="str" cm="1">
        <f t="array" ref="AE1272">_xlfn.IFS(AD1272=1,"Low",AD1272=2,"Good",AD1272=3,"Excellent",AD1272=4,"Outstanding")</f>
        <v>Excellent</v>
      </c>
      <c r="AF1272">
        <v>1</v>
      </c>
      <c r="AG1272" t="str" cm="1">
        <f t="array" ref="AG1272">_xlfn.IFS(AF1272=1,"Low",AF1272=2,"Medium",AF1272=3,"High",AF1272=4,"Very High")</f>
        <v>Low</v>
      </c>
      <c r="AH1272">
        <v>0</v>
      </c>
      <c r="AI1272">
        <v>6</v>
      </c>
      <c r="AJ1272">
        <v>3</v>
      </c>
      <c r="AK1272">
        <v>3</v>
      </c>
      <c r="AL1272" t="str" cm="1">
        <f t="array" ref="AL1272">_xlfn.IFS(AK1272=1,"Low",AK1272=2,"Medium",AK1272=3,"High",AK1272=4,"Very High")</f>
        <v>High</v>
      </c>
      <c r="AM1272">
        <v>2</v>
      </c>
      <c r="AN1272">
        <v>2</v>
      </c>
      <c r="AO1272">
        <v>2</v>
      </c>
      <c r="AP1272">
        <v>2</v>
      </c>
    </row>
    <row r="1273" spans="1:42">
      <c r="A1273">
        <v>21</v>
      </c>
      <c r="B1273" t="str" cm="1">
        <f t="array" ref="B1273">_xlfn.IFS(A1273&lt;=25,"18-25",A1273&lt;=35,"26-35",A1273&lt;=45,"36-45",A1273&lt;=55,"46-55",A1273&gt;55,"56+")</f>
        <v>18-25</v>
      </c>
      <c r="C1273" t="s">
        <v>32</v>
      </c>
      <c r="D1273" t="s">
        <v>33</v>
      </c>
      <c r="E1273" s="2">
        <v>337</v>
      </c>
      <c r="F1273" t="s">
        <v>34</v>
      </c>
      <c r="G1273">
        <v>7</v>
      </c>
      <c r="H1273" t="str">
        <f t="shared" si="19"/>
        <v>1-10 km</v>
      </c>
      <c r="I1273">
        <v>1</v>
      </c>
      <c r="J1273" t="str" cm="1">
        <f t="array" ref="J1273">_xlfn.IFS(I1273=1,"Below College",I1273=2,"College",I1273=3,"Bachelor",I1273=4,"Master",I1273=5,"Doctor")</f>
        <v>Below College</v>
      </c>
      <c r="K1273" t="s">
        <v>55</v>
      </c>
      <c r="L1273">
        <v>1780</v>
      </c>
      <c r="M1273">
        <v>2</v>
      </c>
      <c r="N1273" t="str" cm="1">
        <f t="array" ref="N1273">_xlfn.IFS(M1273=1,"Low",M1273=2,"Medium",M1273=3,"High",M1273=4,"Very High")</f>
        <v>Medium</v>
      </c>
      <c r="O1273" t="s">
        <v>42</v>
      </c>
      <c r="P1273" s="2">
        <v>31</v>
      </c>
      <c r="Q1273">
        <v>3</v>
      </c>
      <c r="R1273" t="str" cm="1">
        <f t="array" ref="R1273">_xlfn.IFS(Q1273=1,"Low",Q1273=2,"Medium",Q1273=3,"High",Q1273=4,"Very High")</f>
        <v>High</v>
      </c>
      <c r="S1273">
        <v>1</v>
      </c>
      <c r="T1273" t="str" cm="1">
        <f t="array" ref="T1273">_xlfn.IFS(S1273=1,"Entry Level",S1273=2,"Junior",S1273=3,"Mid-Level",S1273=4,"Senior",S1273=5,"Executive")</f>
        <v>Entry Level</v>
      </c>
      <c r="U1273" t="s">
        <v>53</v>
      </c>
      <c r="V1273">
        <v>2</v>
      </c>
      <c r="W1273" t="str" cm="1">
        <f t="array" ref="W1273">_xlfn.IFS(V1273=1,"Low",V1273=2,"Medium",V1273=3,"High",V1273=4,"Very High")</f>
        <v>Medium</v>
      </c>
      <c r="X1273" t="s">
        <v>38</v>
      </c>
      <c r="Y1273" s="2">
        <v>2679</v>
      </c>
      <c r="Z1273" s="2">
        <v>4567</v>
      </c>
      <c r="AA1273">
        <v>1</v>
      </c>
      <c r="AB1273" t="s">
        <v>39</v>
      </c>
      <c r="AC1273">
        <v>13</v>
      </c>
      <c r="AD1273">
        <v>3</v>
      </c>
      <c r="AE1273" t="str" cm="1">
        <f t="array" ref="AE1273">_xlfn.IFS(AD1273=1,"Low",AD1273=2,"Good",AD1273=3,"Excellent",AD1273=4,"Outstanding")</f>
        <v>Excellent</v>
      </c>
      <c r="AF1273">
        <v>2</v>
      </c>
      <c r="AG1273" t="str" cm="1">
        <f t="array" ref="AG1273">_xlfn.IFS(AF1273=1,"Low",AF1273=2,"Medium",AF1273=3,"High",AF1273=4,"Very High")</f>
        <v>Medium</v>
      </c>
      <c r="AH1273">
        <v>0</v>
      </c>
      <c r="AI1273">
        <v>1</v>
      </c>
      <c r="AJ1273">
        <v>3</v>
      </c>
      <c r="AK1273">
        <v>3</v>
      </c>
      <c r="AL1273" t="str" cm="1">
        <f t="array" ref="AL1273">_xlfn.IFS(AK1273=1,"Low",AK1273=2,"Medium",AK1273=3,"High",AK1273=4,"Very High")</f>
        <v>High</v>
      </c>
      <c r="AM1273">
        <v>1</v>
      </c>
      <c r="AN1273">
        <v>0</v>
      </c>
      <c r="AO1273">
        <v>1</v>
      </c>
      <c r="AP1273">
        <v>0</v>
      </c>
    </row>
    <row r="1274" spans="1:42">
      <c r="A1274">
        <v>38</v>
      </c>
      <c r="B1274" t="str" cm="1">
        <f t="array" ref="B1274">_xlfn.IFS(A1274&lt;=25,"18-25",A1274&lt;=35,"26-35",A1274&lt;=45,"36-45",A1274&lt;=55,"46-55",A1274&gt;55,"56+")</f>
        <v>36-45</v>
      </c>
      <c r="C1274" t="s">
        <v>39</v>
      </c>
      <c r="D1274" t="s">
        <v>33</v>
      </c>
      <c r="E1274" s="2">
        <v>1153</v>
      </c>
      <c r="F1274" t="s">
        <v>41</v>
      </c>
      <c r="G1274">
        <v>6</v>
      </c>
      <c r="H1274" t="str">
        <f t="shared" si="19"/>
        <v>1-10 km</v>
      </c>
      <c r="I1274">
        <v>2</v>
      </c>
      <c r="J1274" t="str" cm="1">
        <f t="array" ref="J1274">_xlfn.IFS(I1274=1,"Below College",I1274=2,"College",I1274=3,"Bachelor",I1274=4,"Master",I1274=5,"Doctor")</f>
        <v>College</v>
      </c>
      <c r="K1274" t="s">
        <v>45</v>
      </c>
      <c r="L1274">
        <v>1782</v>
      </c>
      <c r="M1274">
        <v>4</v>
      </c>
      <c r="N1274" t="str" cm="1">
        <f t="array" ref="N1274">_xlfn.IFS(M1274=1,"Low",M1274=2,"Medium",M1274=3,"High",M1274=4,"Very High")</f>
        <v>Very High</v>
      </c>
      <c r="O1274" t="s">
        <v>36</v>
      </c>
      <c r="P1274" s="2">
        <v>40</v>
      </c>
      <c r="Q1274">
        <v>2</v>
      </c>
      <c r="R1274" t="str" cm="1">
        <f t="array" ref="R1274">_xlfn.IFS(Q1274=1,"Low",Q1274=2,"Medium",Q1274=3,"High",Q1274=4,"Very High")</f>
        <v>Medium</v>
      </c>
      <c r="S1274">
        <v>1</v>
      </c>
      <c r="T1274" t="str" cm="1">
        <f t="array" ref="T1274">_xlfn.IFS(S1274=1,"Entry Level",S1274=2,"Junior",S1274=3,"Mid-Level",S1274=4,"Senior",S1274=5,"Executive")</f>
        <v>Entry Level</v>
      </c>
      <c r="U1274" t="s">
        <v>46</v>
      </c>
      <c r="V1274">
        <v>3</v>
      </c>
      <c r="W1274" t="str" cm="1">
        <f t="array" ref="W1274">_xlfn.IFS(V1274=1,"Low",V1274=2,"Medium",V1274=3,"High",V1274=4,"Very High")</f>
        <v>High</v>
      </c>
      <c r="X1274" t="s">
        <v>44</v>
      </c>
      <c r="Y1274" s="2">
        <v>3702</v>
      </c>
      <c r="Z1274" s="2">
        <v>16376</v>
      </c>
      <c r="AA1274">
        <v>1</v>
      </c>
      <c r="AB1274" t="s">
        <v>39</v>
      </c>
      <c r="AC1274">
        <v>11</v>
      </c>
      <c r="AD1274">
        <v>3</v>
      </c>
      <c r="AE1274" t="str" cm="1">
        <f t="array" ref="AE1274">_xlfn.IFS(AD1274=1,"Low",AD1274=2,"Good",AD1274=3,"Excellent",AD1274=4,"Outstanding")</f>
        <v>Excellent</v>
      </c>
      <c r="AF1274">
        <v>2</v>
      </c>
      <c r="AG1274" t="str" cm="1">
        <f t="array" ref="AG1274">_xlfn.IFS(AF1274=1,"Low",AF1274=2,"Medium",AF1274=3,"High",AF1274=4,"Very High")</f>
        <v>Medium</v>
      </c>
      <c r="AH1274">
        <v>1</v>
      </c>
      <c r="AI1274">
        <v>5</v>
      </c>
      <c r="AJ1274">
        <v>3</v>
      </c>
      <c r="AK1274">
        <v>3</v>
      </c>
      <c r="AL1274" t="str" cm="1">
        <f t="array" ref="AL1274">_xlfn.IFS(AK1274=1,"Low",AK1274=2,"Medium",AK1274=3,"High",AK1274=4,"Very High")</f>
        <v>High</v>
      </c>
      <c r="AM1274">
        <v>5</v>
      </c>
      <c r="AN1274">
        <v>4</v>
      </c>
      <c r="AO1274">
        <v>0</v>
      </c>
      <c r="AP1274">
        <v>4</v>
      </c>
    </row>
    <row r="1275" spans="1:42">
      <c r="A1275">
        <v>22</v>
      </c>
      <c r="B1275" t="str" cm="1">
        <f t="array" ref="B1275">_xlfn.IFS(A1275&lt;=25,"18-25",A1275&lt;=35,"26-35",A1275&lt;=45,"36-45",A1275&lt;=55,"46-55",A1275&gt;55,"56+")</f>
        <v>18-25</v>
      </c>
      <c r="C1275" t="s">
        <v>32</v>
      </c>
      <c r="D1275" t="s">
        <v>33</v>
      </c>
      <c r="E1275" s="2">
        <v>1294</v>
      </c>
      <c r="F1275" t="s">
        <v>41</v>
      </c>
      <c r="G1275">
        <v>8</v>
      </c>
      <c r="H1275" t="str">
        <f t="shared" si="19"/>
        <v>1-10 km</v>
      </c>
      <c r="I1275">
        <v>1</v>
      </c>
      <c r="J1275" t="str" cm="1">
        <f t="array" ref="J1275">_xlfn.IFS(I1275=1,"Below College",I1275=2,"College",I1275=3,"Bachelor",I1275=4,"Master",I1275=5,"Doctor")</f>
        <v>Below College</v>
      </c>
      <c r="K1275" t="s">
        <v>47</v>
      </c>
      <c r="L1275">
        <v>1783</v>
      </c>
      <c r="M1275">
        <v>3</v>
      </c>
      <c r="N1275" t="str" cm="1">
        <f t="array" ref="N1275">_xlfn.IFS(M1275=1,"Low",M1275=2,"Medium",M1275=3,"High",M1275=4,"Very High")</f>
        <v>High</v>
      </c>
      <c r="O1275" t="s">
        <v>36</v>
      </c>
      <c r="P1275" s="2">
        <v>79</v>
      </c>
      <c r="Q1275">
        <v>3</v>
      </c>
      <c r="R1275" t="str" cm="1">
        <f t="array" ref="R1275">_xlfn.IFS(Q1275=1,"Low",Q1275=2,"Medium",Q1275=3,"High",Q1275=4,"Very High")</f>
        <v>High</v>
      </c>
      <c r="S1275">
        <v>1</v>
      </c>
      <c r="T1275" t="str" cm="1">
        <f t="array" ref="T1275">_xlfn.IFS(S1275=1,"Entry Level",S1275=2,"Junior",S1275=3,"Mid-Level",S1275=4,"Senior",S1275=5,"Executive")</f>
        <v>Entry Level</v>
      </c>
      <c r="U1275" t="s">
        <v>46</v>
      </c>
      <c r="V1275">
        <v>1</v>
      </c>
      <c r="W1275" t="str" cm="1">
        <f t="array" ref="W1275">_xlfn.IFS(V1275=1,"Low",V1275=2,"Medium",V1275=3,"High",V1275=4,"Very High")</f>
        <v>Low</v>
      </c>
      <c r="X1275" t="s">
        <v>44</v>
      </c>
      <c r="Y1275" s="2">
        <v>2398</v>
      </c>
      <c r="Z1275" s="2">
        <v>15999</v>
      </c>
      <c r="AA1275">
        <v>1</v>
      </c>
      <c r="AB1275" t="s">
        <v>32</v>
      </c>
      <c r="AC1275">
        <v>17</v>
      </c>
      <c r="AD1275">
        <v>3</v>
      </c>
      <c r="AE1275" t="str" cm="1">
        <f t="array" ref="AE1275">_xlfn.IFS(AD1275=1,"Low",AD1275=2,"Good",AD1275=3,"Excellent",AD1275=4,"Outstanding")</f>
        <v>Excellent</v>
      </c>
      <c r="AF1275">
        <v>3</v>
      </c>
      <c r="AG1275" t="str" cm="1">
        <f t="array" ref="AG1275">_xlfn.IFS(AF1275=1,"Low",AF1275=2,"Medium",AF1275=3,"High",AF1275=4,"Very High")</f>
        <v>High</v>
      </c>
      <c r="AH1275">
        <v>0</v>
      </c>
      <c r="AI1275">
        <v>1</v>
      </c>
      <c r="AJ1275">
        <v>6</v>
      </c>
      <c r="AK1275">
        <v>3</v>
      </c>
      <c r="AL1275" t="str" cm="1">
        <f t="array" ref="AL1275">_xlfn.IFS(AK1275=1,"Low",AK1275=2,"Medium",AK1275=3,"High",AK1275=4,"Very High")</f>
        <v>High</v>
      </c>
      <c r="AM1275">
        <v>1</v>
      </c>
      <c r="AN1275">
        <v>0</v>
      </c>
      <c r="AO1275">
        <v>0</v>
      </c>
      <c r="AP1275">
        <v>0</v>
      </c>
    </row>
    <row r="1276" spans="1:42">
      <c r="A1276">
        <v>31</v>
      </c>
      <c r="B1276" t="str" cm="1">
        <f t="array" ref="B1276">_xlfn.IFS(A1276&lt;=25,"18-25",A1276&lt;=35,"26-35",A1276&lt;=45,"36-45",A1276&lt;=55,"46-55",A1276&gt;55,"56+")</f>
        <v>26-35</v>
      </c>
      <c r="C1276" t="s">
        <v>39</v>
      </c>
      <c r="D1276" t="s">
        <v>33</v>
      </c>
      <c r="E1276" s="2">
        <v>196</v>
      </c>
      <c r="F1276" t="s">
        <v>34</v>
      </c>
      <c r="G1276">
        <v>29</v>
      </c>
      <c r="H1276" t="str">
        <f t="shared" si="19"/>
        <v>21-30 km</v>
      </c>
      <c r="I1276">
        <v>4</v>
      </c>
      <c r="J1276" t="str" cm="1">
        <f t="array" ref="J1276">_xlfn.IFS(I1276=1,"Below College",I1276=2,"College",I1276=3,"Bachelor",I1276=4,"Master",I1276=5,"Doctor")</f>
        <v>Master</v>
      </c>
      <c r="K1276" t="s">
        <v>55</v>
      </c>
      <c r="L1276">
        <v>1784</v>
      </c>
      <c r="M1276">
        <v>1</v>
      </c>
      <c r="N1276" t="str" cm="1">
        <f t="array" ref="N1276">_xlfn.IFS(M1276=1,"Low",M1276=2,"Medium",M1276=3,"High",M1276=4,"Very High")</f>
        <v>Low</v>
      </c>
      <c r="O1276" t="s">
        <v>36</v>
      </c>
      <c r="P1276" s="2">
        <v>91</v>
      </c>
      <c r="Q1276">
        <v>2</v>
      </c>
      <c r="R1276" t="str" cm="1">
        <f t="array" ref="R1276">_xlfn.IFS(Q1276=1,"Low",Q1276=2,"Medium",Q1276=3,"High",Q1276=4,"Very High")</f>
        <v>Medium</v>
      </c>
      <c r="S1276">
        <v>2</v>
      </c>
      <c r="T1276" t="str" cm="1">
        <f t="array" ref="T1276">_xlfn.IFS(S1276=1,"Entry Level",S1276=2,"Junior",S1276=3,"Mid-Level",S1276=4,"Senior",S1276=5,"Executive")</f>
        <v>Junior</v>
      </c>
      <c r="U1276" t="s">
        <v>37</v>
      </c>
      <c r="V1276">
        <v>4</v>
      </c>
      <c r="W1276" t="str" cm="1">
        <f t="array" ref="W1276">_xlfn.IFS(V1276=1,"Low",V1276=2,"Medium",V1276=3,"High",V1276=4,"Very High")</f>
        <v>Very High</v>
      </c>
      <c r="X1276" t="s">
        <v>44</v>
      </c>
      <c r="Y1276" s="2">
        <v>5468</v>
      </c>
      <c r="Z1276" s="2">
        <v>13402</v>
      </c>
      <c r="AA1276">
        <v>1</v>
      </c>
      <c r="AB1276" t="s">
        <v>39</v>
      </c>
      <c r="AC1276">
        <v>14</v>
      </c>
      <c r="AD1276">
        <v>3</v>
      </c>
      <c r="AE1276" t="str" cm="1">
        <f t="array" ref="AE1276">_xlfn.IFS(AD1276=1,"Low",AD1276=2,"Good",AD1276=3,"Excellent",AD1276=4,"Outstanding")</f>
        <v>Excellent</v>
      </c>
      <c r="AF1276">
        <v>1</v>
      </c>
      <c r="AG1276" t="str" cm="1">
        <f t="array" ref="AG1276">_xlfn.IFS(AF1276=1,"Low",AF1276=2,"Medium",AF1276=3,"High",AF1276=4,"Very High")</f>
        <v>Low</v>
      </c>
      <c r="AH1276">
        <v>2</v>
      </c>
      <c r="AI1276">
        <v>13</v>
      </c>
      <c r="AJ1276">
        <v>3</v>
      </c>
      <c r="AK1276">
        <v>3</v>
      </c>
      <c r="AL1276" t="str" cm="1">
        <f t="array" ref="AL1276">_xlfn.IFS(AK1276=1,"Low",AK1276=2,"Medium",AK1276=3,"High",AK1276=4,"Very High")</f>
        <v>High</v>
      </c>
      <c r="AM1276">
        <v>12</v>
      </c>
      <c r="AN1276">
        <v>7</v>
      </c>
      <c r="AO1276">
        <v>5</v>
      </c>
      <c r="AP1276">
        <v>7</v>
      </c>
    </row>
    <row r="1277" spans="1:42">
      <c r="A1277">
        <v>51</v>
      </c>
      <c r="B1277" t="str" cm="1">
        <f t="array" ref="B1277">_xlfn.IFS(A1277&lt;=25,"18-25",A1277&lt;=35,"26-35",A1277&lt;=45,"36-45",A1277&lt;=55,"46-55",A1277&gt;55,"56+")</f>
        <v>46-55</v>
      </c>
      <c r="C1277" t="s">
        <v>39</v>
      </c>
      <c r="D1277" t="s">
        <v>33</v>
      </c>
      <c r="E1277" s="2">
        <v>942</v>
      </c>
      <c r="F1277" t="s">
        <v>41</v>
      </c>
      <c r="G1277">
        <v>3</v>
      </c>
      <c r="H1277" t="str">
        <f t="shared" si="19"/>
        <v>1-10 km</v>
      </c>
      <c r="I1277">
        <v>3</v>
      </c>
      <c r="J1277" t="str" cm="1">
        <f t="array" ref="J1277">_xlfn.IFS(I1277=1,"Below College",I1277=2,"College",I1277=3,"Bachelor",I1277=4,"Master",I1277=5,"Doctor")</f>
        <v>Bachelor</v>
      </c>
      <c r="K1277" t="s">
        <v>56</v>
      </c>
      <c r="L1277">
        <v>1786</v>
      </c>
      <c r="M1277">
        <v>1</v>
      </c>
      <c r="N1277" t="str" cm="1">
        <f t="array" ref="N1277">_xlfn.IFS(M1277=1,"Low",M1277=2,"Medium",M1277=3,"High",M1277=4,"Very High")</f>
        <v>Low</v>
      </c>
      <c r="O1277" t="s">
        <v>36</v>
      </c>
      <c r="P1277" s="2">
        <v>53</v>
      </c>
      <c r="Q1277">
        <v>3</v>
      </c>
      <c r="R1277" t="str" cm="1">
        <f t="array" ref="R1277">_xlfn.IFS(Q1277=1,"Low",Q1277=2,"Medium",Q1277=3,"High",Q1277=4,"Very High")</f>
        <v>High</v>
      </c>
      <c r="S1277">
        <v>3</v>
      </c>
      <c r="T1277" t="str" cm="1">
        <f t="array" ref="T1277">_xlfn.IFS(S1277=1,"Entry Level",S1277=2,"Junior",S1277=3,"Mid-Level",S1277=4,"Senior",S1277=5,"Executive")</f>
        <v>Mid-Level</v>
      </c>
      <c r="U1277" t="s">
        <v>52</v>
      </c>
      <c r="V1277">
        <v>3</v>
      </c>
      <c r="W1277" t="str" cm="1">
        <f t="array" ref="W1277">_xlfn.IFS(V1277=1,"Low",V1277=2,"Medium",V1277=3,"High",V1277=4,"Very High")</f>
        <v>High</v>
      </c>
      <c r="X1277" t="s">
        <v>44</v>
      </c>
      <c r="Y1277" s="2">
        <v>13116</v>
      </c>
      <c r="Z1277" s="2">
        <v>22984</v>
      </c>
      <c r="AA1277">
        <v>2</v>
      </c>
      <c r="AB1277" t="s">
        <v>39</v>
      </c>
      <c r="AC1277">
        <v>11</v>
      </c>
      <c r="AD1277">
        <v>3</v>
      </c>
      <c r="AE1277" t="str" cm="1">
        <f t="array" ref="AE1277">_xlfn.IFS(AD1277=1,"Low",AD1277=2,"Good",AD1277=3,"Excellent",AD1277=4,"Outstanding")</f>
        <v>Excellent</v>
      </c>
      <c r="AF1277">
        <v>4</v>
      </c>
      <c r="AG1277" t="str" cm="1">
        <f t="array" ref="AG1277">_xlfn.IFS(AF1277=1,"Low",AF1277=2,"Medium",AF1277=3,"High",AF1277=4,"Very High")</f>
        <v>Very High</v>
      </c>
      <c r="AH1277">
        <v>0</v>
      </c>
      <c r="AI1277">
        <v>15</v>
      </c>
      <c r="AJ1277">
        <v>2</v>
      </c>
      <c r="AK1277">
        <v>3</v>
      </c>
      <c r="AL1277" t="str" cm="1">
        <f t="array" ref="AL1277">_xlfn.IFS(AK1277=1,"Low",AK1277=2,"Medium",AK1277=3,"High",AK1277=4,"Very High")</f>
        <v>High</v>
      </c>
      <c r="AM1277">
        <v>2</v>
      </c>
      <c r="AN1277">
        <v>2</v>
      </c>
      <c r="AO1277">
        <v>2</v>
      </c>
      <c r="AP1277">
        <v>2</v>
      </c>
    </row>
    <row r="1278" spans="1:42">
      <c r="A1278">
        <v>37</v>
      </c>
      <c r="B1278" t="str" cm="1">
        <f t="array" ref="B1278">_xlfn.IFS(A1278&lt;=25,"18-25",A1278&lt;=35,"26-35",A1278&lt;=45,"36-45",A1278&lt;=55,"46-55",A1278&gt;55,"56+")</f>
        <v>36-45</v>
      </c>
      <c r="C1278" t="s">
        <v>39</v>
      </c>
      <c r="D1278" t="s">
        <v>33</v>
      </c>
      <c r="E1278" s="2">
        <v>589</v>
      </c>
      <c r="F1278" t="s">
        <v>34</v>
      </c>
      <c r="G1278">
        <v>9</v>
      </c>
      <c r="H1278" t="str">
        <f t="shared" si="19"/>
        <v>1-10 km</v>
      </c>
      <c r="I1278">
        <v>2</v>
      </c>
      <c r="J1278" t="str" cm="1">
        <f t="array" ref="J1278">_xlfn.IFS(I1278=1,"Below College",I1278=2,"College",I1278=3,"Bachelor",I1278=4,"Master",I1278=5,"Doctor")</f>
        <v>College</v>
      </c>
      <c r="K1278" t="s">
        <v>55</v>
      </c>
      <c r="L1278">
        <v>1787</v>
      </c>
      <c r="M1278">
        <v>2</v>
      </c>
      <c r="N1278" t="str" cm="1">
        <f t="array" ref="N1278">_xlfn.IFS(M1278=1,"Low",M1278=2,"Medium",M1278=3,"High",M1278=4,"Very High")</f>
        <v>Medium</v>
      </c>
      <c r="O1278" t="s">
        <v>42</v>
      </c>
      <c r="P1278" s="2">
        <v>46</v>
      </c>
      <c r="Q1278">
        <v>2</v>
      </c>
      <c r="R1278" t="str" cm="1">
        <f t="array" ref="R1278">_xlfn.IFS(Q1278=1,"Low",Q1278=2,"Medium",Q1278=3,"High",Q1278=4,"Very High")</f>
        <v>Medium</v>
      </c>
      <c r="S1278">
        <v>2</v>
      </c>
      <c r="T1278" t="str" cm="1">
        <f t="array" ref="T1278">_xlfn.IFS(S1278=1,"Entry Level",S1278=2,"Junior",S1278=3,"Mid-Level",S1278=4,"Senior",S1278=5,"Executive")</f>
        <v>Junior</v>
      </c>
      <c r="U1278" t="s">
        <v>37</v>
      </c>
      <c r="V1278">
        <v>2</v>
      </c>
      <c r="W1278" t="str" cm="1">
        <f t="array" ref="W1278">_xlfn.IFS(V1278=1,"Low",V1278=2,"Medium",V1278=3,"High",V1278=4,"Very High")</f>
        <v>Medium</v>
      </c>
      <c r="X1278" t="s">
        <v>44</v>
      </c>
      <c r="Y1278" s="2">
        <v>4189</v>
      </c>
      <c r="Z1278" s="2">
        <v>8800</v>
      </c>
      <c r="AA1278">
        <v>1</v>
      </c>
      <c r="AB1278" t="s">
        <v>39</v>
      </c>
      <c r="AC1278">
        <v>14</v>
      </c>
      <c r="AD1278">
        <v>3</v>
      </c>
      <c r="AE1278" t="str" cm="1">
        <f t="array" ref="AE1278">_xlfn.IFS(AD1278=1,"Low",AD1278=2,"Good",AD1278=3,"Excellent",AD1278=4,"Outstanding")</f>
        <v>Excellent</v>
      </c>
      <c r="AF1278">
        <v>1</v>
      </c>
      <c r="AG1278" t="str" cm="1">
        <f t="array" ref="AG1278">_xlfn.IFS(AF1278=1,"Low",AF1278=2,"Medium",AF1278=3,"High",AF1278=4,"Very High")</f>
        <v>Low</v>
      </c>
      <c r="AH1278">
        <v>2</v>
      </c>
      <c r="AI1278">
        <v>5</v>
      </c>
      <c r="AJ1278">
        <v>2</v>
      </c>
      <c r="AK1278">
        <v>3</v>
      </c>
      <c r="AL1278" t="str" cm="1">
        <f t="array" ref="AL1278">_xlfn.IFS(AK1278=1,"Low",AK1278=2,"Medium",AK1278=3,"High",AK1278=4,"Very High")</f>
        <v>High</v>
      </c>
      <c r="AM1278">
        <v>5</v>
      </c>
      <c r="AN1278">
        <v>2</v>
      </c>
      <c r="AO1278">
        <v>0</v>
      </c>
      <c r="AP1278">
        <v>3</v>
      </c>
    </row>
    <row r="1279" spans="1:42">
      <c r="A1279">
        <v>46</v>
      </c>
      <c r="B1279" t="str" cm="1">
        <f t="array" ref="B1279">_xlfn.IFS(A1279&lt;=25,"18-25",A1279&lt;=35,"26-35",A1279&lt;=45,"36-45",A1279&lt;=55,"46-55",A1279&gt;55,"56+")</f>
        <v>46-55</v>
      </c>
      <c r="C1279" t="s">
        <v>39</v>
      </c>
      <c r="D1279" t="s">
        <v>33</v>
      </c>
      <c r="E1279" s="2">
        <v>734</v>
      </c>
      <c r="F1279" t="s">
        <v>41</v>
      </c>
      <c r="G1279">
        <v>2</v>
      </c>
      <c r="H1279" t="str">
        <f t="shared" si="19"/>
        <v>1-10 km</v>
      </c>
      <c r="I1279">
        <v>4</v>
      </c>
      <c r="J1279" t="str" cm="1">
        <f t="array" ref="J1279">_xlfn.IFS(I1279=1,"Below College",I1279=2,"College",I1279=3,"Bachelor",I1279=4,"Master",I1279=5,"Doctor")</f>
        <v>Master</v>
      </c>
      <c r="K1279" t="s">
        <v>47</v>
      </c>
      <c r="L1279">
        <v>1789</v>
      </c>
      <c r="M1279">
        <v>3</v>
      </c>
      <c r="N1279" t="str" cm="1">
        <f t="array" ref="N1279">_xlfn.IFS(M1279=1,"Low",M1279=2,"Medium",M1279=3,"High",M1279=4,"Very High")</f>
        <v>High</v>
      </c>
      <c r="O1279" t="s">
        <v>42</v>
      </c>
      <c r="P1279" s="2">
        <v>46</v>
      </c>
      <c r="Q1279">
        <v>3</v>
      </c>
      <c r="R1279" t="str" cm="1">
        <f t="array" ref="R1279">_xlfn.IFS(Q1279=1,"Low",Q1279=2,"Medium",Q1279=3,"High",Q1279=4,"Very High")</f>
        <v>High</v>
      </c>
      <c r="S1279">
        <v>5</v>
      </c>
      <c r="T1279" t="str" cm="1">
        <f t="array" ref="T1279">_xlfn.IFS(S1279=1,"Entry Level",S1279=2,"Junior",S1279=3,"Mid-Level",S1279=4,"Senior",S1279=5,"Executive")</f>
        <v>Executive</v>
      </c>
      <c r="U1279" t="s">
        <v>54</v>
      </c>
      <c r="V1279">
        <v>4</v>
      </c>
      <c r="W1279" t="str" cm="1">
        <f t="array" ref="W1279">_xlfn.IFS(V1279=1,"Low",V1279=2,"Medium",V1279=3,"High",V1279=4,"Very High")</f>
        <v>Very High</v>
      </c>
      <c r="X1279" t="s">
        <v>48</v>
      </c>
      <c r="Y1279" s="2">
        <v>19328</v>
      </c>
      <c r="Z1279" s="2">
        <v>14218</v>
      </c>
      <c r="AA1279">
        <v>7</v>
      </c>
      <c r="AB1279" t="s">
        <v>32</v>
      </c>
      <c r="AC1279">
        <v>17</v>
      </c>
      <c r="AD1279">
        <v>3</v>
      </c>
      <c r="AE1279" t="str" cm="1">
        <f t="array" ref="AE1279">_xlfn.IFS(AD1279=1,"Low",AD1279=2,"Good",AD1279=3,"Excellent",AD1279=4,"Outstanding")</f>
        <v>Excellent</v>
      </c>
      <c r="AF1279">
        <v>3</v>
      </c>
      <c r="AG1279" t="str" cm="1">
        <f t="array" ref="AG1279">_xlfn.IFS(AF1279=1,"Low",AF1279=2,"Medium",AF1279=3,"High",AF1279=4,"Very High")</f>
        <v>High</v>
      </c>
      <c r="AH1279">
        <v>1</v>
      </c>
      <c r="AI1279">
        <v>24</v>
      </c>
      <c r="AJ1279">
        <v>3</v>
      </c>
      <c r="AK1279">
        <v>3</v>
      </c>
      <c r="AL1279" t="str" cm="1">
        <f t="array" ref="AL1279">_xlfn.IFS(AK1279=1,"Low",AK1279=2,"Medium",AK1279=3,"High",AK1279=4,"Very High")</f>
        <v>High</v>
      </c>
      <c r="AM1279">
        <v>2</v>
      </c>
      <c r="AN1279">
        <v>1</v>
      </c>
      <c r="AO1279">
        <v>2</v>
      </c>
      <c r="AP1279">
        <v>2</v>
      </c>
    </row>
    <row r="1280" spans="1:42">
      <c r="A1280">
        <v>36</v>
      </c>
      <c r="B1280" t="str" cm="1">
        <f t="array" ref="B1280">_xlfn.IFS(A1280&lt;=25,"18-25",A1280&lt;=35,"26-35",A1280&lt;=45,"36-45",A1280&lt;=55,"46-55",A1280&gt;55,"56+")</f>
        <v>36-45</v>
      </c>
      <c r="C1280" t="s">
        <v>39</v>
      </c>
      <c r="D1280" t="s">
        <v>33</v>
      </c>
      <c r="E1280" s="2">
        <v>1383</v>
      </c>
      <c r="F1280" t="s">
        <v>41</v>
      </c>
      <c r="G1280">
        <v>10</v>
      </c>
      <c r="H1280" t="str">
        <f t="shared" si="19"/>
        <v>1-10 km</v>
      </c>
      <c r="I1280">
        <v>3</v>
      </c>
      <c r="J1280" t="str" cm="1">
        <f t="array" ref="J1280">_xlfn.IFS(I1280=1,"Below College",I1280=2,"College",I1280=3,"Bachelor",I1280=4,"Master",I1280=5,"Doctor")</f>
        <v>Bachelor</v>
      </c>
      <c r="K1280" t="s">
        <v>35</v>
      </c>
      <c r="L1280">
        <v>1790</v>
      </c>
      <c r="M1280">
        <v>4</v>
      </c>
      <c r="N1280" t="str" cm="1">
        <f t="array" ref="N1280">_xlfn.IFS(M1280=1,"Low",M1280=2,"Medium",M1280=3,"High",M1280=4,"Very High")</f>
        <v>Very High</v>
      </c>
      <c r="O1280" t="s">
        <v>42</v>
      </c>
      <c r="P1280" s="2">
        <v>90</v>
      </c>
      <c r="Q1280">
        <v>3</v>
      </c>
      <c r="R1280" t="str" cm="1">
        <f t="array" ref="R1280">_xlfn.IFS(Q1280=1,"Low",Q1280=2,"Medium",Q1280=3,"High",Q1280=4,"Very High")</f>
        <v>High</v>
      </c>
      <c r="S1280">
        <v>3</v>
      </c>
      <c r="T1280" t="str" cm="1">
        <f t="array" ref="T1280">_xlfn.IFS(S1280=1,"Entry Level",S1280=2,"Junior",S1280=3,"Mid-Level",S1280=4,"Senior",S1280=5,"Executive")</f>
        <v>Mid-Level</v>
      </c>
      <c r="U1280" t="s">
        <v>50</v>
      </c>
      <c r="V1280">
        <v>1</v>
      </c>
      <c r="W1280" t="str" cm="1">
        <f t="array" ref="W1280">_xlfn.IFS(V1280=1,"Low",V1280=2,"Medium",V1280=3,"High",V1280=4,"Very High")</f>
        <v>Low</v>
      </c>
      <c r="X1280" t="s">
        <v>44</v>
      </c>
      <c r="Y1280" s="2">
        <v>8321</v>
      </c>
      <c r="Z1280" s="2">
        <v>25949</v>
      </c>
      <c r="AA1280">
        <v>7</v>
      </c>
      <c r="AB1280" t="s">
        <v>32</v>
      </c>
      <c r="AC1280">
        <v>13</v>
      </c>
      <c r="AD1280">
        <v>3</v>
      </c>
      <c r="AE1280" t="str" cm="1">
        <f t="array" ref="AE1280">_xlfn.IFS(AD1280=1,"Low",AD1280=2,"Good",AD1280=3,"Excellent",AD1280=4,"Outstanding")</f>
        <v>Excellent</v>
      </c>
      <c r="AF1280">
        <v>4</v>
      </c>
      <c r="AG1280" t="str" cm="1">
        <f t="array" ref="AG1280">_xlfn.IFS(AF1280=1,"Low",AF1280=2,"Medium",AF1280=3,"High",AF1280=4,"Very High")</f>
        <v>Very High</v>
      </c>
      <c r="AH1280">
        <v>1</v>
      </c>
      <c r="AI1280">
        <v>15</v>
      </c>
      <c r="AJ1280">
        <v>1</v>
      </c>
      <c r="AK1280">
        <v>3</v>
      </c>
      <c r="AL1280" t="str" cm="1">
        <f t="array" ref="AL1280">_xlfn.IFS(AK1280=1,"Low",AK1280=2,"Medium",AK1280=3,"High",AK1280=4,"Very High")</f>
        <v>High</v>
      </c>
      <c r="AM1280">
        <v>12</v>
      </c>
      <c r="AN1280">
        <v>8</v>
      </c>
      <c r="AO1280">
        <v>5</v>
      </c>
      <c r="AP1280">
        <v>7</v>
      </c>
    </row>
    <row r="1281" spans="1:42">
      <c r="A1281">
        <v>44</v>
      </c>
      <c r="B1281" t="str" cm="1">
        <f t="array" ref="B1281">_xlfn.IFS(A1281&lt;=25,"18-25",A1281&lt;=35,"26-35",A1281&lt;=45,"36-45",A1281&lt;=55,"46-55",A1281&gt;55,"56+")</f>
        <v>36-45</v>
      </c>
      <c r="C1281" t="s">
        <v>32</v>
      </c>
      <c r="D1281" t="s">
        <v>40</v>
      </c>
      <c r="E1281" s="2">
        <v>429</v>
      </c>
      <c r="F1281" t="s">
        <v>41</v>
      </c>
      <c r="G1281">
        <v>1</v>
      </c>
      <c r="H1281" t="str">
        <f t="shared" si="19"/>
        <v>1-10 km</v>
      </c>
      <c r="I1281">
        <v>2</v>
      </c>
      <c r="J1281" t="str" cm="1">
        <f t="array" ref="J1281">_xlfn.IFS(I1281=1,"Below College",I1281=2,"College",I1281=3,"Bachelor",I1281=4,"Master",I1281=5,"Doctor")</f>
        <v>College</v>
      </c>
      <c r="K1281" t="s">
        <v>47</v>
      </c>
      <c r="L1281">
        <v>1792</v>
      </c>
      <c r="M1281">
        <v>3</v>
      </c>
      <c r="N1281" t="str" cm="1">
        <f t="array" ref="N1281">_xlfn.IFS(M1281=1,"Low",M1281=2,"Medium",M1281=3,"High",M1281=4,"Very High")</f>
        <v>High</v>
      </c>
      <c r="O1281" t="s">
        <v>42</v>
      </c>
      <c r="P1281" s="2">
        <v>99</v>
      </c>
      <c r="Q1281">
        <v>3</v>
      </c>
      <c r="R1281" t="str" cm="1">
        <f t="array" ref="R1281">_xlfn.IFS(Q1281=1,"Low",Q1281=2,"Medium",Q1281=3,"High",Q1281=4,"Very High")</f>
        <v>High</v>
      </c>
      <c r="S1281">
        <v>1</v>
      </c>
      <c r="T1281" t="str" cm="1">
        <f t="array" ref="T1281">_xlfn.IFS(S1281=1,"Entry Level",S1281=2,"Junior",S1281=3,"Mid-Level",S1281=4,"Senior",S1281=5,"Executive")</f>
        <v>Entry Level</v>
      </c>
      <c r="U1281" t="s">
        <v>43</v>
      </c>
      <c r="V1281">
        <v>2</v>
      </c>
      <c r="W1281" t="str" cm="1">
        <f t="array" ref="W1281">_xlfn.IFS(V1281=1,"Low",V1281=2,"Medium",V1281=3,"High",V1281=4,"Very High")</f>
        <v>Medium</v>
      </c>
      <c r="X1281" t="s">
        <v>48</v>
      </c>
      <c r="Y1281" s="2">
        <v>2342</v>
      </c>
      <c r="Z1281" s="2">
        <v>11092</v>
      </c>
      <c r="AA1281">
        <v>1</v>
      </c>
      <c r="AB1281" t="s">
        <v>32</v>
      </c>
      <c r="AC1281">
        <v>12</v>
      </c>
      <c r="AD1281">
        <v>3</v>
      </c>
      <c r="AE1281" t="str" cm="1">
        <f t="array" ref="AE1281">_xlfn.IFS(AD1281=1,"Low",AD1281=2,"Good",AD1281=3,"Excellent",AD1281=4,"Outstanding")</f>
        <v>Excellent</v>
      </c>
      <c r="AF1281">
        <v>3</v>
      </c>
      <c r="AG1281" t="str" cm="1">
        <f t="array" ref="AG1281">_xlfn.IFS(AF1281=1,"Low",AF1281=2,"Medium",AF1281=3,"High",AF1281=4,"Very High")</f>
        <v>High</v>
      </c>
      <c r="AH1281">
        <v>3</v>
      </c>
      <c r="AI1281">
        <v>6</v>
      </c>
      <c r="AJ1281">
        <v>2</v>
      </c>
      <c r="AK1281">
        <v>2</v>
      </c>
      <c r="AL1281" t="str" cm="1">
        <f t="array" ref="AL1281">_xlfn.IFS(AK1281=1,"Low",AK1281=2,"Medium",AK1281=3,"High",AK1281=4,"Very High")</f>
        <v>Medium</v>
      </c>
      <c r="AM1281">
        <v>5</v>
      </c>
      <c r="AN1281">
        <v>3</v>
      </c>
      <c r="AO1281">
        <v>2</v>
      </c>
      <c r="AP1281">
        <v>3</v>
      </c>
    </row>
    <row r="1282" spans="1:42">
      <c r="A1282">
        <v>37</v>
      </c>
      <c r="B1282" t="str" cm="1">
        <f t="array" ref="B1282">_xlfn.IFS(A1282&lt;=25,"18-25",A1282&lt;=35,"26-35",A1282&lt;=45,"36-45",A1282&lt;=55,"46-55",A1282&gt;55,"56+")</f>
        <v>36-45</v>
      </c>
      <c r="C1282" t="s">
        <v>39</v>
      </c>
      <c r="D1282" t="s">
        <v>33</v>
      </c>
      <c r="E1282" s="2">
        <v>1239</v>
      </c>
      <c r="F1282" t="s">
        <v>57</v>
      </c>
      <c r="G1282">
        <v>8</v>
      </c>
      <c r="H1282" t="str">
        <f t="shared" si="19"/>
        <v>1-10 km</v>
      </c>
      <c r="I1282">
        <v>2</v>
      </c>
      <c r="J1282" t="str" cm="1">
        <f t="array" ref="J1282">_xlfn.IFS(I1282=1,"Below College",I1282=2,"College",I1282=3,"Bachelor",I1282=4,"Master",I1282=5,"Doctor")</f>
        <v>College</v>
      </c>
      <c r="K1282" t="s">
        <v>45</v>
      </c>
      <c r="L1282">
        <v>1794</v>
      </c>
      <c r="M1282">
        <v>3</v>
      </c>
      <c r="N1282" t="str" cm="1">
        <f t="array" ref="N1282">_xlfn.IFS(M1282=1,"Low",M1282=2,"Medium",M1282=3,"High",M1282=4,"Very High")</f>
        <v>High</v>
      </c>
      <c r="O1282" t="s">
        <v>42</v>
      </c>
      <c r="P1282" s="2">
        <v>89</v>
      </c>
      <c r="Q1282">
        <v>3</v>
      </c>
      <c r="R1282" t="str" cm="1">
        <f t="array" ref="R1282">_xlfn.IFS(Q1282=1,"Low",Q1282=2,"Medium",Q1282=3,"High",Q1282=4,"Very High")</f>
        <v>High</v>
      </c>
      <c r="S1282">
        <v>2</v>
      </c>
      <c r="T1282" t="str" cm="1">
        <f t="array" ref="T1282">_xlfn.IFS(S1282=1,"Entry Level",S1282=2,"Junior",S1282=3,"Mid-Level",S1282=4,"Senior",S1282=5,"Executive")</f>
        <v>Junior</v>
      </c>
      <c r="U1282" t="s">
        <v>57</v>
      </c>
      <c r="V1282">
        <v>2</v>
      </c>
      <c r="W1282" t="str" cm="1">
        <f t="array" ref="W1282">_xlfn.IFS(V1282=1,"Low",V1282=2,"Medium",V1282=3,"High",V1282=4,"Very High")</f>
        <v>Medium</v>
      </c>
      <c r="X1282" t="s">
        <v>48</v>
      </c>
      <c r="Y1282" s="2">
        <v>4071</v>
      </c>
      <c r="Z1282" s="2">
        <v>12832</v>
      </c>
      <c r="AA1282">
        <v>2</v>
      </c>
      <c r="AB1282" t="s">
        <v>39</v>
      </c>
      <c r="AC1282">
        <v>13</v>
      </c>
      <c r="AD1282">
        <v>3</v>
      </c>
      <c r="AE1282" t="str" cm="1">
        <f t="array" ref="AE1282">_xlfn.IFS(AD1282=1,"Low",AD1282=2,"Good",AD1282=3,"Excellent",AD1282=4,"Outstanding")</f>
        <v>Excellent</v>
      </c>
      <c r="AF1282">
        <v>3</v>
      </c>
      <c r="AG1282" t="str" cm="1">
        <f t="array" ref="AG1282">_xlfn.IFS(AF1282=1,"Low",AF1282=2,"Medium",AF1282=3,"High",AF1282=4,"Very High")</f>
        <v>High</v>
      </c>
      <c r="AH1282">
        <v>0</v>
      </c>
      <c r="AI1282">
        <v>19</v>
      </c>
      <c r="AJ1282">
        <v>4</v>
      </c>
      <c r="AK1282">
        <v>2</v>
      </c>
      <c r="AL1282" t="str" cm="1">
        <f t="array" ref="AL1282">_xlfn.IFS(AK1282=1,"Low",AK1282=2,"Medium",AK1282=3,"High",AK1282=4,"Very High")</f>
        <v>Medium</v>
      </c>
      <c r="AM1282">
        <v>10</v>
      </c>
      <c r="AN1282">
        <v>0</v>
      </c>
      <c r="AO1282">
        <v>4</v>
      </c>
      <c r="AP1282">
        <v>7</v>
      </c>
    </row>
    <row r="1283" spans="1:42">
      <c r="A1283">
        <v>35</v>
      </c>
      <c r="B1283" t="str" cm="1">
        <f t="array" ref="B1283">_xlfn.IFS(A1283&lt;=25,"18-25",A1283&lt;=35,"26-35",A1283&lt;=45,"36-45",A1283&lt;=55,"46-55",A1283&gt;55,"56+")</f>
        <v>26-35</v>
      </c>
      <c r="C1283" t="s">
        <v>32</v>
      </c>
      <c r="D1283" t="s">
        <v>33</v>
      </c>
      <c r="E1283" s="2">
        <v>303</v>
      </c>
      <c r="F1283" t="s">
        <v>34</v>
      </c>
      <c r="G1283">
        <v>27</v>
      </c>
      <c r="H1283" t="str">
        <f t="shared" ref="H1283:H1346" si="20">IF(G1283&lt;=10,"1-10 km",IF(G1283&lt;=20,"11-20 km",IF(G1283&lt;=30,"21-30 km","31+ km")))</f>
        <v>21-30 km</v>
      </c>
      <c r="I1283">
        <v>3</v>
      </c>
      <c r="J1283" t="str" cm="1">
        <f t="array" ref="J1283">_xlfn.IFS(I1283=1,"Below College",I1283=2,"College",I1283=3,"Bachelor",I1283=4,"Master",I1283=5,"Doctor")</f>
        <v>Bachelor</v>
      </c>
      <c r="K1283" t="s">
        <v>35</v>
      </c>
      <c r="L1283">
        <v>1797</v>
      </c>
      <c r="M1283">
        <v>3</v>
      </c>
      <c r="N1283" t="str" cm="1">
        <f t="array" ref="N1283">_xlfn.IFS(M1283=1,"Low",M1283=2,"Medium",M1283=3,"High",M1283=4,"Very High")</f>
        <v>High</v>
      </c>
      <c r="O1283" t="s">
        <v>42</v>
      </c>
      <c r="P1283" s="2">
        <v>84</v>
      </c>
      <c r="Q1283">
        <v>3</v>
      </c>
      <c r="R1283" t="str" cm="1">
        <f t="array" ref="R1283">_xlfn.IFS(Q1283=1,"Low",Q1283=2,"Medium",Q1283=3,"High",Q1283=4,"Very High")</f>
        <v>High</v>
      </c>
      <c r="S1283">
        <v>2</v>
      </c>
      <c r="T1283" t="str" cm="1">
        <f t="array" ref="T1283">_xlfn.IFS(S1283=1,"Entry Level",S1283=2,"Junior",S1283=3,"Mid-Level",S1283=4,"Senior",S1283=5,"Executive")</f>
        <v>Junior</v>
      </c>
      <c r="U1283" t="s">
        <v>37</v>
      </c>
      <c r="V1283">
        <v>4</v>
      </c>
      <c r="W1283" t="str" cm="1">
        <f t="array" ref="W1283">_xlfn.IFS(V1283=1,"Low",V1283=2,"Medium",V1283=3,"High",V1283=4,"Very High")</f>
        <v>Very High</v>
      </c>
      <c r="X1283" t="s">
        <v>38</v>
      </c>
      <c r="Y1283" s="2">
        <v>5813</v>
      </c>
      <c r="Z1283" s="2">
        <v>13492</v>
      </c>
      <c r="AA1283">
        <v>1</v>
      </c>
      <c r="AB1283" t="s">
        <v>32</v>
      </c>
      <c r="AC1283">
        <v>18</v>
      </c>
      <c r="AD1283">
        <v>3</v>
      </c>
      <c r="AE1283" t="str" cm="1">
        <f t="array" ref="AE1283">_xlfn.IFS(AD1283=1,"Low",AD1283=2,"Good",AD1283=3,"Excellent",AD1283=4,"Outstanding")</f>
        <v>Excellent</v>
      </c>
      <c r="AF1283">
        <v>4</v>
      </c>
      <c r="AG1283" t="str" cm="1">
        <f t="array" ref="AG1283">_xlfn.IFS(AF1283=1,"Low",AF1283=2,"Medium",AF1283=3,"High",AF1283=4,"Very High")</f>
        <v>Very High</v>
      </c>
      <c r="AH1283">
        <v>0</v>
      </c>
      <c r="AI1283">
        <v>10</v>
      </c>
      <c r="AJ1283">
        <v>2</v>
      </c>
      <c r="AK1283">
        <v>3</v>
      </c>
      <c r="AL1283" t="str" cm="1">
        <f t="array" ref="AL1283">_xlfn.IFS(AK1283=1,"Low",AK1283=2,"Medium",AK1283=3,"High",AK1283=4,"Very High")</f>
        <v>High</v>
      </c>
      <c r="AM1283">
        <v>10</v>
      </c>
      <c r="AN1283">
        <v>7</v>
      </c>
      <c r="AO1283">
        <v>7</v>
      </c>
      <c r="AP1283">
        <v>7</v>
      </c>
    </row>
    <row r="1284" spans="1:42">
      <c r="A1284">
        <v>33</v>
      </c>
      <c r="B1284" t="str" cm="1">
        <f t="array" ref="B1284">_xlfn.IFS(A1284&lt;=25,"18-25",A1284&lt;=35,"26-35",A1284&lt;=45,"36-45",A1284&lt;=55,"46-55",A1284&gt;55,"56+")</f>
        <v>26-35</v>
      </c>
      <c r="C1284" t="s">
        <v>39</v>
      </c>
      <c r="D1284" t="s">
        <v>33</v>
      </c>
      <c r="E1284" s="2">
        <v>867</v>
      </c>
      <c r="F1284" t="s">
        <v>41</v>
      </c>
      <c r="G1284">
        <v>8</v>
      </c>
      <c r="H1284" t="str">
        <f t="shared" si="20"/>
        <v>1-10 km</v>
      </c>
      <c r="I1284">
        <v>4</v>
      </c>
      <c r="J1284" t="str" cm="1">
        <f t="array" ref="J1284">_xlfn.IFS(I1284=1,"Below College",I1284=2,"College",I1284=3,"Bachelor",I1284=4,"Master",I1284=5,"Doctor")</f>
        <v>Master</v>
      </c>
      <c r="K1284" t="s">
        <v>35</v>
      </c>
      <c r="L1284">
        <v>1798</v>
      </c>
      <c r="M1284">
        <v>4</v>
      </c>
      <c r="N1284" t="str" cm="1">
        <f t="array" ref="N1284">_xlfn.IFS(M1284=1,"Low",M1284=2,"Medium",M1284=3,"High",M1284=4,"Very High")</f>
        <v>Very High</v>
      </c>
      <c r="O1284" t="s">
        <v>42</v>
      </c>
      <c r="P1284" s="2">
        <v>90</v>
      </c>
      <c r="Q1284">
        <v>4</v>
      </c>
      <c r="R1284" t="str" cm="1">
        <f t="array" ref="R1284">_xlfn.IFS(Q1284=1,"Low",Q1284=2,"Medium",Q1284=3,"High",Q1284=4,"Very High")</f>
        <v>Very High</v>
      </c>
      <c r="S1284">
        <v>1</v>
      </c>
      <c r="T1284" t="str" cm="1">
        <f t="array" ref="T1284">_xlfn.IFS(S1284=1,"Entry Level",S1284=2,"Junior",S1284=3,"Mid-Level",S1284=4,"Senior",S1284=5,"Executive")</f>
        <v>Entry Level</v>
      </c>
      <c r="U1284" t="s">
        <v>43</v>
      </c>
      <c r="V1284">
        <v>1</v>
      </c>
      <c r="W1284" t="str" cm="1">
        <f t="array" ref="W1284">_xlfn.IFS(V1284=1,"Low",V1284=2,"Medium",V1284=3,"High",V1284=4,"Very High")</f>
        <v>Low</v>
      </c>
      <c r="X1284" t="s">
        <v>44</v>
      </c>
      <c r="Y1284" s="2">
        <v>3143</v>
      </c>
      <c r="Z1284" s="2">
        <v>6076</v>
      </c>
      <c r="AA1284">
        <v>6</v>
      </c>
      <c r="AB1284" t="s">
        <v>39</v>
      </c>
      <c r="AC1284">
        <v>19</v>
      </c>
      <c r="AD1284">
        <v>3</v>
      </c>
      <c r="AE1284" t="str" cm="1">
        <f t="array" ref="AE1284">_xlfn.IFS(AD1284=1,"Low",AD1284=2,"Good",AD1284=3,"Excellent",AD1284=4,"Outstanding")</f>
        <v>Excellent</v>
      </c>
      <c r="AF1284">
        <v>2</v>
      </c>
      <c r="AG1284" t="str" cm="1">
        <f t="array" ref="AG1284">_xlfn.IFS(AF1284=1,"Low",AF1284=2,"Medium",AF1284=3,"High",AF1284=4,"Very High")</f>
        <v>Medium</v>
      </c>
      <c r="AH1284">
        <v>1</v>
      </c>
      <c r="AI1284">
        <v>14</v>
      </c>
      <c r="AJ1284">
        <v>1</v>
      </c>
      <c r="AK1284">
        <v>3</v>
      </c>
      <c r="AL1284" t="str" cm="1">
        <f t="array" ref="AL1284">_xlfn.IFS(AK1284=1,"Low",AK1284=2,"Medium",AK1284=3,"High",AK1284=4,"Very High")</f>
        <v>High</v>
      </c>
      <c r="AM1284">
        <v>10</v>
      </c>
      <c r="AN1284">
        <v>8</v>
      </c>
      <c r="AO1284">
        <v>7</v>
      </c>
      <c r="AP1284">
        <v>6</v>
      </c>
    </row>
    <row r="1285" spans="1:42">
      <c r="A1285">
        <v>28</v>
      </c>
      <c r="B1285" t="str" cm="1">
        <f t="array" ref="B1285">_xlfn.IFS(A1285&lt;=25,"18-25",A1285&lt;=35,"26-35",A1285&lt;=45,"36-45",A1285&lt;=55,"46-55",A1285&gt;55,"56+")</f>
        <v>26-35</v>
      </c>
      <c r="C1285" t="s">
        <v>39</v>
      </c>
      <c r="D1285" t="s">
        <v>33</v>
      </c>
      <c r="E1285" s="2">
        <v>1181</v>
      </c>
      <c r="F1285" t="s">
        <v>41</v>
      </c>
      <c r="G1285">
        <v>1</v>
      </c>
      <c r="H1285" t="str">
        <f t="shared" si="20"/>
        <v>1-10 km</v>
      </c>
      <c r="I1285">
        <v>3</v>
      </c>
      <c r="J1285" t="str" cm="1">
        <f t="array" ref="J1285">_xlfn.IFS(I1285=1,"Below College",I1285=2,"College",I1285=3,"Bachelor",I1285=4,"Master",I1285=5,"Doctor")</f>
        <v>Bachelor</v>
      </c>
      <c r="K1285" t="s">
        <v>35</v>
      </c>
      <c r="L1285">
        <v>1799</v>
      </c>
      <c r="M1285">
        <v>3</v>
      </c>
      <c r="N1285" t="str" cm="1">
        <f t="array" ref="N1285">_xlfn.IFS(M1285=1,"Low",M1285=2,"Medium",M1285=3,"High",M1285=4,"Very High")</f>
        <v>High</v>
      </c>
      <c r="O1285" t="s">
        <v>42</v>
      </c>
      <c r="P1285" s="2">
        <v>82</v>
      </c>
      <c r="Q1285">
        <v>3</v>
      </c>
      <c r="R1285" t="str" cm="1">
        <f t="array" ref="R1285">_xlfn.IFS(Q1285=1,"Low",Q1285=2,"Medium",Q1285=3,"High",Q1285=4,"Very High")</f>
        <v>High</v>
      </c>
      <c r="S1285">
        <v>1</v>
      </c>
      <c r="T1285" t="str" cm="1">
        <f t="array" ref="T1285">_xlfn.IFS(S1285=1,"Entry Level",S1285=2,"Junior",S1285=3,"Mid-Level",S1285=4,"Senior",S1285=5,"Executive")</f>
        <v>Entry Level</v>
      </c>
      <c r="U1285" t="s">
        <v>43</v>
      </c>
      <c r="V1285">
        <v>4</v>
      </c>
      <c r="W1285" t="str" cm="1">
        <f t="array" ref="W1285">_xlfn.IFS(V1285=1,"Low",V1285=2,"Medium",V1285=3,"High",V1285=4,"Very High")</f>
        <v>Very High</v>
      </c>
      <c r="X1285" t="s">
        <v>44</v>
      </c>
      <c r="Y1285" s="2">
        <v>2044</v>
      </c>
      <c r="Z1285" s="2">
        <v>5531</v>
      </c>
      <c r="AA1285">
        <v>1</v>
      </c>
      <c r="AB1285" t="s">
        <v>39</v>
      </c>
      <c r="AC1285">
        <v>11</v>
      </c>
      <c r="AD1285">
        <v>3</v>
      </c>
      <c r="AE1285" t="str" cm="1">
        <f t="array" ref="AE1285">_xlfn.IFS(AD1285=1,"Low",AD1285=2,"Good",AD1285=3,"Excellent",AD1285=4,"Outstanding")</f>
        <v>Excellent</v>
      </c>
      <c r="AF1285">
        <v>3</v>
      </c>
      <c r="AG1285" t="str" cm="1">
        <f t="array" ref="AG1285">_xlfn.IFS(AF1285=1,"Low",AF1285=2,"Medium",AF1285=3,"High",AF1285=4,"Very High")</f>
        <v>High</v>
      </c>
      <c r="AH1285">
        <v>1</v>
      </c>
      <c r="AI1285">
        <v>5</v>
      </c>
      <c r="AJ1285">
        <v>6</v>
      </c>
      <c r="AK1285">
        <v>4</v>
      </c>
      <c r="AL1285" t="str" cm="1">
        <f t="array" ref="AL1285">_xlfn.IFS(AK1285=1,"Low",AK1285=2,"Medium",AK1285=3,"High",AK1285=4,"Very High")</f>
        <v>Very High</v>
      </c>
      <c r="AM1285">
        <v>5</v>
      </c>
      <c r="AN1285">
        <v>3</v>
      </c>
      <c r="AO1285">
        <v>0</v>
      </c>
      <c r="AP1285">
        <v>3</v>
      </c>
    </row>
    <row r="1286" spans="1:42">
      <c r="A1286">
        <v>39</v>
      </c>
      <c r="B1286" t="str" cm="1">
        <f t="array" ref="B1286">_xlfn.IFS(A1286&lt;=25,"18-25",A1286&lt;=35,"26-35",A1286&lt;=45,"36-45",A1286&lt;=55,"46-55",A1286&gt;55,"56+")</f>
        <v>36-45</v>
      </c>
      <c r="C1286" t="s">
        <v>39</v>
      </c>
      <c r="D1286" t="s">
        <v>33</v>
      </c>
      <c r="E1286" s="2">
        <v>1253</v>
      </c>
      <c r="F1286" t="s">
        <v>41</v>
      </c>
      <c r="G1286">
        <v>10</v>
      </c>
      <c r="H1286" t="str">
        <f t="shared" si="20"/>
        <v>1-10 km</v>
      </c>
      <c r="I1286">
        <v>1</v>
      </c>
      <c r="J1286" t="str" cm="1">
        <f t="array" ref="J1286">_xlfn.IFS(I1286=1,"Below College",I1286=2,"College",I1286=3,"Bachelor",I1286=4,"Master",I1286=5,"Doctor")</f>
        <v>Below College</v>
      </c>
      <c r="K1286" t="s">
        <v>47</v>
      </c>
      <c r="L1286">
        <v>1800</v>
      </c>
      <c r="M1286">
        <v>3</v>
      </c>
      <c r="N1286" t="str" cm="1">
        <f t="array" ref="N1286">_xlfn.IFS(M1286=1,"Low",M1286=2,"Medium",M1286=3,"High",M1286=4,"Very High")</f>
        <v>High</v>
      </c>
      <c r="O1286" t="s">
        <v>42</v>
      </c>
      <c r="P1286" s="2">
        <v>65</v>
      </c>
      <c r="Q1286">
        <v>3</v>
      </c>
      <c r="R1286" t="str" cm="1">
        <f t="array" ref="R1286">_xlfn.IFS(Q1286=1,"Low",Q1286=2,"Medium",Q1286=3,"High",Q1286=4,"Very High")</f>
        <v>High</v>
      </c>
      <c r="S1286">
        <v>3</v>
      </c>
      <c r="T1286" t="str" cm="1">
        <f t="array" ref="T1286">_xlfn.IFS(S1286=1,"Entry Level",S1286=2,"Junior",S1286=3,"Mid-Level",S1286=4,"Senior",S1286=5,"Executive")</f>
        <v>Mid-Level</v>
      </c>
      <c r="U1286" t="s">
        <v>54</v>
      </c>
      <c r="V1286">
        <v>3</v>
      </c>
      <c r="W1286" t="str" cm="1">
        <f t="array" ref="W1286">_xlfn.IFS(V1286=1,"Low",V1286=2,"Medium",V1286=3,"High",V1286=4,"Very High")</f>
        <v>High</v>
      </c>
      <c r="X1286" t="s">
        <v>38</v>
      </c>
      <c r="Y1286" s="2">
        <v>13464</v>
      </c>
      <c r="Z1286" s="2">
        <v>7914</v>
      </c>
      <c r="AA1286">
        <v>7</v>
      </c>
      <c r="AB1286" t="s">
        <v>39</v>
      </c>
      <c r="AC1286">
        <v>21</v>
      </c>
      <c r="AD1286">
        <v>4</v>
      </c>
      <c r="AE1286" t="str" cm="1">
        <f t="array" ref="AE1286">_xlfn.IFS(AD1286=1,"Low",AD1286=2,"Good",AD1286=3,"Excellent",AD1286=4,"Outstanding")</f>
        <v>Outstanding</v>
      </c>
      <c r="AF1286">
        <v>3</v>
      </c>
      <c r="AG1286" t="str" cm="1">
        <f t="array" ref="AG1286">_xlfn.IFS(AF1286=1,"Low",AF1286=2,"Medium",AF1286=3,"High",AF1286=4,"Very High")</f>
        <v>High</v>
      </c>
      <c r="AH1286">
        <v>0</v>
      </c>
      <c r="AI1286">
        <v>9</v>
      </c>
      <c r="AJ1286">
        <v>3</v>
      </c>
      <c r="AK1286">
        <v>3</v>
      </c>
      <c r="AL1286" t="str" cm="1">
        <f t="array" ref="AL1286">_xlfn.IFS(AK1286=1,"Low",AK1286=2,"Medium",AK1286=3,"High",AK1286=4,"Very High")</f>
        <v>High</v>
      </c>
      <c r="AM1286">
        <v>4</v>
      </c>
      <c r="AN1286">
        <v>3</v>
      </c>
      <c r="AO1286">
        <v>2</v>
      </c>
      <c r="AP1286">
        <v>2</v>
      </c>
    </row>
    <row r="1287" spans="1:42">
      <c r="A1287">
        <v>46</v>
      </c>
      <c r="B1287" t="str" cm="1">
        <f t="array" ref="B1287">_xlfn.IFS(A1287&lt;=25,"18-25",A1287&lt;=35,"26-35",A1287&lt;=45,"36-45",A1287&lt;=55,"46-55",A1287&gt;55,"56+")</f>
        <v>46-55</v>
      </c>
      <c r="C1287" t="s">
        <v>39</v>
      </c>
      <c r="D1287" t="s">
        <v>51</v>
      </c>
      <c r="E1287" s="2">
        <v>849</v>
      </c>
      <c r="F1287" t="s">
        <v>34</v>
      </c>
      <c r="G1287">
        <v>26</v>
      </c>
      <c r="H1287" t="str">
        <f t="shared" si="20"/>
        <v>21-30 km</v>
      </c>
      <c r="I1287">
        <v>2</v>
      </c>
      <c r="J1287" t="str" cm="1">
        <f t="array" ref="J1287">_xlfn.IFS(I1287=1,"Below College",I1287=2,"College",I1287=3,"Bachelor",I1287=4,"Master",I1287=5,"Doctor")</f>
        <v>College</v>
      </c>
      <c r="K1287" t="s">
        <v>35</v>
      </c>
      <c r="L1287">
        <v>1801</v>
      </c>
      <c r="M1287">
        <v>2</v>
      </c>
      <c r="N1287" t="str" cm="1">
        <f t="array" ref="N1287">_xlfn.IFS(M1287=1,"Low",M1287=2,"Medium",M1287=3,"High",M1287=4,"Very High")</f>
        <v>Medium</v>
      </c>
      <c r="O1287" t="s">
        <v>42</v>
      </c>
      <c r="P1287" s="2">
        <v>98</v>
      </c>
      <c r="Q1287">
        <v>2</v>
      </c>
      <c r="R1287" t="str" cm="1">
        <f t="array" ref="R1287">_xlfn.IFS(Q1287=1,"Low",Q1287=2,"Medium",Q1287=3,"High",Q1287=4,"Very High")</f>
        <v>Medium</v>
      </c>
      <c r="S1287">
        <v>2</v>
      </c>
      <c r="T1287" t="str" cm="1">
        <f t="array" ref="T1287">_xlfn.IFS(S1287=1,"Entry Level",S1287=2,"Junior",S1287=3,"Mid-Level",S1287=4,"Senior",S1287=5,"Executive")</f>
        <v>Junior</v>
      </c>
      <c r="U1287" t="s">
        <v>37</v>
      </c>
      <c r="V1287">
        <v>2</v>
      </c>
      <c r="W1287" t="str" cm="1">
        <f t="array" ref="W1287">_xlfn.IFS(V1287=1,"Low",V1287=2,"Medium",V1287=3,"High",V1287=4,"Very High")</f>
        <v>Medium</v>
      </c>
      <c r="X1287" t="s">
        <v>38</v>
      </c>
      <c r="Y1287" s="2">
        <v>7991</v>
      </c>
      <c r="Z1287" s="2">
        <v>25166</v>
      </c>
      <c r="AA1287">
        <v>8</v>
      </c>
      <c r="AB1287" t="s">
        <v>39</v>
      </c>
      <c r="AC1287">
        <v>15</v>
      </c>
      <c r="AD1287">
        <v>3</v>
      </c>
      <c r="AE1287" t="str" cm="1">
        <f t="array" ref="AE1287">_xlfn.IFS(AD1287=1,"Low",AD1287=2,"Good",AD1287=3,"Excellent",AD1287=4,"Outstanding")</f>
        <v>Excellent</v>
      </c>
      <c r="AF1287">
        <v>3</v>
      </c>
      <c r="AG1287" t="str" cm="1">
        <f t="array" ref="AG1287">_xlfn.IFS(AF1287=1,"Low",AF1287=2,"Medium",AF1287=3,"High",AF1287=4,"Very High")</f>
        <v>High</v>
      </c>
      <c r="AH1287">
        <v>0</v>
      </c>
      <c r="AI1287">
        <v>6</v>
      </c>
      <c r="AJ1287">
        <v>3</v>
      </c>
      <c r="AK1287">
        <v>3</v>
      </c>
      <c r="AL1287" t="str" cm="1">
        <f t="array" ref="AL1287">_xlfn.IFS(AK1287=1,"Low",AK1287=2,"Medium",AK1287=3,"High",AK1287=4,"Very High")</f>
        <v>High</v>
      </c>
      <c r="AM1287">
        <v>2</v>
      </c>
      <c r="AN1287">
        <v>2</v>
      </c>
      <c r="AO1287">
        <v>2</v>
      </c>
      <c r="AP1287">
        <v>2</v>
      </c>
    </row>
    <row r="1288" spans="1:42">
      <c r="A1288">
        <v>40</v>
      </c>
      <c r="B1288" t="str" cm="1">
        <f t="array" ref="B1288">_xlfn.IFS(A1288&lt;=25,"18-25",A1288&lt;=35,"26-35",A1288&lt;=45,"36-45",A1288&lt;=55,"46-55",A1288&gt;55,"56+")</f>
        <v>36-45</v>
      </c>
      <c r="C1288" t="s">
        <v>39</v>
      </c>
      <c r="D1288" t="s">
        <v>33</v>
      </c>
      <c r="E1288" s="2">
        <v>616</v>
      </c>
      <c r="F1288" t="s">
        <v>41</v>
      </c>
      <c r="G1288">
        <v>2</v>
      </c>
      <c r="H1288" t="str">
        <f t="shared" si="20"/>
        <v>1-10 km</v>
      </c>
      <c r="I1288">
        <v>2</v>
      </c>
      <c r="J1288" t="str" cm="1">
        <f t="array" ref="J1288">_xlfn.IFS(I1288=1,"Below College",I1288=2,"College",I1288=3,"Bachelor",I1288=4,"Master",I1288=5,"Doctor")</f>
        <v>College</v>
      </c>
      <c r="K1288" t="s">
        <v>35</v>
      </c>
      <c r="L1288">
        <v>1802</v>
      </c>
      <c r="M1288">
        <v>3</v>
      </c>
      <c r="N1288" t="str" cm="1">
        <f t="array" ref="N1288">_xlfn.IFS(M1288=1,"Low",M1288=2,"Medium",M1288=3,"High",M1288=4,"Very High")</f>
        <v>High</v>
      </c>
      <c r="O1288" t="s">
        <v>36</v>
      </c>
      <c r="P1288" s="2">
        <v>99</v>
      </c>
      <c r="Q1288">
        <v>3</v>
      </c>
      <c r="R1288" t="str" cm="1">
        <f t="array" ref="R1288">_xlfn.IFS(Q1288=1,"Low",Q1288=2,"Medium",Q1288=3,"High",Q1288=4,"Very High")</f>
        <v>High</v>
      </c>
      <c r="S1288">
        <v>1</v>
      </c>
      <c r="T1288" t="str" cm="1">
        <f t="array" ref="T1288">_xlfn.IFS(S1288=1,"Entry Level",S1288=2,"Junior",S1288=3,"Mid-Level",S1288=4,"Senior",S1288=5,"Executive")</f>
        <v>Entry Level</v>
      </c>
      <c r="U1288" t="s">
        <v>46</v>
      </c>
      <c r="V1288">
        <v>1</v>
      </c>
      <c r="W1288" t="str" cm="1">
        <f t="array" ref="W1288">_xlfn.IFS(V1288=1,"Low",V1288=2,"Medium",V1288=3,"High",V1288=4,"Very High")</f>
        <v>Low</v>
      </c>
      <c r="X1288" t="s">
        <v>44</v>
      </c>
      <c r="Y1288" s="2">
        <v>3377</v>
      </c>
      <c r="Z1288" s="2">
        <v>25605</v>
      </c>
      <c r="AA1288">
        <v>4</v>
      </c>
      <c r="AB1288" t="s">
        <v>39</v>
      </c>
      <c r="AC1288">
        <v>17</v>
      </c>
      <c r="AD1288">
        <v>3</v>
      </c>
      <c r="AE1288" t="str" cm="1">
        <f t="array" ref="AE1288">_xlfn.IFS(AD1288=1,"Low",AD1288=2,"Good",AD1288=3,"Excellent",AD1288=4,"Outstanding")</f>
        <v>Excellent</v>
      </c>
      <c r="AF1288">
        <v>4</v>
      </c>
      <c r="AG1288" t="str" cm="1">
        <f t="array" ref="AG1288">_xlfn.IFS(AF1288=1,"Low",AF1288=2,"Medium",AF1288=3,"High",AF1288=4,"Very High")</f>
        <v>Very High</v>
      </c>
      <c r="AH1288">
        <v>1</v>
      </c>
      <c r="AI1288">
        <v>7</v>
      </c>
      <c r="AJ1288">
        <v>5</v>
      </c>
      <c r="AK1288">
        <v>2</v>
      </c>
      <c r="AL1288" t="str" cm="1">
        <f t="array" ref="AL1288">_xlfn.IFS(AK1288=1,"Low",AK1288=2,"Medium",AK1288=3,"High",AK1288=4,"Very High")</f>
        <v>Medium</v>
      </c>
      <c r="AM1288">
        <v>4</v>
      </c>
      <c r="AN1288">
        <v>3</v>
      </c>
      <c r="AO1288">
        <v>0</v>
      </c>
      <c r="AP1288">
        <v>2</v>
      </c>
    </row>
    <row r="1289" spans="1:42">
      <c r="A1289">
        <v>42</v>
      </c>
      <c r="B1289" t="str" cm="1">
        <f t="array" ref="B1289">_xlfn.IFS(A1289&lt;=25,"18-25",A1289&lt;=35,"26-35",A1289&lt;=45,"36-45",A1289&lt;=55,"46-55",A1289&gt;55,"56+")</f>
        <v>36-45</v>
      </c>
      <c r="C1289" t="s">
        <v>39</v>
      </c>
      <c r="D1289" t="s">
        <v>33</v>
      </c>
      <c r="E1289" s="2">
        <v>1128</v>
      </c>
      <c r="F1289" t="s">
        <v>41</v>
      </c>
      <c r="G1289">
        <v>13</v>
      </c>
      <c r="H1289" t="str">
        <f t="shared" si="20"/>
        <v>11-20 km</v>
      </c>
      <c r="I1289">
        <v>3</v>
      </c>
      <c r="J1289" t="str" cm="1">
        <f t="array" ref="J1289">_xlfn.IFS(I1289=1,"Below College",I1289=2,"College",I1289=3,"Bachelor",I1289=4,"Master",I1289=5,"Doctor")</f>
        <v>Bachelor</v>
      </c>
      <c r="K1289" t="s">
        <v>47</v>
      </c>
      <c r="L1289">
        <v>1803</v>
      </c>
      <c r="M1289">
        <v>2</v>
      </c>
      <c r="N1289" t="str" cm="1">
        <f t="array" ref="N1289">_xlfn.IFS(M1289=1,"Low",M1289=2,"Medium",M1289=3,"High",M1289=4,"Very High")</f>
        <v>Medium</v>
      </c>
      <c r="O1289" t="s">
        <v>42</v>
      </c>
      <c r="P1289" s="2">
        <v>95</v>
      </c>
      <c r="Q1289">
        <v>4</v>
      </c>
      <c r="R1289" t="str" cm="1">
        <f t="array" ref="R1289">_xlfn.IFS(Q1289=1,"Low",Q1289=2,"Medium",Q1289=3,"High",Q1289=4,"Very High")</f>
        <v>Very High</v>
      </c>
      <c r="S1289">
        <v>2</v>
      </c>
      <c r="T1289" t="str" cm="1">
        <f t="array" ref="T1289">_xlfn.IFS(S1289=1,"Entry Level",S1289=2,"Junior",S1289=3,"Mid-Level",S1289=4,"Senior",S1289=5,"Executive")</f>
        <v>Junior</v>
      </c>
      <c r="U1289" t="s">
        <v>50</v>
      </c>
      <c r="V1289">
        <v>1</v>
      </c>
      <c r="W1289" t="str" cm="1">
        <f t="array" ref="W1289">_xlfn.IFS(V1289=1,"Low",V1289=2,"Medium",V1289=3,"High",V1289=4,"Very High")</f>
        <v>Low</v>
      </c>
      <c r="X1289" t="s">
        <v>44</v>
      </c>
      <c r="Y1289" s="2">
        <v>5538</v>
      </c>
      <c r="Z1289" s="2">
        <v>5696</v>
      </c>
      <c r="AA1289">
        <v>5</v>
      </c>
      <c r="AB1289" t="s">
        <v>39</v>
      </c>
      <c r="AC1289">
        <v>18</v>
      </c>
      <c r="AD1289">
        <v>3</v>
      </c>
      <c r="AE1289" t="str" cm="1">
        <f t="array" ref="AE1289">_xlfn.IFS(AD1289=1,"Low",AD1289=2,"Good",AD1289=3,"Excellent",AD1289=4,"Outstanding")</f>
        <v>Excellent</v>
      </c>
      <c r="AF1289">
        <v>3</v>
      </c>
      <c r="AG1289" t="str" cm="1">
        <f t="array" ref="AG1289">_xlfn.IFS(AF1289=1,"Low",AF1289=2,"Medium",AF1289=3,"High",AF1289=4,"Very High")</f>
        <v>High</v>
      </c>
      <c r="AH1289">
        <v>2</v>
      </c>
      <c r="AI1289">
        <v>10</v>
      </c>
      <c r="AJ1289">
        <v>2</v>
      </c>
      <c r="AK1289">
        <v>2</v>
      </c>
      <c r="AL1289" t="str" cm="1">
        <f t="array" ref="AL1289">_xlfn.IFS(AK1289=1,"Low",AK1289=2,"Medium",AK1289=3,"High",AK1289=4,"Very High")</f>
        <v>Medium</v>
      </c>
      <c r="AM1289">
        <v>0</v>
      </c>
      <c r="AN1289">
        <v>0</v>
      </c>
      <c r="AO1289">
        <v>0</v>
      </c>
      <c r="AP1289">
        <v>0</v>
      </c>
    </row>
    <row r="1290" spans="1:42">
      <c r="A1290">
        <v>35</v>
      </c>
      <c r="B1290" t="str" cm="1">
        <f t="array" ref="B1290">_xlfn.IFS(A1290&lt;=25,"18-25",A1290&lt;=35,"26-35",A1290&lt;=45,"36-45",A1290&lt;=55,"46-55",A1290&gt;55,"56+")</f>
        <v>26-35</v>
      </c>
      <c r="C1290" t="s">
        <v>39</v>
      </c>
      <c r="D1290" t="s">
        <v>51</v>
      </c>
      <c r="E1290" s="2">
        <v>1180</v>
      </c>
      <c r="F1290" t="s">
        <v>41</v>
      </c>
      <c r="G1290">
        <v>2</v>
      </c>
      <c r="H1290" t="str">
        <f t="shared" si="20"/>
        <v>1-10 km</v>
      </c>
      <c r="I1290">
        <v>2</v>
      </c>
      <c r="J1290" t="str" cm="1">
        <f t="array" ref="J1290">_xlfn.IFS(I1290=1,"Below College",I1290=2,"College",I1290=3,"Bachelor",I1290=4,"Master",I1290=5,"Doctor")</f>
        <v>College</v>
      </c>
      <c r="K1290" t="s">
        <v>47</v>
      </c>
      <c r="L1290">
        <v>1804</v>
      </c>
      <c r="M1290">
        <v>2</v>
      </c>
      <c r="N1290" t="str" cm="1">
        <f t="array" ref="N1290">_xlfn.IFS(M1290=1,"Low",M1290=2,"Medium",M1290=3,"High",M1290=4,"Very High")</f>
        <v>Medium</v>
      </c>
      <c r="O1290" t="s">
        <v>42</v>
      </c>
      <c r="P1290" s="2">
        <v>90</v>
      </c>
      <c r="Q1290">
        <v>3</v>
      </c>
      <c r="R1290" t="str" cm="1">
        <f t="array" ref="R1290">_xlfn.IFS(Q1290=1,"Low",Q1290=2,"Medium",Q1290=3,"High",Q1290=4,"Very High")</f>
        <v>High</v>
      </c>
      <c r="S1290">
        <v>2</v>
      </c>
      <c r="T1290" t="str" cm="1">
        <f t="array" ref="T1290">_xlfn.IFS(S1290=1,"Entry Level",S1290=2,"Junior",S1290=3,"Mid-Level",S1290=4,"Senior",S1290=5,"Executive")</f>
        <v>Junior</v>
      </c>
      <c r="U1290" t="s">
        <v>49</v>
      </c>
      <c r="V1290">
        <v>4</v>
      </c>
      <c r="W1290" t="str" cm="1">
        <f t="array" ref="W1290">_xlfn.IFS(V1290=1,"Low",V1290=2,"Medium",V1290=3,"High",V1290=4,"Very High")</f>
        <v>Very High</v>
      </c>
      <c r="X1290" t="s">
        <v>48</v>
      </c>
      <c r="Y1290" s="2">
        <v>5762</v>
      </c>
      <c r="Z1290" s="2">
        <v>24442</v>
      </c>
      <c r="AA1290">
        <v>2</v>
      </c>
      <c r="AB1290" t="s">
        <v>39</v>
      </c>
      <c r="AC1290">
        <v>14</v>
      </c>
      <c r="AD1290">
        <v>3</v>
      </c>
      <c r="AE1290" t="str" cm="1">
        <f t="array" ref="AE1290">_xlfn.IFS(AD1290=1,"Low",AD1290=2,"Good",AD1290=3,"Excellent",AD1290=4,"Outstanding")</f>
        <v>Excellent</v>
      </c>
      <c r="AF1290">
        <v>3</v>
      </c>
      <c r="AG1290" t="str" cm="1">
        <f t="array" ref="AG1290">_xlfn.IFS(AF1290=1,"Low",AF1290=2,"Medium",AF1290=3,"High",AF1290=4,"Very High")</f>
        <v>High</v>
      </c>
      <c r="AH1290">
        <v>1</v>
      </c>
      <c r="AI1290">
        <v>15</v>
      </c>
      <c r="AJ1290">
        <v>6</v>
      </c>
      <c r="AK1290">
        <v>3</v>
      </c>
      <c r="AL1290" t="str" cm="1">
        <f t="array" ref="AL1290">_xlfn.IFS(AK1290=1,"Low",AK1290=2,"Medium",AK1290=3,"High",AK1290=4,"Very High")</f>
        <v>High</v>
      </c>
      <c r="AM1290">
        <v>7</v>
      </c>
      <c r="AN1290">
        <v>7</v>
      </c>
      <c r="AO1290">
        <v>1</v>
      </c>
      <c r="AP1290">
        <v>7</v>
      </c>
    </row>
    <row r="1291" spans="1:42">
      <c r="A1291">
        <v>38</v>
      </c>
      <c r="B1291" t="str" cm="1">
        <f t="array" ref="B1291">_xlfn.IFS(A1291&lt;=25,"18-25",A1291&lt;=35,"26-35",A1291&lt;=45,"36-45",A1291&lt;=55,"46-55",A1291&gt;55,"56+")</f>
        <v>36-45</v>
      </c>
      <c r="C1291" t="s">
        <v>39</v>
      </c>
      <c r="D1291" t="s">
        <v>51</v>
      </c>
      <c r="E1291" s="2">
        <v>1336</v>
      </c>
      <c r="F1291" t="s">
        <v>57</v>
      </c>
      <c r="G1291">
        <v>2</v>
      </c>
      <c r="H1291" t="str">
        <f t="shared" si="20"/>
        <v>1-10 km</v>
      </c>
      <c r="I1291">
        <v>3</v>
      </c>
      <c r="J1291" t="str" cm="1">
        <f t="array" ref="J1291">_xlfn.IFS(I1291=1,"Below College",I1291=2,"College",I1291=3,"Bachelor",I1291=4,"Master",I1291=5,"Doctor")</f>
        <v>Bachelor</v>
      </c>
      <c r="K1291" t="s">
        <v>57</v>
      </c>
      <c r="L1291">
        <v>1805</v>
      </c>
      <c r="M1291">
        <v>1</v>
      </c>
      <c r="N1291" t="str" cm="1">
        <f t="array" ref="N1291">_xlfn.IFS(M1291=1,"Low",M1291=2,"Medium",M1291=3,"High",M1291=4,"Very High")</f>
        <v>Low</v>
      </c>
      <c r="O1291" t="s">
        <v>42</v>
      </c>
      <c r="P1291" s="2">
        <v>100</v>
      </c>
      <c r="Q1291">
        <v>3</v>
      </c>
      <c r="R1291" t="str" cm="1">
        <f t="array" ref="R1291">_xlfn.IFS(Q1291=1,"Low",Q1291=2,"Medium",Q1291=3,"High",Q1291=4,"Very High")</f>
        <v>High</v>
      </c>
      <c r="S1291">
        <v>1</v>
      </c>
      <c r="T1291" t="str" cm="1">
        <f t="array" ref="T1291">_xlfn.IFS(S1291=1,"Entry Level",S1291=2,"Junior",S1291=3,"Mid-Level",S1291=4,"Senior",S1291=5,"Executive")</f>
        <v>Entry Level</v>
      </c>
      <c r="U1291" t="s">
        <v>57</v>
      </c>
      <c r="V1291">
        <v>2</v>
      </c>
      <c r="W1291" t="str" cm="1">
        <f t="array" ref="W1291">_xlfn.IFS(V1291=1,"Low",V1291=2,"Medium",V1291=3,"High",V1291=4,"Very High")</f>
        <v>Medium</v>
      </c>
      <c r="X1291" t="s">
        <v>48</v>
      </c>
      <c r="Y1291" s="2">
        <v>2592</v>
      </c>
      <c r="Z1291" s="2">
        <v>7129</v>
      </c>
      <c r="AA1291">
        <v>5</v>
      </c>
      <c r="AB1291" t="s">
        <v>39</v>
      </c>
      <c r="AC1291">
        <v>13</v>
      </c>
      <c r="AD1291">
        <v>3</v>
      </c>
      <c r="AE1291" t="str" cm="1">
        <f t="array" ref="AE1291">_xlfn.IFS(AD1291=1,"Low",AD1291=2,"Good",AD1291=3,"Excellent",AD1291=4,"Outstanding")</f>
        <v>Excellent</v>
      </c>
      <c r="AF1291">
        <v>4</v>
      </c>
      <c r="AG1291" t="str" cm="1">
        <f t="array" ref="AG1291">_xlfn.IFS(AF1291=1,"Low",AF1291=2,"Medium",AF1291=3,"High",AF1291=4,"Very High")</f>
        <v>Very High</v>
      </c>
      <c r="AH1291">
        <v>3</v>
      </c>
      <c r="AI1291">
        <v>13</v>
      </c>
      <c r="AJ1291">
        <v>3</v>
      </c>
      <c r="AK1291">
        <v>3</v>
      </c>
      <c r="AL1291" t="str" cm="1">
        <f t="array" ref="AL1291">_xlfn.IFS(AK1291=1,"Low",AK1291=2,"Medium",AK1291=3,"High",AK1291=4,"Very High")</f>
        <v>High</v>
      </c>
      <c r="AM1291">
        <v>11</v>
      </c>
      <c r="AN1291">
        <v>10</v>
      </c>
      <c r="AO1291">
        <v>3</v>
      </c>
      <c r="AP1291">
        <v>8</v>
      </c>
    </row>
    <row r="1292" spans="1:42">
      <c r="A1292">
        <v>34</v>
      </c>
      <c r="B1292" t="str" cm="1">
        <f t="array" ref="B1292">_xlfn.IFS(A1292&lt;=25,"18-25",A1292&lt;=35,"26-35",A1292&lt;=45,"36-45",A1292&lt;=55,"46-55",A1292&gt;55,"56+")</f>
        <v>26-35</v>
      </c>
      <c r="C1292" t="s">
        <v>32</v>
      </c>
      <c r="D1292" t="s">
        <v>40</v>
      </c>
      <c r="E1292" s="2">
        <v>234</v>
      </c>
      <c r="F1292" t="s">
        <v>41</v>
      </c>
      <c r="G1292">
        <v>9</v>
      </c>
      <c r="H1292" t="str">
        <f t="shared" si="20"/>
        <v>1-10 km</v>
      </c>
      <c r="I1292">
        <v>4</v>
      </c>
      <c r="J1292" t="str" cm="1">
        <f t="array" ref="J1292">_xlfn.IFS(I1292=1,"Below College",I1292=2,"College",I1292=3,"Bachelor",I1292=4,"Master",I1292=5,"Doctor")</f>
        <v>Master</v>
      </c>
      <c r="K1292" t="s">
        <v>35</v>
      </c>
      <c r="L1292">
        <v>1807</v>
      </c>
      <c r="M1292">
        <v>4</v>
      </c>
      <c r="N1292" t="str" cm="1">
        <f t="array" ref="N1292">_xlfn.IFS(M1292=1,"Low",M1292=2,"Medium",M1292=3,"High",M1292=4,"Very High")</f>
        <v>Very High</v>
      </c>
      <c r="O1292" t="s">
        <v>42</v>
      </c>
      <c r="P1292" s="2">
        <v>93</v>
      </c>
      <c r="Q1292">
        <v>3</v>
      </c>
      <c r="R1292" t="str" cm="1">
        <f t="array" ref="R1292">_xlfn.IFS(Q1292=1,"Low",Q1292=2,"Medium",Q1292=3,"High",Q1292=4,"Very High")</f>
        <v>High</v>
      </c>
      <c r="S1292">
        <v>2</v>
      </c>
      <c r="T1292" t="str" cm="1">
        <f t="array" ref="T1292">_xlfn.IFS(S1292=1,"Entry Level",S1292=2,"Junior",S1292=3,"Mid-Level",S1292=4,"Senior",S1292=5,"Executive")</f>
        <v>Junior</v>
      </c>
      <c r="U1292" t="s">
        <v>46</v>
      </c>
      <c r="V1292">
        <v>1</v>
      </c>
      <c r="W1292" t="str" cm="1">
        <f t="array" ref="W1292">_xlfn.IFS(V1292=1,"Low",V1292=2,"Medium",V1292=3,"High",V1292=4,"Very High")</f>
        <v>Low</v>
      </c>
      <c r="X1292" t="s">
        <v>44</v>
      </c>
      <c r="Y1292" s="2">
        <v>5346</v>
      </c>
      <c r="Z1292" s="2">
        <v>6208</v>
      </c>
      <c r="AA1292">
        <v>4</v>
      </c>
      <c r="AB1292" t="s">
        <v>39</v>
      </c>
      <c r="AC1292">
        <v>17</v>
      </c>
      <c r="AD1292">
        <v>3</v>
      </c>
      <c r="AE1292" t="str" cm="1">
        <f t="array" ref="AE1292">_xlfn.IFS(AD1292=1,"Low",AD1292=2,"Good",AD1292=3,"Excellent",AD1292=4,"Outstanding")</f>
        <v>Excellent</v>
      </c>
      <c r="AF1292">
        <v>3</v>
      </c>
      <c r="AG1292" t="str" cm="1">
        <f t="array" ref="AG1292">_xlfn.IFS(AF1292=1,"Low",AF1292=2,"Medium",AF1292=3,"High",AF1292=4,"Very High")</f>
        <v>High</v>
      </c>
      <c r="AH1292">
        <v>1</v>
      </c>
      <c r="AI1292">
        <v>11</v>
      </c>
      <c r="AJ1292">
        <v>3</v>
      </c>
      <c r="AK1292">
        <v>2</v>
      </c>
      <c r="AL1292" t="str" cm="1">
        <f t="array" ref="AL1292">_xlfn.IFS(AK1292=1,"Low",AK1292=2,"Medium",AK1292=3,"High",AK1292=4,"Very High")</f>
        <v>Medium</v>
      </c>
      <c r="AM1292">
        <v>7</v>
      </c>
      <c r="AN1292">
        <v>1</v>
      </c>
      <c r="AO1292">
        <v>0</v>
      </c>
      <c r="AP1292">
        <v>7</v>
      </c>
    </row>
    <row r="1293" spans="1:42">
      <c r="A1293">
        <v>37</v>
      </c>
      <c r="B1293" t="str" cm="1">
        <f t="array" ref="B1293">_xlfn.IFS(A1293&lt;=25,"18-25",A1293&lt;=35,"26-35",A1293&lt;=45,"36-45",A1293&lt;=55,"46-55",A1293&gt;55,"56+")</f>
        <v>36-45</v>
      </c>
      <c r="C1293" t="s">
        <v>32</v>
      </c>
      <c r="D1293" t="s">
        <v>33</v>
      </c>
      <c r="E1293" s="2">
        <v>370</v>
      </c>
      <c r="F1293" t="s">
        <v>41</v>
      </c>
      <c r="G1293">
        <v>10</v>
      </c>
      <c r="H1293" t="str">
        <f t="shared" si="20"/>
        <v>1-10 km</v>
      </c>
      <c r="I1293">
        <v>4</v>
      </c>
      <c r="J1293" t="str" cm="1">
        <f t="array" ref="J1293">_xlfn.IFS(I1293=1,"Below College",I1293=2,"College",I1293=3,"Bachelor",I1293=4,"Master",I1293=5,"Doctor")</f>
        <v>Master</v>
      </c>
      <c r="K1293" t="s">
        <v>47</v>
      </c>
      <c r="L1293">
        <v>1809</v>
      </c>
      <c r="M1293">
        <v>4</v>
      </c>
      <c r="N1293" t="str" cm="1">
        <f t="array" ref="N1293">_xlfn.IFS(M1293=1,"Low",M1293=2,"Medium",M1293=3,"High",M1293=4,"Very High")</f>
        <v>Very High</v>
      </c>
      <c r="O1293" t="s">
        <v>42</v>
      </c>
      <c r="P1293" s="2">
        <v>58</v>
      </c>
      <c r="Q1293">
        <v>3</v>
      </c>
      <c r="R1293" t="str" cm="1">
        <f t="array" ref="R1293">_xlfn.IFS(Q1293=1,"Low",Q1293=2,"Medium",Q1293=3,"High",Q1293=4,"Very High")</f>
        <v>High</v>
      </c>
      <c r="S1293">
        <v>2</v>
      </c>
      <c r="T1293" t="str" cm="1">
        <f t="array" ref="T1293">_xlfn.IFS(S1293=1,"Entry Level",S1293=2,"Junior",S1293=3,"Mid-Level",S1293=4,"Senior",S1293=5,"Executive")</f>
        <v>Junior</v>
      </c>
      <c r="U1293" t="s">
        <v>49</v>
      </c>
      <c r="V1293">
        <v>1</v>
      </c>
      <c r="W1293" t="str" cm="1">
        <f t="array" ref="W1293">_xlfn.IFS(V1293=1,"Low",V1293=2,"Medium",V1293=3,"High",V1293=4,"Very High")</f>
        <v>Low</v>
      </c>
      <c r="X1293" t="s">
        <v>38</v>
      </c>
      <c r="Y1293" s="2">
        <v>4213</v>
      </c>
      <c r="Z1293" s="2">
        <v>4992</v>
      </c>
      <c r="AA1293">
        <v>1</v>
      </c>
      <c r="AB1293" t="s">
        <v>39</v>
      </c>
      <c r="AC1293">
        <v>15</v>
      </c>
      <c r="AD1293">
        <v>3</v>
      </c>
      <c r="AE1293" t="str" cm="1">
        <f t="array" ref="AE1293">_xlfn.IFS(AD1293=1,"Low",AD1293=2,"Good",AD1293=3,"Excellent",AD1293=4,"Outstanding")</f>
        <v>Excellent</v>
      </c>
      <c r="AF1293">
        <v>2</v>
      </c>
      <c r="AG1293" t="str" cm="1">
        <f t="array" ref="AG1293">_xlfn.IFS(AF1293=1,"Low",AF1293=2,"Medium",AF1293=3,"High",AF1293=4,"Very High")</f>
        <v>Medium</v>
      </c>
      <c r="AH1293">
        <v>0</v>
      </c>
      <c r="AI1293">
        <v>10</v>
      </c>
      <c r="AJ1293">
        <v>4</v>
      </c>
      <c r="AK1293">
        <v>1</v>
      </c>
      <c r="AL1293" t="str" cm="1">
        <f t="array" ref="AL1293">_xlfn.IFS(AK1293=1,"Low",AK1293=2,"Medium",AK1293=3,"High",AK1293=4,"Very High")</f>
        <v>Low</v>
      </c>
      <c r="AM1293">
        <v>10</v>
      </c>
      <c r="AN1293">
        <v>3</v>
      </c>
      <c r="AO1293">
        <v>0</v>
      </c>
      <c r="AP1293">
        <v>8</v>
      </c>
    </row>
    <row r="1294" spans="1:42">
      <c r="A1294">
        <v>39</v>
      </c>
      <c r="B1294" t="str" cm="1">
        <f t="array" ref="B1294">_xlfn.IFS(A1294&lt;=25,"18-25",A1294&lt;=35,"26-35",A1294&lt;=45,"36-45",A1294&lt;=55,"46-55",A1294&gt;55,"56+")</f>
        <v>36-45</v>
      </c>
      <c r="C1294" t="s">
        <v>39</v>
      </c>
      <c r="D1294" t="s">
        <v>40</v>
      </c>
      <c r="E1294" s="2">
        <v>766</v>
      </c>
      <c r="F1294" t="s">
        <v>34</v>
      </c>
      <c r="G1294">
        <v>20</v>
      </c>
      <c r="H1294" t="str">
        <f t="shared" si="20"/>
        <v>11-20 km</v>
      </c>
      <c r="I1294">
        <v>3</v>
      </c>
      <c r="J1294" t="str" cm="1">
        <f t="array" ref="J1294">_xlfn.IFS(I1294=1,"Below College",I1294=2,"College",I1294=3,"Bachelor",I1294=4,"Master",I1294=5,"Doctor")</f>
        <v>Bachelor</v>
      </c>
      <c r="K1294" t="s">
        <v>35</v>
      </c>
      <c r="L1294">
        <v>1812</v>
      </c>
      <c r="M1294">
        <v>3</v>
      </c>
      <c r="N1294" t="str" cm="1">
        <f t="array" ref="N1294">_xlfn.IFS(M1294=1,"Low",M1294=2,"Medium",M1294=3,"High",M1294=4,"Very High")</f>
        <v>High</v>
      </c>
      <c r="O1294" t="s">
        <v>42</v>
      </c>
      <c r="P1294" s="2">
        <v>83</v>
      </c>
      <c r="Q1294">
        <v>3</v>
      </c>
      <c r="R1294" t="str" cm="1">
        <f t="array" ref="R1294">_xlfn.IFS(Q1294=1,"Low",Q1294=2,"Medium",Q1294=3,"High",Q1294=4,"Very High")</f>
        <v>High</v>
      </c>
      <c r="S1294">
        <v>2</v>
      </c>
      <c r="T1294" t="str" cm="1">
        <f t="array" ref="T1294">_xlfn.IFS(S1294=1,"Entry Level",S1294=2,"Junior",S1294=3,"Mid-Level",S1294=4,"Senior",S1294=5,"Executive")</f>
        <v>Junior</v>
      </c>
      <c r="U1294" t="s">
        <v>37</v>
      </c>
      <c r="V1294">
        <v>4</v>
      </c>
      <c r="W1294" t="str" cm="1">
        <f t="array" ref="W1294">_xlfn.IFS(V1294=1,"Low",V1294=2,"Medium",V1294=3,"High",V1294=4,"Very High")</f>
        <v>Very High</v>
      </c>
      <c r="X1294" t="s">
        <v>48</v>
      </c>
      <c r="Y1294" s="2">
        <v>4127</v>
      </c>
      <c r="Z1294" s="2">
        <v>19188</v>
      </c>
      <c r="AA1294">
        <v>2</v>
      </c>
      <c r="AB1294" t="s">
        <v>39</v>
      </c>
      <c r="AC1294">
        <v>18</v>
      </c>
      <c r="AD1294">
        <v>3</v>
      </c>
      <c r="AE1294" t="str" cm="1">
        <f t="array" ref="AE1294">_xlfn.IFS(AD1294=1,"Low",AD1294=2,"Good",AD1294=3,"Excellent",AD1294=4,"Outstanding")</f>
        <v>Excellent</v>
      </c>
      <c r="AF1294">
        <v>4</v>
      </c>
      <c r="AG1294" t="str" cm="1">
        <f t="array" ref="AG1294">_xlfn.IFS(AF1294=1,"Low",AF1294=2,"Medium",AF1294=3,"High",AF1294=4,"Very High")</f>
        <v>Very High</v>
      </c>
      <c r="AH1294">
        <v>1</v>
      </c>
      <c r="AI1294">
        <v>7</v>
      </c>
      <c r="AJ1294">
        <v>6</v>
      </c>
      <c r="AK1294">
        <v>3</v>
      </c>
      <c r="AL1294" t="str" cm="1">
        <f t="array" ref="AL1294">_xlfn.IFS(AK1294=1,"Low",AK1294=2,"Medium",AK1294=3,"High",AK1294=4,"Very High")</f>
        <v>High</v>
      </c>
      <c r="AM1294">
        <v>2</v>
      </c>
      <c r="AN1294">
        <v>1</v>
      </c>
      <c r="AO1294">
        <v>2</v>
      </c>
      <c r="AP1294">
        <v>2</v>
      </c>
    </row>
    <row r="1295" spans="1:42">
      <c r="A1295">
        <v>43</v>
      </c>
      <c r="B1295" t="str" cm="1">
        <f t="array" ref="B1295">_xlfn.IFS(A1295&lt;=25,"18-25",A1295&lt;=35,"26-35",A1295&lt;=45,"36-45",A1295&lt;=55,"46-55",A1295&gt;55,"56+")</f>
        <v>36-45</v>
      </c>
      <c r="C1295" t="s">
        <v>39</v>
      </c>
      <c r="D1295" t="s">
        <v>51</v>
      </c>
      <c r="E1295" s="2">
        <v>343</v>
      </c>
      <c r="F1295" t="s">
        <v>41</v>
      </c>
      <c r="G1295">
        <v>9</v>
      </c>
      <c r="H1295" t="str">
        <f t="shared" si="20"/>
        <v>1-10 km</v>
      </c>
      <c r="I1295">
        <v>3</v>
      </c>
      <c r="J1295" t="str" cm="1">
        <f t="array" ref="J1295">_xlfn.IFS(I1295=1,"Below College",I1295=2,"College",I1295=3,"Bachelor",I1295=4,"Master",I1295=5,"Doctor")</f>
        <v>Bachelor</v>
      </c>
      <c r="K1295" t="s">
        <v>35</v>
      </c>
      <c r="L1295">
        <v>1813</v>
      </c>
      <c r="M1295">
        <v>1</v>
      </c>
      <c r="N1295" t="str" cm="1">
        <f t="array" ref="N1295">_xlfn.IFS(M1295=1,"Low",M1295=2,"Medium",M1295=3,"High",M1295=4,"Very High")</f>
        <v>Low</v>
      </c>
      <c r="O1295" t="s">
        <v>42</v>
      </c>
      <c r="P1295" s="2">
        <v>52</v>
      </c>
      <c r="Q1295">
        <v>3</v>
      </c>
      <c r="R1295" t="str" cm="1">
        <f t="array" ref="R1295">_xlfn.IFS(Q1295=1,"Low",Q1295=2,"Medium",Q1295=3,"High",Q1295=4,"Very High")</f>
        <v>High</v>
      </c>
      <c r="S1295">
        <v>1</v>
      </c>
      <c r="T1295" t="str" cm="1">
        <f t="array" ref="T1295">_xlfn.IFS(S1295=1,"Entry Level",S1295=2,"Junior",S1295=3,"Mid-Level",S1295=4,"Senior",S1295=5,"Executive")</f>
        <v>Entry Level</v>
      </c>
      <c r="U1295" t="s">
        <v>43</v>
      </c>
      <c r="V1295">
        <v>3</v>
      </c>
      <c r="W1295" t="str" cm="1">
        <f t="array" ref="W1295">_xlfn.IFS(V1295=1,"Low",V1295=2,"Medium",V1295=3,"High",V1295=4,"Very High")</f>
        <v>High</v>
      </c>
      <c r="X1295" t="s">
        <v>38</v>
      </c>
      <c r="Y1295" s="2">
        <v>2438</v>
      </c>
      <c r="Z1295" s="2">
        <v>24978</v>
      </c>
      <c r="AA1295">
        <v>4</v>
      </c>
      <c r="AB1295" t="s">
        <v>39</v>
      </c>
      <c r="AC1295">
        <v>13</v>
      </c>
      <c r="AD1295">
        <v>3</v>
      </c>
      <c r="AE1295" t="str" cm="1">
        <f t="array" ref="AE1295">_xlfn.IFS(AD1295=1,"Low",AD1295=2,"Good",AD1295=3,"Excellent",AD1295=4,"Outstanding")</f>
        <v>Excellent</v>
      </c>
      <c r="AF1295">
        <v>3</v>
      </c>
      <c r="AG1295" t="str" cm="1">
        <f t="array" ref="AG1295">_xlfn.IFS(AF1295=1,"Low",AF1295=2,"Medium",AF1295=3,"High",AF1295=4,"Very High")</f>
        <v>High</v>
      </c>
      <c r="AH1295">
        <v>0</v>
      </c>
      <c r="AI1295">
        <v>7</v>
      </c>
      <c r="AJ1295">
        <v>2</v>
      </c>
      <c r="AK1295">
        <v>2</v>
      </c>
      <c r="AL1295" t="str" cm="1">
        <f t="array" ref="AL1295">_xlfn.IFS(AK1295=1,"Low",AK1295=2,"Medium",AK1295=3,"High",AK1295=4,"Very High")</f>
        <v>Medium</v>
      </c>
      <c r="AM1295">
        <v>3</v>
      </c>
      <c r="AN1295">
        <v>2</v>
      </c>
      <c r="AO1295">
        <v>1</v>
      </c>
      <c r="AP1295">
        <v>2</v>
      </c>
    </row>
    <row r="1296" spans="1:42">
      <c r="A1296">
        <v>41</v>
      </c>
      <c r="B1296" t="str" cm="1">
        <f t="array" ref="B1296">_xlfn.IFS(A1296&lt;=25,"18-25",A1296&lt;=35,"26-35",A1296&lt;=45,"36-45",A1296&lt;=55,"46-55",A1296&gt;55,"56+")</f>
        <v>36-45</v>
      </c>
      <c r="C1296" t="s">
        <v>39</v>
      </c>
      <c r="D1296" t="s">
        <v>33</v>
      </c>
      <c r="E1296" s="2">
        <v>447</v>
      </c>
      <c r="F1296" t="s">
        <v>41</v>
      </c>
      <c r="G1296">
        <v>5</v>
      </c>
      <c r="H1296" t="str">
        <f t="shared" si="20"/>
        <v>1-10 km</v>
      </c>
      <c r="I1296">
        <v>3</v>
      </c>
      <c r="J1296" t="str" cm="1">
        <f t="array" ref="J1296">_xlfn.IFS(I1296=1,"Below College",I1296=2,"College",I1296=3,"Bachelor",I1296=4,"Master",I1296=5,"Doctor")</f>
        <v>Bachelor</v>
      </c>
      <c r="K1296" t="s">
        <v>35</v>
      </c>
      <c r="L1296">
        <v>1814</v>
      </c>
      <c r="M1296">
        <v>2</v>
      </c>
      <c r="N1296" t="str" cm="1">
        <f t="array" ref="N1296">_xlfn.IFS(M1296=1,"Low",M1296=2,"Medium",M1296=3,"High",M1296=4,"Very High")</f>
        <v>Medium</v>
      </c>
      <c r="O1296" t="s">
        <v>42</v>
      </c>
      <c r="P1296" s="2">
        <v>85</v>
      </c>
      <c r="Q1296">
        <v>4</v>
      </c>
      <c r="R1296" t="str" cm="1">
        <f t="array" ref="R1296">_xlfn.IFS(Q1296=1,"Low",Q1296=2,"Medium",Q1296=3,"High",Q1296=4,"Very High")</f>
        <v>Very High</v>
      </c>
      <c r="S1296">
        <v>2</v>
      </c>
      <c r="T1296" t="str" cm="1">
        <f t="array" ref="T1296">_xlfn.IFS(S1296=1,"Entry Level",S1296=2,"Junior",S1296=3,"Mid-Level",S1296=4,"Senior",S1296=5,"Executive")</f>
        <v>Junior</v>
      </c>
      <c r="U1296" t="s">
        <v>50</v>
      </c>
      <c r="V1296">
        <v>2</v>
      </c>
      <c r="W1296" t="str" cm="1">
        <f t="array" ref="W1296">_xlfn.IFS(V1296=1,"Low",V1296=2,"Medium",V1296=3,"High",V1296=4,"Very High")</f>
        <v>Medium</v>
      </c>
      <c r="X1296" t="s">
        <v>38</v>
      </c>
      <c r="Y1296" s="2">
        <v>6870</v>
      </c>
      <c r="Z1296" s="2">
        <v>15530</v>
      </c>
      <c r="AA1296">
        <v>3</v>
      </c>
      <c r="AB1296" t="s">
        <v>39</v>
      </c>
      <c r="AC1296">
        <v>12</v>
      </c>
      <c r="AD1296">
        <v>3</v>
      </c>
      <c r="AE1296" t="str" cm="1">
        <f t="array" ref="AE1296">_xlfn.IFS(AD1296=1,"Low",AD1296=2,"Good",AD1296=3,"Excellent",AD1296=4,"Outstanding")</f>
        <v>Excellent</v>
      </c>
      <c r="AF1296">
        <v>1</v>
      </c>
      <c r="AG1296" t="str" cm="1">
        <f t="array" ref="AG1296">_xlfn.IFS(AF1296=1,"Low",AF1296=2,"Medium",AF1296=3,"High",AF1296=4,"Very High")</f>
        <v>Low</v>
      </c>
      <c r="AH1296">
        <v>0</v>
      </c>
      <c r="AI1296">
        <v>11</v>
      </c>
      <c r="AJ1296">
        <v>3</v>
      </c>
      <c r="AK1296">
        <v>1</v>
      </c>
      <c r="AL1296" t="str" cm="1">
        <f t="array" ref="AL1296">_xlfn.IFS(AK1296=1,"Low",AK1296=2,"Medium",AK1296=3,"High",AK1296=4,"Very High")</f>
        <v>Low</v>
      </c>
      <c r="AM1296">
        <v>3</v>
      </c>
      <c r="AN1296">
        <v>2</v>
      </c>
      <c r="AO1296">
        <v>1</v>
      </c>
      <c r="AP1296">
        <v>2</v>
      </c>
    </row>
    <row r="1297" spans="1:42">
      <c r="A1297">
        <v>41</v>
      </c>
      <c r="B1297" t="str" cm="1">
        <f t="array" ref="B1297">_xlfn.IFS(A1297&lt;=25,"18-25",A1297&lt;=35,"26-35",A1297&lt;=45,"36-45",A1297&lt;=55,"46-55",A1297&gt;55,"56+")</f>
        <v>36-45</v>
      </c>
      <c r="C1297" t="s">
        <v>39</v>
      </c>
      <c r="D1297" t="s">
        <v>33</v>
      </c>
      <c r="E1297" s="2">
        <v>796</v>
      </c>
      <c r="F1297" t="s">
        <v>34</v>
      </c>
      <c r="G1297">
        <v>4</v>
      </c>
      <c r="H1297" t="str">
        <f t="shared" si="20"/>
        <v>1-10 km</v>
      </c>
      <c r="I1297">
        <v>1</v>
      </c>
      <c r="J1297" t="str" cm="1">
        <f t="array" ref="J1297">_xlfn.IFS(I1297=1,"Below College",I1297=2,"College",I1297=3,"Bachelor",I1297=4,"Master",I1297=5,"Doctor")</f>
        <v>Below College</v>
      </c>
      <c r="K1297" t="s">
        <v>55</v>
      </c>
      <c r="L1297">
        <v>1815</v>
      </c>
      <c r="M1297">
        <v>3</v>
      </c>
      <c r="N1297" t="str" cm="1">
        <f t="array" ref="N1297">_xlfn.IFS(M1297=1,"Low",M1297=2,"Medium",M1297=3,"High",M1297=4,"Very High")</f>
        <v>High</v>
      </c>
      <c r="O1297" t="s">
        <v>36</v>
      </c>
      <c r="P1297" s="2">
        <v>81</v>
      </c>
      <c r="Q1297">
        <v>3</v>
      </c>
      <c r="R1297" t="str" cm="1">
        <f t="array" ref="R1297">_xlfn.IFS(Q1297=1,"Low",Q1297=2,"Medium",Q1297=3,"High",Q1297=4,"Very High")</f>
        <v>High</v>
      </c>
      <c r="S1297">
        <v>3</v>
      </c>
      <c r="T1297" t="str" cm="1">
        <f t="array" ref="T1297">_xlfn.IFS(S1297=1,"Entry Level",S1297=2,"Junior",S1297=3,"Mid-Level",S1297=4,"Senior",S1297=5,"Executive")</f>
        <v>Mid-Level</v>
      </c>
      <c r="U1297" t="s">
        <v>37</v>
      </c>
      <c r="V1297">
        <v>3</v>
      </c>
      <c r="W1297" t="str" cm="1">
        <f t="array" ref="W1297">_xlfn.IFS(V1297=1,"Low",V1297=2,"Medium",V1297=3,"High",V1297=4,"Very High")</f>
        <v>High</v>
      </c>
      <c r="X1297" t="s">
        <v>48</v>
      </c>
      <c r="Y1297" s="2">
        <v>10447</v>
      </c>
      <c r="Z1297" s="2">
        <v>26458</v>
      </c>
      <c r="AA1297">
        <v>0</v>
      </c>
      <c r="AB1297" t="s">
        <v>32</v>
      </c>
      <c r="AC1297">
        <v>13</v>
      </c>
      <c r="AD1297">
        <v>3</v>
      </c>
      <c r="AE1297" t="str" cm="1">
        <f t="array" ref="AE1297">_xlfn.IFS(AD1297=1,"Low",AD1297=2,"Good",AD1297=3,"Excellent",AD1297=4,"Outstanding")</f>
        <v>Excellent</v>
      </c>
      <c r="AF1297">
        <v>4</v>
      </c>
      <c r="AG1297" t="str" cm="1">
        <f t="array" ref="AG1297">_xlfn.IFS(AF1297=1,"Low",AF1297=2,"Medium",AF1297=3,"High",AF1297=4,"Very High")</f>
        <v>Very High</v>
      </c>
      <c r="AH1297">
        <v>1</v>
      </c>
      <c r="AI1297">
        <v>23</v>
      </c>
      <c r="AJ1297">
        <v>3</v>
      </c>
      <c r="AK1297">
        <v>4</v>
      </c>
      <c r="AL1297" t="str" cm="1">
        <f t="array" ref="AL1297">_xlfn.IFS(AK1297=1,"Low",AK1297=2,"Medium",AK1297=3,"High",AK1297=4,"Very High")</f>
        <v>Very High</v>
      </c>
      <c r="AM1297">
        <v>22</v>
      </c>
      <c r="AN1297">
        <v>14</v>
      </c>
      <c r="AO1297">
        <v>13</v>
      </c>
      <c r="AP1297">
        <v>5</v>
      </c>
    </row>
    <row r="1298" spans="1:42">
      <c r="A1298">
        <v>30</v>
      </c>
      <c r="B1298" t="str" cm="1">
        <f t="array" ref="B1298">_xlfn.IFS(A1298&lt;=25,"18-25",A1298&lt;=35,"26-35",A1298&lt;=45,"36-45",A1298&lt;=55,"46-55",A1298&gt;55,"56+")</f>
        <v>26-35</v>
      </c>
      <c r="C1298" t="s">
        <v>39</v>
      </c>
      <c r="D1298" t="s">
        <v>33</v>
      </c>
      <c r="E1298" s="2">
        <v>1092</v>
      </c>
      <c r="F1298" t="s">
        <v>41</v>
      </c>
      <c r="G1298">
        <v>10</v>
      </c>
      <c r="H1298" t="str">
        <f t="shared" si="20"/>
        <v>1-10 km</v>
      </c>
      <c r="I1298">
        <v>3</v>
      </c>
      <c r="J1298" t="str" cm="1">
        <f t="array" ref="J1298">_xlfn.IFS(I1298=1,"Below College",I1298=2,"College",I1298=3,"Bachelor",I1298=4,"Master",I1298=5,"Doctor")</f>
        <v>Bachelor</v>
      </c>
      <c r="K1298" t="s">
        <v>47</v>
      </c>
      <c r="L1298">
        <v>1816</v>
      </c>
      <c r="M1298">
        <v>1</v>
      </c>
      <c r="N1298" t="str" cm="1">
        <f t="array" ref="N1298">_xlfn.IFS(M1298=1,"Low",M1298=2,"Medium",M1298=3,"High",M1298=4,"Very High")</f>
        <v>Low</v>
      </c>
      <c r="O1298" t="s">
        <v>36</v>
      </c>
      <c r="P1298" s="2">
        <v>64</v>
      </c>
      <c r="Q1298">
        <v>3</v>
      </c>
      <c r="R1298" t="str" cm="1">
        <f t="array" ref="R1298">_xlfn.IFS(Q1298=1,"Low",Q1298=2,"Medium",Q1298=3,"High",Q1298=4,"Very High")</f>
        <v>High</v>
      </c>
      <c r="S1298">
        <v>3</v>
      </c>
      <c r="T1298" t="str" cm="1">
        <f t="array" ref="T1298">_xlfn.IFS(S1298=1,"Entry Level",S1298=2,"Junior",S1298=3,"Mid-Level",S1298=4,"Senior",S1298=5,"Executive")</f>
        <v>Mid-Level</v>
      </c>
      <c r="U1298" t="s">
        <v>49</v>
      </c>
      <c r="V1298">
        <v>3</v>
      </c>
      <c r="W1298" t="str" cm="1">
        <f t="array" ref="W1298">_xlfn.IFS(V1298=1,"Low",V1298=2,"Medium",V1298=3,"High",V1298=4,"Very High")</f>
        <v>High</v>
      </c>
      <c r="X1298" t="s">
        <v>38</v>
      </c>
      <c r="Y1298" s="2">
        <v>9667</v>
      </c>
      <c r="Z1298" s="2">
        <v>2739</v>
      </c>
      <c r="AA1298">
        <v>9</v>
      </c>
      <c r="AB1298" t="s">
        <v>39</v>
      </c>
      <c r="AC1298">
        <v>14</v>
      </c>
      <c r="AD1298">
        <v>3</v>
      </c>
      <c r="AE1298" t="str" cm="1">
        <f t="array" ref="AE1298">_xlfn.IFS(AD1298=1,"Low",AD1298=2,"Good",AD1298=3,"Excellent",AD1298=4,"Outstanding")</f>
        <v>Excellent</v>
      </c>
      <c r="AF1298">
        <v>2</v>
      </c>
      <c r="AG1298" t="str" cm="1">
        <f t="array" ref="AG1298">_xlfn.IFS(AF1298=1,"Low",AF1298=2,"Medium",AF1298=3,"High",AF1298=4,"Very High")</f>
        <v>Medium</v>
      </c>
      <c r="AH1298">
        <v>0</v>
      </c>
      <c r="AI1298">
        <v>9</v>
      </c>
      <c r="AJ1298">
        <v>3</v>
      </c>
      <c r="AK1298">
        <v>3</v>
      </c>
      <c r="AL1298" t="str" cm="1">
        <f t="array" ref="AL1298">_xlfn.IFS(AK1298=1,"Low",AK1298=2,"Medium",AK1298=3,"High",AK1298=4,"Very High")</f>
        <v>High</v>
      </c>
      <c r="AM1298">
        <v>7</v>
      </c>
      <c r="AN1298">
        <v>7</v>
      </c>
      <c r="AO1298">
        <v>0</v>
      </c>
      <c r="AP1298">
        <v>2</v>
      </c>
    </row>
    <row r="1299" spans="1:42">
      <c r="A1299">
        <v>26</v>
      </c>
      <c r="B1299" t="str" cm="1">
        <f t="array" ref="B1299">_xlfn.IFS(A1299&lt;=25,"18-25",A1299&lt;=35,"26-35",A1299&lt;=45,"36-45",A1299&lt;=55,"46-55",A1299&gt;55,"56+")</f>
        <v>26-35</v>
      </c>
      <c r="C1299" t="s">
        <v>32</v>
      </c>
      <c r="D1299" t="s">
        <v>33</v>
      </c>
      <c r="E1299" s="2">
        <v>920</v>
      </c>
      <c r="F1299" t="s">
        <v>57</v>
      </c>
      <c r="G1299">
        <v>20</v>
      </c>
      <c r="H1299" t="str">
        <f t="shared" si="20"/>
        <v>11-20 km</v>
      </c>
      <c r="I1299">
        <v>2</v>
      </c>
      <c r="J1299" t="str" cm="1">
        <f t="array" ref="J1299">_xlfn.IFS(I1299=1,"Below College",I1299=2,"College",I1299=3,"Bachelor",I1299=4,"Master",I1299=5,"Doctor")</f>
        <v>College</v>
      </c>
      <c r="K1299" t="s">
        <v>47</v>
      </c>
      <c r="L1299">
        <v>1818</v>
      </c>
      <c r="M1299">
        <v>4</v>
      </c>
      <c r="N1299" t="str" cm="1">
        <f t="array" ref="N1299">_xlfn.IFS(M1299=1,"Low",M1299=2,"Medium",M1299=3,"High",M1299=4,"Very High")</f>
        <v>Very High</v>
      </c>
      <c r="O1299" t="s">
        <v>36</v>
      </c>
      <c r="P1299" s="2">
        <v>69</v>
      </c>
      <c r="Q1299">
        <v>3</v>
      </c>
      <c r="R1299" t="str" cm="1">
        <f t="array" ref="R1299">_xlfn.IFS(Q1299=1,"Low",Q1299=2,"Medium",Q1299=3,"High",Q1299=4,"Very High")</f>
        <v>High</v>
      </c>
      <c r="S1299">
        <v>1</v>
      </c>
      <c r="T1299" t="str" cm="1">
        <f t="array" ref="T1299">_xlfn.IFS(S1299=1,"Entry Level",S1299=2,"Junior",S1299=3,"Mid-Level",S1299=4,"Senior",S1299=5,"Executive")</f>
        <v>Entry Level</v>
      </c>
      <c r="U1299" t="s">
        <v>57</v>
      </c>
      <c r="V1299">
        <v>2</v>
      </c>
      <c r="W1299" t="str" cm="1">
        <f t="array" ref="W1299">_xlfn.IFS(V1299=1,"Low",V1299=2,"Medium",V1299=3,"High",V1299=4,"Very High")</f>
        <v>Medium</v>
      </c>
      <c r="X1299" t="s">
        <v>44</v>
      </c>
      <c r="Y1299" s="2">
        <v>2148</v>
      </c>
      <c r="Z1299" s="2">
        <v>6889</v>
      </c>
      <c r="AA1299">
        <v>0</v>
      </c>
      <c r="AB1299" t="s">
        <v>32</v>
      </c>
      <c r="AC1299">
        <v>11</v>
      </c>
      <c r="AD1299">
        <v>3</v>
      </c>
      <c r="AE1299" t="str" cm="1">
        <f t="array" ref="AE1299">_xlfn.IFS(AD1299=1,"Low",AD1299=2,"Good",AD1299=3,"Excellent",AD1299=4,"Outstanding")</f>
        <v>Excellent</v>
      </c>
      <c r="AF1299">
        <v>3</v>
      </c>
      <c r="AG1299" t="str" cm="1">
        <f t="array" ref="AG1299">_xlfn.IFS(AF1299=1,"Low",AF1299=2,"Medium",AF1299=3,"High",AF1299=4,"Very High")</f>
        <v>High</v>
      </c>
      <c r="AH1299">
        <v>0</v>
      </c>
      <c r="AI1299">
        <v>6</v>
      </c>
      <c r="AJ1299">
        <v>3</v>
      </c>
      <c r="AK1299">
        <v>3</v>
      </c>
      <c r="AL1299" t="str" cm="1">
        <f t="array" ref="AL1299">_xlfn.IFS(AK1299=1,"Low",AK1299=2,"Medium",AK1299=3,"High",AK1299=4,"Very High")</f>
        <v>High</v>
      </c>
      <c r="AM1299">
        <v>5</v>
      </c>
      <c r="AN1299">
        <v>1</v>
      </c>
      <c r="AO1299">
        <v>1</v>
      </c>
      <c r="AP1299">
        <v>4</v>
      </c>
    </row>
    <row r="1300" spans="1:42">
      <c r="A1300">
        <v>46</v>
      </c>
      <c r="B1300" t="str" cm="1">
        <f t="array" ref="B1300">_xlfn.IFS(A1300&lt;=25,"18-25",A1300&lt;=35,"26-35",A1300&lt;=45,"36-45",A1300&lt;=55,"46-55",A1300&gt;55,"56+")</f>
        <v>46-55</v>
      </c>
      <c r="C1300" t="s">
        <v>32</v>
      </c>
      <c r="D1300" t="s">
        <v>33</v>
      </c>
      <c r="E1300" s="2">
        <v>261</v>
      </c>
      <c r="F1300" t="s">
        <v>41</v>
      </c>
      <c r="G1300">
        <v>21</v>
      </c>
      <c r="H1300" t="str">
        <f t="shared" si="20"/>
        <v>21-30 km</v>
      </c>
      <c r="I1300">
        <v>2</v>
      </c>
      <c r="J1300" t="str" cm="1">
        <f t="array" ref="J1300">_xlfn.IFS(I1300=1,"Below College",I1300=2,"College",I1300=3,"Bachelor",I1300=4,"Master",I1300=5,"Doctor")</f>
        <v>College</v>
      </c>
      <c r="K1300" t="s">
        <v>47</v>
      </c>
      <c r="L1300">
        <v>1821</v>
      </c>
      <c r="M1300">
        <v>4</v>
      </c>
      <c r="N1300" t="str" cm="1">
        <f t="array" ref="N1300">_xlfn.IFS(M1300=1,"Low",M1300=2,"Medium",M1300=3,"High",M1300=4,"Very High")</f>
        <v>Very High</v>
      </c>
      <c r="O1300" t="s">
        <v>36</v>
      </c>
      <c r="P1300" s="2">
        <v>66</v>
      </c>
      <c r="Q1300">
        <v>3</v>
      </c>
      <c r="R1300" t="str" cm="1">
        <f t="array" ref="R1300">_xlfn.IFS(Q1300=1,"Low",Q1300=2,"Medium",Q1300=3,"High",Q1300=4,"Very High")</f>
        <v>High</v>
      </c>
      <c r="S1300">
        <v>2</v>
      </c>
      <c r="T1300" t="str" cm="1">
        <f t="array" ref="T1300">_xlfn.IFS(S1300=1,"Entry Level",S1300=2,"Junior",S1300=3,"Mid-Level",S1300=4,"Senior",S1300=5,"Executive")</f>
        <v>Junior</v>
      </c>
      <c r="U1300" t="s">
        <v>50</v>
      </c>
      <c r="V1300">
        <v>2</v>
      </c>
      <c r="W1300" t="str" cm="1">
        <f t="array" ref="W1300">_xlfn.IFS(V1300=1,"Low",V1300=2,"Medium",V1300=3,"High",V1300=4,"Very High")</f>
        <v>Medium</v>
      </c>
      <c r="X1300" t="s">
        <v>44</v>
      </c>
      <c r="Y1300" s="2">
        <v>8926</v>
      </c>
      <c r="Z1300" s="2">
        <v>10842</v>
      </c>
      <c r="AA1300">
        <v>4</v>
      </c>
      <c r="AB1300" t="s">
        <v>39</v>
      </c>
      <c r="AC1300">
        <v>22</v>
      </c>
      <c r="AD1300">
        <v>4</v>
      </c>
      <c r="AE1300" t="str" cm="1">
        <f t="array" ref="AE1300">_xlfn.IFS(AD1300=1,"Low",AD1300=2,"Good",AD1300=3,"Excellent",AD1300=4,"Outstanding")</f>
        <v>Outstanding</v>
      </c>
      <c r="AF1300">
        <v>4</v>
      </c>
      <c r="AG1300" t="str" cm="1">
        <f t="array" ref="AG1300">_xlfn.IFS(AF1300=1,"Low",AF1300=2,"Medium",AF1300=3,"High",AF1300=4,"Very High")</f>
        <v>Very High</v>
      </c>
      <c r="AH1300">
        <v>1</v>
      </c>
      <c r="AI1300">
        <v>13</v>
      </c>
      <c r="AJ1300">
        <v>2</v>
      </c>
      <c r="AK1300">
        <v>4</v>
      </c>
      <c r="AL1300" t="str" cm="1">
        <f t="array" ref="AL1300">_xlfn.IFS(AK1300=1,"Low",AK1300=2,"Medium",AK1300=3,"High",AK1300=4,"Very High")</f>
        <v>Very High</v>
      </c>
      <c r="AM1300">
        <v>9</v>
      </c>
      <c r="AN1300">
        <v>7</v>
      </c>
      <c r="AO1300">
        <v>3</v>
      </c>
      <c r="AP1300">
        <v>7</v>
      </c>
    </row>
    <row r="1301" spans="1:42">
      <c r="A1301">
        <v>40</v>
      </c>
      <c r="B1301" t="str" cm="1">
        <f t="array" ref="B1301">_xlfn.IFS(A1301&lt;=25,"18-25",A1301&lt;=35,"26-35",A1301&lt;=45,"36-45",A1301&lt;=55,"46-55",A1301&gt;55,"56+")</f>
        <v>36-45</v>
      </c>
      <c r="C1301" t="s">
        <v>39</v>
      </c>
      <c r="D1301" t="s">
        <v>33</v>
      </c>
      <c r="E1301" s="2">
        <v>1194</v>
      </c>
      <c r="F1301" t="s">
        <v>41</v>
      </c>
      <c r="G1301">
        <v>1</v>
      </c>
      <c r="H1301" t="str">
        <f t="shared" si="20"/>
        <v>1-10 km</v>
      </c>
      <c r="I1301">
        <v>3</v>
      </c>
      <c r="J1301" t="str" cm="1">
        <f t="array" ref="J1301">_xlfn.IFS(I1301=1,"Below College",I1301=2,"College",I1301=3,"Bachelor",I1301=4,"Master",I1301=5,"Doctor")</f>
        <v>Bachelor</v>
      </c>
      <c r="K1301" t="s">
        <v>35</v>
      </c>
      <c r="L1301">
        <v>1822</v>
      </c>
      <c r="M1301">
        <v>3</v>
      </c>
      <c r="N1301" t="str" cm="1">
        <f t="array" ref="N1301">_xlfn.IFS(M1301=1,"Low",M1301=2,"Medium",M1301=3,"High",M1301=4,"Very High")</f>
        <v>High</v>
      </c>
      <c r="O1301" t="s">
        <v>36</v>
      </c>
      <c r="P1301" s="2">
        <v>52</v>
      </c>
      <c r="Q1301">
        <v>3</v>
      </c>
      <c r="R1301" t="str" cm="1">
        <f t="array" ref="R1301">_xlfn.IFS(Q1301=1,"Low",Q1301=2,"Medium",Q1301=3,"High",Q1301=4,"Very High")</f>
        <v>High</v>
      </c>
      <c r="S1301">
        <v>2</v>
      </c>
      <c r="T1301" t="str" cm="1">
        <f t="array" ref="T1301">_xlfn.IFS(S1301=1,"Entry Level",S1301=2,"Junior",S1301=3,"Mid-Level",S1301=4,"Senior",S1301=5,"Executive")</f>
        <v>Junior</v>
      </c>
      <c r="U1301" t="s">
        <v>50</v>
      </c>
      <c r="V1301">
        <v>4</v>
      </c>
      <c r="W1301" t="str" cm="1">
        <f t="array" ref="W1301">_xlfn.IFS(V1301=1,"Low",V1301=2,"Medium",V1301=3,"High",V1301=4,"Very High")</f>
        <v>Very High</v>
      </c>
      <c r="X1301" t="s">
        <v>48</v>
      </c>
      <c r="Y1301" s="2">
        <v>6513</v>
      </c>
      <c r="Z1301" s="2">
        <v>9060</v>
      </c>
      <c r="AA1301">
        <v>4</v>
      </c>
      <c r="AB1301" t="s">
        <v>39</v>
      </c>
      <c r="AC1301">
        <v>17</v>
      </c>
      <c r="AD1301">
        <v>3</v>
      </c>
      <c r="AE1301" t="str" cm="1">
        <f t="array" ref="AE1301">_xlfn.IFS(AD1301=1,"Low",AD1301=2,"Good",AD1301=3,"Excellent",AD1301=4,"Outstanding")</f>
        <v>Excellent</v>
      </c>
      <c r="AF1301">
        <v>4</v>
      </c>
      <c r="AG1301" t="str" cm="1">
        <f t="array" ref="AG1301">_xlfn.IFS(AF1301=1,"Low",AF1301=2,"Medium",AF1301=3,"High",AF1301=4,"Very High")</f>
        <v>Very High</v>
      </c>
      <c r="AH1301">
        <v>1</v>
      </c>
      <c r="AI1301">
        <v>12</v>
      </c>
      <c r="AJ1301">
        <v>3</v>
      </c>
      <c r="AK1301">
        <v>3</v>
      </c>
      <c r="AL1301" t="str" cm="1">
        <f t="array" ref="AL1301">_xlfn.IFS(AK1301=1,"Low",AK1301=2,"Medium",AK1301=3,"High",AK1301=4,"Very High")</f>
        <v>High</v>
      </c>
      <c r="AM1301">
        <v>5</v>
      </c>
      <c r="AN1301">
        <v>3</v>
      </c>
      <c r="AO1301">
        <v>0</v>
      </c>
      <c r="AP1301">
        <v>3</v>
      </c>
    </row>
    <row r="1302" spans="1:42">
      <c r="A1302">
        <v>34</v>
      </c>
      <c r="B1302" t="str" cm="1">
        <f t="array" ref="B1302">_xlfn.IFS(A1302&lt;=25,"18-25",A1302&lt;=35,"26-35",A1302&lt;=45,"36-45",A1302&lt;=55,"46-55",A1302&gt;55,"56+")</f>
        <v>26-35</v>
      </c>
      <c r="C1302" t="s">
        <v>39</v>
      </c>
      <c r="D1302" t="s">
        <v>33</v>
      </c>
      <c r="E1302" s="2">
        <v>810</v>
      </c>
      <c r="F1302" t="s">
        <v>34</v>
      </c>
      <c r="G1302">
        <v>8</v>
      </c>
      <c r="H1302" t="str">
        <f t="shared" si="20"/>
        <v>1-10 km</v>
      </c>
      <c r="I1302">
        <v>2</v>
      </c>
      <c r="J1302" t="str" cm="1">
        <f t="array" ref="J1302">_xlfn.IFS(I1302=1,"Below College",I1302=2,"College",I1302=3,"Bachelor",I1302=4,"Master",I1302=5,"Doctor")</f>
        <v>College</v>
      </c>
      <c r="K1302" t="s">
        <v>56</v>
      </c>
      <c r="L1302">
        <v>1823</v>
      </c>
      <c r="M1302">
        <v>2</v>
      </c>
      <c r="N1302" t="str" cm="1">
        <f t="array" ref="N1302">_xlfn.IFS(M1302=1,"Low",M1302=2,"Medium",M1302=3,"High",M1302=4,"Very High")</f>
        <v>Medium</v>
      </c>
      <c r="O1302" t="s">
        <v>42</v>
      </c>
      <c r="P1302" s="2">
        <v>92</v>
      </c>
      <c r="Q1302">
        <v>4</v>
      </c>
      <c r="R1302" t="str" cm="1">
        <f t="array" ref="R1302">_xlfn.IFS(Q1302=1,"Low",Q1302=2,"Medium",Q1302=3,"High",Q1302=4,"Very High")</f>
        <v>Very High</v>
      </c>
      <c r="S1302">
        <v>2</v>
      </c>
      <c r="T1302" t="str" cm="1">
        <f t="array" ref="T1302">_xlfn.IFS(S1302=1,"Entry Level",S1302=2,"Junior",S1302=3,"Mid-Level",S1302=4,"Senior",S1302=5,"Executive")</f>
        <v>Junior</v>
      </c>
      <c r="U1302" t="s">
        <v>37</v>
      </c>
      <c r="V1302">
        <v>3</v>
      </c>
      <c r="W1302" t="str" cm="1">
        <f t="array" ref="W1302">_xlfn.IFS(V1302=1,"Low",V1302=2,"Medium",V1302=3,"High",V1302=4,"Very High")</f>
        <v>High</v>
      </c>
      <c r="X1302" t="s">
        <v>44</v>
      </c>
      <c r="Y1302" s="2">
        <v>6799</v>
      </c>
      <c r="Z1302" s="2">
        <v>22128</v>
      </c>
      <c r="AA1302">
        <v>1</v>
      </c>
      <c r="AB1302" t="s">
        <v>39</v>
      </c>
      <c r="AC1302">
        <v>21</v>
      </c>
      <c r="AD1302">
        <v>4</v>
      </c>
      <c r="AE1302" t="str" cm="1">
        <f t="array" ref="AE1302">_xlfn.IFS(AD1302=1,"Low",AD1302=2,"Good",AD1302=3,"Excellent",AD1302=4,"Outstanding")</f>
        <v>Outstanding</v>
      </c>
      <c r="AF1302">
        <v>3</v>
      </c>
      <c r="AG1302" t="str" cm="1">
        <f t="array" ref="AG1302">_xlfn.IFS(AF1302=1,"Low",AF1302=2,"Medium",AF1302=3,"High",AF1302=4,"Very High")</f>
        <v>High</v>
      </c>
      <c r="AH1302">
        <v>2</v>
      </c>
      <c r="AI1302">
        <v>10</v>
      </c>
      <c r="AJ1302">
        <v>5</v>
      </c>
      <c r="AK1302">
        <v>3</v>
      </c>
      <c r="AL1302" t="str" cm="1">
        <f t="array" ref="AL1302">_xlfn.IFS(AK1302=1,"Low",AK1302=2,"Medium",AK1302=3,"High",AK1302=4,"Very High")</f>
        <v>High</v>
      </c>
      <c r="AM1302">
        <v>10</v>
      </c>
      <c r="AN1302">
        <v>8</v>
      </c>
      <c r="AO1302">
        <v>4</v>
      </c>
      <c r="AP1302">
        <v>8</v>
      </c>
    </row>
    <row r="1303" spans="1:42">
      <c r="A1303">
        <v>58</v>
      </c>
      <c r="B1303" t="str" cm="1">
        <f t="array" ref="B1303">_xlfn.IFS(A1303&lt;=25,"18-25",A1303&lt;=35,"26-35",A1303&lt;=45,"36-45",A1303&lt;=55,"46-55",A1303&gt;55,"56+")</f>
        <v>56+</v>
      </c>
      <c r="C1303" t="s">
        <v>39</v>
      </c>
      <c r="D1303" t="s">
        <v>51</v>
      </c>
      <c r="E1303" s="2">
        <v>350</v>
      </c>
      <c r="F1303" t="s">
        <v>34</v>
      </c>
      <c r="G1303">
        <v>2</v>
      </c>
      <c r="H1303" t="str">
        <f t="shared" si="20"/>
        <v>1-10 km</v>
      </c>
      <c r="I1303">
        <v>3</v>
      </c>
      <c r="J1303" t="str" cm="1">
        <f t="array" ref="J1303">_xlfn.IFS(I1303=1,"Below College",I1303=2,"College",I1303=3,"Bachelor",I1303=4,"Master",I1303=5,"Doctor")</f>
        <v>Bachelor</v>
      </c>
      <c r="K1303" t="s">
        <v>47</v>
      </c>
      <c r="L1303">
        <v>1824</v>
      </c>
      <c r="M1303">
        <v>2</v>
      </c>
      <c r="N1303" t="str" cm="1">
        <f t="array" ref="N1303">_xlfn.IFS(M1303=1,"Low",M1303=2,"Medium",M1303=3,"High",M1303=4,"Very High")</f>
        <v>Medium</v>
      </c>
      <c r="O1303" t="s">
        <v>42</v>
      </c>
      <c r="P1303" s="2">
        <v>52</v>
      </c>
      <c r="Q1303">
        <v>3</v>
      </c>
      <c r="R1303" t="str" cm="1">
        <f t="array" ref="R1303">_xlfn.IFS(Q1303=1,"Low",Q1303=2,"Medium",Q1303=3,"High",Q1303=4,"Very High")</f>
        <v>High</v>
      </c>
      <c r="S1303">
        <v>4</v>
      </c>
      <c r="T1303" t="str" cm="1">
        <f t="array" ref="T1303">_xlfn.IFS(S1303=1,"Entry Level",S1303=2,"Junior",S1303=3,"Mid-Level",S1303=4,"Senior",S1303=5,"Executive")</f>
        <v>Senior</v>
      </c>
      <c r="U1303" t="s">
        <v>52</v>
      </c>
      <c r="V1303">
        <v>2</v>
      </c>
      <c r="W1303" t="str" cm="1">
        <f t="array" ref="W1303">_xlfn.IFS(V1303=1,"Low",V1303=2,"Medium",V1303=3,"High",V1303=4,"Very High")</f>
        <v>Medium</v>
      </c>
      <c r="X1303" t="s">
        <v>48</v>
      </c>
      <c r="Y1303" s="2">
        <v>16291</v>
      </c>
      <c r="Z1303" s="2">
        <v>22577</v>
      </c>
      <c r="AA1303">
        <v>4</v>
      </c>
      <c r="AB1303" t="s">
        <v>39</v>
      </c>
      <c r="AC1303">
        <v>22</v>
      </c>
      <c r="AD1303">
        <v>4</v>
      </c>
      <c r="AE1303" t="str" cm="1">
        <f t="array" ref="AE1303">_xlfn.IFS(AD1303=1,"Low",AD1303=2,"Good",AD1303=3,"Excellent",AD1303=4,"Outstanding")</f>
        <v>Outstanding</v>
      </c>
      <c r="AF1303">
        <v>4</v>
      </c>
      <c r="AG1303" t="str" cm="1">
        <f t="array" ref="AG1303">_xlfn.IFS(AF1303=1,"Low",AF1303=2,"Medium",AF1303=3,"High",AF1303=4,"Very High")</f>
        <v>Very High</v>
      </c>
      <c r="AH1303">
        <v>1</v>
      </c>
      <c r="AI1303">
        <v>37</v>
      </c>
      <c r="AJ1303">
        <v>0</v>
      </c>
      <c r="AK1303">
        <v>2</v>
      </c>
      <c r="AL1303" t="str" cm="1">
        <f t="array" ref="AL1303">_xlfn.IFS(AK1303=1,"Low",AK1303=2,"Medium",AK1303=3,"High",AK1303=4,"Very High")</f>
        <v>Medium</v>
      </c>
      <c r="AM1303">
        <v>16</v>
      </c>
      <c r="AN1303">
        <v>9</v>
      </c>
      <c r="AO1303">
        <v>14</v>
      </c>
      <c r="AP1303">
        <v>14</v>
      </c>
    </row>
    <row r="1304" spans="1:42">
      <c r="A1304">
        <v>35</v>
      </c>
      <c r="B1304" t="str" cm="1">
        <f t="array" ref="B1304">_xlfn.IFS(A1304&lt;=25,"18-25",A1304&lt;=35,"26-35",A1304&lt;=45,"36-45",A1304&lt;=55,"46-55",A1304&gt;55,"56+")</f>
        <v>26-35</v>
      </c>
      <c r="C1304" t="s">
        <v>39</v>
      </c>
      <c r="D1304" t="s">
        <v>33</v>
      </c>
      <c r="E1304" s="2">
        <v>185</v>
      </c>
      <c r="F1304" t="s">
        <v>41</v>
      </c>
      <c r="G1304">
        <v>23</v>
      </c>
      <c r="H1304" t="str">
        <f t="shared" si="20"/>
        <v>21-30 km</v>
      </c>
      <c r="I1304">
        <v>4</v>
      </c>
      <c r="J1304" t="str" cm="1">
        <f t="array" ref="J1304">_xlfn.IFS(I1304=1,"Below College",I1304=2,"College",I1304=3,"Bachelor",I1304=4,"Master",I1304=5,"Doctor")</f>
        <v>Master</v>
      </c>
      <c r="K1304" t="s">
        <v>47</v>
      </c>
      <c r="L1304">
        <v>1826</v>
      </c>
      <c r="M1304">
        <v>2</v>
      </c>
      <c r="N1304" t="str" cm="1">
        <f t="array" ref="N1304">_xlfn.IFS(M1304=1,"Low",M1304=2,"Medium",M1304=3,"High",M1304=4,"Very High")</f>
        <v>Medium</v>
      </c>
      <c r="O1304" t="s">
        <v>42</v>
      </c>
      <c r="P1304" s="2">
        <v>91</v>
      </c>
      <c r="Q1304">
        <v>1</v>
      </c>
      <c r="R1304" t="str" cm="1">
        <f t="array" ref="R1304">_xlfn.IFS(Q1304=1,"Low",Q1304=2,"Medium",Q1304=3,"High",Q1304=4,"Very High")</f>
        <v>Low</v>
      </c>
      <c r="S1304">
        <v>1</v>
      </c>
      <c r="T1304" t="str" cm="1">
        <f t="array" ref="T1304">_xlfn.IFS(S1304=1,"Entry Level",S1304=2,"Junior",S1304=3,"Mid-Level",S1304=4,"Senior",S1304=5,"Executive")</f>
        <v>Entry Level</v>
      </c>
      <c r="U1304" t="s">
        <v>46</v>
      </c>
      <c r="V1304">
        <v>3</v>
      </c>
      <c r="W1304" t="str" cm="1">
        <f t="array" ref="W1304">_xlfn.IFS(V1304=1,"Low",V1304=2,"Medium",V1304=3,"High",V1304=4,"Very High")</f>
        <v>High</v>
      </c>
      <c r="X1304" t="s">
        <v>44</v>
      </c>
      <c r="Y1304" s="2">
        <v>2705</v>
      </c>
      <c r="Z1304" s="2">
        <v>9696</v>
      </c>
      <c r="AA1304">
        <v>0</v>
      </c>
      <c r="AB1304" t="s">
        <v>39</v>
      </c>
      <c r="AC1304">
        <v>16</v>
      </c>
      <c r="AD1304">
        <v>3</v>
      </c>
      <c r="AE1304" t="str" cm="1">
        <f t="array" ref="AE1304">_xlfn.IFS(AD1304=1,"Low",AD1304=2,"Good",AD1304=3,"Excellent",AD1304=4,"Outstanding")</f>
        <v>Excellent</v>
      </c>
      <c r="AF1304">
        <v>2</v>
      </c>
      <c r="AG1304" t="str" cm="1">
        <f t="array" ref="AG1304">_xlfn.IFS(AF1304=1,"Low",AF1304=2,"Medium",AF1304=3,"High",AF1304=4,"Very High")</f>
        <v>Medium</v>
      </c>
      <c r="AH1304">
        <v>1</v>
      </c>
      <c r="AI1304">
        <v>6</v>
      </c>
      <c r="AJ1304">
        <v>2</v>
      </c>
      <c r="AK1304">
        <v>4</v>
      </c>
      <c r="AL1304" t="str" cm="1">
        <f t="array" ref="AL1304">_xlfn.IFS(AK1304=1,"Low",AK1304=2,"Medium",AK1304=3,"High",AK1304=4,"Very High")</f>
        <v>Very High</v>
      </c>
      <c r="AM1304">
        <v>5</v>
      </c>
      <c r="AN1304">
        <v>4</v>
      </c>
      <c r="AO1304">
        <v>0</v>
      </c>
      <c r="AP1304">
        <v>3</v>
      </c>
    </row>
    <row r="1305" spans="1:42">
      <c r="A1305">
        <v>47</v>
      </c>
      <c r="B1305" t="str" cm="1">
        <f t="array" ref="B1305">_xlfn.IFS(A1305&lt;=25,"18-25",A1305&lt;=35,"26-35",A1305&lt;=45,"36-45",A1305&lt;=55,"46-55",A1305&gt;55,"56+")</f>
        <v>46-55</v>
      </c>
      <c r="C1305" t="s">
        <v>39</v>
      </c>
      <c r="D1305" t="s">
        <v>33</v>
      </c>
      <c r="E1305" s="2">
        <v>1001</v>
      </c>
      <c r="F1305" t="s">
        <v>41</v>
      </c>
      <c r="G1305">
        <v>4</v>
      </c>
      <c r="H1305" t="str">
        <f t="shared" si="20"/>
        <v>1-10 km</v>
      </c>
      <c r="I1305">
        <v>3</v>
      </c>
      <c r="J1305" t="str" cm="1">
        <f t="array" ref="J1305">_xlfn.IFS(I1305=1,"Below College",I1305=2,"College",I1305=3,"Bachelor",I1305=4,"Master",I1305=5,"Doctor")</f>
        <v>Bachelor</v>
      </c>
      <c r="K1305" t="s">
        <v>35</v>
      </c>
      <c r="L1305">
        <v>1827</v>
      </c>
      <c r="M1305">
        <v>3</v>
      </c>
      <c r="N1305" t="str" cm="1">
        <f t="array" ref="N1305">_xlfn.IFS(M1305=1,"Low",M1305=2,"Medium",M1305=3,"High",M1305=4,"Very High")</f>
        <v>High</v>
      </c>
      <c r="O1305" t="s">
        <v>36</v>
      </c>
      <c r="P1305" s="2">
        <v>92</v>
      </c>
      <c r="Q1305">
        <v>2</v>
      </c>
      <c r="R1305" t="str" cm="1">
        <f t="array" ref="R1305">_xlfn.IFS(Q1305=1,"Low",Q1305=2,"Medium",Q1305=3,"High",Q1305=4,"Very High")</f>
        <v>Medium</v>
      </c>
      <c r="S1305">
        <v>3</v>
      </c>
      <c r="T1305" t="str" cm="1">
        <f t="array" ref="T1305">_xlfn.IFS(S1305=1,"Entry Level",S1305=2,"Junior",S1305=3,"Mid-Level",S1305=4,"Senior",S1305=5,"Executive")</f>
        <v>Mid-Level</v>
      </c>
      <c r="U1305" t="s">
        <v>49</v>
      </c>
      <c r="V1305">
        <v>2</v>
      </c>
      <c r="W1305" t="str" cm="1">
        <f t="array" ref="W1305">_xlfn.IFS(V1305=1,"Low",V1305=2,"Medium",V1305=3,"High",V1305=4,"Very High")</f>
        <v>Medium</v>
      </c>
      <c r="X1305" t="s">
        <v>48</v>
      </c>
      <c r="Y1305" s="2">
        <v>10333</v>
      </c>
      <c r="Z1305" s="2">
        <v>19271</v>
      </c>
      <c r="AA1305">
        <v>8</v>
      </c>
      <c r="AB1305" t="s">
        <v>32</v>
      </c>
      <c r="AC1305">
        <v>12</v>
      </c>
      <c r="AD1305">
        <v>3</v>
      </c>
      <c r="AE1305" t="str" cm="1">
        <f t="array" ref="AE1305">_xlfn.IFS(AD1305=1,"Low",AD1305=2,"Good",AD1305=3,"Excellent",AD1305=4,"Outstanding")</f>
        <v>Excellent</v>
      </c>
      <c r="AF1305">
        <v>3</v>
      </c>
      <c r="AG1305" t="str" cm="1">
        <f t="array" ref="AG1305">_xlfn.IFS(AF1305=1,"Low",AF1305=2,"Medium",AF1305=3,"High",AF1305=4,"Very High")</f>
        <v>High</v>
      </c>
      <c r="AH1305">
        <v>1</v>
      </c>
      <c r="AI1305">
        <v>28</v>
      </c>
      <c r="AJ1305">
        <v>4</v>
      </c>
      <c r="AK1305">
        <v>3</v>
      </c>
      <c r="AL1305" t="str" cm="1">
        <f t="array" ref="AL1305">_xlfn.IFS(AK1305=1,"Low",AK1305=2,"Medium",AK1305=3,"High",AK1305=4,"Very High")</f>
        <v>High</v>
      </c>
      <c r="AM1305">
        <v>22</v>
      </c>
      <c r="AN1305">
        <v>11</v>
      </c>
      <c r="AO1305">
        <v>14</v>
      </c>
      <c r="AP1305">
        <v>10</v>
      </c>
    </row>
    <row r="1306" spans="1:42">
      <c r="A1306">
        <v>40</v>
      </c>
      <c r="B1306" t="str" cm="1">
        <f t="array" ref="B1306">_xlfn.IFS(A1306&lt;=25,"18-25",A1306&lt;=35,"26-35",A1306&lt;=45,"36-45",A1306&lt;=55,"46-55",A1306&gt;55,"56+")</f>
        <v>36-45</v>
      </c>
      <c r="C1306" t="s">
        <v>39</v>
      </c>
      <c r="D1306" t="s">
        <v>33</v>
      </c>
      <c r="E1306" s="2">
        <v>750</v>
      </c>
      <c r="F1306" t="s">
        <v>41</v>
      </c>
      <c r="G1306">
        <v>12</v>
      </c>
      <c r="H1306" t="str">
        <f t="shared" si="20"/>
        <v>11-20 km</v>
      </c>
      <c r="I1306">
        <v>3</v>
      </c>
      <c r="J1306" t="str" cm="1">
        <f t="array" ref="J1306">_xlfn.IFS(I1306=1,"Below College",I1306=2,"College",I1306=3,"Bachelor",I1306=4,"Master",I1306=5,"Doctor")</f>
        <v>Bachelor</v>
      </c>
      <c r="K1306" t="s">
        <v>35</v>
      </c>
      <c r="L1306">
        <v>1829</v>
      </c>
      <c r="M1306">
        <v>2</v>
      </c>
      <c r="N1306" t="str" cm="1">
        <f t="array" ref="N1306">_xlfn.IFS(M1306=1,"Low",M1306=2,"Medium",M1306=3,"High",M1306=4,"Very High")</f>
        <v>Medium</v>
      </c>
      <c r="O1306" t="s">
        <v>36</v>
      </c>
      <c r="P1306" s="2">
        <v>47</v>
      </c>
      <c r="Q1306">
        <v>3</v>
      </c>
      <c r="R1306" t="str" cm="1">
        <f t="array" ref="R1306">_xlfn.IFS(Q1306=1,"Low",Q1306=2,"Medium",Q1306=3,"High",Q1306=4,"Very High")</f>
        <v>High</v>
      </c>
      <c r="S1306">
        <v>2</v>
      </c>
      <c r="T1306" t="str" cm="1">
        <f t="array" ref="T1306">_xlfn.IFS(S1306=1,"Entry Level",S1306=2,"Junior",S1306=3,"Mid-Level",S1306=4,"Senior",S1306=5,"Executive")</f>
        <v>Junior</v>
      </c>
      <c r="U1306" t="s">
        <v>50</v>
      </c>
      <c r="V1306">
        <v>1</v>
      </c>
      <c r="W1306" t="str" cm="1">
        <f t="array" ref="W1306">_xlfn.IFS(V1306=1,"Low",V1306=2,"Medium",V1306=3,"High",V1306=4,"Very High")</f>
        <v>Low</v>
      </c>
      <c r="X1306" t="s">
        <v>48</v>
      </c>
      <c r="Y1306" s="2">
        <v>4448</v>
      </c>
      <c r="Z1306" s="2">
        <v>10748</v>
      </c>
      <c r="AA1306">
        <v>2</v>
      </c>
      <c r="AB1306" t="s">
        <v>39</v>
      </c>
      <c r="AC1306">
        <v>12</v>
      </c>
      <c r="AD1306">
        <v>3</v>
      </c>
      <c r="AE1306" t="str" cm="1">
        <f t="array" ref="AE1306">_xlfn.IFS(AD1306=1,"Low",AD1306=2,"Good",AD1306=3,"Excellent",AD1306=4,"Outstanding")</f>
        <v>Excellent</v>
      </c>
      <c r="AF1306">
        <v>2</v>
      </c>
      <c r="AG1306" t="str" cm="1">
        <f t="array" ref="AG1306">_xlfn.IFS(AF1306=1,"Low",AF1306=2,"Medium",AF1306=3,"High",AF1306=4,"Very High")</f>
        <v>Medium</v>
      </c>
      <c r="AH1306">
        <v>1</v>
      </c>
      <c r="AI1306">
        <v>15</v>
      </c>
      <c r="AJ1306">
        <v>3</v>
      </c>
      <c r="AK1306">
        <v>3</v>
      </c>
      <c r="AL1306" t="str" cm="1">
        <f t="array" ref="AL1306">_xlfn.IFS(AK1306=1,"Low",AK1306=2,"Medium",AK1306=3,"High",AK1306=4,"Very High")</f>
        <v>High</v>
      </c>
      <c r="AM1306">
        <v>7</v>
      </c>
      <c r="AN1306">
        <v>4</v>
      </c>
      <c r="AO1306">
        <v>7</v>
      </c>
      <c r="AP1306">
        <v>7</v>
      </c>
    </row>
    <row r="1307" spans="1:42">
      <c r="A1307">
        <v>54</v>
      </c>
      <c r="B1307" t="str" cm="1">
        <f t="array" ref="B1307">_xlfn.IFS(A1307&lt;=25,"18-25",A1307&lt;=35,"26-35",A1307&lt;=45,"36-45",A1307&lt;=55,"46-55",A1307&gt;55,"56+")</f>
        <v>46-55</v>
      </c>
      <c r="C1307" t="s">
        <v>39</v>
      </c>
      <c r="D1307" t="s">
        <v>33</v>
      </c>
      <c r="E1307" s="2">
        <v>431</v>
      </c>
      <c r="F1307" t="s">
        <v>41</v>
      </c>
      <c r="G1307">
        <v>7</v>
      </c>
      <c r="H1307" t="str">
        <f t="shared" si="20"/>
        <v>1-10 km</v>
      </c>
      <c r="I1307">
        <v>4</v>
      </c>
      <c r="J1307" t="str" cm="1">
        <f t="array" ref="J1307">_xlfn.IFS(I1307=1,"Below College",I1307=2,"College",I1307=3,"Bachelor",I1307=4,"Master",I1307=5,"Doctor")</f>
        <v>Master</v>
      </c>
      <c r="K1307" t="s">
        <v>47</v>
      </c>
      <c r="L1307">
        <v>1830</v>
      </c>
      <c r="M1307">
        <v>4</v>
      </c>
      <c r="N1307" t="str" cm="1">
        <f t="array" ref="N1307">_xlfn.IFS(M1307=1,"Low",M1307=2,"Medium",M1307=3,"High",M1307=4,"Very High")</f>
        <v>Very High</v>
      </c>
      <c r="O1307" t="s">
        <v>36</v>
      </c>
      <c r="P1307" s="2">
        <v>68</v>
      </c>
      <c r="Q1307">
        <v>3</v>
      </c>
      <c r="R1307" t="str" cm="1">
        <f t="array" ref="R1307">_xlfn.IFS(Q1307=1,"Low",Q1307=2,"Medium",Q1307=3,"High",Q1307=4,"Very High")</f>
        <v>High</v>
      </c>
      <c r="S1307">
        <v>2</v>
      </c>
      <c r="T1307" t="str" cm="1">
        <f t="array" ref="T1307">_xlfn.IFS(S1307=1,"Entry Level",S1307=2,"Junior",S1307=3,"Mid-Level",S1307=4,"Senior",S1307=5,"Executive")</f>
        <v>Junior</v>
      </c>
      <c r="U1307" t="s">
        <v>43</v>
      </c>
      <c r="V1307">
        <v>4</v>
      </c>
      <c r="W1307" t="str" cm="1">
        <f t="array" ref="W1307">_xlfn.IFS(V1307=1,"Low",V1307=2,"Medium",V1307=3,"High",V1307=4,"Very High")</f>
        <v>Very High</v>
      </c>
      <c r="X1307" t="s">
        <v>44</v>
      </c>
      <c r="Y1307" s="2">
        <v>6854</v>
      </c>
      <c r="Z1307" s="2">
        <v>15696</v>
      </c>
      <c r="AA1307">
        <v>4</v>
      </c>
      <c r="AB1307" t="s">
        <v>39</v>
      </c>
      <c r="AC1307">
        <v>15</v>
      </c>
      <c r="AD1307">
        <v>3</v>
      </c>
      <c r="AE1307" t="str" cm="1">
        <f t="array" ref="AE1307">_xlfn.IFS(AD1307=1,"Low",AD1307=2,"Good",AD1307=3,"Excellent",AD1307=4,"Outstanding")</f>
        <v>Excellent</v>
      </c>
      <c r="AF1307">
        <v>2</v>
      </c>
      <c r="AG1307" t="str" cm="1">
        <f t="array" ref="AG1307">_xlfn.IFS(AF1307=1,"Low",AF1307=2,"Medium",AF1307=3,"High",AF1307=4,"Very High")</f>
        <v>Medium</v>
      </c>
      <c r="AH1307">
        <v>1</v>
      </c>
      <c r="AI1307">
        <v>14</v>
      </c>
      <c r="AJ1307">
        <v>2</v>
      </c>
      <c r="AK1307">
        <v>2</v>
      </c>
      <c r="AL1307" t="str" cm="1">
        <f t="array" ref="AL1307">_xlfn.IFS(AK1307=1,"Low",AK1307=2,"Medium",AK1307=3,"High",AK1307=4,"Very High")</f>
        <v>Medium</v>
      </c>
      <c r="AM1307">
        <v>7</v>
      </c>
      <c r="AN1307">
        <v>1</v>
      </c>
      <c r="AO1307">
        <v>1</v>
      </c>
      <c r="AP1307">
        <v>7</v>
      </c>
    </row>
    <row r="1308" spans="1:42">
      <c r="A1308">
        <v>31</v>
      </c>
      <c r="B1308" t="str" cm="1">
        <f t="array" ref="B1308">_xlfn.IFS(A1308&lt;=25,"18-25",A1308&lt;=35,"26-35",A1308&lt;=45,"36-45",A1308&lt;=55,"46-55",A1308&gt;55,"56+")</f>
        <v>26-35</v>
      </c>
      <c r="C1308" t="s">
        <v>39</v>
      </c>
      <c r="D1308" t="s">
        <v>40</v>
      </c>
      <c r="E1308" s="2">
        <v>1125</v>
      </c>
      <c r="F1308" t="s">
        <v>34</v>
      </c>
      <c r="G1308">
        <v>7</v>
      </c>
      <c r="H1308" t="str">
        <f t="shared" si="20"/>
        <v>1-10 km</v>
      </c>
      <c r="I1308">
        <v>4</v>
      </c>
      <c r="J1308" t="str" cm="1">
        <f t="array" ref="J1308">_xlfn.IFS(I1308=1,"Below College",I1308=2,"College",I1308=3,"Bachelor",I1308=4,"Master",I1308=5,"Doctor")</f>
        <v>Master</v>
      </c>
      <c r="K1308" t="s">
        <v>55</v>
      </c>
      <c r="L1308">
        <v>1833</v>
      </c>
      <c r="M1308">
        <v>1</v>
      </c>
      <c r="N1308" t="str" cm="1">
        <f t="array" ref="N1308">_xlfn.IFS(M1308=1,"Low",M1308=2,"Medium",M1308=3,"High",M1308=4,"Very High")</f>
        <v>Low</v>
      </c>
      <c r="O1308" t="s">
        <v>36</v>
      </c>
      <c r="P1308" s="2">
        <v>68</v>
      </c>
      <c r="Q1308">
        <v>3</v>
      </c>
      <c r="R1308" t="str" cm="1">
        <f t="array" ref="R1308">_xlfn.IFS(Q1308=1,"Low",Q1308=2,"Medium",Q1308=3,"High",Q1308=4,"Very High")</f>
        <v>High</v>
      </c>
      <c r="S1308">
        <v>3</v>
      </c>
      <c r="T1308" t="str" cm="1">
        <f t="array" ref="T1308">_xlfn.IFS(S1308=1,"Entry Level",S1308=2,"Junior",S1308=3,"Mid-Level",S1308=4,"Senior",S1308=5,"Executive")</f>
        <v>Mid-Level</v>
      </c>
      <c r="U1308" t="s">
        <v>37</v>
      </c>
      <c r="V1308">
        <v>1</v>
      </c>
      <c r="W1308" t="str" cm="1">
        <f t="array" ref="W1308">_xlfn.IFS(V1308=1,"Low",V1308=2,"Medium",V1308=3,"High",V1308=4,"Very High")</f>
        <v>Low</v>
      </c>
      <c r="X1308" t="s">
        <v>44</v>
      </c>
      <c r="Y1308" s="2">
        <v>9637</v>
      </c>
      <c r="Z1308" s="2">
        <v>8277</v>
      </c>
      <c r="AA1308">
        <v>2</v>
      </c>
      <c r="AB1308" t="s">
        <v>39</v>
      </c>
      <c r="AC1308">
        <v>14</v>
      </c>
      <c r="AD1308">
        <v>3</v>
      </c>
      <c r="AE1308" t="str" cm="1">
        <f t="array" ref="AE1308">_xlfn.IFS(AD1308=1,"Low",AD1308=2,"Good",AD1308=3,"Excellent",AD1308=4,"Outstanding")</f>
        <v>Excellent</v>
      </c>
      <c r="AF1308">
        <v>4</v>
      </c>
      <c r="AG1308" t="str" cm="1">
        <f t="array" ref="AG1308">_xlfn.IFS(AF1308=1,"Low",AF1308=2,"Medium",AF1308=3,"High",AF1308=4,"Very High")</f>
        <v>Very High</v>
      </c>
      <c r="AH1308">
        <v>2</v>
      </c>
      <c r="AI1308">
        <v>9</v>
      </c>
      <c r="AJ1308">
        <v>3</v>
      </c>
      <c r="AK1308">
        <v>3</v>
      </c>
      <c r="AL1308" t="str" cm="1">
        <f t="array" ref="AL1308">_xlfn.IFS(AK1308=1,"Low",AK1308=2,"Medium",AK1308=3,"High",AK1308=4,"Very High")</f>
        <v>High</v>
      </c>
      <c r="AM1308">
        <v>3</v>
      </c>
      <c r="AN1308">
        <v>2</v>
      </c>
      <c r="AO1308">
        <v>2</v>
      </c>
      <c r="AP1308">
        <v>2</v>
      </c>
    </row>
    <row r="1309" spans="1:42">
      <c r="A1309">
        <v>28</v>
      </c>
      <c r="B1309" t="str" cm="1">
        <f t="array" ref="B1309">_xlfn.IFS(A1309&lt;=25,"18-25",A1309&lt;=35,"26-35",A1309&lt;=45,"36-45",A1309&lt;=55,"46-55",A1309&gt;55,"56+")</f>
        <v>26-35</v>
      </c>
      <c r="C1309" t="s">
        <v>39</v>
      </c>
      <c r="D1309" t="s">
        <v>33</v>
      </c>
      <c r="E1309" s="2">
        <v>1217</v>
      </c>
      <c r="F1309" t="s">
        <v>41</v>
      </c>
      <c r="G1309">
        <v>1</v>
      </c>
      <c r="H1309" t="str">
        <f t="shared" si="20"/>
        <v>1-10 km</v>
      </c>
      <c r="I1309">
        <v>3</v>
      </c>
      <c r="J1309" t="str" cm="1">
        <f t="array" ref="J1309">_xlfn.IFS(I1309=1,"Below College",I1309=2,"College",I1309=3,"Bachelor",I1309=4,"Master",I1309=5,"Doctor")</f>
        <v>Bachelor</v>
      </c>
      <c r="K1309" t="s">
        <v>47</v>
      </c>
      <c r="L1309">
        <v>1834</v>
      </c>
      <c r="M1309">
        <v>3</v>
      </c>
      <c r="N1309" t="str" cm="1">
        <f t="array" ref="N1309">_xlfn.IFS(M1309=1,"Low",M1309=2,"Medium",M1309=3,"High",M1309=4,"Very High")</f>
        <v>High</v>
      </c>
      <c r="O1309" t="s">
        <v>36</v>
      </c>
      <c r="P1309" s="2">
        <v>67</v>
      </c>
      <c r="Q1309">
        <v>3</v>
      </c>
      <c r="R1309" t="str" cm="1">
        <f t="array" ref="R1309">_xlfn.IFS(Q1309=1,"Low",Q1309=2,"Medium",Q1309=3,"High",Q1309=4,"Very High")</f>
        <v>High</v>
      </c>
      <c r="S1309">
        <v>1</v>
      </c>
      <c r="T1309" t="str" cm="1">
        <f t="array" ref="T1309">_xlfn.IFS(S1309=1,"Entry Level",S1309=2,"Junior",S1309=3,"Mid-Level",S1309=4,"Senior",S1309=5,"Executive")</f>
        <v>Entry Level</v>
      </c>
      <c r="U1309" t="s">
        <v>43</v>
      </c>
      <c r="V1309">
        <v>1</v>
      </c>
      <c r="W1309" t="str" cm="1">
        <f t="array" ref="W1309">_xlfn.IFS(V1309=1,"Low",V1309=2,"Medium",V1309=3,"High",V1309=4,"Very High")</f>
        <v>Low</v>
      </c>
      <c r="X1309" t="s">
        <v>44</v>
      </c>
      <c r="Y1309" s="2">
        <v>3591</v>
      </c>
      <c r="Z1309" s="2">
        <v>12719</v>
      </c>
      <c r="AA1309">
        <v>1</v>
      </c>
      <c r="AB1309" t="s">
        <v>39</v>
      </c>
      <c r="AC1309">
        <v>25</v>
      </c>
      <c r="AD1309">
        <v>4</v>
      </c>
      <c r="AE1309" t="str" cm="1">
        <f t="array" ref="AE1309">_xlfn.IFS(AD1309=1,"Low",AD1309=2,"Good",AD1309=3,"Excellent",AD1309=4,"Outstanding")</f>
        <v>Outstanding</v>
      </c>
      <c r="AF1309">
        <v>3</v>
      </c>
      <c r="AG1309" t="str" cm="1">
        <f t="array" ref="AG1309">_xlfn.IFS(AF1309=1,"Low",AF1309=2,"Medium",AF1309=3,"High",AF1309=4,"Very High")</f>
        <v>High</v>
      </c>
      <c r="AH1309">
        <v>1</v>
      </c>
      <c r="AI1309">
        <v>3</v>
      </c>
      <c r="AJ1309">
        <v>3</v>
      </c>
      <c r="AK1309">
        <v>3</v>
      </c>
      <c r="AL1309" t="str" cm="1">
        <f t="array" ref="AL1309">_xlfn.IFS(AK1309=1,"Low",AK1309=2,"Medium",AK1309=3,"High",AK1309=4,"Very High")</f>
        <v>High</v>
      </c>
      <c r="AM1309">
        <v>3</v>
      </c>
      <c r="AN1309">
        <v>2</v>
      </c>
      <c r="AO1309">
        <v>1</v>
      </c>
      <c r="AP1309">
        <v>2</v>
      </c>
    </row>
    <row r="1310" spans="1:42">
      <c r="A1310">
        <v>38</v>
      </c>
      <c r="B1310" t="str" cm="1">
        <f t="array" ref="B1310">_xlfn.IFS(A1310&lt;=25,"18-25",A1310&lt;=35,"26-35",A1310&lt;=45,"36-45",A1310&lt;=55,"46-55",A1310&gt;55,"56+")</f>
        <v>36-45</v>
      </c>
      <c r="C1310" t="s">
        <v>39</v>
      </c>
      <c r="D1310" t="s">
        <v>33</v>
      </c>
      <c r="E1310" s="2">
        <v>723</v>
      </c>
      <c r="F1310" t="s">
        <v>34</v>
      </c>
      <c r="G1310">
        <v>2</v>
      </c>
      <c r="H1310" t="str">
        <f t="shared" si="20"/>
        <v>1-10 km</v>
      </c>
      <c r="I1310">
        <v>4</v>
      </c>
      <c r="J1310" t="str" cm="1">
        <f t="array" ref="J1310">_xlfn.IFS(I1310=1,"Below College",I1310=2,"College",I1310=3,"Bachelor",I1310=4,"Master",I1310=5,"Doctor")</f>
        <v>Master</v>
      </c>
      <c r="K1310" t="s">
        <v>55</v>
      </c>
      <c r="L1310">
        <v>1835</v>
      </c>
      <c r="M1310">
        <v>2</v>
      </c>
      <c r="N1310" t="str" cm="1">
        <f t="array" ref="N1310">_xlfn.IFS(M1310=1,"Low",M1310=2,"Medium",M1310=3,"High",M1310=4,"Very High")</f>
        <v>Medium</v>
      </c>
      <c r="O1310" t="s">
        <v>36</v>
      </c>
      <c r="P1310" s="2">
        <v>77</v>
      </c>
      <c r="Q1310">
        <v>1</v>
      </c>
      <c r="R1310" t="str" cm="1">
        <f t="array" ref="R1310">_xlfn.IFS(Q1310=1,"Low",Q1310=2,"Medium",Q1310=3,"High",Q1310=4,"Very High")</f>
        <v>Low</v>
      </c>
      <c r="S1310">
        <v>2</v>
      </c>
      <c r="T1310" t="str" cm="1">
        <f t="array" ref="T1310">_xlfn.IFS(S1310=1,"Entry Level",S1310=2,"Junior",S1310=3,"Mid-Level",S1310=4,"Senior",S1310=5,"Executive")</f>
        <v>Junior</v>
      </c>
      <c r="U1310" t="s">
        <v>53</v>
      </c>
      <c r="V1310">
        <v>4</v>
      </c>
      <c r="W1310" t="str" cm="1">
        <f t="array" ref="W1310">_xlfn.IFS(V1310=1,"Low",V1310=2,"Medium",V1310=3,"High",V1310=4,"Very High")</f>
        <v>Very High</v>
      </c>
      <c r="X1310" t="s">
        <v>44</v>
      </c>
      <c r="Y1310" s="2">
        <v>5405</v>
      </c>
      <c r="Z1310" s="2">
        <v>4244</v>
      </c>
      <c r="AA1310">
        <v>2</v>
      </c>
      <c r="AB1310" t="s">
        <v>32</v>
      </c>
      <c r="AC1310">
        <v>20</v>
      </c>
      <c r="AD1310">
        <v>4</v>
      </c>
      <c r="AE1310" t="str" cm="1">
        <f t="array" ref="AE1310">_xlfn.IFS(AD1310=1,"Low",AD1310=2,"Good",AD1310=3,"Excellent",AD1310=4,"Outstanding")</f>
        <v>Outstanding</v>
      </c>
      <c r="AF1310">
        <v>1</v>
      </c>
      <c r="AG1310" t="str" cm="1">
        <f t="array" ref="AG1310">_xlfn.IFS(AF1310=1,"Low",AF1310=2,"Medium",AF1310=3,"High",AF1310=4,"Very High")</f>
        <v>Low</v>
      </c>
      <c r="AH1310">
        <v>2</v>
      </c>
      <c r="AI1310">
        <v>20</v>
      </c>
      <c r="AJ1310">
        <v>4</v>
      </c>
      <c r="AK1310">
        <v>2</v>
      </c>
      <c r="AL1310" t="str" cm="1">
        <f t="array" ref="AL1310">_xlfn.IFS(AK1310=1,"Low",AK1310=2,"Medium",AK1310=3,"High",AK1310=4,"Very High")</f>
        <v>Medium</v>
      </c>
      <c r="AM1310">
        <v>4</v>
      </c>
      <c r="AN1310">
        <v>2</v>
      </c>
      <c r="AO1310">
        <v>0</v>
      </c>
      <c r="AP1310">
        <v>3</v>
      </c>
    </row>
    <row r="1311" spans="1:42">
      <c r="A1311">
        <v>26</v>
      </c>
      <c r="B1311" t="str" cm="1">
        <f t="array" ref="B1311">_xlfn.IFS(A1311&lt;=25,"18-25",A1311&lt;=35,"26-35",A1311&lt;=45,"36-45",A1311&lt;=55,"46-55",A1311&gt;55,"56+")</f>
        <v>26-35</v>
      </c>
      <c r="C1311" t="s">
        <v>39</v>
      </c>
      <c r="D1311" t="s">
        <v>33</v>
      </c>
      <c r="E1311" s="2">
        <v>572</v>
      </c>
      <c r="F1311" t="s">
        <v>34</v>
      </c>
      <c r="G1311">
        <v>10</v>
      </c>
      <c r="H1311" t="str">
        <f t="shared" si="20"/>
        <v>1-10 km</v>
      </c>
      <c r="I1311">
        <v>3</v>
      </c>
      <c r="J1311" t="str" cm="1">
        <f t="array" ref="J1311">_xlfn.IFS(I1311=1,"Below College",I1311=2,"College",I1311=3,"Bachelor",I1311=4,"Master",I1311=5,"Doctor")</f>
        <v>Bachelor</v>
      </c>
      <c r="K1311" t="s">
        <v>47</v>
      </c>
      <c r="L1311">
        <v>1836</v>
      </c>
      <c r="M1311">
        <v>3</v>
      </c>
      <c r="N1311" t="str" cm="1">
        <f t="array" ref="N1311">_xlfn.IFS(M1311=1,"Low",M1311=2,"Medium",M1311=3,"High",M1311=4,"Very High")</f>
        <v>High</v>
      </c>
      <c r="O1311" t="s">
        <v>42</v>
      </c>
      <c r="P1311" s="2">
        <v>46</v>
      </c>
      <c r="Q1311">
        <v>3</v>
      </c>
      <c r="R1311" t="str" cm="1">
        <f t="array" ref="R1311">_xlfn.IFS(Q1311=1,"Low",Q1311=2,"Medium",Q1311=3,"High",Q1311=4,"Very High")</f>
        <v>High</v>
      </c>
      <c r="S1311">
        <v>2</v>
      </c>
      <c r="T1311" t="str" cm="1">
        <f t="array" ref="T1311">_xlfn.IFS(S1311=1,"Entry Level",S1311=2,"Junior",S1311=3,"Mid-Level",S1311=4,"Senior",S1311=5,"Executive")</f>
        <v>Junior</v>
      </c>
      <c r="U1311" t="s">
        <v>37</v>
      </c>
      <c r="V1311">
        <v>4</v>
      </c>
      <c r="W1311" t="str" cm="1">
        <f t="array" ref="W1311">_xlfn.IFS(V1311=1,"Low",V1311=2,"Medium",V1311=3,"High",V1311=4,"Very High")</f>
        <v>Very High</v>
      </c>
      <c r="X1311" t="s">
        <v>38</v>
      </c>
      <c r="Y1311" s="2">
        <v>4684</v>
      </c>
      <c r="Z1311" s="2">
        <v>9125</v>
      </c>
      <c r="AA1311">
        <v>1</v>
      </c>
      <c r="AB1311" t="s">
        <v>39</v>
      </c>
      <c r="AC1311">
        <v>13</v>
      </c>
      <c r="AD1311">
        <v>3</v>
      </c>
      <c r="AE1311" t="str" cm="1">
        <f t="array" ref="AE1311">_xlfn.IFS(AD1311=1,"Low",AD1311=2,"Good",AD1311=3,"Excellent",AD1311=4,"Outstanding")</f>
        <v>Excellent</v>
      </c>
      <c r="AF1311">
        <v>1</v>
      </c>
      <c r="AG1311" t="str" cm="1">
        <f t="array" ref="AG1311">_xlfn.IFS(AF1311=1,"Low",AF1311=2,"Medium",AF1311=3,"High",AF1311=4,"Very High")</f>
        <v>Low</v>
      </c>
      <c r="AH1311">
        <v>0</v>
      </c>
      <c r="AI1311">
        <v>5</v>
      </c>
      <c r="AJ1311">
        <v>4</v>
      </c>
      <c r="AK1311">
        <v>3</v>
      </c>
      <c r="AL1311" t="str" cm="1">
        <f t="array" ref="AL1311">_xlfn.IFS(AK1311=1,"Low",AK1311=2,"Medium",AK1311=3,"High",AK1311=4,"Very High")</f>
        <v>High</v>
      </c>
      <c r="AM1311">
        <v>5</v>
      </c>
      <c r="AN1311">
        <v>3</v>
      </c>
      <c r="AO1311">
        <v>1</v>
      </c>
      <c r="AP1311">
        <v>2</v>
      </c>
    </row>
    <row r="1312" spans="1:42">
      <c r="A1312">
        <v>58</v>
      </c>
      <c r="B1312" t="str" cm="1">
        <f t="array" ref="B1312">_xlfn.IFS(A1312&lt;=25,"18-25",A1312&lt;=35,"26-35",A1312&lt;=45,"36-45",A1312&lt;=55,"46-55",A1312&gt;55,"56+")</f>
        <v>56+</v>
      </c>
      <c r="C1312" t="s">
        <v>39</v>
      </c>
      <c r="D1312" t="s">
        <v>40</v>
      </c>
      <c r="E1312" s="2">
        <v>1216</v>
      </c>
      <c r="F1312" t="s">
        <v>41</v>
      </c>
      <c r="G1312">
        <v>15</v>
      </c>
      <c r="H1312" t="str">
        <f t="shared" si="20"/>
        <v>11-20 km</v>
      </c>
      <c r="I1312">
        <v>4</v>
      </c>
      <c r="J1312" t="str" cm="1">
        <f t="array" ref="J1312">_xlfn.IFS(I1312=1,"Below College",I1312=2,"College",I1312=3,"Bachelor",I1312=4,"Master",I1312=5,"Doctor")</f>
        <v>Master</v>
      </c>
      <c r="K1312" t="s">
        <v>35</v>
      </c>
      <c r="L1312">
        <v>1837</v>
      </c>
      <c r="M1312">
        <v>1</v>
      </c>
      <c r="N1312" t="str" cm="1">
        <f t="array" ref="N1312">_xlfn.IFS(M1312=1,"Low",M1312=2,"Medium",M1312=3,"High",M1312=4,"Very High")</f>
        <v>Low</v>
      </c>
      <c r="O1312" t="s">
        <v>42</v>
      </c>
      <c r="P1312" s="2">
        <v>87</v>
      </c>
      <c r="Q1312">
        <v>3</v>
      </c>
      <c r="R1312" t="str" cm="1">
        <f t="array" ref="R1312">_xlfn.IFS(Q1312=1,"Low",Q1312=2,"Medium",Q1312=3,"High",Q1312=4,"Very High")</f>
        <v>High</v>
      </c>
      <c r="S1312">
        <v>4</v>
      </c>
      <c r="T1312" t="str" cm="1">
        <f t="array" ref="T1312">_xlfn.IFS(S1312=1,"Entry Level",S1312=2,"Junior",S1312=3,"Mid-Level",S1312=4,"Senior",S1312=5,"Executive")</f>
        <v>Senior</v>
      </c>
      <c r="U1312" t="s">
        <v>54</v>
      </c>
      <c r="V1312">
        <v>3</v>
      </c>
      <c r="W1312" t="str" cm="1">
        <f t="array" ref="W1312">_xlfn.IFS(V1312=1,"Low",V1312=2,"Medium",V1312=3,"High",V1312=4,"Very High")</f>
        <v>High</v>
      </c>
      <c r="X1312" t="s">
        <v>44</v>
      </c>
      <c r="Y1312" s="2">
        <v>15787</v>
      </c>
      <c r="Z1312" s="2">
        <v>21624</v>
      </c>
      <c r="AA1312">
        <v>2</v>
      </c>
      <c r="AB1312" t="s">
        <v>32</v>
      </c>
      <c r="AC1312">
        <v>14</v>
      </c>
      <c r="AD1312">
        <v>3</v>
      </c>
      <c r="AE1312" t="str" cm="1">
        <f t="array" ref="AE1312">_xlfn.IFS(AD1312=1,"Low",AD1312=2,"Good",AD1312=3,"Excellent",AD1312=4,"Outstanding")</f>
        <v>Excellent</v>
      </c>
      <c r="AF1312">
        <v>2</v>
      </c>
      <c r="AG1312" t="str" cm="1">
        <f t="array" ref="AG1312">_xlfn.IFS(AF1312=1,"Low",AF1312=2,"Medium",AF1312=3,"High",AF1312=4,"Very High")</f>
        <v>Medium</v>
      </c>
      <c r="AH1312">
        <v>0</v>
      </c>
      <c r="AI1312">
        <v>23</v>
      </c>
      <c r="AJ1312">
        <v>3</v>
      </c>
      <c r="AK1312">
        <v>3</v>
      </c>
      <c r="AL1312" t="str" cm="1">
        <f t="array" ref="AL1312">_xlfn.IFS(AK1312=1,"Low",AK1312=2,"Medium",AK1312=3,"High",AK1312=4,"Very High")</f>
        <v>High</v>
      </c>
      <c r="AM1312">
        <v>2</v>
      </c>
      <c r="AN1312">
        <v>2</v>
      </c>
      <c r="AO1312">
        <v>2</v>
      </c>
      <c r="AP1312">
        <v>2</v>
      </c>
    </row>
    <row r="1313" spans="1:42">
      <c r="A1313">
        <v>18</v>
      </c>
      <c r="B1313" t="str" cm="1">
        <f t="array" ref="B1313">_xlfn.IFS(A1313&lt;=25,"18-25",A1313&lt;=35,"26-35",A1313&lt;=45,"36-45",A1313&lt;=55,"46-55",A1313&gt;55,"56+")</f>
        <v>18-25</v>
      </c>
      <c r="C1313" t="s">
        <v>39</v>
      </c>
      <c r="D1313" t="s">
        <v>51</v>
      </c>
      <c r="E1313" s="2">
        <v>1431</v>
      </c>
      <c r="F1313" t="s">
        <v>41</v>
      </c>
      <c r="G1313">
        <v>14</v>
      </c>
      <c r="H1313" t="str">
        <f t="shared" si="20"/>
        <v>11-20 km</v>
      </c>
      <c r="I1313">
        <v>3</v>
      </c>
      <c r="J1313" t="str" cm="1">
        <f t="array" ref="J1313">_xlfn.IFS(I1313=1,"Below College",I1313=2,"College",I1313=3,"Bachelor",I1313=4,"Master",I1313=5,"Doctor")</f>
        <v>Bachelor</v>
      </c>
      <c r="K1313" t="s">
        <v>47</v>
      </c>
      <c r="L1313">
        <v>1839</v>
      </c>
      <c r="M1313">
        <v>2</v>
      </c>
      <c r="N1313" t="str" cm="1">
        <f t="array" ref="N1313">_xlfn.IFS(M1313=1,"Low",M1313=2,"Medium",M1313=3,"High",M1313=4,"Very High")</f>
        <v>Medium</v>
      </c>
      <c r="O1313" t="s">
        <v>36</v>
      </c>
      <c r="P1313" s="2">
        <v>33</v>
      </c>
      <c r="Q1313">
        <v>3</v>
      </c>
      <c r="R1313" t="str" cm="1">
        <f t="array" ref="R1313">_xlfn.IFS(Q1313=1,"Low",Q1313=2,"Medium",Q1313=3,"High",Q1313=4,"Very High")</f>
        <v>High</v>
      </c>
      <c r="S1313">
        <v>1</v>
      </c>
      <c r="T1313" t="str" cm="1">
        <f t="array" ref="T1313">_xlfn.IFS(S1313=1,"Entry Level",S1313=2,"Junior",S1313=3,"Mid-Level",S1313=4,"Senior",S1313=5,"Executive")</f>
        <v>Entry Level</v>
      </c>
      <c r="U1313" t="s">
        <v>43</v>
      </c>
      <c r="V1313">
        <v>3</v>
      </c>
      <c r="W1313" t="str" cm="1">
        <f t="array" ref="W1313">_xlfn.IFS(V1313=1,"Low",V1313=2,"Medium",V1313=3,"High",V1313=4,"Very High")</f>
        <v>High</v>
      </c>
      <c r="X1313" t="s">
        <v>38</v>
      </c>
      <c r="Y1313" s="2">
        <v>1514</v>
      </c>
      <c r="Z1313" s="2">
        <v>8018</v>
      </c>
      <c r="AA1313">
        <v>1</v>
      </c>
      <c r="AB1313" t="s">
        <v>39</v>
      </c>
      <c r="AC1313">
        <v>16</v>
      </c>
      <c r="AD1313">
        <v>3</v>
      </c>
      <c r="AE1313" t="str" cm="1">
        <f t="array" ref="AE1313">_xlfn.IFS(AD1313=1,"Low",AD1313=2,"Good",AD1313=3,"Excellent",AD1313=4,"Outstanding")</f>
        <v>Excellent</v>
      </c>
      <c r="AF1313">
        <v>3</v>
      </c>
      <c r="AG1313" t="str" cm="1">
        <f t="array" ref="AG1313">_xlfn.IFS(AF1313=1,"Low",AF1313=2,"Medium",AF1313=3,"High",AF1313=4,"Very High")</f>
        <v>High</v>
      </c>
      <c r="AH1313">
        <v>0</v>
      </c>
      <c r="AI1313">
        <v>0</v>
      </c>
      <c r="AJ1313">
        <v>4</v>
      </c>
      <c r="AK1313">
        <v>1</v>
      </c>
      <c r="AL1313" t="str" cm="1">
        <f t="array" ref="AL1313">_xlfn.IFS(AK1313=1,"Low",AK1313=2,"Medium",AK1313=3,"High",AK1313=4,"Very High")</f>
        <v>Low</v>
      </c>
      <c r="AM1313">
        <v>0</v>
      </c>
      <c r="AN1313">
        <v>0</v>
      </c>
      <c r="AO1313">
        <v>0</v>
      </c>
      <c r="AP1313">
        <v>0</v>
      </c>
    </row>
    <row r="1314" spans="1:42">
      <c r="A1314">
        <v>31</v>
      </c>
      <c r="B1314" t="str" cm="1">
        <f t="array" ref="B1314">_xlfn.IFS(A1314&lt;=25,"18-25",A1314&lt;=35,"26-35",A1314&lt;=45,"36-45",A1314&lt;=55,"46-55",A1314&gt;55,"56+")</f>
        <v>26-35</v>
      </c>
      <c r="C1314" t="s">
        <v>32</v>
      </c>
      <c r="D1314" t="s">
        <v>33</v>
      </c>
      <c r="E1314" s="2">
        <v>359</v>
      </c>
      <c r="F1314" t="s">
        <v>57</v>
      </c>
      <c r="G1314">
        <v>18</v>
      </c>
      <c r="H1314" t="str">
        <f t="shared" si="20"/>
        <v>11-20 km</v>
      </c>
      <c r="I1314">
        <v>5</v>
      </c>
      <c r="J1314" t="str" cm="1">
        <f t="array" ref="J1314">_xlfn.IFS(I1314=1,"Below College",I1314=2,"College",I1314=3,"Bachelor",I1314=4,"Master",I1314=5,"Doctor")</f>
        <v>Doctor</v>
      </c>
      <c r="K1314" t="s">
        <v>57</v>
      </c>
      <c r="L1314">
        <v>1842</v>
      </c>
      <c r="M1314">
        <v>4</v>
      </c>
      <c r="N1314" t="str" cm="1">
        <f t="array" ref="N1314">_xlfn.IFS(M1314=1,"Low",M1314=2,"Medium",M1314=3,"High",M1314=4,"Very High")</f>
        <v>Very High</v>
      </c>
      <c r="O1314" t="s">
        <v>42</v>
      </c>
      <c r="P1314" s="2">
        <v>89</v>
      </c>
      <c r="Q1314">
        <v>4</v>
      </c>
      <c r="R1314" t="str" cm="1">
        <f t="array" ref="R1314">_xlfn.IFS(Q1314=1,"Low",Q1314=2,"Medium",Q1314=3,"High",Q1314=4,"Very High")</f>
        <v>Very High</v>
      </c>
      <c r="S1314">
        <v>1</v>
      </c>
      <c r="T1314" t="str" cm="1">
        <f t="array" ref="T1314">_xlfn.IFS(S1314=1,"Entry Level",S1314=2,"Junior",S1314=3,"Mid-Level",S1314=4,"Senior",S1314=5,"Executive")</f>
        <v>Entry Level</v>
      </c>
      <c r="U1314" t="s">
        <v>57</v>
      </c>
      <c r="V1314">
        <v>1</v>
      </c>
      <c r="W1314" t="str" cm="1">
        <f t="array" ref="W1314">_xlfn.IFS(V1314=1,"Low",V1314=2,"Medium",V1314=3,"High",V1314=4,"Very High")</f>
        <v>Low</v>
      </c>
      <c r="X1314" t="s">
        <v>44</v>
      </c>
      <c r="Y1314" s="2">
        <v>2956</v>
      </c>
      <c r="Z1314" s="2">
        <v>21495</v>
      </c>
      <c r="AA1314">
        <v>0</v>
      </c>
      <c r="AB1314" t="s">
        <v>39</v>
      </c>
      <c r="AC1314">
        <v>17</v>
      </c>
      <c r="AD1314">
        <v>3</v>
      </c>
      <c r="AE1314" t="str" cm="1">
        <f t="array" ref="AE1314">_xlfn.IFS(AD1314=1,"Low",AD1314=2,"Good",AD1314=3,"Excellent",AD1314=4,"Outstanding")</f>
        <v>Excellent</v>
      </c>
      <c r="AF1314">
        <v>3</v>
      </c>
      <c r="AG1314" t="str" cm="1">
        <f t="array" ref="AG1314">_xlfn.IFS(AF1314=1,"Low",AF1314=2,"Medium",AF1314=3,"High",AF1314=4,"Very High")</f>
        <v>High</v>
      </c>
      <c r="AH1314">
        <v>0</v>
      </c>
      <c r="AI1314">
        <v>2</v>
      </c>
      <c r="AJ1314">
        <v>4</v>
      </c>
      <c r="AK1314">
        <v>3</v>
      </c>
      <c r="AL1314" t="str" cm="1">
        <f t="array" ref="AL1314">_xlfn.IFS(AK1314=1,"Low",AK1314=2,"Medium",AK1314=3,"High",AK1314=4,"Very High")</f>
        <v>High</v>
      </c>
      <c r="AM1314">
        <v>1</v>
      </c>
      <c r="AN1314">
        <v>0</v>
      </c>
      <c r="AO1314">
        <v>0</v>
      </c>
      <c r="AP1314">
        <v>0</v>
      </c>
    </row>
    <row r="1315" spans="1:42">
      <c r="A1315">
        <v>29</v>
      </c>
      <c r="B1315" t="str" cm="1">
        <f t="array" ref="B1315">_xlfn.IFS(A1315&lt;=25,"18-25",A1315&lt;=35,"26-35",A1315&lt;=45,"36-45",A1315&lt;=55,"46-55",A1315&gt;55,"56+")</f>
        <v>26-35</v>
      </c>
      <c r="C1315" t="s">
        <v>32</v>
      </c>
      <c r="D1315" t="s">
        <v>33</v>
      </c>
      <c r="E1315" s="2">
        <v>350</v>
      </c>
      <c r="F1315" t="s">
        <v>57</v>
      </c>
      <c r="G1315">
        <v>13</v>
      </c>
      <c r="H1315" t="str">
        <f t="shared" si="20"/>
        <v>11-20 km</v>
      </c>
      <c r="I1315">
        <v>3</v>
      </c>
      <c r="J1315" t="str" cm="1">
        <f t="array" ref="J1315">_xlfn.IFS(I1315=1,"Below College",I1315=2,"College",I1315=3,"Bachelor",I1315=4,"Master",I1315=5,"Doctor")</f>
        <v>Bachelor</v>
      </c>
      <c r="K1315" t="s">
        <v>57</v>
      </c>
      <c r="L1315">
        <v>1844</v>
      </c>
      <c r="M1315">
        <v>1</v>
      </c>
      <c r="N1315" t="str" cm="1">
        <f t="array" ref="N1315">_xlfn.IFS(M1315=1,"Low",M1315=2,"Medium",M1315=3,"High",M1315=4,"Very High")</f>
        <v>Low</v>
      </c>
      <c r="O1315" t="s">
        <v>42</v>
      </c>
      <c r="P1315" s="2">
        <v>56</v>
      </c>
      <c r="Q1315">
        <v>2</v>
      </c>
      <c r="R1315" t="str" cm="1">
        <f t="array" ref="R1315">_xlfn.IFS(Q1315=1,"Low",Q1315=2,"Medium",Q1315=3,"High",Q1315=4,"Very High")</f>
        <v>Medium</v>
      </c>
      <c r="S1315">
        <v>1</v>
      </c>
      <c r="T1315" t="str" cm="1">
        <f t="array" ref="T1315">_xlfn.IFS(S1315=1,"Entry Level",S1315=2,"Junior",S1315=3,"Mid-Level",S1315=4,"Senior",S1315=5,"Executive")</f>
        <v>Entry Level</v>
      </c>
      <c r="U1315" t="s">
        <v>57</v>
      </c>
      <c r="V1315">
        <v>1</v>
      </c>
      <c r="W1315" t="str" cm="1">
        <f t="array" ref="W1315">_xlfn.IFS(V1315=1,"Low",V1315=2,"Medium",V1315=3,"High",V1315=4,"Very High")</f>
        <v>Low</v>
      </c>
      <c r="X1315" t="s">
        <v>48</v>
      </c>
      <c r="Y1315" s="2">
        <v>2335</v>
      </c>
      <c r="Z1315" s="2">
        <v>3157</v>
      </c>
      <c r="AA1315">
        <v>4</v>
      </c>
      <c r="AB1315" t="s">
        <v>32</v>
      </c>
      <c r="AC1315">
        <v>15</v>
      </c>
      <c r="AD1315">
        <v>3</v>
      </c>
      <c r="AE1315" t="str" cm="1">
        <f t="array" ref="AE1315">_xlfn.IFS(AD1315=1,"Low",AD1315=2,"Good",AD1315=3,"Excellent",AD1315=4,"Outstanding")</f>
        <v>Excellent</v>
      </c>
      <c r="AF1315">
        <v>4</v>
      </c>
      <c r="AG1315" t="str" cm="1">
        <f t="array" ref="AG1315">_xlfn.IFS(AF1315=1,"Low",AF1315=2,"Medium",AF1315=3,"High",AF1315=4,"Very High")</f>
        <v>Very High</v>
      </c>
      <c r="AH1315">
        <v>3</v>
      </c>
      <c r="AI1315">
        <v>4</v>
      </c>
      <c r="AJ1315">
        <v>3</v>
      </c>
      <c r="AK1315">
        <v>3</v>
      </c>
      <c r="AL1315" t="str" cm="1">
        <f t="array" ref="AL1315">_xlfn.IFS(AK1315=1,"Low",AK1315=2,"Medium",AK1315=3,"High",AK1315=4,"Very High")</f>
        <v>High</v>
      </c>
      <c r="AM1315">
        <v>2</v>
      </c>
      <c r="AN1315">
        <v>2</v>
      </c>
      <c r="AO1315">
        <v>2</v>
      </c>
      <c r="AP1315">
        <v>0</v>
      </c>
    </row>
    <row r="1316" spans="1:42">
      <c r="A1316">
        <v>45</v>
      </c>
      <c r="B1316" t="str" cm="1">
        <f t="array" ref="B1316">_xlfn.IFS(A1316&lt;=25,"18-25",A1316&lt;=35,"26-35",A1316&lt;=45,"36-45",A1316&lt;=55,"46-55",A1316&gt;55,"56+")</f>
        <v>36-45</v>
      </c>
      <c r="C1316" t="s">
        <v>39</v>
      </c>
      <c r="D1316" t="s">
        <v>51</v>
      </c>
      <c r="E1316" s="2">
        <v>589</v>
      </c>
      <c r="F1316" t="s">
        <v>34</v>
      </c>
      <c r="G1316">
        <v>2</v>
      </c>
      <c r="H1316" t="str">
        <f t="shared" si="20"/>
        <v>1-10 km</v>
      </c>
      <c r="I1316">
        <v>4</v>
      </c>
      <c r="J1316" t="str" cm="1">
        <f t="array" ref="J1316">_xlfn.IFS(I1316=1,"Below College",I1316=2,"College",I1316=3,"Bachelor",I1316=4,"Master",I1316=5,"Doctor")</f>
        <v>Master</v>
      </c>
      <c r="K1316" t="s">
        <v>35</v>
      </c>
      <c r="L1316">
        <v>1845</v>
      </c>
      <c r="M1316">
        <v>3</v>
      </c>
      <c r="N1316" t="str" cm="1">
        <f t="array" ref="N1316">_xlfn.IFS(M1316=1,"Low",M1316=2,"Medium",M1316=3,"High",M1316=4,"Very High")</f>
        <v>High</v>
      </c>
      <c r="O1316" t="s">
        <v>36</v>
      </c>
      <c r="P1316" s="2">
        <v>67</v>
      </c>
      <c r="Q1316">
        <v>3</v>
      </c>
      <c r="R1316" t="str" cm="1">
        <f t="array" ref="R1316">_xlfn.IFS(Q1316=1,"Low",Q1316=2,"Medium",Q1316=3,"High",Q1316=4,"Very High")</f>
        <v>High</v>
      </c>
      <c r="S1316">
        <v>2</v>
      </c>
      <c r="T1316" t="str" cm="1">
        <f t="array" ref="T1316">_xlfn.IFS(S1316=1,"Entry Level",S1316=2,"Junior",S1316=3,"Mid-Level",S1316=4,"Senior",S1316=5,"Executive")</f>
        <v>Junior</v>
      </c>
      <c r="U1316" t="s">
        <v>37</v>
      </c>
      <c r="V1316">
        <v>3</v>
      </c>
      <c r="W1316" t="str" cm="1">
        <f t="array" ref="W1316">_xlfn.IFS(V1316=1,"Low",V1316=2,"Medium",V1316=3,"High",V1316=4,"Very High")</f>
        <v>High</v>
      </c>
      <c r="X1316" t="s">
        <v>44</v>
      </c>
      <c r="Y1316" s="2">
        <v>5154</v>
      </c>
      <c r="Z1316" s="2">
        <v>19665</v>
      </c>
      <c r="AA1316">
        <v>4</v>
      </c>
      <c r="AB1316" t="s">
        <v>39</v>
      </c>
      <c r="AC1316">
        <v>22</v>
      </c>
      <c r="AD1316">
        <v>4</v>
      </c>
      <c r="AE1316" t="str" cm="1">
        <f t="array" ref="AE1316">_xlfn.IFS(AD1316=1,"Low",AD1316=2,"Good",AD1316=3,"Excellent",AD1316=4,"Outstanding")</f>
        <v>Outstanding</v>
      </c>
      <c r="AF1316">
        <v>2</v>
      </c>
      <c r="AG1316" t="str" cm="1">
        <f t="array" ref="AG1316">_xlfn.IFS(AF1316=1,"Low",AF1316=2,"Medium",AF1316=3,"High",AF1316=4,"Very High")</f>
        <v>Medium</v>
      </c>
      <c r="AH1316">
        <v>2</v>
      </c>
      <c r="AI1316">
        <v>10</v>
      </c>
      <c r="AJ1316">
        <v>3</v>
      </c>
      <c r="AK1316">
        <v>4</v>
      </c>
      <c r="AL1316" t="str" cm="1">
        <f t="array" ref="AL1316">_xlfn.IFS(AK1316=1,"Low",AK1316=2,"Medium",AK1316=3,"High",AK1316=4,"Very High")</f>
        <v>Very High</v>
      </c>
      <c r="AM1316">
        <v>8</v>
      </c>
      <c r="AN1316">
        <v>7</v>
      </c>
      <c r="AO1316">
        <v>5</v>
      </c>
      <c r="AP1316">
        <v>7</v>
      </c>
    </row>
    <row r="1317" spans="1:42">
      <c r="A1317">
        <v>36</v>
      </c>
      <c r="B1317" t="str" cm="1">
        <f t="array" ref="B1317">_xlfn.IFS(A1317&lt;=25,"18-25",A1317&lt;=35,"26-35",A1317&lt;=45,"36-45",A1317&lt;=55,"46-55",A1317&gt;55,"56+")</f>
        <v>36-45</v>
      </c>
      <c r="C1317" t="s">
        <v>39</v>
      </c>
      <c r="D1317" t="s">
        <v>33</v>
      </c>
      <c r="E1317" s="2">
        <v>430</v>
      </c>
      <c r="F1317" t="s">
        <v>41</v>
      </c>
      <c r="G1317">
        <v>2</v>
      </c>
      <c r="H1317" t="str">
        <f t="shared" si="20"/>
        <v>1-10 km</v>
      </c>
      <c r="I1317">
        <v>4</v>
      </c>
      <c r="J1317" t="str" cm="1">
        <f t="array" ref="J1317">_xlfn.IFS(I1317=1,"Below College",I1317=2,"College",I1317=3,"Bachelor",I1317=4,"Master",I1317=5,"Doctor")</f>
        <v>Master</v>
      </c>
      <c r="K1317" t="s">
        <v>45</v>
      </c>
      <c r="L1317">
        <v>1847</v>
      </c>
      <c r="M1317">
        <v>4</v>
      </c>
      <c r="N1317" t="str" cm="1">
        <f t="array" ref="N1317">_xlfn.IFS(M1317=1,"Low",M1317=2,"Medium",M1317=3,"High",M1317=4,"Very High")</f>
        <v>Very High</v>
      </c>
      <c r="O1317" t="s">
        <v>36</v>
      </c>
      <c r="P1317" s="2">
        <v>73</v>
      </c>
      <c r="Q1317">
        <v>3</v>
      </c>
      <c r="R1317" t="str" cm="1">
        <f t="array" ref="R1317">_xlfn.IFS(Q1317=1,"Low",Q1317=2,"Medium",Q1317=3,"High",Q1317=4,"Very High")</f>
        <v>High</v>
      </c>
      <c r="S1317">
        <v>2</v>
      </c>
      <c r="T1317" t="str" cm="1">
        <f t="array" ref="T1317">_xlfn.IFS(S1317=1,"Entry Level",S1317=2,"Junior",S1317=3,"Mid-Level",S1317=4,"Senior",S1317=5,"Executive")</f>
        <v>Junior</v>
      </c>
      <c r="U1317" t="s">
        <v>43</v>
      </c>
      <c r="V1317">
        <v>2</v>
      </c>
      <c r="W1317" t="str" cm="1">
        <f t="array" ref="W1317">_xlfn.IFS(V1317=1,"Low",V1317=2,"Medium",V1317=3,"High",V1317=4,"Very High")</f>
        <v>Medium</v>
      </c>
      <c r="X1317" t="s">
        <v>44</v>
      </c>
      <c r="Y1317" s="2">
        <v>6962</v>
      </c>
      <c r="Z1317" s="2">
        <v>19573</v>
      </c>
      <c r="AA1317">
        <v>4</v>
      </c>
      <c r="AB1317" t="s">
        <v>32</v>
      </c>
      <c r="AC1317">
        <v>22</v>
      </c>
      <c r="AD1317">
        <v>4</v>
      </c>
      <c r="AE1317" t="str" cm="1">
        <f t="array" ref="AE1317">_xlfn.IFS(AD1317=1,"Low",AD1317=2,"Good",AD1317=3,"Excellent",AD1317=4,"Outstanding")</f>
        <v>Outstanding</v>
      </c>
      <c r="AF1317">
        <v>4</v>
      </c>
      <c r="AG1317" t="str" cm="1">
        <f t="array" ref="AG1317">_xlfn.IFS(AF1317=1,"Low",AF1317=2,"Medium",AF1317=3,"High",AF1317=4,"Very High")</f>
        <v>Very High</v>
      </c>
      <c r="AH1317">
        <v>1</v>
      </c>
      <c r="AI1317">
        <v>15</v>
      </c>
      <c r="AJ1317">
        <v>2</v>
      </c>
      <c r="AK1317">
        <v>3</v>
      </c>
      <c r="AL1317" t="str" cm="1">
        <f t="array" ref="AL1317">_xlfn.IFS(AK1317=1,"Low",AK1317=2,"Medium",AK1317=3,"High",AK1317=4,"Very High")</f>
        <v>High</v>
      </c>
      <c r="AM1317">
        <v>1</v>
      </c>
      <c r="AN1317">
        <v>0</v>
      </c>
      <c r="AO1317">
        <v>0</v>
      </c>
      <c r="AP1317">
        <v>0</v>
      </c>
    </row>
    <row r="1318" spans="1:42">
      <c r="A1318">
        <v>43</v>
      </c>
      <c r="B1318" t="str" cm="1">
        <f t="array" ref="B1318">_xlfn.IFS(A1318&lt;=25,"18-25",A1318&lt;=35,"26-35",A1318&lt;=45,"36-45",A1318&lt;=55,"46-55",A1318&gt;55,"56+")</f>
        <v>36-45</v>
      </c>
      <c r="C1318" t="s">
        <v>39</v>
      </c>
      <c r="D1318" t="s">
        <v>40</v>
      </c>
      <c r="E1318" s="2">
        <v>1422</v>
      </c>
      <c r="F1318" t="s">
        <v>34</v>
      </c>
      <c r="G1318">
        <v>2</v>
      </c>
      <c r="H1318" t="str">
        <f t="shared" si="20"/>
        <v>1-10 km</v>
      </c>
      <c r="I1318">
        <v>4</v>
      </c>
      <c r="J1318" t="str" cm="1">
        <f t="array" ref="J1318">_xlfn.IFS(I1318=1,"Below College",I1318=2,"College",I1318=3,"Bachelor",I1318=4,"Master",I1318=5,"Doctor")</f>
        <v>Master</v>
      </c>
      <c r="K1318" t="s">
        <v>35</v>
      </c>
      <c r="L1318">
        <v>1849</v>
      </c>
      <c r="M1318">
        <v>1</v>
      </c>
      <c r="N1318" t="str" cm="1">
        <f t="array" ref="N1318">_xlfn.IFS(M1318=1,"Low",M1318=2,"Medium",M1318=3,"High",M1318=4,"Very High")</f>
        <v>Low</v>
      </c>
      <c r="O1318" t="s">
        <v>42</v>
      </c>
      <c r="P1318" s="2">
        <v>92</v>
      </c>
      <c r="Q1318">
        <v>3</v>
      </c>
      <c r="R1318" t="str" cm="1">
        <f t="array" ref="R1318">_xlfn.IFS(Q1318=1,"Low",Q1318=2,"Medium",Q1318=3,"High",Q1318=4,"Very High")</f>
        <v>High</v>
      </c>
      <c r="S1318">
        <v>2</v>
      </c>
      <c r="T1318" t="str" cm="1">
        <f t="array" ref="T1318">_xlfn.IFS(S1318=1,"Entry Level",S1318=2,"Junior",S1318=3,"Mid-Level",S1318=4,"Senior",S1318=5,"Executive")</f>
        <v>Junior</v>
      </c>
      <c r="U1318" t="s">
        <v>37</v>
      </c>
      <c r="V1318">
        <v>4</v>
      </c>
      <c r="W1318" t="str" cm="1">
        <f t="array" ref="W1318">_xlfn.IFS(V1318=1,"Low",V1318=2,"Medium",V1318=3,"High",V1318=4,"Very High")</f>
        <v>Very High</v>
      </c>
      <c r="X1318" t="s">
        <v>44</v>
      </c>
      <c r="Y1318" s="2">
        <v>5675</v>
      </c>
      <c r="Z1318" s="2">
        <v>19246</v>
      </c>
      <c r="AA1318">
        <v>1</v>
      </c>
      <c r="AB1318" t="s">
        <v>39</v>
      </c>
      <c r="AC1318">
        <v>20</v>
      </c>
      <c r="AD1318">
        <v>4</v>
      </c>
      <c r="AE1318" t="str" cm="1">
        <f t="array" ref="AE1318">_xlfn.IFS(AD1318=1,"Low",AD1318=2,"Good",AD1318=3,"Excellent",AD1318=4,"Outstanding")</f>
        <v>Outstanding</v>
      </c>
      <c r="AF1318">
        <v>3</v>
      </c>
      <c r="AG1318" t="str" cm="1">
        <f t="array" ref="AG1318">_xlfn.IFS(AF1318=1,"Low",AF1318=2,"Medium",AF1318=3,"High",AF1318=4,"Very High")</f>
        <v>High</v>
      </c>
      <c r="AH1318">
        <v>1</v>
      </c>
      <c r="AI1318">
        <v>7</v>
      </c>
      <c r="AJ1318">
        <v>5</v>
      </c>
      <c r="AK1318">
        <v>3</v>
      </c>
      <c r="AL1318" t="str" cm="1">
        <f t="array" ref="AL1318">_xlfn.IFS(AK1318=1,"Low",AK1318=2,"Medium",AK1318=3,"High",AK1318=4,"Very High")</f>
        <v>High</v>
      </c>
      <c r="AM1318">
        <v>7</v>
      </c>
      <c r="AN1318">
        <v>7</v>
      </c>
      <c r="AO1318">
        <v>7</v>
      </c>
      <c r="AP1318">
        <v>7</v>
      </c>
    </row>
    <row r="1319" spans="1:42">
      <c r="A1319">
        <v>27</v>
      </c>
      <c r="B1319" t="str" cm="1">
        <f t="array" ref="B1319">_xlfn.IFS(A1319&lt;=25,"18-25",A1319&lt;=35,"26-35",A1319&lt;=45,"36-45",A1319&lt;=55,"46-55",A1319&gt;55,"56+")</f>
        <v>26-35</v>
      </c>
      <c r="C1319" t="s">
        <v>39</v>
      </c>
      <c r="D1319" t="s">
        <v>40</v>
      </c>
      <c r="E1319" s="2">
        <v>1297</v>
      </c>
      <c r="F1319" t="s">
        <v>41</v>
      </c>
      <c r="G1319">
        <v>5</v>
      </c>
      <c r="H1319" t="str">
        <f t="shared" si="20"/>
        <v>1-10 km</v>
      </c>
      <c r="I1319">
        <v>2</v>
      </c>
      <c r="J1319" t="str" cm="1">
        <f t="array" ref="J1319">_xlfn.IFS(I1319=1,"Below College",I1319=2,"College",I1319=3,"Bachelor",I1319=4,"Master",I1319=5,"Doctor")</f>
        <v>College</v>
      </c>
      <c r="K1319" t="s">
        <v>35</v>
      </c>
      <c r="L1319">
        <v>1850</v>
      </c>
      <c r="M1319">
        <v>4</v>
      </c>
      <c r="N1319" t="str" cm="1">
        <f t="array" ref="N1319">_xlfn.IFS(M1319=1,"Low",M1319=2,"Medium",M1319=3,"High",M1319=4,"Very High")</f>
        <v>Very High</v>
      </c>
      <c r="O1319" t="s">
        <v>36</v>
      </c>
      <c r="P1319" s="2">
        <v>53</v>
      </c>
      <c r="Q1319">
        <v>3</v>
      </c>
      <c r="R1319" t="str" cm="1">
        <f t="array" ref="R1319">_xlfn.IFS(Q1319=1,"Low",Q1319=2,"Medium",Q1319=3,"High",Q1319=4,"Very High")</f>
        <v>High</v>
      </c>
      <c r="S1319">
        <v>1</v>
      </c>
      <c r="T1319" t="str" cm="1">
        <f t="array" ref="T1319">_xlfn.IFS(S1319=1,"Entry Level",S1319=2,"Junior",S1319=3,"Mid-Level",S1319=4,"Senior",S1319=5,"Executive")</f>
        <v>Entry Level</v>
      </c>
      <c r="U1319" t="s">
        <v>46</v>
      </c>
      <c r="V1319">
        <v>4</v>
      </c>
      <c r="W1319" t="str" cm="1">
        <f t="array" ref="W1319">_xlfn.IFS(V1319=1,"Low",V1319=2,"Medium",V1319=3,"High",V1319=4,"Very High")</f>
        <v>Very High</v>
      </c>
      <c r="X1319" t="s">
        <v>38</v>
      </c>
      <c r="Y1319" s="2">
        <v>2379</v>
      </c>
      <c r="Z1319" s="2">
        <v>19826</v>
      </c>
      <c r="AA1319">
        <v>0</v>
      </c>
      <c r="AB1319" t="s">
        <v>32</v>
      </c>
      <c r="AC1319">
        <v>14</v>
      </c>
      <c r="AD1319">
        <v>3</v>
      </c>
      <c r="AE1319" t="str" cm="1">
        <f t="array" ref="AE1319">_xlfn.IFS(AD1319=1,"Low",AD1319=2,"Good",AD1319=3,"Excellent",AD1319=4,"Outstanding")</f>
        <v>Excellent</v>
      </c>
      <c r="AF1319">
        <v>3</v>
      </c>
      <c r="AG1319" t="str" cm="1">
        <f t="array" ref="AG1319">_xlfn.IFS(AF1319=1,"Low",AF1319=2,"Medium",AF1319=3,"High",AF1319=4,"Very High")</f>
        <v>High</v>
      </c>
      <c r="AH1319">
        <v>0</v>
      </c>
      <c r="AI1319">
        <v>6</v>
      </c>
      <c r="AJ1319">
        <v>3</v>
      </c>
      <c r="AK1319">
        <v>2</v>
      </c>
      <c r="AL1319" t="str" cm="1">
        <f t="array" ref="AL1319">_xlfn.IFS(AK1319=1,"Low",AK1319=2,"Medium",AK1319=3,"High",AK1319=4,"Very High")</f>
        <v>Medium</v>
      </c>
      <c r="AM1319">
        <v>5</v>
      </c>
      <c r="AN1319">
        <v>4</v>
      </c>
      <c r="AO1319">
        <v>0</v>
      </c>
      <c r="AP1319">
        <v>2</v>
      </c>
    </row>
    <row r="1320" spans="1:42">
      <c r="A1320">
        <v>29</v>
      </c>
      <c r="B1320" t="str" cm="1">
        <f t="array" ref="B1320">_xlfn.IFS(A1320&lt;=25,"18-25",A1320&lt;=35,"26-35",A1320&lt;=45,"36-45",A1320&lt;=55,"46-55",A1320&gt;55,"56+")</f>
        <v>26-35</v>
      </c>
      <c r="C1320" t="s">
        <v>39</v>
      </c>
      <c r="D1320" t="s">
        <v>40</v>
      </c>
      <c r="E1320" s="2">
        <v>574</v>
      </c>
      <c r="F1320" t="s">
        <v>41</v>
      </c>
      <c r="G1320">
        <v>20</v>
      </c>
      <c r="H1320" t="str">
        <f t="shared" si="20"/>
        <v>11-20 km</v>
      </c>
      <c r="I1320">
        <v>1</v>
      </c>
      <c r="J1320" t="str" cm="1">
        <f t="array" ref="J1320">_xlfn.IFS(I1320=1,"Below College",I1320=2,"College",I1320=3,"Bachelor",I1320=4,"Master",I1320=5,"Doctor")</f>
        <v>Below College</v>
      </c>
      <c r="K1320" t="s">
        <v>47</v>
      </c>
      <c r="L1320">
        <v>1852</v>
      </c>
      <c r="M1320">
        <v>4</v>
      </c>
      <c r="N1320" t="str" cm="1">
        <f t="array" ref="N1320">_xlfn.IFS(M1320=1,"Low",M1320=2,"Medium",M1320=3,"High",M1320=4,"Very High")</f>
        <v>Very High</v>
      </c>
      <c r="O1320" t="s">
        <v>42</v>
      </c>
      <c r="P1320" s="2">
        <v>40</v>
      </c>
      <c r="Q1320">
        <v>3</v>
      </c>
      <c r="R1320" t="str" cm="1">
        <f t="array" ref="R1320">_xlfn.IFS(Q1320=1,"Low",Q1320=2,"Medium",Q1320=3,"High",Q1320=4,"Very High")</f>
        <v>High</v>
      </c>
      <c r="S1320">
        <v>1</v>
      </c>
      <c r="T1320" t="str" cm="1">
        <f t="array" ref="T1320">_xlfn.IFS(S1320=1,"Entry Level",S1320=2,"Junior",S1320=3,"Mid-Level",S1320=4,"Senior",S1320=5,"Executive")</f>
        <v>Entry Level</v>
      </c>
      <c r="U1320" t="s">
        <v>46</v>
      </c>
      <c r="V1320">
        <v>4</v>
      </c>
      <c r="W1320" t="str" cm="1">
        <f t="array" ref="W1320">_xlfn.IFS(V1320=1,"Low",V1320=2,"Medium",V1320=3,"High",V1320=4,"Very High")</f>
        <v>Very High</v>
      </c>
      <c r="X1320" t="s">
        <v>44</v>
      </c>
      <c r="Y1320" s="2">
        <v>3812</v>
      </c>
      <c r="Z1320" s="2">
        <v>7003</v>
      </c>
      <c r="AA1320">
        <v>1</v>
      </c>
      <c r="AB1320" t="s">
        <v>39</v>
      </c>
      <c r="AC1320">
        <v>13</v>
      </c>
      <c r="AD1320">
        <v>3</v>
      </c>
      <c r="AE1320" t="str" cm="1">
        <f t="array" ref="AE1320">_xlfn.IFS(AD1320=1,"Low",AD1320=2,"Good",AD1320=3,"Excellent",AD1320=4,"Outstanding")</f>
        <v>Excellent</v>
      </c>
      <c r="AF1320">
        <v>2</v>
      </c>
      <c r="AG1320" t="str" cm="1">
        <f t="array" ref="AG1320">_xlfn.IFS(AF1320=1,"Low",AF1320=2,"Medium",AF1320=3,"High",AF1320=4,"Very High")</f>
        <v>Medium</v>
      </c>
      <c r="AH1320">
        <v>0</v>
      </c>
      <c r="AI1320">
        <v>11</v>
      </c>
      <c r="AJ1320">
        <v>3</v>
      </c>
      <c r="AK1320">
        <v>4</v>
      </c>
      <c r="AL1320" t="str" cm="1">
        <f t="array" ref="AL1320">_xlfn.IFS(AK1320=1,"Low",AK1320=2,"Medium",AK1320=3,"High",AK1320=4,"Very High")</f>
        <v>Very High</v>
      </c>
      <c r="AM1320">
        <v>11</v>
      </c>
      <c r="AN1320">
        <v>8</v>
      </c>
      <c r="AO1320">
        <v>3</v>
      </c>
      <c r="AP1320">
        <v>10</v>
      </c>
    </row>
    <row r="1321" spans="1:42">
      <c r="A1321">
        <v>32</v>
      </c>
      <c r="B1321" t="str" cm="1">
        <f t="array" ref="B1321">_xlfn.IFS(A1321&lt;=25,"18-25",A1321&lt;=35,"26-35",A1321&lt;=45,"36-45",A1321&lt;=55,"46-55",A1321&gt;55,"56+")</f>
        <v>26-35</v>
      </c>
      <c r="C1321" t="s">
        <v>39</v>
      </c>
      <c r="D1321" t="s">
        <v>40</v>
      </c>
      <c r="E1321" s="2">
        <v>1318</v>
      </c>
      <c r="F1321" t="s">
        <v>34</v>
      </c>
      <c r="G1321">
        <v>10</v>
      </c>
      <c r="H1321" t="str">
        <f t="shared" si="20"/>
        <v>1-10 km</v>
      </c>
      <c r="I1321">
        <v>4</v>
      </c>
      <c r="J1321" t="str" cm="1">
        <f t="array" ref="J1321">_xlfn.IFS(I1321=1,"Below College",I1321=2,"College",I1321=3,"Bachelor",I1321=4,"Master",I1321=5,"Doctor")</f>
        <v>Master</v>
      </c>
      <c r="K1321" t="s">
        <v>55</v>
      </c>
      <c r="L1321">
        <v>1853</v>
      </c>
      <c r="M1321">
        <v>4</v>
      </c>
      <c r="N1321" t="str" cm="1">
        <f t="array" ref="N1321">_xlfn.IFS(M1321=1,"Low",M1321=2,"Medium",M1321=3,"High",M1321=4,"Very High")</f>
        <v>Very High</v>
      </c>
      <c r="O1321" t="s">
        <v>42</v>
      </c>
      <c r="P1321" s="2">
        <v>79</v>
      </c>
      <c r="Q1321">
        <v>3</v>
      </c>
      <c r="R1321" t="str" cm="1">
        <f t="array" ref="R1321">_xlfn.IFS(Q1321=1,"Low",Q1321=2,"Medium",Q1321=3,"High",Q1321=4,"Very High")</f>
        <v>High</v>
      </c>
      <c r="S1321">
        <v>2</v>
      </c>
      <c r="T1321" t="str" cm="1">
        <f t="array" ref="T1321">_xlfn.IFS(S1321=1,"Entry Level",S1321=2,"Junior",S1321=3,"Mid-Level",S1321=4,"Senior",S1321=5,"Executive")</f>
        <v>Junior</v>
      </c>
      <c r="U1321" t="s">
        <v>37</v>
      </c>
      <c r="V1321">
        <v>4</v>
      </c>
      <c r="W1321" t="str" cm="1">
        <f t="array" ref="W1321">_xlfn.IFS(V1321=1,"Low",V1321=2,"Medium",V1321=3,"High",V1321=4,"Very High")</f>
        <v>Very High</v>
      </c>
      <c r="X1321" t="s">
        <v>38</v>
      </c>
      <c r="Y1321" s="2">
        <v>4648</v>
      </c>
      <c r="Z1321" s="2">
        <v>26075</v>
      </c>
      <c r="AA1321">
        <v>8</v>
      </c>
      <c r="AB1321" t="s">
        <v>39</v>
      </c>
      <c r="AC1321">
        <v>13</v>
      </c>
      <c r="AD1321">
        <v>3</v>
      </c>
      <c r="AE1321" t="str" cm="1">
        <f t="array" ref="AE1321">_xlfn.IFS(AD1321=1,"Low",AD1321=2,"Good",AD1321=3,"Excellent",AD1321=4,"Outstanding")</f>
        <v>Excellent</v>
      </c>
      <c r="AF1321">
        <v>3</v>
      </c>
      <c r="AG1321" t="str" cm="1">
        <f t="array" ref="AG1321">_xlfn.IFS(AF1321=1,"Low",AF1321=2,"Medium",AF1321=3,"High",AF1321=4,"Very High")</f>
        <v>High</v>
      </c>
      <c r="AH1321">
        <v>0</v>
      </c>
      <c r="AI1321">
        <v>4</v>
      </c>
      <c r="AJ1321">
        <v>2</v>
      </c>
      <c r="AK1321">
        <v>4</v>
      </c>
      <c r="AL1321" t="str" cm="1">
        <f t="array" ref="AL1321">_xlfn.IFS(AK1321=1,"Low",AK1321=2,"Medium",AK1321=3,"High",AK1321=4,"Very High")</f>
        <v>Very High</v>
      </c>
      <c r="AM1321">
        <v>0</v>
      </c>
      <c r="AN1321">
        <v>0</v>
      </c>
      <c r="AO1321">
        <v>0</v>
      </c>
      <c r="AP1321">
        <v>0</v>
      </c>
    </row>
    <row r="1322" spans="1:42">
      <c r="A1322">
        <v>42</v>
      </c>
      <c r="B1322" t="str" cm="1">
        <f t="array" ref="B1322">_xlfn.IFS(A1322&lt;=25,"18-25",A1322&lt;=35,"26-35",A1322&lt;=45,"36-45",A1322&lt;=55,"46-55",A1322&gt;55,"56+")</f>
        <v>36-45</v>
      </c>
      <c r="C1322" t="s">
        <v>39</v>
      </c>
      <c r="D1322" t="s">
        <v>51</v>
      </c>
      <c r="E1322" s="2">
        <v>355</v>
      </c>
      <c r="F1322" t="s">
        <v>41</v>
      </c>
      <c r="G1322">
        <v>10</v>
      </c>
      <c r="H1322" t="str">
        <f t="shared" si="20"/>
        <v>1-10 km</v>
      </c>
      <c r="I1322">
        <v>4</v>
      </c>
      <c r="J1322" t="str" cm="1">
        <f t="array" ref="J1322">_xlfn.IFS(I1322=1,"Below College",I1322=2,"College",I1322=3,"Bachelor",I1322=4,"Master",I1322=5,"Doctor")</f>
        <v>Master</v>
      </c>
      <c r="K1322" t="s">
        <v>56</v>
      </c>
      <c r="L1322">
        <v>1854</v>
      </c>
      <c r="M1322">
        <v>3</v>
      </c>
      <c r="N1322" t="str" cm="1">
        <f t="array" ref="N1322">_xlfn.IFS(M1322=1,"Low",M1322=2,"Medium",M1322=3,"High",M1322=4,"Very High")</f>
        <v>High</v>
      </c>
      <c r="O1322" t="s">
        <v>42</v>
      </c>
      <c r="P1322" s="2">
        <v>38</v>
      </c>
      <c r="Q1322">
        <v>3</v>
      </c>
      <c r="R1322" t="str" cm="1">
        <f t="array" ref="R1322">_xlfn.IFS(Q1322=1,"Low",Q1322=2,"Medium",Q1322=3,"High",Q1322=4,"Very High")</f>
        <v>High</v>
      </c>
      <c r="S1322">
        <v>1</v>
      </c>
      <c r="T1322" t="str" cm="1">
        <f t="array" ref="T1322">_xlfn.IFS(S1322=1,"Entry Level",S1322=2,"Junior",S1322=3,"Mid-Level",S1322=4,"Senior",S1322=5,"Executive")</f>
        <v>Entry Level</v>
      </c>
      <c r="U1322" t="s">
        <v>43</v>
      </c>
      <c r="V1322">
        <v>3</v>
      </c>
      <c r="W1322" t="str" cm="1">
        <f t="array" ref="W1322">_xlfn.IFS(V1322=1,"Low",V1322=2,"Medium",V1322=3,"High",V1322=4,"Very High")</f>
        <v>High</v>
      </c>
      <c r="X1322" t="s">
        <v>44</v>
      </c>
      <c r="Y1322" s="2">
        <v>2936</v>
      </c>
      <c r="Z1322" s="2">
        <v>6161</v>
      </c>
      <c r="AA1322">
        <v>3</v>
      </c>
      <c r="AB1322" t="s">
        <v>39</v>
      </c>
      <c r="AC1322">
        <v>22</v>
      </c>
      <c r="AD1322">
        <v>4</v>
      </c>
      <c r="AE1322" t="str" cm="1">
        <f t="array" ref="AE1322">_xlfn.IFS(AD1322=1,"Low",AD1322=2,"Good",AD1322=3,"Excellent",AD1322=4,"Outstanding")</f>
        <v>Outstanding</v>
      </c>
      <c r="AF1322">
        <v>2</v>
      </c>
      <c r="AG1322" t="str" cm="1">
        <f t="array" ref="AG1322">_xlfn.IFS(AF1322=1,"Low",AF1322=2,"Medium",AF1322=3,"High",AF1322=4,"Very High")</f>
        <v>Medium</v>
      </c>
      <c r="AH1322">
        <v>2</v>
      </c>
      <c r="AI1322">
        <v>10</v>
      </c>
      <c r="AJ1322">
        <v>1</v>
      </c>
      <c r="AK1322">
        <v>2</v>
      </c>
      <c r="AL1322" t="str" cm="1">
        <f t="array" ref="AL1322">_xlfn.IFS(AK1322=1,"Low",AK1322=2,"Medium",AK1322=3,"High",AK1322=4,"Very High")</f>
        <v>Medium</v>
      </c>
      <c r="AM1322">
        <v>6</v>
      </c>
      <c r="AN1322">
        <v>3</v>
      </c>
      <c r="AO1322">
        <v>3</v>
      </c>
      <c r="AP1322">
        <v>3</v>
      </c>
    </row>
    <row r="1323" spans="1:42">
      <c r="A1323">
        <v>47</v>
      </c>
      <c r="B1323" t="str" cm="1">
        <f t="array" ref="B1323">_xlfn.IFS(A1323&lt;=25,"18-25",A1323&lt;=35,"26-35",A1323&lt;=45,"36-45",A1323&lt;=55,"46-55",A1323&gt;55,"56+")</f>
        <v>46-55</v>
      </c>
      <c r="C1323" t="s">
        <v>39</v>
      </c>
      <c r="D1323" t="s">
        <v>33</v>
      </c>
      <c r="E1323" s="2">
        <v>207</v>
      </c>
      <c r="F1323" t="s">
        <v>41</v>
      </c>
      <c r="G1323">
        <v>9</v>
      </c>
      <c r="H1323" t="str">
        <f t="shared" si="20"/>
        <v>1-10 km</v>
      </c>
      <c r="I1323">
        <v>4</v>
      </c>
      <c r="J1323" t="str" cm="1">
        <f t="array" ref="J1323">_xlfn.IFS(I1323=1,"Below College",I1323=2,"College",I1323=3,"Bachelor",I1323=4,"Master",I1323=5,"Doctor")</f>
        <v>Master</v>
      </c>
      <c r="K1323" t="s">
        <v>35</v>
      </c>
      <c r="L1323">
        <v>1856</v>
      </c>
      <c r="M1323">
        <v>2</v>
      </c>
      <c r="N1323" t="str" cm="1">
        <f t="array" ref="N1323">_xlfn.IFS(M1323=1,"Low",M1323=2,"Medium",M1323=3,"High",M1323=4,"Very High")</f>
        <v>Medium</v>
      </c>
      <c r="O1323" t="s">
        <v>36</v>
      </c>
      <c r="P1323" s="2">
        <v>64</v>
      </c>
      <c r="Q1323">
        <v>3</v>
      </c>
      <c r="R1323" t="str" cm="1">
        <f t="array" ref="R1323">_xlfn.IFS(Q1323=1,"Low",Q1323=2,"Medium",Q1323=3,"High",Q1323=4,"Very High")</f>
        <v>High</v>
      </c>
      <c r="S1323">
        <v>1</v>
      </c>
      <c r="T1323" t="str" cm="1">
        <f t="array" ref="T1323">_xlfn.IFS(S1323=1,"Entry Level",S1323=2,"Junior",S1323=3,"Mid-Level",S1323=4,"Senior",S1323=5,"Executive")</f>
        <v>Entry Level</v>
      </c>
      <c r="U1323" t="s">
        <v>46</v>
      </c>
      <c r="V1323">
        <v>3</v>
      </c>
      <c r="W1323" t="str" cm="1">
        <f t="array" ref="W1323">_xlfn.IFS(V1323=1,"Low",V1323=2,"Medium",V1323=3,"High",V1323=4,"Very High")</f>
        <v>High</v>
      </c>
      <c r="X1323" t="s">
        <v>38</v>
      </c>
      <c r="Y1323" s="2">
        <v>2105</v>
      </c>
      <c r="Z1323" s="2">
        <v>5411</v>
      </c>
      <c r="AA1323">
        <v>4</v>
      </c>
      <c r="AB1323" t="s">
        <v>39</v>
      </c>
      <c r="AC1323">
        <v>12</v>
      </c>
      <c r="AD1323">
        <v>3</v>
      </c>
      <c r="AE1323" t="str" cm="1">
        <f t="array" ref="AE1323">_xlfn.IFS(AD1323=1,"Low",AD1323=2,"Good",AD1323=3,"Excellent",AD1323=4,"Outstanding")</f>
        <v>Excellent</v>
      </c>
      <c r="AF1323">
        <v>3</v>
      </c>
      <c r="AG1323" t="str" cm="1">
        <f t="array" ref="AG1323">_xlfn.IFS(AF1323=1,"Low",AF1323=2,"Medium",AF1323=3,"High",AF1323=4,"Very High")</f>
        <v>High</v>
      </c>
      <c r="AH1323">
        <v>0</v>
      </c>
      <c r="AI1323">
        <v>7</v>
      </c>
      <c r="AJ1323">
        <v>2</v>
      </c>
      <c r="AK1323">
        <v>3</v>
      </c>
      <c r="AL1323" t="str" cm="1">
        <f t="array" ref="AL1323">_xlfn.IFS(AK1323=1,"Low",AK1323=2,"Medium",AK1323=3,"High",AK1323=4,"Very High")</f>
        <v>High</v>
      </c>
      <c r="AM1323">
        <v>2</v>
      </c>
      <c r="AN1323">
        <v>2</v>
      </c>
      <c r="AO1323">
        <v>2</v>
      </c>
      <c r="AP1323">
        <v>0</v>
      </c>
    </row>
    <row r="1324" spans="1:42">
      <c r="A1324">
        <v>46</v>
      </c>
      <c r="B1324" t="str" cm="1">
        <f t="array" ref="B1324">_xlfn.IFS(A1324&lt;=25,"18-25",A1324&lt;=35,"26-35",A1324&lt;=45,"36-45",A1324&lt;=55,"46-55",A1324&gt;55,"56+")</f>
        <v>46-55</v>
      </c>
      <c r="C1324" t="s">
        <v>39</v>
      </c>
      <c r="D1324" t="s">
        <v>33</v>
      </c>
      <c r="E1324" s="2">
        <v>706</v>
      </c>
      <c r="F1324" t="s">
        <v>41</v>
      </c>
      <c r="G1324">
        <v>2</v>
      </c>
      <c r="H1324" t="str">
        <f t="shared" si="20"/>
        <v>1-10 km</v>
      </c>
      <c r="I1324">
        <v>2</v>
      </c>
      <c r="J1324" t="str" cm="1">
        <f t="array" ref="J1324">_xlfn.IFS(I1324=1,"Below College",I1324=2,"College",I1324=3,"Bachelor",I1324=4,"Master",I1324=5,"Doctor")</f>
        <v>College</v>
      </c>
      <c r="K1324" t="s">
        <v>35</v>
      </c>
      <c r="L1324">
        <v>1857</v>
      </c>
      <c r="M1324">
        <v>4</v>
      </c>
      <c r="N1324" t="str" cm="1">
        <f t="array" ref="N1324">_xlfn.IFS(M1324=1,"Low",M1324=2,"Medium",M1324=3,"High",M1324=4,"Very High")</f>
        <v>Very High</v>
      </c>
      <c r="O1324" t="s">
        <v>42</v>
      </c>
      <c r="P1324" s="2">
        <v>82</v>
      </c>
      <c r="Q1324">
        <v>3</v>
      </c>
      <c r="R1324" t="str" cm="1">
        <f t="array" ref="R1324">_xlfn.IFS(Q1324=1,"Low",Q1324=2,"Medium",Q1324=3,"High",Q1324=4,"Very High")</f>
        <v>High</v>
      </c>
      <c r="S1324">
        <v>3</v>
      </c>
      <c r="T1324" t="str" cm="1">
        <f t="array" ref="T1324">_xlfn.IFS(S1324=1,"Entry Level",S1324=2,"Junior",S1324=3,"Mid-Level",S1324=4,"Senior",S1324=5,"Executive")</f>
        <v>Mid-Level</v>
      </c>
      <c r="U1324" t="s">
        <v>49</v>
      </c>
      <c r="V1324">
        <v>4</v>
      </c>
      <c r="W1324" t="str" cm="1">
        <f t="array" ref="W1324">_xlfn.IFS(V1324=1,"Low",V1324=2,"Medium",V1324=3,"High",V1324=4,"Very High")</f>
        <v>Very High</v>
      </c>
      <c r="X1324" t="s">
        <v>48</v>
      </c>
      <c r="Y1324" s="2">
        <v>8578</v>
      </c>
      <c r="Z1324" s="2">
        <v>19989</v>
      </c>
      <c r="AA1324">
        <v>3</v>
      </c>
      <c r="AB1324" t="s">
        <v>39</v>
      </c>
      <c r="AC1324">
        <v>14</v>
      </c>
      <c r="AD1324">
        <v>3</v>
      </c>
      <c r="AE1324" t="str" cm="1">
        <f t="array" ref="AE1324">_xlfn.IFS(AD1324=1,"Low",AD1324=2,"Good",AD1324=3,"Excellent",AD1324=4,"Outstanding")</f>
        <v>Excellent</v>
      </c>
      <c r="AF1324">
        <v>3</v>
      </c>
      <c r="AG1324" t="str" cm="1">
        <f t="array" ref="AG1324">_xlfn.IFS(AF1324=1,"Low",AF1324=2,"Medium",AF1324=3,"High",AF1324=4,"Very High")</f>
        <v>High</v>
      </c>
      <c r="AH1324">
        <v>1</v>
      </c>
      <c r="AI1324">
        <v>12</v>
      </c>
      <c r="AJ1324">
        <v>4</v>
      </c>
      <c r="AK1324">
        <v>2</v>
      </c>
      <c r="AL1324" t="str" cm="1">
        <f t="array" ref="AL1324">_xlfn.IFS(AK1324=1,"Low",AK1324=2,"Medium",AK1324=3,"High",AK1324=4,"Very High")</f>
        <v>Medium</v>
      </c>
      <c r="AM1324">
        <v>9</v>
      </c>
      <c r="AN1324">
        <v>8</v>
      </c>
      <c r="AO1324">
        <v>4</v>
      </c>
      <c r="AP1324">
        <v>7</v>
      </c>
    </row>
    <row r="1325" spans="1:42">
      <c r="A1325">
        <v>28</v>
      </c>
      <c r="B1325" t="str" cm="1">
        <f t="array" ref="B1325">_xlfn.IFS(A1325&lt;=25,"18-25",A1325&lt;=35,"26-35",A1325&lt;=45,"36-45",A1325&lt;=55,"46-55",A1325&gt;55,"56+")</f>
        <v>26-35</v>
      </c>
      <c r="C1325" t="s">
        <v>39</v>
      </c>
      <c r="D1325" t="s">
        <v>51</v>
      </c>
      <c r="E1325" s="2">
        <v>280</v>
      </c>
      <c r="F1325" t="s">
        <v>57</v>
      </c>
      <c r="G1325">
        <v>1</v>
      </c>
      <c r="H1325" t="str">
        <f t="shared" si="20"/>
        <v>1-10 km</v>
      </c>
      <c r="I1325">
        <v>2</v>
      </c>
      <c r="J1325" t="str" cm="1">
        <f t="array" ref="J1325">_xlfn.IFS(I1325=1,"Below College",I1325=2,"College",I1325=3,"Bachelor",I1325=4,"Master",I1325=5,"Doctor")</f>
        <v>College</v>
      </c>
      <c r="K1325" t="s">
        <v>35</v>
      </c>
      <c r="L1325">
        <v>1858</v>
      </c>
      <c r="M1325">
        <v>3</v>
      </c>
      <c r="N1325" t="str" cm="1">
        <f t="array" ref="N1325">_xlfn.IFS(M1325=1,"Low",M1325=2,"Medium",M1325=3,"High",M1325=4,"Very High")</f>
        <v>High</v>
      </c>
      <c r="O1325" t="s">
        <v>42</v>
      </c>
      <c r="P1325" s="2">
        <v>43</v>
      </c>
      <c r="Q1325">
        <v>3</v>
      </c>
      <c r="R1325" t="str" cm="1">
        <f t="array" ref="R1325">_xlfn.IFS(Q1325=1,"Low",Q1325=2,"Medium",Q1325=3,"High",Q1325=4,"Very High")</f>
        <v>High</v>
      </c>
      <c r="S1325">
        <v>1</v>
      </c>
      <c r="T1325" t="str" cm="1">
        <f t="array" ref="T1325">_xlfn.IFS(S1325=1,"Entry Level",S1325=2,"Junior",S1325=3,"Mid-Level",S1325=4,"Senior",S1325=5,"Executive")</f>
        <v>Entry Level</v>
      </c>
      <c r="U1325" t="s">
        <v>57</v>
      </c>
      <c r="V1325">
        <v>4</v>
      </c>
      <c r="W1325" t="str" cm="1">
        <f t="array" ref="W1325">_xlfn.IFS(V1325=1,"Low",V1325=2,"Medium",V1325=3,"High",V1325=4,"Very High")</f>
        <v>Very High</v>
      </c>
      <c r="X1325" t="s">
        <v>48</v>
      </c>
      <c r="Y1325" s="2">
        <v>2706</v>
      </c>
      <c r="Z1325" s="2">
        <v>10494</v>
      </c>
      <c r="AA1325">
        <v>1</v>
      </c>
      <c r="AB1325" t="s">
        <v>39</v>
      </c>
      <c r="AC1325">
        <v>15</v>
      </c>
      <c r="AD1325">
        <v>3</v>
      </c>
      <c r="AE1325" t="str" cm="1">
        <f t="array" ref="AE1325">_xlfn.IFS(AD1325=1,"Low",AD1325=2,"Good",AD1325=3,"Excellent",AD1325=4,"Outstanding")</f>
        <v>Excellent</v>
      </c>
      <c r="AF1325">
        <v>2</v>
      </c>
      <c r="AG1325" t="str" cm="1">
        <f t="array" ref="AG1325">_xlfn.IFS(AF1325=1,"Low",AF1325=2,"Medium",AF1325=3,"High",AF1325=4,"Very High")</f>
        <v>Medium</v>
      </c>
      <c r="AH1325">
        <v>1</v>
      </c>
      <c r="AI1325">
        <v>3</v>
      </c>
      <c r="AJ1325">
        <v>2</v>
      </c>
      <c r="AK1325">
        <v>3</v>
      </c>
      <c r="AL1325" t="str" cm="1">
        <f t="array" ref="AL1325">_xlfn.IFS(AK1325=1,"Low",AK1325=2,"Medium",AK1325=3,"High",AK1325=4,"Very High")</f>
        <v>High</v>
      </c>
      <c r="AM1325">
        <v>3</v>
      </c>
      <c r="AN1325">
        <v>2</v>
      </c>
      <c r="AO1325">
        <v>2</v>
      </c>
      <c r="AP1325">
        <v>2</v>
      </c>
    </row>
    <row r="1326" spans="1:42">
      <c r="A1326">
        <v>29</v>
      </c>
      <c r="B1326" t="str" cm="1">
        <f t="array" ref="B1326">_xlfn.IFS(A1326&lt;=25,"18-25",A1326&lt;=35,"26-35",A1326&lt;=45,"36-45",A1326&lt;=55,"46-55",A1326&gt;55,"56+")</f>
        <v>26-35</v>
      </c>
      <c r="C1326" t="s">
        <v>39</v>
      </c>
      <c r="D1326" t="s">
        <v>33</v>
      </c>
      <c r="E1326" s="2">
        <v>726</v>
      </c>
      <c r="F1326" t="s">
        <v>41</v>
      </c>
      <c r="G1326">
        <v>29</v>
      </c>
      <c r="H1326" t="str">
        <f t="shared" si="20"/>
        <v>21-30 km</v>
      </c>
      <c r="I1326">
        <v>1</v>
      </c>
      <c r="J1326" t="str" cm="1">
        <f t="array" ref="J1326">_xlfn.IFS(I1326=1,"Below College",I1326=2,"College",I1326=3,"Bachelor",I1326=4,"Master",I1326=5,"Doctor")</f>
        <v>Below College</v>
      </c>
      <c r="K1326" t="s">
        <v>35</v>
      </c>
      <c r="L1326">
        <v>1859</v>
      </c>
      <c r="M1326">
        <v>4</v>
      </c>
      <c r="N1326" t="str" cm="1">
        <f t="array" ref="N1326">_xlfn.IFS(M1326=1,"Low",M1326=2,"Medium",M1326=3,"High",M1326=4,"Very High")</f>
        <v>Very High</v>
      </c>
      <c r="O1326" t="s">
        <v>42</v>
      </c>
      <c r="P1326" s="2">
        <v>93</v>
      </c>
      <c r="Q1326">
        <v>1</v>
      </c>
      <c r="R1326" t="str" cm="1">
        <f t="array" ref="R1326">_xlfn.IFS(Q1326=1,"Low",Q1326=2,"Medium",Q1326=3,"High",Q1326=4,"Very High")</f>
        <v>Low</v>
      </c>
      <c r="S1326">
        <v>2</v>
      </c>
      <c r="T1326" t="str" cm="1">
        <f t="array" ref="T1326">_xlfn.IFS(S1326=1,"Entry Level",S1326=2,"Junior",S1326=3,"Mid-Level",S1326=4,"Senior",S1326=5,"Executive")</f>
        <v>Junior</v>
      </c>
      <c r="U1326" t="s">
        <v>50</v>
      </c>
      <c r="V1326">
        <v>3</v>
      </c>
      <c r="W1326" t="str" cm="1">
        <f t="array" ref="W1326">_xlfn.IFS(V1326=1,"Low",V1326=2,"Medium",V1326=3,"High",V1326=4,"Very High")</f>
        <v>High</v>
      </c>
      <c r="X1326" t="s">
        <v>48</v>
      </c>
      <c r="Y1326" s="2">
        <v>6384</v>
      </c>
      <c r="Z1326" s="2">
        <v>21143</v>
      </c>
      <c r="AA1326">
        <v>8</v>
      </c>
      <c r="AB1326" t="s">
        <v>39</v>
      </c>
      <c r="AC1326">
        <v>17</v>
      </c>
      <c r="AD1326">
        <v>3</v>
      </c>
      <c r="AE1326" t="str" cm="1">
        <f t="array" ref="AE1326">_xlfn.IFS(AD1326=1,"Low",AD1326=2,"Good",AD1326=3,"Excellent",AD1326=4,"Outstanding")</f>
        <v>Excellent</v>
      </c>
      <c r="AF1326">
        <v>4</v>
      </c>
      <c r="AG1326" t="str" cm="1">
        <f t="array" ref="AG1326">_xlfn.IFS(AF1326=1,"Low",AF1326=2,"Medium",AF1326=3,"High",AF1326=4,"Very High")</f>
        <v>Very High</v>
      </c>
      <c r="AH1326">
        <v>2</v>
      </c>
      <c r="AI1326">
        <v>11</v>
      </c>
      <c r="AJ1326">
        <v>3</v>
      </c>
      <c r="AK1326">
        <v>3</v>
      </c>
      <c r="AL1326" t="str" cm="1">
        <f t="array" ref="AL1326">_xlfn.IFS(AK1326=1,"Low",AK1326=2,"Medium",AK1326=3,"High",AK1326=4,"Very High")</f>
        <v>High</v>
      </c>
      <c r="AM1326">
        <v>7</v>
      </c>
      <c r="AN1326">
        <v>0</v>
      </c>
      <c r="AO1326">
        <v>1</v>
      </c>
      <c r="AP1326">
        <v>6</v>
      </c>
    </row>
    <row r="1327" spans="1:42">
      <c r="A1327">
        <v>42</v>
      </c>
      <c r="B1327" t="str" cm="1">
        <f t="array" ref="B1327">_xlfn.IFS(A1327&lt;=25,"18-25",A1327&lt;=35,"26-35",A1327&lt;=45,"36-45",A1327&lt;=55,"46-55",A1327&gt;55,"56+")</f>
        <v>36-45</v>
      </c>
      <c r="C1327" t="s">
        <v>39</v>
      </c>
      <c r="D1327" t="s">
        <v>33</v>
      </c>
      <c r="E1327" s="2">
        <v>1142</v>
      </c>
      <c r="F1327" t="s">
        <v>41</v>
      </c>
      <c r="G1327">
        <v>8</v>
      </c>
      <c r="H1327" t="str">
        <f t="shared" si="20"/>
        <v>1-10 km</v>
      </c>
      <c r="I1327">
        <v>3</v>
      </c>
      <c r="J1327" t="str" cm="1">
        <f t="array" ref="J1327">_xlfn.IFS(I1327=1,"Below College",I1327=2,"College",I1327=3,"Bachelor",I1327=4,"Master",I1327=5,"Doctor")</f>
        <v>Bachelor</v>
      </c>
      <c r="K1327" t="s">
        <v>35</v>
      </c>
      <c r="L1327">
        <v>1860</v>
      </c>
      <c r="M1327">
        <v>4</v>
      </c>
      <c r="N1327" t="str" cm="1">
        <f t="array" ref="N1327">_xlfn.IFS(M1327=1,"Low",M1327=2,"Medium",M1327=3,"High",M1327=4,"Very High")</f>
        <v>Very High</v>
      </c>
      <c r="O1327" t="s">
        <v>42</v>
      </c>
      <c r="P1327" s="2">
        <v>81</v>
      </c>
      <c r="Q1327">
        <v>3</v>
      </c>
      <c r="R1327" t="str" cm="1">
        <f t="array" ref="R1327">_xlfn.IFS(Q1327=1,"Low",Q1327=2,"Medium",Q1327=3,"High",Q1327=4,"Very High")</f>
        <v>High</v>
      </c>
      <c r="S1327">
        <v>1</v>
      </c>
      <c r="T1327" t="str" cm="1">
        <f t="array" ref="T1327">_xlfn.IFS(S1327=1,"Entry Level",S1327=2,"Junior",S1327=3,"Mid-Level",S1327=4,"Senior",S1327=5,"Executive")</f>
        <v>Entry Level</v>
      </c>
      <c r="U1327" t="s">
        <v>46</v>
      </c>
      <c r="V1327">
        <v>3</v>
      </c>
      <c r="W1327" t="str" cm="1">
        <f t="array" ref="W1327">_xlfn.IFS(V1327=1,"Low",V1327=2,"Medium",V1327=3,"High",V1327=4,"Very High")</f>
        <v>High</v>
      </c>
      <c r="X1327" t="s">
        <v>38</v>
      </c>
      <c r="Y1327" s="2">
        <v>3968</v>
      </c>
      <c r="Z1327" s="2">
        <v>13624</v>
      </c>
      <c r="AA1327">
        <v>4</v>
      </c>
      <c r="AB1327" t="s">
        <v>39</v>
      </c>
      <c r="AC1327">
        <v>13</v>
      </c>
      <c r="AD1327">
        <v>3</v>
      </c>
      <c r="AE1327" t="str" cm="1">
        <f t="array" ref="AE1327">_xlfn.IFS(AD1327=1,"Low",AD1327=2,"Good",AD1327=3,"Excellent",AD1327=4,"Outstanding")</f>
        <v>Excellent</v>
      </c>
      <c r="AF1327">
        <v>4</v>
      </c>
      <c r="AG1327" t="str" cm="1">
        <f t="array" ref="AG1327">_xlfn.IFS(AF1327=1,"Low",AF1327=2,"Medium",AF1327=3,"High",AF1327=4,"Very High")</f>
        <v>Very High</v>
      </c>
      <c r="AH1327">
        <v>0</v>
      </c>
      <c r="AI1327">
        <v>8</v>
      </c>
      <c r="AJ1327">
        <v>3</v>
      </c>
      <c r="AK1327">
        <v>3</v>
      </c>
      <c r="AL1327" t="str" cm="1">
        <f t="array" ref="AL1327">_xlfn.IFS(AK1327=1,"Low",AK1327=2,"Medium",AK1327=3,"High",AK1327=4,"Very High")</f>
        <v>High</v>
      </c>
      <c r="AM1327">
        <v>0</v>
      </c>
      <c r="AN1327">
        <v>0</v>
      </c>
      <c r="AO1327">
        <v>0</v>
      </c>
      <c r="AP1327">
        <v>0</v>
      </c>
    </row>
    <row r="1328" spans="1:42">
      <c r="A1328">
        <v>32</v>
      </c>
      <c r="B1328" t="str" cm="1">
        <f t="array" ref="B1328">_xlfn.IFS(A1328&lt;=25,"18-25",A1328&lt;=35,"26-35",A1328&lt;=45,"36-45",A1328&lt;=55,"46-55",A1328&gt;55,"56+")</f>
        <v>26-35</v>
      </c>
      <c r="C1328" t="s">
        <v>32</v>
      </c>
      <c r="D1328" t="s">
        <v>33</v>
      </c>
      <c r="E1328" s="2">
        <v>414</v>
      </c>
      <c r="F1328" t="s">
        <v>34</v>
      </c>
      <c r="G1328">
        <v>2</v>
      </c>
      <c r="H1328" t="str">
        <f t="shared" si="20"/>
        <v>1-10 km</v>
      </c>
      <c r="I1328">
        <v>4</v>
      </c>
      <c r="J1328" t="str" cm="1">
        <f t="array" ref="J1328">_xlfn.IFS(I1328=1,"Below College",I1328=2,"College",I1328=3,"Bachelor",I1328=4,"Master",I1328=5,"Doctor")</f>
        <v>Master</v>
      </c>
      <c r="K1328" t="s">
        <v>55</v>
      </c>
      <c r="L1328">
        <v>1862</v>
      </c>
      <c r="M1328">
        <v>3</v>
      </c>
      <c r="N1328" t="str" cm="1">
        <f t="array" ref="N1328">_xlfn.IFS(M1328=1,"Low",M1328=2,"Medium",M1328=3,"High",M1328=4,"Very High")</f>
        <v>High</v>
      </c>
      <c r="O1328" t="s">
        <v>42</v>
      </c>
      <c r="P1328" s="2">
        <v>82</v>
      </c>
      <c r="Q1328">
        <v>2</v>
      </c>
      <c r="R1328" t="str" cm="1">
        <f t="array" ref="R1328">_xlfn.IFS(Q1328=1,"Low",Q1328=2,"Medium",Q1328=3,"High",Q1328=4,"Very High")</f>
        <v>Medium</v>
      </c>
      <c r="S1328">
        <v>2</v>
      </c>
      <c r="T1328" t="str" cm="1">
        <f t="array" ref="T1328">_xlfn.IFS(S1328=1,"Entry Level",S1328=2,"Junior",S1328=3,"Mid-Level",S1328=4,"Senior",S1328=5,"Executive")</f>
        <v>Junior</v>
      </c>
      <c r="U1328" t="s">
        <v>37</v>
      </c>
      <c r="V1328">
        <v>2</v>
      </c>
      <c r="W1328" t="str" cm="1">
        <f t="array" ref="W1328">_xlfn.IFS(V1328=1,"Low",V1328=2,"Medium",V1328=3,"High",V1328=4,"Very High")</f>
        <v>Medium</v>
      </c>
      <c r="X1328" t="s">
        <v>38</v>
      </c>
      <c r="Y1328" s="2">
        <v>9907</v>
      </c>
      <c r="Z1328" s="2">
        <v>26186</v>
      </c>
      <c r="AA1328">
        <v>7</v>
      </c>
      <c r="AB1328" t="s">
        <v>32</v>
      </c>
      <c r="AC1328">
        <v>12</v>
      </c>
      <c r="AD1328">
        <v>3</v>
      </c>
      <c r="AE1328" t="str" cm="1">
        <f t="array" ref="AE1328">_xlfn.IFS(AD1328=1,"Low",AD1328=2,"Good",AD1328=3,"Excellent",AD1328=4,"Outstanding")</f>
        <v>Excellent</v>
      </c>
      <c r="AF1328">
        <v>3</v>
      </c>
      <c r="AG1328" t="str" cm="1">
        <f t="array" ref="AG1328">_xlfn.IFS(AF1328=1,"Low",AF1328=2,"Medium",AF1328=3,"High",AF1328=4,"Very High")</f>
        <v>High</v>
      </c>
      <c r="AH1328">
        <v>0</v>
      </c>
      <c r="AI1328">
        <v>7</v>
      </c>
      <c r="AJ1328">
        <v>3</v>
      </c>
      <c r="AK1328">
        <v>2</v>
      </c>
      <c r="AL1328" t="str" cm="1">
        <f t="array" ref="AL1328">_xlfn.IFS(AK1328=1,"Low",AK1328=2,"Medium",AK1328=3,"High",AK1328=4,"Very High")</f>
        <v>Medium</v>
      </c>
      <c r="AM1328">
        <v>2</v>
      </c>
      <c r="AN1328">
        <v>2</v>
      </c>
      <c r="AO1328">
        <v>2</v>
      </c>
      <c r="AP1328">
        <v>2</v>
      </c>
    </row>
    <row r="1329" spans="1:42">
      <c r="A1329">
        <v>46</v>
      </c>
      <c r="B1329" t="str" cm="1">
        <f t="array" ref="B1329">_xlfn.IFS(A1329&lt;=25,"18-25",A1329&lt;=35,"26-35",A1329&lt;=45,"36-45",A1329&lt;=55,"46-55",A1329&gt;55,"56+")</f>
        <v>46-55</v>
      </c>
      <c r="C1329" t="s">
        <v>39</v>
      </c>
      <c r="D1329" t="s">
        <v>33</v>
      </c>
      <c r="E1329" s="2">
        <v>1319</v>
      </c>
      <c r="F1329" t="s">
        <v>34</v>
      </c>
      <c r="G1329">
        <v>3</v>
      </c>
      <c r="H1329" t="str">
        <f t="shared" si="20"/>
        <v>1-10 km</v>
      </c>
      <c r="I1329">
        <v>3</v>
      </c>
      <c r="J1329" t="str" cm="1">
        <f t="array" ref="J1329">_xlfn.IFS(I1329=1,"Below College",I1329=2,"College",I1329=3,"Bachelor",I1329=4,"Master",I1329=5,"Doctor")</f>
        <v>Bachelor</v>
      </c>
      <c r="K1329" t="s">
        <v>56</v>
      </c>
      <c r="L1329">
        <v>1863</v>
      </c>
      <c r="M1329">
        <v>1</v>
      </c>
      <c r="N1329" t="str" cm="1">
        <f t="array" ref="N1329">_xlfn.IFS(M1329=1,"Low",M1329=2,"Medium",M1329=3,"High",M1329=4,"Very High")</f>
        <v>Low</v>
      </c>
      <c r="O1329" t="s">
        <v>36</v>
      </c>
      <c r="P1329" s="2">
        <v>45</v>
      </c>
      <c r="Q1329">
        <v>4</v>
      </c>
      <c r="R1329" t="str" cm="1">
        <f t="array" ref="R1329">_xlfn.IFS(Q1329=1,"Low",Q1329=2,"Medium",Q1329=3,"High",Q1329=4,"Very High")</f>
        <v>Very High</v>
      </c>
      <c r="S1329">
        <v>4</v>
      </c>
      <c r="T1329" t="str" cm="1">
        <f t="array" ref="T1329">_xlfn.IFS(S1329=1,"Entry Level",S1329=2,"Junior",S1329=3,"Mid-Level",S1329=4,"Senior",S1329=5,"Executive")</f>
        <v>Senior</v>
      </c>
      <c r="U1329" t="s">
        <v>37</v>
      </c>
      <c r="V1329">
        <v>1</v>
      </c>
      <c r="W1329" t="str" cm="1">
        <f t="array" ref="W1329">_xlfn.IFS(V1329=1,"Low",V1329=2,"Medium",V1329=3,"High",V1329=4,"Very High")</f>
        <v>Low</v>
      </c>
      <c r="X1329" t="s">
        <v>48</v>
      </c>
      <c r="Y1329" s="2">
        <v>13225</v>
      </c>
      <c r="Z1329" s="2">
        <v>7739</v>
      </c>
      <c r="AA1329">
        <v>2</v>
      </c>
      <c r="AB1329" t="s">
        <v>39</v>
      </c>
      <c r="AC1329">
        <v>12</v>
      </c>
      <c r="AD1329">
        <v>3</v>
      </c>
      <c r="AE1329" t="str" cm="1">
        <f t="array" ref="AE1329">_xlfn.IFS(AD1329=1,"Low",AD1329=2,"Good",AD1329=3,"Excellent",AD1329=4,"Outstanding")</f>
        <v>Excellent</v>
      </c>
      <c r="AF1329">
        <v>4</v>
      </c>
      <c r="AG1329" t="str" cm="1">
        <f t="array" ref="AG1329">_xlfn.IFS(AF1329=1,"Low",AF1329=2,"Medium",AF1329=3,"High",AF1329=4,"Very High")</f>
        <v>Very High</v>
      </c>
      <c r="AH1329">
        <v>1</v>
      </c>
      <c r="AI1329">
        <v>25</v>
      </c>
      <c r="AJ1329">
        <v>5</v>
      </c>
      <c r="AK1329">
        <v>3</v>
      </c>
      <c r="AL1329" t="str" cm="1">
        <f t="array" ref="AL1329">_xlfn.IFS(AK1329=1,"Low",AK1329=2,"Medium",AK1329=3,"High",AK1329=4,"Very High")</f>
        <v>High</v>
      </c>
      <c r="AM1329">
        <v>19</v>
      </c>
      <c r="AN1329">
        <v>17</v>
      </c>
      <c r="AO1329">
        <v>2</v>
      </c>
      <c r="AP1329">
        <v>8</v>
      </c>
    </row>
    <row r="1330" spans="1:42">
      <c r="A1330">
        <v>27</v>
      </c>
      <c r="B1330" t="str" cm="1">
        <f t="array" ref="B1330">_xlfn.IFS(A1330&lt;=25,"18-25",A1330&lt;=35,"26-35",A1330&lt;=45,"36-45",A1330&lt;=55,"46-55",A1330&gt;55,"56+")</f>
        <v>26-35</v>
      </c>
      <c r="C1330" t="s">
        <v>39</v>
      </c>
      <c r="D1330" t="s">
        <v>33</v>
      </c>
      <c r="E1330" s="2">
        <v>728</v>
      </c>
      <c r="F1330" t="s">
        <v>34</v>
      </c>
      <c r="G1330">
        <v>23</v>
      </c>
      <c r="H1330" t="str">
        <f t="shared" si="20"/>
        <v>21-30 km</v>
      </c>
      <c r="I1330">
        <v>1</v>
      </c>
      <c r="J1330" t="str" cm="1">
        <f t="array" ref="J1330">_xlfn.IFS(I1330=1,"Below College",I1330=2,"College",I1330=3,"Bachelor",I1330=4,"Master",I1330=5,"Doctor")</f>
        <v>Below College</v>
      </c>
      <c r="K1330" t="s">
        <v>47</v>
      </c>
      <c r="L1330">
        <v>1864</v>
      </c>
      <c r="M1330">
        <v>2</v>
      </c>
      <c r="N1330" t="str" cm="1">
        <f t="array" ref="N1330">_xlfn.IFS(M1330=1,"Low",M1330=2,"Medium",M1330=3,"High",M1330=4,"Very High")</f>
        <v>Medium</v>
      </c>
      <c r="O1330" t="s">
        <v>36</v>
      </c>
      <c r="P1330" s="2">
        <v>36</v>
      </c>
      <c r="Q1330">
        <v>2</v>
      </c>
      <c r="R1330" t="str" cm="1">
        <f t="array" ref="R1330">_xlfn.IFS(Q1330=1,"Low",Q1330=2,"Medium",Q1330=3,"High",Q1330=4,"Very High")</f>
        <v>Medium</v>
      </c>
      <c r="S1330">
        <v>2</v>
      </c>
      <c r="T1330" t="str" cm="1">
        <f t="array" ref="T1330">_xlfn.IFS(S1330=1,"Entry Level",S1330=2,"Junior",S1330=3,"Mid-Level",S1330=4,"Senior",S1330=5,"Executive")</f>
        <v>Junior</v>
      </c>
      <c r="U1330" t="s">
        <v>53</v>
      </c>
      <c r="V1330">
        <v>3</v>
      </c>
      <c r="W1330" t="str" cm="1">
        <f t="array" ref="W1330">_xlfn.IFS(V1330=1,"Low",V1330=2,"Medium",V1330=3,"High",V1330=4,"Very High")</f>
        <v>High</v>
      </c>
      <c r="X1330" t="s">
        <v>44</v>
      </c>
      <c r="Y1330" s="2">
        <v>3540</v>
      </c>
      <c r="Z1330" s="2">
        <v>7018</v>
      </c>
      <c r="AA1330">
        <v>1</v>
      </c>
      <c r="AB1330" t="s">
        <v>39</v>
      </c>
      <c r="AC1330">
        <v>21</v>
      </c>
      <c r="AD1330">
        <v>4</v>
      </c>
      <c r="AE1330" t="str" cm="1">
        <f t="array" ref="AE1330">_xlfn.IFS(AD1330=1,"Low",AD1330=2,"Good",AD1330=3,"Excellent",AD1330=4,"Outstanding")</f>
        <v>Outstanding</v>
      </c>
      <c r="AF1330">
        <v>4</v>
      </c>
      <c r="AG1330" t="str" cm="1">
        <f t="array" ref="AG1330">_xlfn.IFS(AF1330=1,"Low",AF1330=2,"Medium",AF1330=3,"High",AF1330=4,"Very High")</f>
        <v>Very High</v>
      </c>
      <c r="AH1330">
        <v>1</v>
      </c>
      <c r="AI1330">
        <v>9</v>
      </c>
      <c r="AJ1330">
        <v>5</v>
      </c>
      <c r="AK1330">
        <v>3</v>
      </c>
      <c r="AL1330" t="str" cm="1">
        <f t="array" ref="AL1330">_xlfn.IFS(AK1330=1,"Low",AK1330=2,"Medium",AK1330=3,"High",AK1330=4,"Very High")</f>
        <v>High</v>
      </c>
      <c r="AM1330">
        <v>9</v>
      </c>
      <c r="AN1330">
        <v>8</v>
      </c>
      <c r="AO1330">
        <v>5</v>
      </c>
      <c r="AP1330">
        <v>8</v>
      </c>
    </row>
    <row r="1331" spans="1:42">
      <c r="A1331">
        <v>29</v>
      </c>
      <c r="B1331" t="str" cm="1">
        <f t="array" ref="B1331">_xlfn.IFS(A1331&lt;=25,"18-25",A1331&lt;=35,"26-35",A1331&lt;=45,"36-45",A1331&lt;=55,"46-55",A1331&gt;55,"56+")</f>
        <v>26-35</v>
      </c>
      <c r="C1331" t="s">
        <v>39</v>
      </c>
      <c r="D1331" t="s">
        <v>33</v>
      </c>
      <c r="E1331" s="2">
        <v>352</v>
      </c>
      <c r="F1331" t="s">
        <v>57</v>
      </c>
      <c r="G1331">
        <v>6</v>
      </c>
      <c r="H1331" t="str">
        <f t="shared" si="20"/>
        <v>1-10 km</v>
      </c>
      <c r="I1331">
        <v>1</v>
      </c>
      <c r="J1331" t="str" cm="1">
        <f t="array" ref="J1331">_xlfn.IFS(I1331=1,"Below College",I1331=2,"College",I1331=3,"Bachelor",I1331=4,"Master",I1331=5,"Doctor")</f>
        <v>Below College</v>
      </c>
      <c r="K1331" t="s">
        <v>47</v>
      </c>
      <c r="L1331">
        <v>1865</v>
      </c>
      <c r="M1331">
        <v>4</v>
      </c>
      <c r="N1331" t="str" cm="1">
        <f t="array" ref="N1331">_xlfn.IFS(M1331=1,"Low",M1331=2,"Medium",M1331=3,"High",M1331=4,"Very High")</f>
        <v>Very High</v>
      </c>
      <c r="O1331" t="s">
        <v>42</v>
      </c>
      <c r="P1331" s="2">
        <v>87</v>
      </c>
      <c r="Q1331">
        <v>2</v>
      </c>
      <c r="R1331" t="str" cm="1">
        <f t="array" ref="R1331">_xlfn.IFS(Q1331=1,"Low",Q1331=2,"Medium",Q1331=3,"High",Q1331=4,"Very High")</f>
        <v>Medium</v>
      </c>
      <c r="S1331">
        <v>1</v>
      </c>
      <c r="T1331" t="str" cm="1">
        <f t="array" ref="T1331">_xlfn.IFS(S1331=1,"Entry Level",S1331=2,"Junior",S1331=3,"Mid-Level",S1331=4,"Senior",S1331=5,"Executive")</f>
        <v>Entry Level</v>
      </c>
      <c r="U1331" t="s">
        <v>57</v>
      </c>
      <c r="V1331">
        <v>2</v>
      </c>
      <c r="W1331" t="str" cm="1">
        <f t="array" ref="W1331">_xlfn.IFS(V1331=1,"Low",V1331=2,"Medium",V1331=3,"High",V1331=4,"Very High")</f>
        <v>Medium</v>
      </c>
      <c r="X1331" t="s">
        <v>44</v>
      </c>
      <c r="Y1331" s="2">
        <v>2804</v>
      </c>
      <c r="Z1331" s="2">
        <v>15434</v>
      </c>
      <c r="AA1331">
        <v>1</v>
      </c>
      <c r="AB1331" t="s">
        <v>39</v>
      </c>
      <c r="AC1331">
        <v>11</v>
      </c>
      <c r="AD1331">
        <v>3</v>
      </c>
      <c r="AE1331" t="str" cm="1">
        <f t="array" ref="AE1331">_xlfn.IFS(AD1331=1,"Low",AD1331=2,"Good",AD1331=3,"Excellent",AD1331=4,"Outstanding")</f>
        <v>Excellent</v>
      </c>
      <c r="AF1331">
        <v>4</v>
      </c>
      <c r="AG1331" t="str" cm="1">
        <f t="array" ref="AG1331">_xlfn.IFS(AF1331=1,"Low",AF1331=2,"Medium",AF1331=3,"High",AF1331=4,"Very High")</f>
        <v>Very High</v>
      </c>
      <c r="AH1331">
        <v>0</v>
      </c>
      <c r="AI1331">
        <v>1</v>
      </c>
      <c r="AJ1331">
        <v>3</v>
      </c>
      <c r="AK1331">
        <v>3</v>
      </c>
      <c r="AL1331" t="str" cm="1">
        <f t="array" ref="AL1331">_xlfn.IFS(AK1331=1,"Low",AK1331=2,"Medium",AK1331=3,"High",AK1331=4,"Very High")</f>
        <v>High</v>
      </c>
      <c r="AM1331">
        <v>1</v>
      </c>
      <c r="AN1331">
        <v>0</v>
      </c>
      <c r="AO1331">
        <v>0</v>
      </c>
      <c r="AP1331">
        <v>0</v>
      </c>
    </row>
    <row r="1332" spans="1:42">
      <c r="A1332">
        <v>43</v>
      </c>
      <c r="B1332" t="str" cm="1">
        <f t="array" ref="B1332">_xlfn.IFS(A1332&lt;=25,"18-25",A1332&lt;=35,"26-35",A1332&lt;=45,"36-45",A1332&lt;=55,"46-55",A1332&gt;55,"56+")</f>
        <v>36-45</v>
      </c>
      <c r="C1332" t="s">
        <v>39</v>
      </c>
      <c r="D1332" t="s">
        <v>33</v>
      </c>
      <c r="E1332" s="2">
        <v>823</v>
      </c>
      <c r="F1332" t="s">
        <v>41</v>
      </c>
      <c r="G1332">
        <v>6</v>
      </c>
      <c r="H1332" t="str">
        <f t="shared" si="20"/>
        <v>1-10 km</v>
      </c>
      <c r="I1332">
        <v>3</v>
      </c>
      <c r="J1332" t="str" cm="1">
        <f t="array" ref="J1332">_xlfn.IFS(I1332=1,"Below College",I1332=2,"College",I1332=3,"Bachelor",I1332=4,"Master",I1332=5,"Doctor")</f>
        <v>Bachelor</v>
      </c>
      <c r="K1332" t="s">
        <v>47</v>
      </c>
      <c r="L1332">
        <v>1866</v>
      </c>
      <c r="M1332">
        <v>1</v>
      </c>
      <c r="N1332" t="str" cm="1">
        <f t="array" ref="N1332">_xlfn.IFS(M1332=1,"Low",M1332=2,"Medium",M1332=3,"High",M1332=4,"Very High")</f>
        <v>Low</v>
      </c>
      <c r="O1332" t="s">
        <v>36</v>
      </c>
      <c r="P1332" s="2">
        <v>81</v>
      </c>
      <c r="Q1332">
        <v>2</v>
      </c>
      <c r="R1332" t="str" cm="1">
        <f t="array" ref="R1332">_xlfn.IFS(Q1332=1,"Low",Q1332=2,"Medium",Q1332=3,"High",Q1332=4,"Very High")</f>
        <v>Medium</v>
      </c>
      <c r="S1332">
        <v>5</v>
      </c>
      <c r="T1332" t="str" cm="1">
        <f t="array" ref="T1332">_xlfn.IFS(S1332=1,"Entry Level",S1332=2,"Junior",S1332=3,"Mid-Level",S1332=4,"Senior",S1332=5,"Executive")</f>
        <v>Executive</v>
      </c>
      <c r="U1332" t="s">
        <v>52</v>
      </c>
      <c r="V1332">
        <v>3</v>
      </c>
      <c r="W1332" t="str" cm="1">
        <f t="array" ref="W1332">_xlfn.IFS(V1332=1,"Low",V1332=2,"Medium",V1332=3,"High",V1332=4,"Very High")</f>
        <v>High</v>
      </c>
      <c r="X1332" t="s">
        <v>44</v>
      </c>
      <c r="Y1332" s="2">
        <v>19392</v>
      </c>
      <c r="Z1332" s="2">
        <v>22539</v>
      </c>
      <c r="AA1332">
        <v>7</v>
      </c>
      <c r="AB1332" t="s">
        <v>39</v>
      </c>
      <c r="AC1332">
        <v>13</v>
      </c>
      <c r="AD1332">
        <v>3</v>
      </c>
      <c r="AE1332" t="str" cm="1">
        <f t="array" ref="AE1332">_xlfn.IFS(AD1332=1,"Low",AD1332=2,"Good",AD1332=3,"Excellent",AD1332=4,"Outstanding")</f>
        <v>Excellent</v>
      </c>
      <c r="AF1332">
        <v>4</v>
      </c>
      <c r="AG1332" t="str" cm="1">
        <f t="array" ref="AG1332">_xlfn.IFS(AF1332=1,"Low",AF1332=2,"Medium",AF1332=3,"High",AF1332=4,"Very High")</f>
        <v>Very High</v>
      </c>
      <c r="AH1332">
        <v>0</v>
      </c>
      <c r="AI1332">
        <v>21</v>
      </c>
      <c r="AJ1332">
        <v>2</v>
      </c>
      <c r="AK1332">
        <v>3</v>
      </c>
      <c r="AL1332" t="str" cm="1">
        <f t="array" ref="AL1332">_xlfn.IFS(AK1332=1,"Low",AK1332=2,"Medium",AK1332=3,"High",AK1332=4,"Very High")</f>
        <v>High</v>
      </c>
      <c r="AM1332">
        <v>16</v>
      </c>
      <c r="AN1332">
        <v>12</v>
      </c>
      <c r="AO1332">
        <v>6</v>
      </c>
      <c r="AP1332">
        <v>14</v>
      </c>
    </row>
    <row r="1333" spans="1:42">
      <c r="A1333">
        <v>48</v>
      </c>
      <c r="B1333" t="str" cm="1">
        <f t="array" ref="B1333">_xlfn.IFS(A1333&lt;=25,"18-25",A1333&lt;=35,"26-35",A1333&lt;=45,"36-45",A1333&lt;=55,"46-55",A1333&gt;55,"56+")</f>
        <v>46-55</v>
      </c>
      <c r="C1333" t="s">
        <v>39</v>
      </c>
      <c r="D1333" t="s">
        <v>33</v>
      </c>
      <c r="E1333" s="2">
        <v>1224</v>
      </c>
      <c r="F1333" t="s">
        <v>41</v>
      </c>
      <c r="G1333">
        <v>10</v>
      </c>
      <c r="H1333" t="str">
        <f t="shared" si="20"/>
        <v>1-10 km</v>
      </c>
      <c r="I1333">
        <v>3</v>
      </c>
      <c r="J1333" t="str" cm="1">
        <f t="array" ref="J1333">_xlfn.IFS(I1333=1,"Below College",I1333=2,"College",I1333=3,"Bachelor",I1333=4,"Master",I1333=5,"Doctor")</f>
        <v>Bachelor</v>
      </c>
      <c r="K1333" t="s">
        <v>35</v>
      </c>
      <c r="L1333">
        <v>1867</v>
      </c>
      <c r="M1333">
        <v>4</v>
      </c>
      <c r="N1333" t="str" cm="1">
        <f t="array" ref="N1333">_xlfn.IFS(M1333=1,"Low",M1333=2,"Medium",M1333=3,"High",M1333=4,"Very High")</f>
        <v>Very High</v>
      </c>
      <c r="O1333" t="s">
        <v>42</v>
      </c>
      <c r="P1333" s="2">
        <v>91</v>
      </c>
      <c r="Q1333">
        <v>2</v>
      </c>
      <c r="R1333" t="str" cm="1">
        <f t="array" ref="R1333">_xlfn.IFS(Q1333=1,"Low",Q1333=2,"Medium",Q1333=3,"High",Q1333=4,"Very High")</f>
        <v>Medium</v>
      </c>
      <c r="S1333">
        <v>5</v>
      </c>
      <c r="T1333" t="str" cm="1">
        <f t="array" ref="T1333">_xlfn.IFS(S1333=1,"Entry Level",S1333=2,"Junior",S1333=3,"Mid-Level",S1333=4,"Senior",S1333=5,"Executive")</f>
        <v>Executive</v>
      </c>
      <c r="U1333" t="s">
        <v>54</v>
      </c>
      <c r="V1333">
        <v>2</v>
      </c>
      <c r="W1333" t="str" cm="1">
        <f t="array" ref="W1333">_xlfn.IFS(V1333=1,"Low",V1333=2,"Medium",V1333=3,"High",V1333=4,"Very High")</f>
        <v>Medium</v>
      </c>
      <c r="X1333" t="s">
        <v>44</v>
      </c>
      <c r="Y1333" s="2">
        <v>19665</v>
      </c>
      <c r="Z1333" s="2">
        <v>13583</v>
      </c>
      <c r="AA1333">
        <v>4</v>
      </c>
      <c r="AB1333" t="s">
        <v>39</v>
      </c>
      <c r="AC1333">
        <v>12</v>
      </c>
      <c r="AD1333">
        <v>3</v>
      </c>
      <c r="AE1333" t="str" cm="1">
        <f t="array" ref="AE1333">_xlfn.IFS(AD1333=1,"Low",AD1333=2,"Good",AD1333=3,"Excellent",AD1333=4,"Outstanding")</f>
        <v>Excellent</v>
      </c>
      <c r="AF1333">
        <v>4</v>
      </c>
      <c r="AG1333" t="str" cm="1">
        <f t="array" ref="AG1333">_xlfn.IFS(AF1333=1,"Low",AF1333=2,"Medium",AF1333=3,"High",AF1333=4,"Very High")</f>
        <v>Very High</v>
      </c>
      <c r="AH1333">
        <v>0</v>
      </c>
      <c r="AI1333">
        <v>29</v>
      </c>
      <c r="AJ1333">
        <v>3</v>
      </c>
      <c r="AK1333">
        <v>3</v>
      </c>
      <c r="AL1333" t="str" cm="1">
        <f t="array" ref="AL1333">_xlfn.IFS(AK1333=1,"Low",AK1333=2,"Medium",AK1333=3,"High",AK1333=4,"Very High")</f>
        <v>High</v>
      </c>
      <c r="AM1333">
        <v>22</v>
      </c>
      <c r="AN1333">
        <v>10</v>
      </c>
      <c r="AO1333">
        <v>12</v>
      </c>
      <c r="AP1333">
        <v>9</v>
      </c>
    </row>
    <row r="1334" spans="1:42">
      <c r="A1334">
        <v>29</v>
      </c>
      <c r="B1334" t="str" cm="1">
        <f t="array" ref="B1334">_xlfn.IFS(A1334&lt;=25,"18-25",A1334&lt;=35,"26-35",A1334&lt;=45,"36-45",A1334&lt;=55,"46-55",A1334&gt;55,"56+")</f>
        <v>26-35</v>
      </c>
      <c r="C1334" t="s">
        <v>32</v>
      </c>
      <c r="D1334" t="s">
        <v>40</v>
      </c>
      <c r="E1334" s="2">
        <v>459</v>
      </c>
      <c r="F1334" t="s">
        <v>41</v>
      </c>
      <c r="G1334">
        <v>24</v>
      </c>
      <c r="H1334" t="str">
        <f t="shared" si="20"/>
        <v>21-30 km</v>
      </c>
      <c r="I1334">
        <v>2</v>
      </c>
      <c r="J1334" t="str" cm="1">
        <f t="array" ref="J1334">_xlfn.IFS(I1334=1,"Below College",I1334=2,"College",I1334=3,"Bachelor",I1334=4,"Master",I1334=5,"Doctor")</f>
        <v>College</v>
      </c>
      <c r="K1334" t="s">
        <v>35</v>
      </c>
      <c r="L1334">
        <v>1868</v>
      </c>
      <c r="M1334">
        <v>4</v>
      </c>
      <c r="N1334" t="str" cm="1">
        <f t="array" ref="N1334">_xlfn.IFS(M1334=1,"Low",M1334=2,"Medium",M1334=3,"High",M1334=4,"Very High")</f>
        <v>Very High</v>
      </c>
      <c r="O1334" t="s">
        <v>42</v>
      </c>
      <c r="P1334" s="2">
        <v>73</v>
      </c>
      <c r="Q1334">
        <v>2</v>
      </c>
      <c r="R1334" t="str" cm="1">
        <f t="array" ref="R1334">_xlfn.IFS(Q1334=1,"Low",Q1334=2,"Medium",Q1334=3,"High",Q1334=4,"Very High")</f>
        <v>Medium</v>
      </c>
      <c r="S1334">
        <v>1</v>
      </c>
      <c r="T1334" t="str" cm="1">
        <f t="array" ref="T1334">_xlfn.IFS(S1334=1,"Entry Level",S1334=2,"Junior",S1334=3,"Mid-Level",S1334=4,"Senior",S1334=5,"Executive")</f>
        <v>Entry Level</v>
      </c>
      <c r="U1334" t="s">
        <v>43</v>
      </c>
      <c r="V1334">
        <v>4</v>
      </c>
      <c r="W1334" t="str" cm="1">
        <f t="array" ref="W1334">_xlfn.IFS(V1334=1,"Low",V1334=2,"Medium",V1334=3,"High",V1334=4,"Very High")</f>
        <v>Very High</v>
      </c>
      <c r="X1334" t="s">
        <v>38</v>
      </c>
      <c r="Y1334" s="2">
        <v>2439</v>
      </c>
      <c r="Z1334" s="2">
        <v>14753</v>
      </c>
      <c r="AA1334">
        <v>1</v>
      </c>
      <c r="AB1334" t="s">
        <v>32</v>
      </c>
      <c r="AC1334">
        <v>24</v>
      </c>
      <c r="AD1334">
        <v>4</v>
      </c>
      <c r="AE1334" t="str" cm="1">
        <f t="array" ref="AE1334">_xlfn.IFS(AD1334=1,"Low",AD1334=2,"Good",AD1334=3,"Excellent",AD1334=4,"Outstanding")</f>
        <v>Outstanding</v>
      </c>
      <c r="AF1334">
        <v>2</v>
      </c>
      <c r="AG1334" t="str" cm="1">
        <f t="array" ref="AG1334">_xlfn.IFS(AF1334=1,"Low",AF1334=2,"Medium",AF1334=3,"High",AF1334=4,"Very High")</f>
        <v>Medium</v>
      </c>
      <c r="AH1334">
        <v>0</v>
      </c>
      <c r="AI1334">
        <v>1</v>
      </c>
      <c r="AJ1334">
        <v>3</v>
      </c>
      <c r="AK1334">
        <v>2</v>
      </c>
      <c r="AL1334" t="str" cm="1">
        <f t="array" ref="AL1334">_xlfn.IFS(AK1334=1,"Low",AK1334=2,"Medium",AK1334=3,"High",AK1334=4,"Very High")</f>
        <v>Medium</v>
      </c>
      <c r="AM1334">
        <v>1</v>
      </c>
      <c r="AN1334">
        <v>0</v>
      </c>
      <c r="AO1334">
        <v>1</v>
      </c>
      <c r="AP1334">
        <v>0</v>
      </c>
    </row>
    <row r="1335" spans="1:42">
      <c r="A1335">
        <v>46</v>
      </c>
      <c r="B1335" t="str" cm="1">
        <f t="array" ref="B1335">_xlfn.IFS(A1335&lt;=25,"18-25",A1335&lt;=35,"26-35",A1335&lt;=45,"36-45",A1335&lt;=55,"46-55",A1335&gt;55,"56+")</f>
        <v>46-55</v>
      </c>
      <c r="C1335" t="s">
        <v>32</v>
      </c>
      <c r="D1335" t="s">
        <v>33</v>
      </c>
      <c r="E1335" s="2">
        <v>1254</v>
      </c>
      <c r="F1335" t="s">
        <v>34</v>
      </c>
      <c r="G1335">
        <v>10</v>
      </c>
      <c r="H1335" t="str">
        <f t="shared" si="20"/>
        <v>1-10 km</v>
      </c>
      <c r="I1335">
        <v>3</v>
      </c>
      <c r="J1335" t="str" cm="1">
        <f t="array" ref="J1335">_xlfn.IFS(I1335=1,"Below College",I1335=2,"College",I1335=3,"Bachelor",I1335=4,"Master",I1335=5,"Doctor")</f>
        <v>Bachelor</v>
      </c>
      <c r="K1335" t="s">
        <v>35</v>
      </c>
      <c r="L1335">
        <v>1869</v>
      </c>
      <c r="M1335">
        <v>3</v>
      </c>
      <c r="N1335" t="str" cm="1">
        <f t="array" ref="N1335">_xlfn.IFS(M1335=1,"Low",M1335=2,"Medium",M1335=3,"High",M1335=4,"Very High")</f>
        <v>High</v>
      </c>
      <c r="O1335" t="s">
        <v>36</v>
      </c>
      <c r="P1335" s="2">
        <v>64</v>
      </c>
      <c r="Q1335">
        <v>3</v>
      </c>
      <c r="R1335" t="str" cm="1">
        <f t="array" ref="R1335">_xlfn.IFS(Q1335=1,"Low",Q1335=2,"Medium",Q1335=3,"High",Q1335=4,"Very High")</f>
        <v>High</v>
      </c>
      <c r="S1335">
        <v>3</v>
      </c>
      <c r="T1335" t="str" cm="1">
        <f t="array" ref="T1335">_xlfn.IFS(S1335=1,"Entry Level",S1335=2,"Junior",S1335=3,"Mid-Level",S1335=4,"Senior",S1335=5,"Executive")</f>
        <v>Mid-Level</v>
      </c>
      <c r="U1335" t="s">
        <v>37</v>
      </c>
      <c r="V1335">
        <v>2</v>
      </c>
      <c r="W1335" t="str" cm="1">
        <f t="array" ref="W1335">_xlfn.IFS(V1335=1,"Low",V1335=2,"Medium",V1335=3,"High",V1335=4,"Very High")</f>
        <v>Medium</v>
      </c>
      <c r="X1335" t="s">
        <v>44</v>
      </c>
      <c r="Y1335" s="2">
        <v>7314</v>
      </c>
      <c r="Z1335" s="2">
        <v>14011</v>
      </c>
      <c r="AA1335">
        <v>5</v>
      </c>
      <c r="AB1335" t="s">
        <v>39</v>
      </c>
      <c r="AC1335">
        <v>21</v>
      </c>
      <c r="AD1335">
        <v>4</v>
      </c>
      <c r="AE1335" t="str" cm="1">
        <f t="array" ref="AE1335">_xlfn.IFS(AD1335=1,"Low",AD1335=2,"Good",AD1335=3,"Excellent",AD1335=4,"Outstanding")</f>
        <v>Outstanding</v>
      </c>
      <c r="AF1335">
        <v>3</v>
      </c>
      <c r="AG1335" t="str" cm="1">
        <f t="array" ref="AG1335">_xlfn.IFS(AF1335=1,"Low",AF1335=2,"Medium",AF1335=3,"High",AF1335=4,"Very High")</f>
        <v>High</v>
      </c>
      <c r="AH1335">
        <v>3</v>
      </c>
      <c r="AI1335">
        <v>14</v>
      </c>
      <c r="AJ1335">
        <v>2</v>
      </c>
      <c r="AK1335">
        <v>3</v>
      </c>
      <c r="AL1335" t="str" cm="1">
        <f t="array" ref="AL1335">_xlfn.IFS(AK1335=1,"Low",AK1335=2,"Medium",AK1335=3,"High",AK1335=4,"Very High")</f>
        <v>High</v>
      </c>
      <c r="AM1335">
        <v>8</v>
      </c>
      <c r="AN1335">
        <v>7</v>
      </c>
      <c r="AO1335">
        <v>0</v>
      </c>
      <c r="AP1335">
        <v>7</v>
      </c>
    </row>
    <row r="1336" spans="1:42">
      <c r="A1336">
        <v>27</v>
      </c>
      <c r="B1336" t="str" cm="1">
        <f t="array" ref="B1336">_xlfn.IFS(A1336&lt;=25,"18-25",A1336&lt;=35,"26-35",A1336&lt;=45,"36-45",A1336&lt;=55,"46-55",A1336&gt;55,"56+")</f>
        <v>26-35</v>
      </c>
      <c r="C1336" t="s">
        <v>39</v>
      </c>
      <c r="D1336" t="s">
        <v>40</v>
      </c>
      <c r="E1336" s="2">
        <v>1131</v>
      </c>
      <c r="F1336" t="s">
        <v>41</v>
      </c>
      <c r="G1336">
        <v>15</v>
      </c>
      <c r="H1336" t="str">
        <f t="shared" si="20"/>
        <v>11-20 km</v>
      </c>
      <c r="I1336">
        <v>3</v>
      </c>
      <c r="J1336" t="str" cm="1">
        <f t="array" ref="J1336">_xlfn.IFS(I1336=1,"Below College",I1336=2,"College",I1336=3,"Bachelor",I1336=4,"Master",I1336=5,"Doctor")</f>
        <v>Bachelor</v>
      </c>
      <c r="K1336" t="s">
        <v>35</v>
      </c>
      <c r="L1336">
        <v>1870</v>
      </c>
      <c r="M1336">
        <v>4</v>
      </c>
      <c r="N1336" t="str" cm="1">
        <f t="array" ref="N1336">_xlfn.IFS(M1336=1,"Low",M1336=2,"Medium",M1336=3,"High",M1336=4,"Very High")</f>
        <v>Very High</v>
      </c>
      <c r="O1336" t="s">
        <v>36</v>
      </c>
      <c r="P1336" s="2">
        <v>77</v>
      </c>
      <c r="Q1336">
        <v>2</v>
      </c>
      <c r="R1336" t="str" cm="1">
        <f t="array" ref="R1336">_xlfn.IFS(Q1336=1,"Low",Q1336=2,"Medium",Q1336=3,"High",Q1336=4,"Very High")</f>
        <v>Medium</v>
      </c>
      <c r="S1336">
        <v>1</v>
      </c>
      <c r="T1336" t="str" cm="1">
        <f t="array" ref="T1336">_xlfn.IFS(S1336=1,"Entry Level",S1336=2,"Junior",S1336=3,"Mid-Level",S1336=4,"Senior",S1336=5,"Executive")</f>
        <v>Entry Level</v>
      </c>
      <c r="U1336" t="s">
        <v>43</v>
      </c>
      <c r="V1336">
        <v>1</v>
      </c>
      <c r="W1336" t="str" cm="1">
        <f t="array" ref="W1336">_xlfn.IFS(V1336=1,"Low",V1336=2,"Medium",V1336=3,"High",V1336=4,"Very High")</f>
        <v>Low</v>
      </c>
      <c r="X1336" t="s">
        <v>44</v>
      </c>
      <c r="Y1336" s="2">
        <v>4774</v>
      </c>
      <c r="Z1336" s="2">
        <v>23844</v>
      </c>
      <c r="AA1336">
        <v>0</v>
      </c>
      <c r="AB1336" t="s">
        <v>39</v>
      </c>
      <c r="AC1336">
        <v>19</v>
      </c>
      <c r="AD1336">
        <v>3</v>
      </c>
      <c r="AE1336" t="str" cm="1">
        <f t="array" ref="AE1336">_xlfn.IFS(AD1336=1,"Low",AD1336=2,"Good",AD1336=3,"Excellent",AD1336=4,"Outstanding")</f>
        <v>Excellent</v>
      </c>
      <c r="AF1336">
        <v>4</v>
      </c>
      <c r="AG1336" t="str" cm="1">
        <f t="array" ref="AG1336">_xlfn.IFS(AF1336=1,"Low",AF1336=2,"Medium",AF1336=3,"High",AF1336=4,"Very High")</f>
        <v>Very High</v>
      </c>
      <c r="AH1336">
        <v>1</v>
      </c>
      <c r="AI1336">
        <v>8</v>
      </c>
      <c r="AJ1336">
        <v>2</v>
      </c>
      <c r="AK1336">
        <v>2</v>
      </c>
      <c r="AL1336" t="str" cm="1">
        <f t="array" ref="AL1336">_xlfn.IFS(AK1336=1,"Low",AK1336=2,"Medium",AK1336=3,"High",AK1336=4,"Very High")</f>
        <v>Medium</v>
      </c>
      <c r="AM1336">
        <v>7</v>
      </c>
      <c r="AN1336">
        <v>6</v>
      </c>
      <c r="AO1336">
        <v>7</v>
      </c>
      <c r="AP1336">
        <v>3</v>
      </c>
    </row>
    <row r="1337" spans="1:42">
      <c r="A1337">
        <v>39</v>
      </c>
      <c r="B1337" t="str" cm="1">
        <f t="array" ref="B1337">_xlfn.IFS(A1337&lt;=25,"18-25",A1337&lt;=35,"26-35",A1337&lt;=45,"36-45",A1337&lt;=55,"46-55",A1337&gt;55,"56+")</f>
        <v>36-45</v>
      </c>
      <c r="C1337" t="s">
        <v>39</v>
      </c>
      <c r="D1337" t="s">
        <v>33</v>
      </c>
      <c r="E1337" s="2">
        <v>835</v>
      </c>
      <c r="F1337" t="s">
        <v>41</v>
      </c>
      <c r="G1337">
        <v>19</v>
      </c>
      <c r="H1337" t="str">
        <f t="shared" si="20"/>
        <v>11-20 km</v>
      </c>
      <c r="I1337">
        <v>4</v>
      </c>
      <c r="J1337" t="str" cm="1">
        <f t="array" ref="J1337">_xlfn.IFS(I1337=1,"Below College",I1337=2,"College",I1337=3,"Bachelor",I1337=4,"Master",I1337=5,"Doctor")</f>
        <v>Master</v>
      </c>
      <c r="K1337" t="s">
        <v>45</v>
      </c>
      <c r="L1337">
        <v>1871</v>
      </c>
      <c r="M1337">
        <v>4</v>
      </c>
      <c r="N1337" t="str" cm="1">
        <f t="array" ref="N1337">_xlfn.IFS(M1337=1,"Low",M1337=2,"Medium",M1337=3,"High",M1337=4,"Very High")</f>
        <v>Very High</v>
      </c>
      <c r="O1337" t="s">
        <v>42</v>
      </c>
      <c r="P1337" s="2">
        <v>41</v>
      </c>
      <c r="Q1337">
        <v>3</v>
      </c>
      <c r="R1337" t="str" cm="1">
        <f t="array" ref="R1337">_xlfn.IFS(Q1337=1,"Low",Q1337=2,"Medium",Q1337=3,"High",Q1337=4,"Very High")</f>
        <v>High</v>
      </c>
      <c r="S1337">
        <v>2</v>
      </c>
      <c r="T1337" t="str" cm="1">
        <f t="array" ref="T1337">_xlfn.IFS(S1337=1,"Entry Level",S1337=2,"Junior",S1337=3,"Mid-Level",S1337=4,"Senior",S1337=5,"Executive")</f>
        <v>Junior</v>
      </c>
      <c r="U1337" t="s">
        <v>43</v>
      </c>
      <c r="V1337">
        <v>4</v>
      </c>
      <c r="W1337" t="str" cm="1">
        <f t="array" ref="W1337">_xlfn.IFS(V1337=1,"Low",V1337=2,"Medium",V1337=3,"High",V1337=4,"Very High")</f>
        <v>Very High</v>
      </c>
      <c r="X1337" t="s">
        <v>48</v>
      </c>
      <c r="Y1337" s="2">
        <v>3902</v>
      </c>
      <c r="Z1337" s="2">
        <v>5141</v>
      </c>
      <c r="AA1337">
        <v>8</v>
      </c>
      <c r="AB1337" t="s">
        <v>39</v>
      </c>
      <c r="AC1337">
        <v>14</v>
      </c>
      <c r="AD1337">
        <v>3</v>
      </c>
      <c r="AE1337" t="str" cm="1">
        <f t="array" ref="AE1337">_xlfn.IFS(AD1337=1,"Low",AD1337=2,"Good",AD1337=3,"Excellent",AD1337=4,"Outstanding")</f>
        <v>Excellent</v>
      </c>
      <c r="AF1337">
        <v>2</v>
      </c>
      <c r="AG1337" t="str" cm="1">
        <f t="array" ref="AG1337">_xlfn.IFS(AF1337=1,"Low",AF1337=2,"Medium",AF1337=3,"High",AF1337=4,"Very High")</f>
        <v>Medium</v>
      </c>
      <c r="AH1337">
        <v>3</v>
      </c>
      <c r="AI1337">
        <v>7</v>
      </c>
      <c r="AJ1337">
        <v>2</v>
      </c>
      <c r="AK1337">
        <v>3</v>
      </c>
      <c r="AL1337" t="str" cm="1">
        <f t="array" ref="AL1337">_xlfn.IFS(AK1337=1,"Low",AK1337=2,"Medium",AK1337=3,"High",AK1337=4,"Very High")</f>
        <v>High</v>
      </c>
      <c r="AM1337">
        <v>2</v>
      </c>
      <c r="AN1337">
        <v>2</v>
      </c>
      <c r="AO1337">
        <v>2</v>
      </c>
      <c r="AP1337">
        <v>2</v>
      </c>
    </row>
    <row r="1338" spans="1:42">
      <c r="A1338">
        <v>55</v>
      </c>
      <c r="B1338" t="str" cm="1">
        <f t="array" ref="B1338">_xlfn.IFS(A1338&lt;=25,"18-25",A1338&lt;=35,"26-35",A1338&lt;=45,"36-45",A1338&lt;=55,"46-55",A1338&gt;55,"56+")</f>
        <v>46-55</v>
      </c>
      <c r="C1338" t="s">
        <v>39</v>
      </c>
      <c r="D1338" t="s">
        <v>33</v>
      </c>
      <c r="E1338" s="2">
        <v>836</v>
      </c>
      <c r="F1338" t="s">
        <v>41</v>
      </c>
      <c r="G1338">
        <v>2</v>
      </c>
      <c r="H1338" t="str">
        <f t="shared" si="20"/>
        <v>1-10 km</v>
      </c>
      <c r="I1338">
        <v>4</v>
      </c>
      <c r="J1338" t="str" cm="1">
        <f t="array" ref="J1338">_xlfn.IFS(I1338=1,"Below College",I1338=2,"College",I1338=3,"Bachelor",I1338=4,"Master",I1338=5,"Doctor")</f>
        <v>Master</v>
      </c>
      <c r="K1338" t="s">
        <v>56</v>
      </c>
      <c r="L1338">
        <v>1873</v>
      </c>
      <c r="M1338">
        <v>2</v>
      </c>
      <c r="N1338" t="str" cm="1">
        <f t="array" ref="N1338">_xlfn.IFS(M1338=1,"Low",M1338=2,"Medium",M1338=3,"High",M1338=4,"Very High")</f>
        <v>Medium</v>
      </c>
      <c r="O1338" t="s">
        <v>42</v>
      </c>
      <c r="P1338" s="2">
        <v>98</v>
      </c>
      <c r="Q1338">
        <v>2</v>
      </c>
      <c r="R1338" t="str" cm="1">
        <f t="array" ref="R1338">_xlfn.IFS(Q1338=1,"Low",Q1338=2,"Medium",Q1338=3,"High",Q1338=4,"Very High")</f>
        <v>Medium</v>
      </c>
      <c r="S1338">
        <v>1</v>
      </c>
      <c r="T1338" t="str" cm="1">
        <f t="array" ref="T1338">_xlfn.IFS(S1338=1,"Entry Level",S1338=2,"Junior",S1338=3,"Mid-Level",S1338=4,"Senior",S1338=5,"Executive")</f>
        <v>Entry Level</v>
      </c>
      <c r="U1338" t="s">
        <v>43</v>
      </c>
      <c r="V1338">
        <v>4</v>
      </c>
      <c r="W1338" t="str" cm="1">
        <f t="array" ref="W1338">_xlfn.IFS(V1338=1,"Low",V1338=2,"Medium",V1338=3,"High",V1338=4,"Very High")</f>
        <v>Very High</v>
      </c>
      <c r="X1338" t="s">
        <v>44</v>
      </c>
      <c r="Y1338" s="2">
        <v>2662</v>
      </c>
      <c r="Z1338" s="2">
        <v>7975</v>
      </c>
      <c r="AA1338">
        <v>8</v>
      </c>
      <c r="AB1338" t="s">
        <v>39</v>
      </c>
      <c r="AC1338">
        <v>20</v>
      </c>
      <c r="AD1338">
        <v>4</v>
      </c>
      <c r="AE1338" t="str" cm="1">
        <f t="array" ref="AE1338">_xlfn.IFS(AD1338=1,"Low",AD1338=2,"Good",AD1338=3,"Excellent",AD1338=4,"Outstanding")</f>
        <v>Outstanding</v>
      </c>
      <c r="AF1338">
        <v>2</v>
      </c>
      <c r="AG1338" t="str" cm="1">
        <f t="array" ref="AG1338">_xlfn.IFS(AF1338=1,"Low",AF1338=2,"Medium",AF1338=3,"High",AF1338=4,"Very High")</f>
        <v>Medium</v>
      </c>
      <c r="AH1338">
        <v>1</v>
      </c>
      <c r="AI1338">
        <v>19</v>
      </c>
      <c r="AJ1338">
        <v>2</v>
      </c>
      <c r="AK1338">
        <v>4</v>
      </c>
      <c r="AL1338" t="str" cm="1">
        <f t="array" ref="AL1338">_xlfn.IFS(AK1338=1,"Low",AK1338=2,"Medium",AK1338=3,"High",AK1338=4,"Very High")</f>
        <v>Very High</v>
      </c>
      <c r="AM1338">
        <v>5</v>
      </c>
      <c r="AN1338">
        <v>2</v>
      </c>
      <c r="AO1338">
        <v>0</v>
      </c>
      <c r="AP1338">
        <v>4</v>
      </c>
    </row>
    <row r="1339" spans="1:42">
      <c r="A1339">
        <v>28</v>
      </c>
      <c r="B1339" t="str" cm="1">
        <f t="array" ref="B1339">_xlfn.IFS(A1339&lt;=25,"18-25",A1339&lt;=35,"26-35",A1339&lt;=45,"36-45",A1339&lt;=55,"46-55",A1339&gt;55,"56+")</f>
        <v>26-35</v>
      </c>
      <c r="C1339" t="s">
        <v>39</v>
      </c>
      <c r="D1339" t="s">
        <v>33</v>
      </c>
      <c r="E1339" s="2">
        <v>1172</v>
      </c>
      <c r="F1339" t="s">
        <v>34</v>
      </c>
      <c r="G1339">
        <v>3</v>
      </c>
      <c r="H1339" t="str">
        <f t="shared" si="20"/>
        <v>1-10 km</v>
      </c>
      <c r="I1339">
        <v>3</v>
      </c>
      <c r="J1339" t="str" cm="1">
        <f t="array" ref="J1339">_xlfn.IFS(I1339=1,"Below College",I1339=2,"College",I1339=3,"Bachelor",I1339=4,"Master",I1339=5,"Doctor")</f>
        <v>Bachelor</v>
      </c>
      <c r="K1339" t="s">
        <v>47</v>
      </c>
      <c r="L1339">
        <v>1875</v>
      </c>
      <c r="M1339">
        <v>2</v>
      </c>
      <c r="N1339" t="str" cm="1">
        <f t="array" ref="N1339">_xlfn.IFS(M1339=1,"Low",M1339=2,"Medium",M1339=3,"High",M1339=4,"Very High")</f>
        <v>Medium</v>
      </c>
      <c r="O1339" t="s">
        <v>36</v>
      </c>
      <c r="P1339" s="2">
        <v>78</v>
      </c>
      <c r="Q1339">
        <v>3</v>
      </c>
      <c r="R1339" t="str" cm="1">
        <f t="array" ref="R1339">_xlfn.IFS(Q1339=1,"Low",Q1339=2,"Medium",Q1339=3,"High",Q1339=4,"Very High")</f>
        <v>High</v>
      </c>
      <c r="S1339">
        <v>1</v>
      </c>
      <c r="T1339" t="str" cm="1">
        <f t="array" ref="T1339">_xlfn.IFS(S1339=1,"Entry Level",S1339=2,"Junior",S1339=3,"Mid-Level",S1339=4,"Senior",S1339=5,"Executive")</f>
        <v>Entry Level</v>
      </c>
      <c r="U1339" t="s">
        <v>53</v>
      </c>
      <c r="V1339">
        <v>2</v>
      </c>
      <c r="W1339" t="str" cm="1">
        <f t="array" ref="W1339">_xlfn.IFS(V1339=1,"Low",V1339=2,"Medium",V1339=3,"High",V1339=4,"Very High")</f>
        <v>Medium</v>
      </c>
      <c r="X1339" t="s">
        <v>44</v>
      </c>
      <c r="Y1339" s="2">
        <v>2856</v>
      </c>
      <c r="Z1339" s="2">
        <v>3692</v>
      </c>
      <c r="AA1339">
        <v>1</v>
      </c>
      <c r="AB1339" t="s">
        <v>39</v>
      </c>
      <c r="AC1339">
        <v>19</v>
      </c>
      <c r="AD1339">
        <v>3</v>
      </c>
      <c r="AE1339" t="str" cm="1">
        <f t="array" ref="AE1339">_xlfn.IFS(AD1339=1,"Low",AD1339=2,"Good",AD1339=3,"Excellent",AD1339=4,"Outstanding")</f>
        <v>Excellent</v>
      </c>
      <c r="AF1339">
        <v>4</v>
      </c>
      <c r="AG1339" t="str" cm="1">
        <f t="array" ref="AG1339">_xlfn.IFS(AF1339=1,"Low",AF1339=2,"Medium",AF1339=3,"High",AF1339=4,"Very High")</f>
        <v>Very High</v>
      </c>
      <c r="AH1339">
        <v>1</v>
      </c>
      <c r="AI1339">
        <v>1</v>
      </c>
      <c r="AJ1339">
        <v>3</v>
      </c>
      <c r="AK1339">
        <v>3</v>
      </c>
      <c r="AL1339" t="str" cm="1">
        <f t="array" ref="AL1339">_xlfn.IFS(AK1339=1,"Low",AK1339=2,"Medium",AK1339=3,"High",AK1339=4,"Very High")</f>
        <v>High</v>
      </c>
      <c r="AM1339">
        <v>1</v>
      </c>
      <c r="AN1339">
        <v>0</v>
      </c>
      <c r="AO1339">
        <v>0</v>
      </c>
      <c r="AP1339">
        <v>0</v>
      </c>
    </row>
    <row r="1340" spans="1:42">
      <c r="A1340">
        <v>30</v>
      </c>
      <c r="B1340" t="str" cm="1">
        <f t="array" ref="B1340">_xlfn.IFS(A1340&lt;=25,"18-25",A1340&lt;=35,"26-35",A1340&lt;=45,"36-45",A1340&lt;=55,"46-55",A1340&gt;55,"56+")</f>
        <v>26-35</v>
      </c>
      <c r="C1340" t="s">
        <v>32</v>
      </c>
      <c r="D1340" t="s">
        <v>33</v>
      </c>
      <c r="E1340" s="2">
        <v>945</v>
      </c>
      <c r="F1340" t="s">
        <v>34</v>
      </c>
      <c r="G1340">
        <v>9</v>
      </c>
      <c r="H1340" t="str">
        <f t="shared" si="20"/>
        <v>1-10 km</v>
      </c>
      <c r="I1340">
        <v>3</v>
      </c>
      <c r="J1340" t="str" cm="1">
        <f t="array" ref="J1340">_xlfn.IFS(I1340=1,"Below College",I1340=2,"College",I1340=3,"Bachelor",I1340=4,"Master",I1340=5,"Doctor")</f>
        <v>Bachelor</v>
      </c>
      <c r="K1340" t="s">
        <v>47</v>
      </c>
      <c r="L1340">
        <v>1876</v>
      </c>
      <c r="M1340">
        <v>2</v>
      </c>
      <c r="N1340" t="str" cm="1">
        <f t="array" ref="N1340">_xlfn.IFS(M1340=1,"Low",M1340=2,"Medium",M1340=3,"High",M1340=4,"Very High")</f>
        <v>Medium</v>
      </c>
      <c r="O1340" t="s">
        <v>42</v>
      </c>
      <c r="P1340" s="2">
        <v>89</v>
      </c>
      <c r="Q1340">
        <v>3</v>
      </c>
      <c r="R1340" t="str" cm="1">
        <f t="array" ref="R1340">_xlfn.IFS(Q1340=1,"Low",Q1340=2,"Medium",Q1340=3,"High",Q1340=4,"Very High")</f>
        <v>High</v>
      </c>
      <c r="S1340">
        <v>1</v>
      </c>
      <c r="T1340" t="str" cm="1">
        <f t="array" ref="T1340">_xlfn.IFS(S1340=1,"Entry Level",S1340=2,"Junior",S1340=3,"Mid-Level",S1340=4,"Senior",S1340=5,"Executive")</f>
        <v>Entry Level</v>
      </c>
      <c r="U1340" t="s">
        <v>53</v>
      </c>
      <c r="V1340">
        <v>4</v>
      </c>
      <c r="W1340" t="str" cm="1">
        <f t="array" ref="W1340">_xlfn.IFS(V1340=1,"Low",V1340=2,"Medium",V1340=3,"High",V1340=4,"Very High")</f>
        <v>Very High</v>
      </c>
      <c r="X1340" t="s">
        <v>38</v>
      </c>
      <c r="Y1340" s="2">
        <v>1081</v>
      </c>
      <c r="Z1340" s="2">
        <v>16019</v>
      </c>
      <c r="AA1340">
        <v>1</v>
      </c>
      <c r="AB1340" t="s">
        <v>39</v>
      </c>
      <c r="AC1340">
        <v>13</v>
      </c>
      <c r="AD1340">
        <v>3</v>
      </c>
      <c r="AE1340" t="str" cm="1">
        <f t="array" ref="AE1340">_xlfn.IFS(AD1340=1,"Low",AD1340=2,"Good",AD1340=3,"Excellent",AD1340=4,"Outstanding")</f>
        <v>Excellent</v>
      </c>
      <c r="AF1340">
        <v>3</v>
      </c>
      <c r="AG1340" t="str" cm="1">
        <f t="array" ref="AG1340">_xlfn.IFS(AF1340=1,"Low",AF1340=2,"Medium",AF1340=3,"High",AF1340=4,"Very High")</f>
        <v>High</v>
      </c>
      <c r="AH1340">
        <v>0</v>
      </c>
      <c r="AI1340">
        <v>1</v>
      </c>
      <c r="AJ1340">
        <v>3</v>
      </c>
      <c r="AK1340">
        <v>2</v>
      </c>
      <c r="AL1340" t="str" cm="1">
        <f t="array" ref="AL1340">_xlfn.IFS(AK1340=1,"Low",AK1340=2,"Medium",AK1340=3,"High",AK1340=4,"Very High")</f>
        <v>Medium</v>
      </c>
      <c r="AM1340">
        <v>1</v>
      </c>
      <c r="AN1340">
        <v>0</v>
      </c>
      <c r="AO1340">
        <v>0</v>
      </c>
      <c r="AP1340">
        <v>0</v>
      </c>
    </row>
    <row r="1341" spans="1:42">
      <c r="A1341">
        <v>22</v>
      </c>
      <c r="B1341" t="str" cm="1">
        <f t="array" ref="B1341">_xlfn.IFS(A1341&lt;=25,"18-25",A1341&lt;=35,"26-35",A1341&lt;=45,"36-45",A1341&lt;=55,"46-55",A1341&gt;55,"56+")</f>
        <v>18-25</v>
      </c>
      <c r="C1341" t="s">
        <v>32</v>
      </c>
      <c r="D1341" t="s">
        <v>33</v>
      </c>
      <c r="E1341" s="2">
        <v>391</v>
      </c>
      <c r="F1341" t="s">
        <v>41</v>
      </c>
      <c r="G1341">
        <v>7</v>
      </c>
      <c r="H1341" t="str">
        <f t="shared" si="20"/>
        <v>1-10 km</v>
      </c>
      <c r="I1341">
        <v>1</v>
      </c>
      <c r="J1341" t="str" cm="1">
        <f t="array" ref="J1341">_xlfn.IFS(I1341=1,"Below College",I1341=2,"College",I1341=3,"Bachelor",I1341=4,"Master",I1341=5,"Doctor")</f>
        <v>Below College</v>
      </c>
      <c r="K1341" t="s">
        <v>35</v>
      </c>
      <c r="L1341">
        <v>1878</v>
      </c>
      <c r="M1341">
        <v>4</v>
      </c>
      <c r="N1341" t="str" cm="1">
        <f t="array" ref="N1341">_xlfn.IFS(M1341=1,"Low",M1341=2,"Medium",M1341=3,"High",M1341=4,"Very High")</f>
        <v>Very High</v>
      </c>
      <c r="O1341" t="s">
        <v>42</v>
      </c>
      <c r="P1341" s="2">
        <v>75</v>
      </c>
      <c r="Q1341">
        <v>3</v>
      </c>
      <c r="R1341" t="str" cm="1">
        <f t="array" ref="R1341">_xlfn.IFS(Q1341=1,"Low",Q1341=2,"Medium",Q1341=3,"High",Q1341=4,"Very High")</f>
        <v>High</v>
      </c>
      <c r="S1341">
        <v>1</v>
      </c>
      <c r="T1341" t="str" cm="1">
        <f t="array" ref="T1341">_xlfn.IFS(S1341=1,"Entry Level",S1341=2,"Junior",S1341=3,"Mid-Level",S1341=4,"Senior",S1341=5,"Executive")</f>
        <v>Entry Level</v>
      </c>
      <c r="U1341" t="s">
        <v>43</v>
      </c>
      <c r="V1341">
        <v>2</v>
      </c>
      <c r="W1341" t="str" cm="1">
        <f t="array" ref="W1341">_xlfn.IFS(V1341=1,"Low",V1341=2,"Medium",V1341=3,"High",V1341=4,"Very High")</f>
        <v>Medium</v>
      </c>
      <c r="X1341" t="s">
        <v>38</v>
      </c>
      <c r="Y1341" s="2">
        <v>2472</v>
      </c>
      <c r="Z1341" s="2">
        <v>26092</v>
      </c>
      <c r="AA1341">
        <v>1</v>
      </c>
      <c r="AB1341" t="s">
        <v>32</v>
      </c>
      <c r="AC1341">
        <v>23</v>
      </c>
      <c r="AD1341">
        <v>4</v>
      </c>
      <c r="AE1341" t="str" cm="1">
        <f t="array" ref="AE1341">_xlfn.IFS(AD1341=1,"Low",AD1341=2,"Good",AD1341=3,"Excellent",AD1341=4,"Outstanding")</f>
        <v>Outstanding</v>
      </c>
      <c r="AF1341">
        <v>1</v>
      </c>
      <c r="AG1341" t="str" cm="1">
        <f t="array" ref="AG1341">_xlfn.IFS(AF1341=1,"Low",AF1341=2,"Medium",AF1341=3,"High",AF1341=4,"Very High")</f>
        <v>Low</v>
      </c>
      <c r="AH1341">
        <v>0</v>
      </c>
      <c r="AI1341">
        <v>1</v>
      </c>
      <c r="AJ1341">
        <v>2</v>
      </c>
      <c r="AK1341">
        <v>3</v>
      </c>
      <c r="AL1341" t="str" cm="1">
        <f t="array" ref="AL1341">_xlfn.IFS(AK1341=1,"Low",AK1341=2,"Medium",AK1341=3,"High",AK1341=4,"Very High")</f>
        <v>High</v>
      </c>
      <c r="AM1341">
        <v>1</v>
      </c>
      <c r="AN1341">
        <v>0</v>
      </c>
      <c r="AO1341">
        <v>0</v>
      </c>
      <c r="AP1341">
        <v>0</v>
      </c>
    </row>
    <row r="1342" spans="1:42">
      <c r="A1342">
        <v>36</v>
      </c>
      <c r="B1342" t="str" cm="1">
        <f t="array" ref="B1342">_xlfn.IFS(A1342&lt;=25,"18-25",A1342&lt;=35,"26-35",A1342&lt;=45,"36-45",A1342&lt;=55,"46-55",A1342&gt;55,"56+")</f>
        <v>36-45</v>
      </c>
      <c r="C1342" t="s">
        <v>39</v>
      </c>
      <c r="D1342" t="s">
        <v>33</v>
      </c>
      <c r="E1342" s="2">
        <v>1266</v>
      </c>
      <c r="F1342" t="s">
        <v>34</v>
      </c>
      <c r="G1342">
        <v>10</v>
      </c>
      <c r="H1342" t="str">
        <f t="shared" si="20"/>
        <v>1-10 km</v>
      </c>
      <c r="I1342">
        <v>4</v>
      </c>
      <c r="J1342" t="str" cm="1">
        <f t="array" ref="J1342">_xlfn.IFS(I1342=1,"Below College",I1342=2,"College",I1342=3,"Bachelor",I1342=4,"Master",I1342=5,"Doctor")</f>
        <v>Master</v>
      </c>
      <c r="K1342" t="s">
        <v>56</v>
      </c>
      <c r="L1342">
        <v>1880</v>
      </c>
      <c r="M1342">
        <v>2</v>
      </c>
      <c r="N1342" t="str" cm="1">
        <f t="array" ref="N1342">_xlfn.IFS(M1342=1,"Low",M1342=2,"Medium",M1342=3,"High",M1342=4,"Very High")</f>
        <v>Medium</v>
      </c>
      <c r="O1342" t="s">
        <v>36</v>
      </c>
      <c r="P1342" s="2">
        <v>63</v>
      </c>
      <c r="Q1342">
        <v>2</v>
      </c>
      <c r="R1342" t="str" cm="1">
        <f t="array" ref="R1342">_xlfn.IFS(Q1342=1,"Low",Q1342=2,"Medium",Q1342=3,"High",Q1342=4,"Very High")</f>
        <v>Medium</v>
      </c>
      <c r="S1342">
        <v>2</v>
      </c>
      <c r="T1342" t="str" cm="1">
        <f t="array" ref="T1342">_xlfn.IFS(S1342=1,"Entry Level",S1342=2,"Junior",S1342=3,"Mid-Level",S1342=4,"Senior",S1342=5,"Executive")</f>
        <v>Junior</v>
      </c>
      <c r="U1342" t="s">
        <v>37</v>
      </c>
      <c r="V1342">
        <v>3</v>
      </c>
      <c r="W1342" t="str" cm="1">
        <f t="array" ref="W1342">_xlfn.IFS(V1342=1,"Low",V1342=2,"Medium",V1342=3,"High",V1342=4,"Very High")</f>
        <v>High</v>
      </c>
      <c r="X1342" t="s">
        <v>44</v>
      </c>
      <c r="Y1342" s="2">
        <v>5673</v>
      </c>
      <c r="Z1342" s="2">
        <v>6060</v>
      </c>
      <c r="AA1342">
        <v>1</v>
      </c>
      <c r="AB1342" t="s">
        <v>32</v>
      </c>
      <c r="AC1342">
        <v>13</v>
      </c>
      <c r="AD1342">
        <v>3</v>
      </c>
      <c r="AE1342" t="str" cm="1">
        <f t="array" ref="AE1342">_xlfn.IFS(AD1342=1,"Low",AD1342=2,"Good",AD1342=3,"Excellent",AD1342=4,"Outstanding")</f>
        <v>Excellent</v>
      </c>
      <c r="AF1342">
        <v>1</v>
      </c>
      <c r="AG1342" t="str" cm="1">
        <f t="array" ref="AG1342">_xlfn.IFS(AF1342=1,"Low",AF1342=2,"Medium",AF1342=3,"High",AF1342=4,"Very High")</f>
        <v>Low</v>
      </c>
      <c r="AH1342">
        <v>1</v>
      </c>
      <c r="AI1342">
        <v>10</v>
      </c>
      <c r="AJ1342">
        <v>4</v>
      </c>
      <c r="AK1342">
        <v>3</v>
      </c>
      <c r="AL1342" t="str" cm="1">
        <f t="array" ref="AL1342">_xlfn.IFS(AK1342=1,"Low",AK1342=2,"Medium",AK1342=3,"High",AK1342=4,"Very High")</f>
        <v>High</v>
      </c>
      <c r="AM1342">
        <v>10</v>
      </c>
      <c r="AN1342">
        <v>9</v>
      </c>
      <c r="AO1342">
        <v>1</v>
      </c>
      <c r="AP1342">
        <v>7</v>
      </c>
    </row>
    <row r="1343" spans="1:42">
      <c r="A1343">
        <v>31</v>
      </c>
      <c r="B1343" t="str" cm="1">
        <f t="array" ref="B1343">_xlfn.IFS(A1343&lt;=25,"18-25",A1343&lt;=35,"26-35",A1343&lt;=45,"36-45",A1343&lt;=55,"46-55",A1343&gt;55,"56+")</f>
        <v>26-35</v>
      </c>
      <c r="C1343" t="s">
        <v>39</v>
      </c>
      <c r="D1343" t="s">
        <v>33</v>
      </c>
      <c r="E1343" s="2">
        <v>311</v>
      </c>
      <c r="F1343" t="s">
        <v>41</v>
      </c>
      <c r="G1343">
        <v>20</v>
      </c>
      <c r="H1343" t="str">
        <f t="shared" si="20"/>
        <v>11-20 km</v>
      </c>
      <c r="I1343">
        <v>3</v>
      </c>
      <c r="J1343" t="str" cm="1">
        <f t="array" ref="J1343">_xlfn.IFS(I1343=1,"Below College",I1343=2,"College",I1343=3,"Bachelor",I1343=4,"Master",I1343=5,"Doctor")</f>
        <v>Bachelor</v>
      </c>
      <c r="K1343" t="s">
        <v>35</v>
      </c>
      <c r="L1343">
        <v>1881</v>
      </c>
      <c r="M1343">
        <v>2</v>
      </c>
      <c r="N1343" t="str" cm="1">
        <f t="array" ref="N1343">_xlfn.IFS(M1343=1,"Low",M1343=2,"Medium",M1343=3,"High",M1343=4,"Very High")</f>
        <v>Medium</v>
      </c>
      <c r="O1343" t="s">
        <v>42</v>
      </c>
      <c r="P1343" s="2">
        <v>89</v>
      </c>
      <c r="Q1343">
        <v>3</v>
      </c>
      <c r="R1343" t="str" cm="1">
        <f t="array" ref="R1343">_xlfn.IFS(Q1343=1,"Low",Q1343=2,"Medium",Q1343=3,"High",Q1343=4,"Very High")</f>
        <v>High</v>
      </c>
      <c r="S1343">
        <v>2</v>
      </c>
      <c r="T1343" t="str" cm="1">
        <f t="array" ref="T1343">_xlfn.IFS(S1343=1,"Entry Level",S1343=2,"Junior",S1343=3,"Mid-Level",S1343=4,"Senior",S1343=5,"Executive")</f>
        <v>Junior</v>
      </c>
      <c r="U1343" t="s">
        <v>46</v>
      </c>
      <c r="V1343">
        <v>3</v>
      </c>
      <c r="W1343" t="str" cm="1">
        <f t="array" ref="W1343">_xlfn.IFS(V1343=1,"Low",V1343=2,"Medium",V1343=3,"High",V1343=4,"Very High")</f>
        <v>High</v>
      </c>
      <c r="X1343" t="s">
        <v>48</v>
      </c>
      <c r="Y1343" s="2">
        <v>4197</v>
      </c>
      <c r="Z1343" s="2">
        <v>18624</v>
      </c>
      <c r="AA1343">
        <v>1</v>
      </c>
      <c r="AB1343" t="s">
        <v>39</v>
      </c>
      <c r="AC1343">
        <v>11</v>
      </c>
      <c r="AD1343">
        <v>3</v>
      </c>
      <c r="AE1343" t="str" cm="1">
        <f t="array" ref="AE1343">_xlfn.IFS(AD1343=1,"Low",AD1343=2,"Good",AD1343=3,"Excellent",AD1343=4,"Outstanding")</f>
        <v>Excellent</v>
      </c>
      <c r="AF1343">
        <v>1</v>
      </c>
      <c r="AG1343" t="str" cm="1">
        <f t="array" ref="AG1343">_xlfn.IFS(AF1343=1,"Low",AF1343=2,"Medium",AF1343=3,"High",AF1343=4,"Very High")</f>
        <v>Low</v>
      </c>
      <c r="AH1343">
        <v>1</v>
      </c>
      <c r="AI1343">
        <v>10</v>
      </c>
      <c r="AJ1343">
        <v>2</v>
      </c>
      <c r="AK1343">
        <v>3</v>
      </c>
      <c r="AL1343" t="str" cm="1">
        <f t="array" ref="AL1343">_xlfn.IFS(AK1343=1,"Low",AK1343=2,"Medium",AK1343=3,"High",AK1343=4,"Very High")</f>
        <v>High</v>
      </c>
      <c r="AM1343">
        <v>10</v>
      </c>
      <c r="AN1343">
        <v>8</v>
      </c>
      <c r="AO1343">
        <v>0</v>
      </c>
      <c r="AP1343">
        <v>2</v>
      </c>
    </row>
    <row r="1344" spans="1:42">
      <c r="A1344">
        <v>34</v>
      </c>
      <c r="B1344" t="str" cm="1">
        <f t="array" ref="B1344">_xlfn.IFS(A1344&lt;=25,"18-25",A1344&lt;=35,"26-35",A1344&lt;=45,"36-45",A1344&lt;=55,"46-55",A1344&gt;55,"56+")</f>
        <v>26-35</v>
      </c>
      <c r="C1344" t="s">
        <v>39</v>
      </c>
      <c r="D1344" t="s">
        <v>33</v>
      </c>
      <c r="E1344" s="2">
        <v>1480</v>
      </c>
      <c r="F1344" t="s">
        <v>34</v>
      </c>
      <c r="G1344">
        <v>4</v>
      </c>
      <c r="H1344" t="str">
        <f t="shared" si="20"/>
        <v>1-10 km</v>
      </c>
      <c r="I1344">
        <v>3</v>
      </c>
      <c r="J1344" t="str" cm="1">
        <f t="array" ref="J1344">_xlfn.IFS(I1344=1,"Below College",I1344=2,"College",I1344=3,"Bachelor",I1344=4,"Master",I1344=5,"Doctor")</f>
        <v>Bachelor</v>
      </c>
      <c r="K1344" t="s">
        <v>35</v>
      </c>
      <c r="L1344">
        <v>1882</v>
      </c>
      <c r="M1344">
        <v>3</v>
      </c>
      <c r="N1344" t="str" cm="1">
        <f t="array" ref="N1344">_xlfn.IFS(M1344=1,"Low",M1344=2,"Medium",M1344=3,"High",M1344=4,"Very High")</f>
        <v>High</v>
      </c>
      <c r="O1344" t="s">
        <v>42</v>
      </c>
      <c r="P1344" s="2">
        <v>64</v>
      </c>
      <c r="Q1344">
        <v>3</v>
      </c>
      <c r="R1344" t="str" cm="1">
        <f t="array" ref="R1344">_xlfn.IFS(Q1344=1,"Low",Q1344=2,"Medium",Q1344=3,"High",Q1344=4,"Very High")</f>
        <v>High</v>
      </c>
      <c r="S1344">
        <v>3</v>
      </c>
      <c r="T1344" t="str" cm="1">
        <f t="array" ref="T1344">_xlfn.IFS(S1344=1,"Entry Level",S1344=2,"Junior",S1344=3,"Mid-Level",S1344=4,"Senior",S1344=5,"Executive")</f>
        <v>Mid-Level</v>
      </c>
      <c r="U1344" t="s">
        <v>37</v>
      </c>
      <c r="V1344">
        <v>4</v>
      </c>
      <c r="W1344" t="str" cm="1">
        <f t="array" ref="W1344">_xlfn.IFS(V1344=1,"Low",V1344=2,"Medium",V1344=3,"High",V1344=4,"Very High")</f>
        <v>Very High</v>
      </c>
      <c r="X1344" t="s">
        <v>44</v>
      </c>
      <c r="Y1344" s="2">
        <v>9713</v>
      </c>
      <c r="Z1344" s="2">
        <v>24444</v>
      </c>
      <c r="AA1344">
        <v>2</v>
      </c>
      <c r="AB1344" t="s">
        <v>32</v>
      </c>
      <c r="AC1344">
        <v>13</v>
      </c>
      <c r="AD1344">
        <v>3</v>
      </c>
      <c r="AE1344" t="str" cm="1">
        <f t="array" ref="AE1344">_xlfn.IFS(AD1344=1,"Low",AD1344=2,"Good",AD1344=3,"Excellent",AD1344=4,"Outstanding")</f>
        <v>Excellent</v>
      </c>
      <c r="AF1344">
        <v>4</v>
      </c>
      <c r="AG1344" t="str" cm="1">
        <f t="array" ref="AG1344">_xlfn.IFS(AF1344=1,"Low",AF1344=2,"Medium",AF1344=3,"High",AF1344=4,"Very High")</f>
        <v>Very High</v>
      </c>
      <c r="AH1344">
        <v>3</v>
      </c>
      <c r="AI1344">
        <v>9</v>
      </c>
      <c r="AJ1344">
        <v>3</v>
      </c>
      <c r="AK1344">
        <v>3</v>
      </c>
      <c r="AL1344" t="str" cm="1">
        <f t="array" ref="AL1344">_xlfn.IFS(AK1344=1,"Low",AK1344=2,"Medium",AK1344=3,"High",AK1344=4,"Very High")</f>
        <v>High</v>
      </c>
      <c r="AM1344">
        <v>5</v>
      </c>
      <c r="AN1344">
        <v>3</v>
      </c>
      <c r="AO1344">
        <v>1</v>
      </c>
      <c r="AP1344">
        <v>0</v>
      </c>
    </row>
    <row r="1345" spans="1:42">
      <c r="A1345">
        <v>29</v>
      </c>
      <c r="B1345" t="str" cm="1">
        <f t="array" ref="B1345">_xlfn.IFS(A1345&lt;=25,"18-25",A1345&lt;=35,"26-35",A1345&lt;=45,"36-45",A1345&lt;=55,"46-55",A1345&gt;55,"56+")</f>
        <v>26-35</v>
      </c>
      <c r="C1345" t="s">
        <v>39</v>
      </c>
      <c r="D1345" t="s">
        <v>33</v>
      </c>
      <c r="E1345" s="2">
        <v>592</v>
      </c>
      <c r="F1345" t="s">
        <v>41</v>
      </c>
      <c r="G1345">
        <v>7</v>
      </c>
      <c r="H1345" t="str">
        <f t="shared" si="20"/>
        <v>1-10 km</v>
      </c>
      <c r="I1345">
        <v>3</v>
      </c>
      <c r="J1345" t="str" cm="1">
        <f t="array" ref="J1345">_xlfn.IFS(I1345=1,"Below College",I1345=2,"College",I1345=3,"Bachelor",I1345=4,"Master",I1345=5,"Doctor")</f>
        <v>Bachelor</v>
      </c>
      <c r="K1345" t="s">
        <v>35</v>
      </c>
      <c r="L1345">
        <v>1883</v>
      </c>
      <c r="M1345">
        <v>4</v>
      </c>
      <c r="N1345" t="str" cm="1">
        <f t="array" ref="N1345">_xlfn.IFS(M1345=1,"Low",M1345=2,"Medium",M1345=3,"High",M1345=4,"Very High")</f>
        <v>Very High</v>
      </c>
      <c r="O1345" t="s">
        <v>42</v>
      </c>
      <c r="P1345" s="2">
        <v>59</v>
      </c>
      <c r="Q1345">
        <v>3</v>
      </c>
      <c r="R1345" t="str" cm="1">
        <f t="array" ref="R1345">_xlfn.IFS(Q1345=1,"Low",Q1345=2,"Medium",Q1345=3,"High",Q1345=4,"Very High")</f>
        <v>High</v>
      </c>
      <c r="S1345">
        <v>1</v>
      </c>
      <c r="T1345" t="str" cm="1">
        <f t="array" ref="T1345">_xlfn.IFS(S1345=1,"Entry Level",S1345=2,"Junior",S1345=3,"Mid-Level",S1345=4,"Senior",S1345=5,"Executive")</f>
        <v>Entry Level</v>
      </c>
      <c r="U1345" t="s">
        <v>46</v>
      </c>
      <c r="V1345">
        <v>1</v>
      </c>
      <c r="W1345" t="str" cm="1">
        <f t="array" ref="W1345">_xlfn.IFS(V1345=1,"Low",V1345=2,"Medium",V1345=3,"High",V1345=4,"Very High")</f>
        <v>Low</v>
      </c>
      <c r="X1345" t="s">
        <v>38</v>
      </c>
      <c r="Y1345" s="2">
        <v>2062</v>
      </c>
      <c r="Z1345" s="2">
        <v>19384</v>
      </c>
      <c r="AA1345">
        <v>3</v>
      </c>
      <c r="AB1345" t="s">
        <v>39</v>
      </c>
      <c r="AC1345">
        <v>14</v>
      </c>
      <c r="AD1345">
        <v>3</v>
      </c>
      <c r="AE1345" t="str" cm="1">
        <f t="array" ref="AE1345">_xlfn.IFS(AD1345=1,"Low",AD1345=2,"Good",AD1345=3,"Excellent",AD1345=4,"Outstanding")</f>
        <v>Excellent</v>
      </c>
      <c r="AF1345">
        <v>2</v>
      </c>
      <c r="AG1345" t="str" cm="1">
        <f t="array" ref="AG1345">_xlfn.IFS(AF1345=1,"Low",AF1345=2,"Medium",AF1345=3,"High",AF1345=4,"Very High")</f>
        <v>Medium</v>
      </c>
      <c r="AH1345">
        <v>0</v>
      </c>
      <c r="AI1345">
        <v>11</v>
      </c>
      <c r="AJ1345">
        <v>2</v>
      </c>
      <c r="AK1345">
        <v>3</v>
      </c>
      <c r="AL1345" t="str" cm="1">
        <f t="array" ref="AL1345">_xlfn.IFS(AK1345=1,"Low",AK1345=2,"Medium",AK1345=3,"High",AK1345=4,"Very High")</f>
        <v>High</v>
      </c>
      <c r="AM1345">
        <v>3</v>
      </c>
      <c r="AN1345">
        <v>2</v>
      </c>
      <c r="AO1345">
        <v>1</v>
      </c>
      <c r="AP1345">
        <v>2</v>
      </c>
    </row>
    <row r="1346" spans="1:42">
      <c r="A1346">
        <v>37</v>
      </c>
      <c r="B1346" t="str" cm="1">
        <f t="array" ref="B1346">_xlfn.IFS(A1346&lt;=25,"18-25",A1346&lt;=35,"26-35",A1346&lt;=45,"36-45",A1346&lt;=55,"46-55",A1346&gt;55,"56+")</f>
        <v>36-45</v>
      </c>
      <c r="C1346" t="s">
        <v>39</v>
      </c>
      <c r="D1346" t="s">
        <v>33</v>
      </c>
      <c r="E1346" s="2">
        <v>783</v>
      </c>
      <c r="F1346" t="s">
        <v>41</v>
      </c>
      <c r="G1346">
        <v>7</v>
      </c>
      <c r="H1346" t="str">
        <f t="shared" si="20"/>
        <v>1-10 km</v>
      </c>
      <c r="I1346">
        <v>4</v>
      </c>
      <c r="J1346" t="str" cm="1">
        <f t="array" ref="J1346">_xlfn.IFS(I1346=1,"Below College",I1346=2,"College",I1346=3,"Bachelor",I1346=4,"Master",I1346=5,"Doctor")</f>
        <v>Master</v>
      </c>
      <c r="K1346" t="s">
        <v>47</v>
      </c>
      <c r="L1346">
        <v>1885</v>
      </c>
      <c r="M1346">
        <v>4</v>
      </c>
      <c r="N1346" t="str" cm="1">
        <f t="array" ref="N1346">_xlfn.IFS(M1346=1,"Low",M1346=2,"Medium",M1346=3,"High",M1346=4,"Very High")</f>
        <v>Very High</v>
      </c>
      <c r="O1346" t="s">
        <v>42</v>
      </c>
      <c r="P1346" s="2">
        <v>78</v>
      </c>
      <c r="Q1346">
        <v>3</v>
      </c>
      <c r="R1346" t="str" cm="1">
        <f t="array" ref="R1346">_xlfn.IFS(Q1346=1,"Low",Q1346=2,"Medium",Q1346=3,"High",Q1346=4,"Very High")</f>
        <v>High</v>
      </c>
      <c r="S1346">
        <v>2</v>
      </c>
      <c r="T1346" t="str" cm="1">
        <f t="array" ref="T1346">_xlfn.IFS(S1346=1,"Entry Level",S1346=2,"Junior",S1346=3,"Mid-Level",S1346=4,"Senior",S1346=5,"Executive")</f>
        <v>Junior</v>
      </c>
      <c r="U1346" t="s">
        <v>43</v>
      </c>
      <c r="V1346">
        <v>1</v>
      </c>
      <c r="W1346" t="str" cm="1">
        <f t="array" ref="W1346">_xlfn.IFS(V1346=1,"Low",V1346=2,"Medium",V1346=3,"High",V1346=4,"Very High")</f>
        <v>Low</v>
      </c>
      <c r="X1346" t="s">
        <v>44</v>
      </c>
      <c r="Y1346" s="2">
        <v>4284</v>
      </c>
      <c r="Z1346" s="2">
        <v>13588</v>
      </c>
      <c r="AA1346">
        <v>5</v>
      </c>
      <c r="AB1346" t="s">
        <v>32</v>
      </c>
      <c r="AC1346">
        <v>22</v>
      </c>
      <c r="AD1346">
        <v>4</v>
      </c>
      <c r="AE1346" t="str" cm="1">
        <f t="array" ref="AE1346">_xlfn.IFS(AD1346=1,"Low",AD1346=2,"Good",AD1346=3,"Excellent",AD1346=4,"Outstanding")</f>
        <v>Outstanding</v>
      </c>
      <c r="AF1346">
        <v>3</v>
      </c>
      <c r="AG1346" t="str" cm="1">
        <f t="array" ref="AG1346">_xlfn.IFS(AF1346=1,"Low",AF1346=2,"Medium",AF1346=3,"High",AF1346=4,"Very High")</f>
        <v>High</v>
      </c>
      <c r="AH1346">
        <v>1</v>
      </c>
      <c r="AI1346">
        <v>16</v>
      </c>
      <c r="AJ1346">
        <v>2</v>
      </c>
      <c r="AK1346">
        <v>3</v>
      </c>
      <c r="AL1346" t="str" cm="1">
        <f t="array" ref="AL1346">_xlfn.IFS(AK1346=1,"Low",AK1346=2,"Medium",AK1346=3,"High",AK1346=4,"Very High")</f>
        <v>High</v>
      </c>
      <c r="AM1346">
        <v>5</v>
      </c>
      <c r="AN1346">
        <v>3</v>
      </c>
      <c r="AO1346">
        <v>0</v>
      </c>
      <c r="AP1346">
        <v>4</v>
      </c>
    </row>
    <row r="1347" spans="1:42">
      <c r="A1347">
        <v>35</v>
      </c>
      <c r="B1347" t="str" cm="1">
        <f t="array" ref="B1347">_xlfn.IFS(A1347&lt;=25,"18-25",A1347&lt;=35,"26-35",A1347&lt;=45,"36-45",A1347&lt;=55,"46-55",A1347&gt;55,"56+")</f>
        <v>26-35</v>
      </c>
      <c r="C1347" t="s">
        <v>39</v>
      </c>
      <c r="D1347" t="s">
        <v>33</v>
      </c>
      <c r="E1347" s="2">
        <v>219</v>
      </c>
      <c r="F1347" t="s">
        <v>41</v>
      </c>
      <c r="G1347">
        <v>16</v>
      </c>
      <c r="H1347" t="str">
        <f t="shared" ref="H1347:H1410" si="21">IF(G1347&lt;=10,"1-10 km",IF(G1347&lt;=20,"11-20 km",IF(G1347&lt;=30,"21-30 km","31+ km")))</f>
        <v>11-20 km</v>
      </c>
      <c r="I1347">
        <v>2</v>
      </c>
      <c r="J1347" t="str" cm="1">
        <f t="array" ref="J1347">_xlfn.IFS(I1347=1,"Below College",I1347=2,"College",I1347=3,"Bachelor",I1347=4,"Master",I1347=5,"Doctor")</f>
        <v>College</v>
      </c>
      <c r="K1347" t="s">
        <v>45</v>
      </c>
      <c r="L1347">
        <v>1886</v>
      </c>
      <c r="M1347">
        <v>4</v>
      </c>
      <c r="N1347" t="str" cm="1">
        <f t="array" ref="N1347">_xlfn.IFS(M1347=1,"Low",M1347=2,"Medium",M1347=3,"High",M1347=4,"Very High")</f>
        <v>Very High</v>
      </c>
      <c r="O1347" t="s">
        <v>36</v>
      </c>
      <c r="P1347" s="2">
        <v>44</v>
      </c>
      <c r="Q1347">
        <v>2</v>
      </c>
      <c r="R1347" t="str" cm="1">
        <f t="array" ref="R1347">_xlfn.IFS(Q1347=1,"Low",Q1347=2,"Medium",Q1347=3,"High",Q1347=4,"Very High")</f>
        <v>Medium</v>
      </c>
      <c r="S1347">
        <v>2</v>
      </c>
      <c r="T1347" t="str" cm="1">
        <f t="array" ref="T1347">_xlfn.IFS(S1347=1,"Entry Level",S1347=2,"Junior",S1347=3,"Mid-Level",S1347=4,"Senior",S1347=5,"Executive")</f>
        <v>Junior</v>
      </c>
      <c r="U1347" t="s">
        <v>49</v>
      </c>
      <c r="V1347">
        <v>2</v>
      </c>
      <c r="W1347" t="str" cm="1">
        <f t="array" ref="W1347">_xlfn.IFS(V1347=1,"Low",V1347=2,"Medium",V1347=3,"High",V1347=4,"Very High")</f>
        <v>Medium</v>
      </c>
      <c r="X1347" t="s">
        <v>44</v>
      </c>
      <c r="Y1347" s="2">
        <v>4788</v>
      </c>
      <c r="Z1347" s="2">
        <v>25388</v>
      </c>
      <c r="AA1347">
        <v>0</v>
      </c>
      <c r="AB1347" t="s">
        <v>32</v>
      </c>
      <c r="AC1347">
        <v>11</v>
      </c>
      <c r="AD1347">
        <v>3</v>
      </c>
      <c r="AE1347" t="str" cm="1">
        <f t="array" ref="AE1347">_xlfn.IFS(AD1347=1,"Low",AD1347=2,"Good",AD1347=3,"Excellent",AD1347=4,"Outstanding")</f>
        <v>Excellent</v>
      </c>
      <c r="AF1347">
        <v>4</v>
      </c>
      <c r="AG1347" t="str" cm="1">
        <f t="array" ref="AG1347">_xlfn.IFS(AF1347=1,"Low",AF1347=2,"Medium",AF1347=3,"High",AF1347=4,"Very High")</f>
        <v>Very High</v>
      </c>
      <c r="AH1347">
        <v>0</v>
      </c>
      <c r="AI1347">
        <v>4</v>
      </c>
      <c r="AJ1347">
        <v>2</v>
      </c>
      <c r="AK1347">
        <v>3</v>
      </c>
      <c r="AL1347" t="str" cm="1">
        <f t="array" ref="AL1347">_xlfn.IFS(AK1347=1,"Low",AK1347=2,"Medium",AK1347=3,"High",AK1347=4,"Very High")</f>
        <v>High</v>
      </c>
      <c r="AM1347">
        <v>3</v>
      </c>
      <c r="AN1347">
        <v>2</v>
      </c>
      <c r="AO1347">
        <v>0</v>
      </c>
      <c r="AP1347">
        <v>2</v>
      </c>
    </row>
    <row r="1348" spans="1:42">
      <c r="A1348">
        <v>45</v>
      </c>
      <c r="B1348" t="str" cm="1">
        <f t="array" ref="B1348">_xlfn.IFS(A1348&lt;=25,"18-25",A1348&lt;=35,"26-35",A1348&lt;=45,"36-45",A1348&lt;=55,"46-55",A1348&gt;55,"56+")</f>
        <v>36-45</v>
      </c>
      <c r="C1348" t="s">
        <v>39</v>
      </c>
      <c r="D1348" t="s">
        <v>33</v>
      </c>
      <c r="E1348" s="2">
        <v>556</v>
      </c>
      <c r="F1348" t="s">
        <v>41</v>
      </c>
      <c r="G1348">
        <v>25</v>
      </c>
      <c r="H1348" t="str">
        <f t="shared" si="21"/>
        <v>21-30 km</v>
      </c>
      <c r="I1348">
        <v>2</v>
      </c>
      <c r="J1348" t="str" cm="1">
        <f t="array" ref="J1348">_xlfn.IFS(I1348=1,"Below College",I1348=2,"College",I1348=3,"Bachelor",I1348=4,"Master",I1348=5,"Doctor")</f>
        <v>College</v>
      </c>
      <c r="K1348" t="s">
        <v>35</v>
      </c>
      <c r="L1348">
        <v>1888</v>
      </c>
      <c r="M1348">
        <v>2</v>
      </c>
      <c r="N1348" t="str" cm="1">
        <f t="array" ref="N1348">_xlfn.IFS(M1348=1,"Low",M1348=2,"Medium",M1348=3,"High",M1348=4,"Very High")</f>
        <v>Medium</v>
      </c>
      <c r="O1348" t="s">
        <v>36</v>
      </c>
      <c r="P1348" s="2">
        <v>93</v>
      </c>
      <c r="Q1348">
        <v>2</v>
      </c>
      <c r="R1348" t="str" cm="1">
        <f t="array" ref="R1348">_xlfn.IFS(Q1348=1,"Low",Q1348=2,"Medium",Q1348=3,"High",Q1348=4,"Very High")</f>
        <v>Medium</v>
      </c>
      <c r="S1348">
        <v>2</v>
      </c>
      <c r="T1348" t="str" cm="1">
        <f t="array" ref="T1348">_xlfn.IFS(S1348=1,"Entry Level",S1348=2,"Junior",S1348=3,"Mid-Level",S1348=4,"Senior",S1348=5,"Executive")</f>
        <v>Junior</v>
      </c>
      <c r="U1348" t="s">
        <v>49</v>
      </c>
      <c r="V1348">
        <v>4</v>
      </c>
      <c r="W1348" t="str" cm="1">
        <f t="array" ref="W1348">_xlfn.IFS(V1348=1,"Low",V1348=2,"Medium",V1348=3,"High",V1348=4,"Very High")</f>
        <v>Very High</v>
      </c>
      <c r="X1348" t="s">
        <v>44</v>
      </c>
      <c r="Y1348" s="2">
        <v>5906</v>
      </c>
      <c r="Z1348" s="2">
        <v>23888</v>
      </c>
      <c r="AA1348">
        <v>0</v>
      </c>
      <c r="AB1348" t="s">
        <v>39</v>
      </c>
      <c r="AC1348">
        <v>13</v>
      </c>
      <c r="AD1348">
        <v>3</v>
      </c>
      <c r="AE1348" t="str" cm="1">
        <f t="array" ref="AE1348">_xlfn.IFS(AD1348=1,"Low",AD1348=2,"Good",AD1348=3,"Excellent",AD1348=4,"Outstanding")</f>
        <v>Excellent</v>
      </c>
      <c r="AF1348">
        <v>4</v>
      </c>
      <c r="AG1348" t="str" cm="1">
        <f t="array" ref="AG1348">_xlfn.IFS(AF1348=1,"Low",AF1348=2,"Medium",AF1348=3,"High",AF1348=4,"Very High")</f>
        <v>Very High</v>
      </c>
      <c r="AH1348">
        <v>2</v>
      </c>
      <c r="AI1348">
        <v>10</v>
      </c>
      <c r="AJ1348">
        <v>2</v>
      </c>
      <c r="AK1348">
        <v>2</v>
      </c>
      <c r="AL1348" t="str" cm="1">
        <f t="array" ref="AL1348">_xlfn.IFS(AK1348=1,"Low",AK1348=2,"Medium",AK1348=3,"High",AK1348=4,"Very High")</f>
        <v>Medium</v>
      </c>
      <c r="AM1348">
        <v>9</v>
      </c>
      <c r="AN1348">
        <v>8</v>
      </c>
      <c r="AO1348">
        <v>3</v>
      </c>
      <c r="AP1348">
        <v>8</v>
      </c>
    </row>
    <row r="1349" spans="1:42">
      <c r="A1349">
        <v>36</v>
      </c>
      <c r="B1349" t="str" cm="1">
        <f t="array" ref="B1349">_xlfn.IFS(A1349&lt;=25,"18-25",A1349&lt;=35,"26-35",A1349&lt;=45,"36-45",A1349&lt;=55,"46-55",A1349&gt;55,"56+")</f>
        <v>36-45</v>
      </c>
      <c r="C1349" t="s">
        <v>39</v>
      </c>
      <c r="D1349" t="s">
        <v>40</v>
      </c>
      <c r="E1349" s="2">
        <v>1213</v>
      </c>
      <c r="F1349" t="s">
        <v>57</v>
      </c>
      <c r="G1349">
        <v>2</v>
      </c>
      <c r="H1349" t="str">
        <f t="shared" si="21"/>
        <v>1-10 km</v>
      </c>
      <c r="I1349">
        <v>1</v>
      </c>
      <c r="J1349" t="str" cm="1">
        <f t="array" ref="J1349">_xlfn.IFS(I1349=1,"Below College",I1349=2,"College",I1349=3,"Bachelor",I1349=4,"Master",I1349=5,"Doctor")</f>
        <v>Below College</v>
      </c>
      <c r="K1349" t="s">
        <v>57</v>
      </c>
      <c r="L1349">
        <v>1890</v>
      </c>
      <c r="M1349">
        <v>2</v>
      </c>
      <c r="N1349" t="str" cm="1">
        <f t="array" ref="N1349">_xlfn.IFS(M1349=1,"Low",M1349=2,"Medium",M1349=3,"High",M1349=4,"Very High")</f>
        <v>Medium</v>
      </c>
      <c r="O1349" t="s">
        <v>42</v>
      </c>
      <c r="P1349" s="2">
        <v>94</v>
      </c>
      <c r="Q1349">
        <v>2</v>
      </c>
      <c r="R1349" t="str" cm="1">
        <f t="array" ref="R1349">_xlfn.IFS(Q1349=1,"Low",Q1349=2,"Medium",Q1349=3,"High",Q1349=4,"Very High")</f>
        <v>Medium</v>
      </c>
      <c r="S1349">
        <v>2</v>
      </c>
      <c r="T1349" t="str" cm="1">
        <f t="array" ref="T1349">_xlfn.IFS(S1349=1,"Entry Level",S1349=2,"Junior",S1349=3,"Mid-Level",S1349=4,"Senior",S1349=5,"Executive")</f>
        <v>Junior</v>
      </c>
      <c r="U1349" t="s">
        <v>57</v>
      </c>
      <c r="V1349">
        <v>4</v>
      </c>
      <c r="W1349" t="str" cm="1">
        <f t="array" ref="W1349">_xlfn.IFS(V1349=1,"Low",V1349=2,"Medium",V1349=3,"High",V1349=4,"Very High")</f>
        <v>Very High</v>
      </c>
      <c r="X1349" t="s">
        <v>38</v>
      </c>
      <c r="Y1349" s="2">
        <v>3886</v>
      </c>
      <c r="Z1349" s="2">
        <v>4223</v>
      </c>
      <c r="AA1349">
        <v>1</v>
      </c>
      <c r="AB1349" t="s">
        <v>39</v>
      </c>
      <c r="AC1349">
        <v>21</v>
      </c>
      <c r="AD1349">
        <v>4</v>
      </c>
      <c r="AE1349" t="str" cm="1">
        <f t="array" ref="AE1349">_xlfn.IFS(AD1349=1,"Low",AD1349=2,"Good",AD1349=3,"Excellent",AD1349=4,"Outstanding")</f>
        <v>Outstanding</v>
      </c>
      <c r="AF1349">
        <v>4</v>
      </c>
      <c r="AG1349" t="str" cm="1">
        <f t="array" ref="AG1349">_xlfn.IFS(AF1349=1,"Low",AF1349=2,"Medium",AF1349=3,"High",AF1349=4,"Very High")</f>
        <v>Very High</v>
      </c>
      <c r="AH1349">
        <v>0</v>
      </c>
      <c r="AI1349">
        <v>10</v>
      </c>
      <c r="AJ1349">
        <v>2</v>
      </c>
      <c r="AK1349">
        <v>2</v>
      </c>
      <c r="AL1349" t="str" cm="1">
        <f t="array" ref="AL1349">_xlfn.IFS(AK1349=1,"Low",AK1349=2,"Medium",AK1349=3,"High",AK1349=4,"Very High")</f>
        <v>Medium</v>
      </c>
      <c r="AM1349">
        <v>10</v>
      </c>
      <c r="AN1349">
        <v>1</v>
      </c>
      <c r="AO1349">
        <v>0</v>
      </c>
      <c r="AP1349">
        <v>8</v>
      </c>
    </row>
    <row r="1350" spans="1:42">
      <c r="A1350">
        <v>40</v>
      </c>
      <c r="B1350" t="str" cm="1">
        <f t="array" ref="B1350">_xlfn.IFS(A1350&lt;=25,"18-25",A1350&lt;=35,"26-35",A1350&lt;=45,"36-45",A1350&lt;=55,"46-55",A1350&gt;55,"56+")</f>
        <v>36-45</v>
      </c>
      <c r="C1350" t="s">
        <v>39</v>
      </c>
      <c r="D1350" t="s">
        <v>33</v>
      </c>
      <c r="E1350" s="2">
        <v>1137</v>
      </c>
      <c r="F1350" t="s">
        <v>41</v>
      </c>
      <c r="G1350">
        <v>1</v>
      </c>
      <c r="H1350" t="str">
        <f t="shared" si="21"/>
        <v>1-10 km</v>
      </c>
      <c r="I1350">
        <v>4</v>
      </c>
      <c r="J1350" t="str" cm="1">
        <f t="array" ref="J1350">_xlfn.IFS(I1350=1,"Below College",I1350=2,"College",I1350=3,"Bachelor",I1350=4,"Master",I1350=5,"Doctor")</f>
        <v>Master</v>
      </c>
      <c r="K1350" t="s">
        <v>35</v>
      </c>
      <c r="L1350">
        <v>1892</v>
      </c>
      <c r="M1350">
        <v>1</v>
      </c>
      <c r="N1350" t="str" cm="1">
        <f t="array" ref="N1350">_xlfn.IFS(M1350=1,"Low",M1350=2,"Medium",M1350=3,"High",M1350=4,"Very High")</f>
        <v>Low</v>
      </c>
      <c r="O1350" t="s">
        <v>42</v>
      </c>
      <c r="P1350" s="2">
        <v>98</v>
      </c>
      <c r="Q1350">
        <v>3</v>
      </c>
      <c r="R1350" t="str" cm="1">
        <f t="array" ref="R1350">_xlfn.IFS(Q1350=1,"Low",Q1350=2,"Medium",Q1350=3,"High",Q1350=4,"Very High")</f>
        <v>High</v>
      </c>
      <c r="S1350">
        <v>4</v>
      </c>
      <c r="T1350" t="str" cm="1">
        <f t="array" ref="T1350">_xlfn.IFS(S1350=1,"Entry Level",S1350=2,"Junior",S1350=3,"Mid-Level",S1350=4,"Senior",S1350=5,"Executive")</f>
        <v>Senior</v>
      </c>
      <c r="U1350" t="s">
        <v>52</v>
      </c>
      <c r="V1350">
        <v>1</v>
      </c>
      <c r="W1350" t="str" cm="1">
        <f t="array" ref="W1350">_xlfn.IFS(V1350=1,"Low",V1350=2,"Medium",V1350=3,"High",V1350=4,"Very High")</f>
        <v>Low</v>
      </c>
      <c r="X1350" t="s">
        <v>48</v>
      </c>
      <c r="Y1350" s="2">
        <v>16823</v>
      </c>
      <c r="Z1350" s="2">
        <v>18991</v>
      </c>
      <c r="AA1350">
        <v>2</v>
      </c>
      <c r="AB1350" t="s">
        <v>39</v>
      </c>
      <c r="AC1350">
        <v>11</v>
      </c>
      <c r="AD1350">
        <v>3</v>
      </c>
      <c r="AE1350" t="str" cm="1">
        <f t="array" ref="AE1350">_xlfn.IFS(AD1350=1,"Low",AD1350=2,"Good",AD1350=3,"Excellent",AD1350=4,"Outstanding")</f>
        <v>Excellent</v>
      </c>
      <c r="AF1350">
        <v>1</v>
      </c>
      <c r="AG1350" t="str" cm="1">
        <f t="array" ref="AG1350">_xlfn.IFS(AF1350=1,"Low",AF1350=2,"Medium",AF1350=3,"High",AF1350=4,"Very High")</f>
        <v>Low</v>
      </c>
      <c r="AH1350">
        <v>1</v>
      </c>
      <c r="AI1350">
        <v>22</v>
      </c>
      <c r="AJ1350">
        <v>3</v>
      </c>
      <c r="AK1350">
        <v>3</v>
      </c>
      <c r="AL1350" t="str" cm="1">
        <f t="array" ref="AL1350">_xlfn.IFS(AK1350=1,"Low",AK1350=2,"Medium",AK1350=3,"High",AK1350=4,"Very High")</f>
        <v>High</v>
      </c>
      <c r="AM1350">
        <v>19</v>
      </c>
      <c r="AN1350">
        <v>7</v>
      </c>
      <c r="AO1350">
        <v>11</v>
      </c>
      <c r="AP1350">
        <v>16</v>
      </c>
    </row>
    <row r="1351" spans="1:42">
      <c r="A1351">
        <v>26</v>
      </c>
      <c r="B1351" t="str" cm="1">
        <f t="array" ref="B1351">_xlfn.IFS(A1351&lt;=25,"18-25",A1351&lt;=35,"26-35",A1351&lt;=45,"36-45",A1351&lt;=55,"46-55",A1351&gt;55,"56+")</f>
        <v>26-35</v>
      </c>
      <c r="C1351" t="s">
        <v>39</v>
      </c>
      <c r="D1351" t="s">
        <v>33</v>
      </c>
      <c r="E1351" s="2">
        <v>482</v>
      </c>
      <c r="F1351" t="s">
        <v>41</v>
      </c>
      <c r="G1351">
        <v>1</v>
      </c>
      <c r="H1351" t="str">
        <f t="shared" si="21"/>
        <v>1-10 km</v>
      </c>
      <c r="I1351">
        <v>2</v>
      </c>
      <c r="J1351" t="str" cm="1">
        <f t="array" ref="J1351">_xlfn.IFS(I1351=1,"Below College",I1351=2,"College",I1351=3,"Bachelor",I1351=4,"Master",I1351=5,"Doctor")</f>
        <v>College</v>
      </c>
      <c r="K1351" t="s">
        <v>35</v>
      </c>
      <c r="L1351">
        <v>1893</v>
      </c>
      <c r="M1351">
        <v>2</v>
      </c>
      <c r="N1351" t="str" cm="1">
        <f t="array" ref="N1351">_xlfn.IFS(M1351=1,"Low",M1351=2,"Medium",M1351=3,"High",M1351=4,"Very High")</f>
        <v>Medium</v>
      </c>
      <c r="O1351" t="s">
        <v>36</v>
      </c>
      <c r="P1351" s="2">
        <v>90</v>
      </c>
      <c r="Q1351">
        <v>2</v>
      </c>
      <c r="R1351" t="str" cm="1">
        <f t="array" ref="R1351">_xlfn.IFS(Q1351=1,"Low",Q1351=2,"Medium",Q1351=3,"High",Q1351=4,"Very High")</f>
        <v>Medium</v>
      </c>
      <c r="S1351">
        <v>1</v>
      </c>
      <c r="T1351" t="str" cm="1">
        <f t="array" ref="T1351">_xlfn.IFS(S1351=1,"Entry Level",S1351=2,"Junior",S1351=3,"Mid-Level",S1351=4,"Senior",S1351=5,"Executive")</f>
        <v>Entry Level</v>
      </c>
      <c r="U1351" t="s">
        <v>43</v>
      </c>
      <c r="V1351">
        <v>3</v>
      </c>
      <c r="W1351" t="str" cm="1">
        <f t="array" ref="W1351">_xlfn.IFS(V1351=1,"Low",V1351=2,"Medium",V1351=3,"High",V1351=4,"Very High")</f>
        <v>High</v>
      </c>
      <c r="X1351" t="s">
        <v>44</v>
      </c>
      <c r="Y1351" s="2">
        <v>2933</v>
      </c>
      <c r="Z1351" s="2">
        <v>14908</v>
      </c>
      <c r="AA1351">
        <v>1</v>
      </c>
      <c r="AB1351" t="s">
        <v>32</v>
      </c>
      <c r="AC1351">
        <v>13</v>
      </c>
      <c r="AD1351">
        <v>3</v>
      </c>
      <c r="AE1351" t="str" cm="1">
        <f t="array" ref="AE1351">_xlfn.IFS(AD1351=1,"Low",AD1351=2,"Good",AD1351=3,"Excellent",AD1351=4,"Outstanding")</f>
        <v>Excellent</v>
      </c>
      <c r="AF1351">
        <v>3</v>
      </c>
      <c r="AG1351" t="str" cm="1">
        <f t="array" ref="AG1351">_xlfn.IFS(AF1351=1,"Low",AF1351=2,"Medium",AF1351=3,"High",AF1351=4,"Very High")</f>
        <v>High</v>
      </c>
      <c r="AH1351">
        <v>1</v>
      </c>
      <c r="AI1351">
        <v>1</v>
      </c>
      <c r="AJ1351">
        <v>3</v>
      </c>
      <c r="AK1351">
        <v>2</v>
      </c>
      <c r="AL1351" t="str" cm="1">
        <f t="array" ref="AL1351">_xlfn.IFS(AK1351=1,"Low",AK1351=2,"Medium",AK1351=3,"High",AK1351=4,"Very High")</f>
        <v>Medium</v>
      </c>
      <c r="AM1351">
        <v>1</v>
      </c>
      <c r="AN1351">
        <v>0</v>
      </c>
      <c r="AO1351">
        <v>1</v>
      </c>
      <c r="AP1351">
        <v>0</v>
      </c>
    </row>
    <row r="1352" spans="1:42">
      <c r="A1352">
        <v>27</v>
      </c>
      <c r="B1352" t="str" cm="1">
        <f t="array" ref="B1352">_xlfn.IFS(A1352&lt;=25,"18-25",A1352&lt;=35,"26-35",A1352&lt;=45,"36-45",A1352&lt;=55,"46-55",A1352&gt;55,"56+")</f>
        <v>26-35</v>
      </c>
      <c r="C1352" t="s">
        <v>39</v>
      </c>
      <c r="D1352" t="s">
        <v>33</v>
      </c>
      <c r="E1352" s="2">
        <v>511</v>
      </c>
      <c r="F1352" t="s">
        <v>34</v>
      </c>
      <c r="G1352">
        <v>2</v>
      </c>
      <c r="H1352" t="str">
        <f t="shared" si="21"/>
        <v>1-10 km</v>
      </c>
      <c r="I1352">
        <v>2</v>
      </c>
      <c r="J1352" t="str" cm="1">
        <f t="array" ref="J1352">_xlfn.IFS(I1352=1,"Below College",I1352=2,"College",I1352=3,"Bachelor",I1352=4,"Master",I1352=5,"Doctor")</f>
        <v>College</v>
      </c>
      <c r="K1352" t="s">
        <v>47</v>
      </c>
      <c r="L1352">
        <v>1898</v>
      </c>
      <c r="M1352">
        <v>1</v>
      </c>
      <c r="N1352" t="str" cm="1">
        <f t="array" ref="N1352">_xlfn.IFS(M1352=1,"Low",M1352=2,"Medium",M1352=3,"High",M1352=4,"Very High")</f>
        <v>Low</v>
      </c>
      <c r="O1352" t="s">
        <v>36</v>
      </c>
      <c r="P1352" s="2">
        <v>89</v>
      </c>
      <c r="Q1352">
        <v>4</v>
      </c>
      <c r="R1352" t="str" cm="1">
        <f t="array" ref="R1352">_xlfn.IFS(Q1352=1,"Low",Q1352=2,"Medium",Q1352=3,"High",Q1352=4,"Very High")</f>
        <v>Very High</v>
      </c>
      <c r="S1352">
        <v>2</v>
      </c>
      <c r="T1352" t="str" cm="1">
        <f t="array" ref="T1352">_xlfn.IFS(S1352=1,"Entry Level",S1352=2,"Junior",S1352=3,"Mid-Level",S1352=4,"Senior",S1352=5,"Executive")</f>
        <v>Junior</v>
      </c>
      <c r="U1352" t="s">
        <v>37</v>
      </c>
      <c r="V1352">
        <v>3</v>
      </c>
      <c r="W1352" t="str" cm="1">
        <f t="array" ref="W1352">_xlfn.IFS(V1352=1,"Low",V1352=2,"Medium",V1352=3,"High",V1352=4,"Very High")</f>
        <v>High</v>
      </c>
      <c r="X1352" t="s">
        <v>38</v>
      </c>
      <c r="Y1352" s="2">
        <v>6500</v>
      </c>
      <c r="Z1352" s="2">
        <v>26997</v>
      </c>
      <c r="AA1352">
        <v>0</v>
      </c>
      <c r="AB1352" t="s">
        <v>39</v>
      </c>
      <c r="AC1352">
        <v>14</v>
      </c>
      <c r="AD1352">
        <v>3</v>
      </c>
      <c r="AE1352" t="str" cm="1">
        <f t="array" ref="AE1352">_xlfn.IFS(AD1352=1,"Low",AD1352=2,"Good",AD1352=3,"Excellent",AD1352=4,"Outstanding")</f>
        <v>Excellent</v>
      </c>
      <c r="AF1352">
        <v>2</v>
      </c>
      <c r="AG1352" t="str" cm="1">
        <f t="array" ref="AG1352">_xlfn.IFS(AF1352=1,"Low",AF1352=2,"Medium",AF1352=3,"High",AF1352=4,"Very High")</f>
        <v>Medium</v>
      </c>
      <c r="AH1352">
        <v>0</v>
      </c>
      <c r="AI1352">
        <v>9</v>
      </c>
      <c r="AJ1352">
        <v>5</v>
      </c>
      <c r="AK1352">
        <v>2</v>
      </c>
      <c r="AL1352" t="str" cm="1">
        <f t="array" ref="AL1352">_xlfn.IFS(AK1352=1,"Low",AK1352=2,"Medium",AK1352=3,"High",AK1352=4,"Very High")</f>
        <v>Medium</v>
      </c>
      <c r="AM1352">
        <v>8</v>
      </c>
      <c r="AN1352">
        <v>7</v>
      </c>
      <c r="AO1352">
        <v>0</v>
      </c>
      <c r="AP1352">
        <v>7</v>
      </c>
    </row>
    <row r="1353" spans="1:42">
      <c r="A1353">
        <v>48</v>
      </c>
      <c r="B1353" t="str" cm="1">
        <f t="array" ref="B1353">_xlfn.IFS(A1353&lt;=25,"18-25",A1353&lt;=35,"26-35",A1353&lt;=45,"36-45",A1353&lt;=55,"46-55",A1353&gt;55,"56+")</f>
        <v>46-55</v>
      </c>
      <c r="C1353" t="s">
        <v>39</v>
      </c>
      <c r="D1353" t="s">
        <v>40</v>
      </c>
      <c r="E1353" s="2">
        <v>117</v>
      </c>
      <c r="F1353" t="s">
        <v>41</v>
      </c>
      <c r="G1353">
        <v>22</v>
      </c>
      <c r="H1353" t="str">
        <f t="shared" si="21"/>
        <v>21-30 km</v>
      </c>
      <c r="I1353">
        <v>3</v>
      </c>
      <c r="J1353" t="str" cm="1">
        <f t="array" ref="J1353">_xlfn.IFS(I1353=1,"Below College",I1353=2,"College",I1353=3,"Bachelor",I1353=4,"Master",I1353=5,"Doctor")</f>
        <v>Bachelor</v>
      </c>
      <c r="K1353" t="s">
        <v>47</v>
      </c>
      <c r="L1353">
        <v>1900</v>
      </c>
      <c r="M1353">
        <v>4</v>
      </c>
      <c r="N1353" t="str" cm="1">
        <f t="array" ref="N1353">_xlfn.IFS(M1353=1,"Low",M1353=2,"Medium",M1353=3,"High",M1353=4,"Very High")</f>
        <v>Very High</v>
      </c>
      <c r="O1353" t="s">
        <v>36</v>
      </c>
      <c r="P1353" s="2">
        <v>58</v>
      </c>
      <c r="Q1353">
        <v>3</v>
      </c>
      <c r="R1353" t="str" cm="1">
        <f t="array" ref="R1353">_xlfn.IFS(Q1353=1,"Low",Q1353=2,"Medium",Q1353=3,"High",Q1353=4,"Very High")</f>
        <v>High</v>
      </c>
      <c r="S1353">
        <v>4</v>
      </c>
      <c r="T1353" t="str" cm="1">
        <f t="array" ref="T1353">_xlfn.IFS(S1353=1,"Entry Level",S1353=2,"Junior",S1353=3,"Mid-Level",S1353=4,"Senior",S1353=5,"Executive")</f>
        <v>Senior</v>
      </c>
      <c r="U1353" t="s">
        <v>52</v>
      </c>
      <c r="V1353">
        <v>4</v>
      </c>
      <c r="W1353" t="str" cm="1">
        <f t="array" ref="W1353">_xlfn.IFS(V1353=1,"Low",V1353=2,"Medium",V1353=3,"High",V1353=4,"Very High")</f>
        <v>Very High</v>
      </c>
      <c r="X1353" t="s">
        <v>48</v>
      </c>
      <c r="Y1353" s="2">
        <v>17174</v>
      </c>
      <c r="Z1353" s="2">
        <v>2437</v>
      </c>
      <c r="AA1353">
        <v>3</v>
      </c>
      <c r="AB1353" t="s">
        <v>39</v>
      </c>
      <c r="AC1353">
        <v>11</v>
      </c>
      <c r="AD1353">
        <v>3</v>
      </c>
      <c r="AE1353" t="str" cm="1">
        <f t="array" ref="AE1353">_xlfn.IFS(AD1353=1,"Low",AD1353=2,"Good",AD1353=3,"Excellent",AD1353=4,"Outstanding")</f>
        <v>Excellent</v>
      </c>
      <c r="AF1353">
        <v>2</v>
      </c>
      <c r="AG1353" t="str" cm="1">
        <f t="array" ref="AG1353">_xlfn.IFS(AF1353=1,"Low",AF1353=2,"Medium",AF1353=3,"High",AF1353=4,"Very High")</f>
        <v>Medium</v>
      </c>
      <c r="AH1353">
        <v>1</v>
      </c>
      <c r="AI1353">
        <v>24</v>
      </c>
      <c r="AJ1353">
        <v>3</v>
      </c>
      <c r="AK1353">
        <v>3</v>
      </c>
      <c r="AL1353" t="str" cm="1">
        <f t="array" ref="AL1353">_xlfn.IFS(AK1353=1,"Low",AK1353=2,"Medium",AK1353=3,"High",AK1353=4,"Very High")</f>
        <v>High</v>
      </c>
      <c r="AM1353">
        <v>22</v>
      </c>
      <c r="AN1353">
        <v>17</v>
      </c>
      <c r="AO1353">
        <v>4</v>
      </c>
      <c r="AP1353">
        <v>7</v>
      </c>
    </row>
    <row r="1354" spans="1:42">
      <c r="A1354">
        <v>44</v>
      </c>
      <c r="B1354" t="str" cm="1">
        <f t="array" ref="B1354">_xlfn.IFS(A1354&lt;=25,"18-25",A1354&lt;=35,"26-35",A1354&lt;=45,"36-45",A1354&lt;=55,"46-55",A1354&gt;55,"56+")</f>
        <v>36-45</v>
      </c>
      <c r="C1354" t="s">
        <v>39</v>
      </c>
      <c r="D1354" t="s">
        <v>33</v>
      </c>
      <c r="E1354" s="2">
        <v>170</v>
      </c>
      <c r="F1354" t="s">
        <v>41</v>
      </c>
      <c r="G1354">
        <v>1</v>
      </c>
      <c r="H1354" t="str">
        <f t="shared" si="21"/>
        <v>1-10 km</v>
      </c>
      <c r="I1354">
        <v>4</v>
      </c>
      <c r="J1354" t="str" cm="1">
        <f t="array" ref="J1354">_xlfn.IFS(I1354=1,"Below College",I1354=2,"College",I1354=3,"Bachelor",I1354=4,"Master",I1354=5,"Doctor")</f>
        <v>Master</v>
      </c>
      <c r="K1354" t="s">
        <v>35</v>
      </c>
      <c r="L1354">
        <v>1903</v>
      </c>
      <c r="M1354">
        <v>2</v>
      </c>
      <c r="N1354" t="str" cm="1">
        <f t="array" ref="N1354">_xlfn.IFS(M1354=1,"Low",M1354=2,"Medium",M1354=3,"High",M1354=4,"Very High")</f>
        <v>Medium</v>
      </c>
      <c r="O1354" t="s">
        <v>42</v>
      </c>
      <c r="P1354" s="2">
        <v>78</v>
      </c>
      <c r="Q1354">
        <v>4</v>
      </c>
      <c r="R1354" t="str" cm="1">
        <f t="array" ref="R1354">_xlfn.IFS(Q1354=1,"Low",Q1354=2,"Medium",Q1354=3,"High",Q1354=4,"Very High")</f>
        <v>Very High</v>
      </c>
      <c r="S1354">
        <v>2</v>
      </c>
      <c r="T1354" t="str" cm="1">
        <f t="array" ref="T1354">_xlfn.IFS(S1354=1,"Entry Level",S1354=2,"Junior",S1354=3,"Mid-Level",S1354=4,"Senior",S1354=5,"Executive")</f>
        <v>Junior</v>
      </c>
      <c r="U1354" t="s">
        <v>50</v>
      </c>
      <c r="V1354">
        <v>1</v>
      </c>
      <c r="W1354" t="str" cm="1">
        <f t="array" ref="W1354">_xlfn.IFS(V1354=1,"Low",V1354=2,"Medium",V1354=3,"High",V1354=4,"Very High")</f>
        <v>Low</v>
      </c>
      <c r="X1354" t="s">
        <v>44</v>
      </c>
      <c r="Y1354" s="2">
        <v>5033</v>
      </c>
      <c r="Z1354" s="2">
        <v>9364</v>
      </c>
      <c r="AA1354">
        <v>2</v>
      </c>
      <c r="AB1354" t="s">
        <v>39</v>
      </c>
      <c r="AC1354">
        <v>15</v>
      </c>
      <c r="AD1354">
        <v>3</v>
      </c>
      <c r="AE1354" t="str" cm="1">
        <f t="array" ref="AE1354">_xlfn.IFS(AD1354=1,"Low",AD1354=2,"Good",AD1354=3,"Excellent",AD1354=4,"Outstanding")</f>
        <v>Excellent</v>
      </c>
      <c r="AF1354">
        <v>4</v>
      </c>
      <c r="AG1354" t="str" cm="1">
        <f t="array" ref="AG1354">_xlfn.IFS(AF1354=1,"Low",AF1354=2,"Medium",AF1354=3,"High",AF1354=4,"Very High")</f>
        <v>Very High</v>
      </c>
      <c r="AH1354">
        <v>1</v>
      </c>
      <c r="AI1354">
        <v>10</v>
      </c>
      <c r="AJ1354">
        <v>5</v>
      </c>
      <c r="AK1354">
        <v>3</v>
      </c>
      <c r="AL1354" t="str" cm="1">
        <f t="array" ref="AL1354">_xlfn.IFS(AK1354=1,"Low",AK1354=2,"Medium",AK1354=3,"High",AK1354=4,"Very High")</f>
        <v>High</v>
      </c>
      <c r="AM1354">
        <v>2</v>
      </c>
      <c r="AN1354">
        <v>0</v>
      </c>
      <c r="AO1354">
        <v>2</v>
      </c>
      <c r="AP1354">
        <v>2</v>
      </c>
    </row>
    <row r="1355" spans="1:42">
      <c r="A1355">
        <v>34</v>
      </c>
      <c r="B1355" t="str" cm="1">
        <f t="array" ref="B1355">_xlfn.IFS(A1355&lt;=25,"18-25",A1355&lt;=35,"26-35",A1355&lt;=45,"36-45",A1355&lt;=55,"46-55",A1355&gt;55,"56+")</f>
        <v>26-35</v>
      </c>
      <c r="C1355" t="s">
        <v>32</v>
      </c>
      <c r="D1355" t="s">
        <v>51</v>
      </c>
      <c r="E1355" s="2">
        <v>967</v>
      </c>
      <c r="F1355" t="s">
        <v>41</v>
      </c>
      <c r="G1355">
        <v>16</v>
      </c>
      <c r="H1355" t="str">
        <f t="shared" si="21"/>
        <v>11-20 km</v>
      </c>
      <c r="I1355">
        <v>4</v>
      </c>
      <c r="J1355" t="str" cm="1">
        <f t="array" ref="J1355">_xlfn.IFS(I1355=1,"Below College",I1355=2,"College",I1355=3,"Bachelor",I1355=4,"Master",I1355=5,"Doctor")</f>
        <v>Master</v>
      </c>
      <c r="K1355" t="s">
        <v>56</v>
      </c>
      <c r="L1355">
        <v>1905</v>
      </c>
      <c r="M1355">
        <v>4</v>
      </c>
      <c r="N1355" t="str" cm="1">
        <f t="array" ref="N1355">_xlfn.IFS(M1355=1,"Low",M1355=2,"Medium",M1355=3,"High",M1355=4,"Very High")</f>
        <v>Very High</v>
      </c>
      <c r="O1355" t="s">
        <v>42</v>
      </c>
      <c r="P1355" s="2">
        <v>85</v>
      </c>
      <c r="Q1355">
        <v>1</v>
      </c>
      <c r="R1355" t="str" cm="1">
        <f t="array" ref="R1355">_xlfn.IFS(Q1355=1,"Low",Q1355=2,"Medium",Q1355=3,"High",Q1355=4,"Very High")</f>
        <v>Low</v>
      </c>
      <c r="S1355">
        <v>1</v>
      </c>
      <c r="T1355" t="str" cm="1">
        <f t="array" ref="T1355">_xlfn.IFS(S1355=1,"Entry Level",S1355=2,"Junior",S1355=3,"Mid-Level",S1355=4,"Senior",S1355=5,"Executive")</f>
        <v>Entry Level</v>
      </c>
      <c r="U1355" t="s">
        <v>43</v>
      </c>
      <c r="V1355">
        <v>1</v>
      </c>
      <c r="W1355" t="str" cm="1">
        <f t="array" ref="W1355">_xlfn.IFS(V1355=1,"Low",V1355=2,"Medium",V1355=3,"High",V1355=4,"Very High")</f>
        <v>Low</v>
      </c>
      <c r="X1355" t="s">
        <v>44</v>
      </c>
      <c r="Y1355" s="2">
        <v>2307</v>
      </c>
      <c r="Z1355" s="2">
        <v>14460</v>
      </c>
      <c r="AA1355">
        <v>1</v>
      </c>
      <c r="AB1355" t="s">
        <v>32</v>
      </c>
      <c r="AC1355">
        <v>23</v>
      </c>
      <c r="AD1355">
        <v>4</v>
      </c>
      <c r="AE1355" t="str" cm="1">
        <f t="array" ref="AE1355">_xlfn.IFS(AD1355=1,"Low",AD1355=2,"Good",AD1355=3,"Excellent",AD1355=4,"Outstanding")</f>
        <v>Outstanding</v>
      </c>
      <c r="AF1355">
        <v>2</v>
      </c>
      <c r="AG1355" t="str" cm="1">
        <f t="array" ref="AG1355">_xlfn.IFS(AF1355=1,"Low",AF1355=2,"Medium",AF1355=3,"High",AF1355=4,"Very High")</f>
        <v>Medium</v>
      </c>
      <c r="AH1355">
        <v>1</v>
      </c>
      <c r="AI1355">
        <v>5</v>
      </c>
      <c r="AJ1355">
        <v>2</v>
      </c>
      <c r="AK1355">
        <v>3</v>
      </c>
      <c r="AL1355" t="str" cm="1">
        <f t="array" ref="AL1355">_xlfn.IFS(AK1355=1,"Low",AK1355=2,"Medium",AK1355=3,"High",AK1355=4,"Very High")</f>
        <v>High</v>
      </c>
      <c r="AM1355">
        <v>5</v>
      </c>
      <c r="AN1355">
        <v>2</v>
      </c>
      <c r="AO1355">
        <v>3</v>
      </c>
      <c r="AP1355">
        <v>0</v>
      </c>
    </row>
    <row r="1356" spans="1:42">
      <c r="A1356">
        <v>56</v>
      </c>
      <c r="B1356" t="str" cm="1">
        <f t="array" ref="B1356">_xlfn.IFS(A1356&lt;=25,"18-25",A1356&lt;=35,"26-35",A1356&lt;=45,"36-45",A1356&lt;=55,"46-55",A1356&gt;55,"56+")</f>
        <v>56+</v>
      </c>
      <c r="C1356" t="s">
        <v>32</v>
      </c>
      <c r="D1356" t="s">
        <v>33</v>
      </c>
      <c r="E1356" s="2">
        <v>1162</v>
      </c>
      <c r="F1356" t="s">
        <v>41</v>
      </c>
      <c r="G1356">
        <v>24</v>
      </c>
      <c r="H1356" t="str">
        <f t="shared" si="21"/>
        <v>21-30 km</v>
      </c>
      <c r="I1356">
        <v>2</v>
      </c>
      <c r="J1356" t="str" cm="1">
        <f t="array" ref="J1356">_xlfn.IFS(I1356=1,"Below College",I1356=2,"College",I1356=3,"Bachelor",I1356=4,"Master",I1356=5,"Doctor")</f>
        <v>College</v>
      </c>
      <c r="K1356" t="s">
        <v>35</v>
      </c>
      <c r="L1356">
        <v>1907</v>
      </c>
      <c r="M1356">
        <v>1</v>
      </c>
      <c r="N1356" t="str" cm="1">
        <f t="array" ref="N1356">_xlfn.IFS(M1356=1,"Low",M1356=2,"Medium",M1356=3,"High",M1356=4,"Very High")</f>
        <v>Low</v>
      </c>
      <c r="O1356" t="s">
        <v>42</v>
      </c>
      <c r="P1356" s="2">
        <v>97</v>
      </c>
      <c r="Q1356">
        <v>3</v>
      </c>
      <c r="R1356" t="str" cm="1">
        <f t="array" ref="R1356">_xlfn.IFS(Q1356=1,"Low",Q1356=2,"Medium",Q1356=3,"High",Q1356=4,"Very High")</f>
        <v>High</v>
      </c>
      <c r="S1356">
        <v>1</v>
      </c>
      <c r="T1356" t="str" cm="1">
        <f t="array" ref="T1356">_xlfn.IFS(S1356=1,"Entry Level",S1356=2,"Junior",S1356=3,"Mid-Level",S1356=4,"Senior",S1356=5,"Executive")</f>
        <v>Entry Level</v>
      </c>
      <c r="U1356" t="s">
        <v>46</v>
      </c>
      <c r="V1356">
        <v>4</v>
      </c>
      <c r="W1356" t="str" cm="1">
        <f t="array" ref="W1356">_xlfn.IFS(V1356=1,"Low",V1356=2,"Medium",V1356=3,"High",V1356=4,"Very High")</f>
        <v>Very High</v>
      </c>
      <c r="X1356" t="s">
        <v>38</v>
      </c>
      <c r="Y1356" s="2">
        <v>2587</v>
      </c>
      <c r="Z1356" s="2">
        <v>10261</v>
      </c>
      <c r="AA1356">
        <v>1</v>
      </c>
      <c r="AB1356" t="s">
        <v>39</v>
      </c>
      <c r="AC1356">
        <v>16</v>
      </c>
      <c r="AD1356">
        <v>3</v>
      </c>
      <c r="AE1356" t="str" cm="1">
        <f t="array" ref="AE1356">_xlfn.IFS(AD1356=1,"Low",AD1356=2,"Good",AD1356=3,"Excellent",AD1356=4,"Outstanding")</f>
        <v>Excellent</v>
      </c>
      <c r="AF1356">
        <v>4</v>
      </c>
      <c r="AG1356" t="str" cm="1">
        <f t="array" ref="AG1356">_xlfn.IFS(AF1356=1,"Low",AF1356=2,"Medium",AF1356=3,"High",AF1356=4,"Very High")</f>
        <v>Very High</v>
      </c>
      <c r="AH1356">
        <v>0</v>
      </c>
      <c r="AI1356">
        <v>5</v>
      </c>
      <c r="AJ1356">
        <v>3</v>
      </c>
      <c r="AK1356">
        <v>3</v>
      </c>
      <c r="AL1356" t="str" cm="1">
        <f t="array" ref="AL1356">_xlfn.IFS(AK1356=1,"Low",AK1356=2,"Medium",AK1356=3,"High",AK1356=4,"Very High")</f>
        <v>High</v>
      </c>
      <c r="AM1356">
        <v>4</v>
      </c>
      <c r="AN1356">
        <v>2</v>
      </c>
      <c r="AO1356">
        <v>1</v>
      </c>
      <c r="AP1356">
        <v>0</v>
      </c>
    </row>
    <row r="1357" spans="1:42">
      <c r="A1357">
        <v>36</v>
      </c>
      <c r="B1357" t="str" cm="1">
        <f t="array" ref="B1357">_xlfn.IFS(A1357&lt;=25,"18-25",A1357&lt;=35,"26-35",A1357&lt;=45,"36-45",A1357&lt;=55,"46-55",A1357&gt;55,"56+")</f>
        <v>36-45</v>
      </c>
      <c r="C1357" t="s">
        <v>39</v>
      </c>
      <c r="D1357" t="s">
        <v>33</v>
      </c>
      <c r="E1357" s="2">
        <v>335</v>
      </c>
      <c r="F1357" t="s">
        <v>34</v>
      </c>
      <c r="G1357">
        <v>17</v>
      </c>
      <c r="H1357" t="str">
        <f t="shared" si="21"/>
        <v>11-20 km</v>
      </c>
      <c r="I1357">
        <v>2</v>
      </c>
      <c r="J1357" t="str" cm="1">
        <f t="array" ref="J1357">_xlfn.IFS(I1357=1,"Below College",I1357=2,"College",I1357=3,"Bachelor",I1357=4,"Master",I1357=5,"Doctor")</f>
        <v>College</v>
      </c>
      <c r="K1357" t="s">
        <v>55</v>
      </c>
      <c r="L1357">
        <v>1908</v>
      </c>
      <c r="M1357">
        <v>3</v>
      </c>
      <c r="N1357" t="str" cm="1">
        <f t="array" ref="N1357">_xlfn.IFS(M1357=1,"Low",M1357=2,"Medium",M1357=3,"High",M1357=4,"Very High")</f>
        <v>High</v>
      </c>
      <c r="O1357" t="s">
        <v>42</v>
      </c>
      <c r="P1357" s="2">
        <v>33</v>
      </c>
      <c r="Q1357">
        <v>2</v>
      </c>
      <c r="R1357" t="str" cm="1">
        <f t="array" ref="R1357">_xlfn.IFS(Q1357=1,"Low",Q1357=2,"Medium",Q1357=3,"High",Q1357=4,"Very High")</f>
        <v>Medium</v>
      </c>
      <c r="S1357">
        <v>2</v>
      </c>
      <c r="T1357" t="str" cm="1">
        <f t="array" ref="T1357">_xlfn.IFS(S1357=1,"Entry Level",S1357=2,"Junior",S1357=3,"Mid-Level",S1357=4,"Senior",S1357=5,"Executive")</f>
        <v>Junior</v>
      </c>
      <c r="U1357" t="s">
        <v>37</v>
      </c>
      <c r="V1357">
        <v>2</v>
      </c>
      <c r="W1357" t="str" cm="1">
        <f t="array" ref="W1357">_xlfn.IFS(V1357=1,"Low",V1357=2,"Medium",V1357=3,"High",V1357=4,"Very High")</f>
        <v>Medium</v>
      </c>
      <c r="X1357" t="s">
        <v>44</v>
      </c>
      <c r="Y1357" s="2">
        <v>5507</v>
      </c>
      <c r="Z1357" s="2">
        <v>16822</v>
      </c>
      <c r="AA1357">
        <v>2</v>
      </c>
      <c r="AB1357" t="s">
        <v>39</v>
      </c>
      <c r="AC1357">
        <v>16</v>
      </c>
      <c r="AD1357">
        <v>3</v>
      </c>
      <c r="AE1357" t="str" cm="1">
        <f t="array" ref="AE1357">_xlfn.IFS(AD1357=1,"Low",AD1357=2,"Good",AD1357=3,"Excellent",AD1357=4,"Outstanding")</f>
        <v>Excellent</v>
      </c>
      <c r="AF1357">
        <v>3</v>
      </c>
      <c r="AG1357" t="str" cm="1">
        <f t="array" ref="AG1357">_xlfn.IFS(AF1357=1,"Low",AF1357=2,"Medium",AF1357=3,"High",AF1357=4,"Very High")</f>
        <v>High</v>
      </c>
      <c r="AH1357">
        <v>2</v>
      </c>
      <c r="AI1357">
        <v>12</v>
      </c>
      <c r="AJ1357">
        <v>1</v>
      </c>
      <c r="AK1357">
        <v>1</v>
      </c>
      <c r="AL1357" t="str" cm="1">
        <f t="array" ref="AL1357">_xlfn.IFS(AK1357=1,"Low",AK1357=2,"Medium",AK1357=3,"High",AK1357=4,"Very High")</f>
        <v>Low</v>
      </c>
      <c r="AM1357">
        <v>4</v>
      </c>
      <c r="AN1357">
        <v>2</v>
      </c>
      <c r="AO1357">
        <v>1</v>
      </c>
      <c r="AP1357">
        <v>3</v>
      </c>
    </row>
    <row r="1358" spans="1:42">
      <c r="A1358">
        <v>41</v>
      </c>
      <c r="B1358" t="str" cm="1">
        <f t="array" ref="B1358">_xlfn.IFS(A1358&lt;=25,"18-25",A1358&lt;=35,"26-35",A1358&lt;=45,"36-45",A1358&lt;=55,"46-55",A1358&gt;55,"56+")</f>
        <v>36-45</v>
      </c>
      <c r="C1358" t="s">
        <v>39</v>
      </c>
      <c r="D1358" t="s">
        <v>33</v>
      </c>
      <c r="E1358" s="2">
        <v>337</v>
      </c>
      <c r="F1358" t="s">
        <v>34</v>
      </c>
      <c r="G1358">
        <v>8</v>
      </c>
      <c r="H1358" t="str">
        <f t="shared" si="21"/>
        <v>1-10 km</v>
      </c>
      <c r="I1358">
        <v>3</v>
      </c>
      <c r="J1358" t="str" cm="1">
        <f t="array" ref="J1358">_xlfn.IFS(I1358=1,"Below College",I1358=2,"College",I1358=3,"Bachelor",I1358=4,"Master",I1358=5,"Doctor")</f>
        <v>Bachelor</v>
      </c>
      <c r="K1358" t="s">
        <v>55</v>
      </c>
      <c r="L1358">
        <v>1909</v>
      </c>
      <c r="M1358">
        <v>3</v>
      </c>
      <c r="N1358" t="str" cm="1">
        <f t="array" ref="N1358">_xlfn.IFS(M1358=1,"Low",M1358=2,"Medium",M1358=3,"High",M1358=4,"Very High")</f>
        <v>High</v>
      </c>
      <c r="O1358" t="s">
        <v>36</v>
      </c>
      <c r="P1358" s="2">
        <v>54</v>
      </c>
      <c r="Q1358">
        <v>3</v>
      </c>
      <c r="R1358" t="str" cm="1">
        <f t="array" ref="R1358">_xlfn.IFS(Q1358=1,"Low",Q1358=2,"Medium",Q1358=3,"High",Q1358=4,"Very High")</f>
        <v>High</v>
      </c>
      <c r="S1358">
        <v>2</v>
      </c>
      <c r="T1358" t="str" cm="1">
        <f t="array" ref="T1358">_xlfn.IFS(S1358=1,"Entry Level",S1358=2,"Junior",S1358=3,"Mid-Level",S1358=4,"Senior",S1358=5,"Executive")</f>
        <v>Junior</v>
      </c>
      <c r="U1358" t="s">
        <v>37</v>
      </c>
      <c r="V1358">
        <v>2</v>
      </c>
      <c r="W1358" t="str" cm="1">
        <f t="array" ref="W1358">_xlfn.IFS(V1358=1,"Low",V1358=2,"Medium",V1358=3,"High",V1358=4,"Very High")</f>
        <v>Medium</v>
      </c>
      <c r="X1358" t="s">
        <v>44</v>
      </c>
      <c r="Y1358" s="2">
        <v>4393</v>
      </c>
      <c r="Z1358" s="2">
        <v>26841</v>
      </c>
      <c r="AA1358">
        <v>5</v>
      </c>
      <c r="AB1358" t="s">
        <v>39</v>
      </c>
      <c r="AC1358">
        <v>21</v>
      </c>
      <c r="AD1358">
        <v>4</v>
      </c>
      <c r="AE1358" t="str" cm="1">
        <f t="array" ref="AE1358">_xlfn.IFS(AD1358=1,"Low",AD1358=2,"Good",AD1358=3,"Excellent",AD1358=4,"Outstanding")</f>
        <v>Outstanding</v>
      </c>
      <c r="AF1358">
        <v>3</v>
      </c>
      <c r="AG1358" t="str" cm="1">
        <f t="array" ref="AG1358">_xlfn.IFS(AF1358=1,"Low",AF1358=2,"Medium",AF1358=3,"High",AF1358=4,"Very High")</f>
        <v>High</v>
      </c>
      <c r="AH1358">
        <v>1</v>
      </c>
      <c r="AI1358">
        <v>14</v>
      </c>
      <c r="AJ1358">
        <v>3</v>
      </c>
      <c r="AK1358">
        <v>3</v>
      </c>
      <c r="AL1358" t="str" cm="1">
        <f t="array" ref="AL1358">_xlfn.IFS(AK1358=1,"Low",AK1358=2,"Medium",AK1358=3,"High",AK1358=4,"Very High")</f>
        <v>High</v>
      </c>
      <c r="AM1358">
        <v>5</v>
      </c>
      <c r="AN1358">
        <v>4</v>
      </c>
      <c r="AO1358">
        <v>1</v>
      </c>
      <c r="AP1358">
        <v>4</v>
      </c>
    </row>
    <row r="1359" spans="1:42">
      <c r="A1359">
        <v>42</v>
      </c>
      <c r="B1359" t="str" cm="1">
        <f t="array" ref="B1359">_xlfn.IFS(A1359&lt;=25,"18-25",A1359&lt;=35,"26-35",A1359&lt;=45,"36-45",A1359&lt;=55,"46-55",A1359&gt;55,"56+")</f>
        <v>36-45</v>
      </c>
      <c r="C1359" t="s">
        <v>39</v>
      </c>
      <c r="D1359" t="s">
        <v>33</v>
      </c>
      <c r="E1359" s="2">
        <v>1396</v>
      </c>
      <c r="F1359" t="s">
        <v>41</v>
      </c>
      <c r="G1359">
        <v>6</v>
      </c>
      <c r="H1359" t="str">
        <f t="shared" si="21"/>
        <v>1-10 km</v>
      </c>
      <c r="I1359">
        <v>3</v>
      </c>
      <c r="J1359" t="str" cm="1">
        <f t="array" ref="J1359">_xlfn.IFS(I1359=1,"Below College",I1359=2,"College",I1359=3,"Bachelor",I1359=4,"Master",I1359=5,"Doctor")</f>
        <v>Bachelor</v>
      </c>
      <c r="K1359" t="s">
        <v>47</v>
      </c>
      <c r="L1359">
        <v>1911</v>
      </c>
      <c r="M1359">
        <v>3</v>
      </c>
      <c r="N1359" t="str" cm="1">
        <f t="array" ref="N1359">_xlfn.IFS(M1359=1,"Low",M1359=2,"Medium",M1359=3,"High",M1359=4,"Very High")</f>
        <v>High</v>
      </c>
      <c r="O1359" t="s">
        <v>42</v>
      </c>
      <c r="P1359" s="2">
        <v>83</v>
      </c>
      <c r="Q1359">
        <v>3</v>
      </c>
      <c r="R1359" t="str" cm="1">
        <f t="array" ref="R1359">_xlfn.IFS(Q1359=1,"Low",Q1359=2,"Medium",Q1359=3,"High",Q1359=4,"Very High")</f>
        <v>High</v>
      </c>
      <c r="S1359">
        <v>3</v>
      </c>
      <c r="T1359" t="str" cm="1">
        <f t="array" ref="T1359">_xlfn.IFS(S1359=1,"Entry Level",S1359=2,"Junior",S1359=3,"Mid-Level",S1359=4,"Senior",S1359=5,"Executive")</f>
        <v>Mid-Level</v>
      </c>
      <c r="U1359" t="s">
        <v>54</v>
      </c>
      <c r="V1359">
        <v>1</v>
      </c>
      <c r="W1359" t="str" cm="1">
        <f t="array" ref="W1359">_xlfn.IFS(V1359=1,"Low",V1359=2,"Medium",V1359=3,"High",V1359=4,"Very High")</f>
        <v>Low</v>
      </c>
      <c r="X1359" t="s">
        <v>44</v>
      </c>
      <c r="Y1359" s="2">
        <v>13348</v>
      </c>
      <c r="Z1359" s="2">
        <v>14842</v>
      </c>
      <c r="AA1359">
        <v>9</v>
      </c>
      <c r="AB1359" t="s">
        <v>39</v>
      </c>
      <c r="AC1359">
        <v>13</v>
      </c>
      <c r="AD1359">
        <v>3</v>
      </c>
      <c r="AE1359" t="str" cm="1">
        <f t="array" ref="AE1359">_xlfn.IFS(AD1359=1,"Low",AD1359=2,"Good",AD1359=3,"Excellent",AD1359=4,"Outstanding")</f>
        <v>Excellent</v>
      </c>
      <c r="AF1359">
        <v>2</v>
      </c>
      <c r="AG1359" t="str" cm="1">
        <f t="array" ref="AG1359">_xlfn.IFS(AF1359=1,"Low",AF1359=2,"Medium",AF1359=3,"High",AF1359=4,"Very High")</f>
        <v>Medium</v>
      </c>
      <c r="AH1359">
        <v>1</v>
      </c>
      <c r="AI1359">
        <v>18</v>
      </c>
      <c r="AJ1359">
        <v>3</v>
      </c>
      <c r="AK1359">
        <v>4</v>
      </c>
      <c r="AL1359" t="str" cm="1">
        <f t="array" ref="AL1359">_xlfn.IFS(AK1359=1,"Low",AK1359=2,"Medium",AK1359=3,"High",AK1359=4,"Very High")</f>
        <v>Very High</v>
      </c>
      <c r="AM1359">
        <v>13</v>
      </c>
      <c r="AN1359">
        <v>7</v>
      </c>
      <c r="AO1359">
        <v>5</v>
      </c>
      <c r="AP1359">
        <v>7</v>
      </c>
    </row>
    <row r="1360" spans="1:42">
      <c r="A1360">
        <v>31</v>
      </c>
      <c r="B1360" t="str" cm="1">
        <f t="array" ref="B1360">_xlfn.IFS(A1360&lt;=25,"18-25",A1360&lt;=35,"26-35",A1360&lt;=45,"36-45",A1360&lt;=55,"46-55",A1360&gt;55,"56+")</f>
        <v>26-35</v>
      </c>
      <c r="C1360" t="s">
        <v>39</v>
      </c>
      <c r="D1360" t="s">
        <v>33</v>
      </c>
      <c r="E1360" s="2">
        <v>1079</v>
      </c>
      <c r="F1360" t="s">
        <v>34</v>
      </c>
      <c r="G1360">
        <v>10</v>
      </c>
      <c r="H1360" t="str">
        <f t="shared" si="21"/>
        <v>1-10 km</v>
      </c>
      <c r="I1360">
        <v>2</v>
      </c>
      <c r="J1360" t="str" cm="1">
        <f t="array" ref="J1360">_xlfn.IFS(I1360=1,"Below College",I1360=2,"College",I1360=3,"Bachelor",I1360=4,"Master",I1360=5,"Doctor")</f>
        <v>College</v>
      </c>
      <c r="K1360" t="s">
        <v>47</v>
      </c>
      <c r="L1360">
        <v>1912</v>
      </c>
      <c r="M1360">
        <v>3</v>
      </c>
      <c r="N1360" t="str" cm="1">
        <f t="array" ref="N1360">_xlfn.IFS(M1360=1,"Low",M1360=2,"Medium",M1360=3,"High",M1360=4,"Very High")</f>
        <v>High</v>
      </c>
      <c r="O1360" t="s">
        <v>36</v>
      </c>
      <c r="P1360" s="2">
        <v>86</v>
      </c>
      <c r="Q1360">
        <v>3</v>
      </c>
      <c r="R1360" t="str" cm="1">
        <f t="array" ref="R1360">_xlfn.IFS(Q1360=1,"Low",Q1360=2,"Medium",Q1360=3,"High",Q1360=4,"Very High")</f>
        <v>High</v>
      </c>
      <c r="S1360">
        <v>2</v>
      </c>
      <c r="T1360" t="str" cm="1">
        <f t="array" ref="T1360">_xlfn.IFS(S1360=1,"Entry Level",S1360=2,"Junior",S1360=3,"Mid-Level",S1360=4,"Senior",S1360=5,"Executive")</f>
        <v>Junior</v>
      </c>
      <c r="U1360" t="s">
        <v>37</v>
      </c>
      <c r="V1360">
        <v>4</v>
      </c>
      <c r="W1360" t="str" cm="1">
        <f t="array" ref="W1360">_xlfn.IFS(V1360=1,"Low",V1360=2,"Medium",V1360=3,"High",V1360=4,"Very High")</f>
        <v>Very High</v>
      </c>
      <c r="X1360" t="s">
        <v>48</v>
      </c>
      <c r="Y1360" s="2">
        <v>6583</v>
      </c>
      <c r="Z1360" s="2">
        <v>20115</v>
      </c>
      <c r="AA1360">
        <v>2</v>
      </c>
      <c r="AB1360" t="s">
        <v>32</v>
      </c>
      <c r="AC1360">
        <v>11</v>
      </c>
      <c r="AD1360">
        <v>3</v>
      </c>
      <c r="AE1360" t="str" cm="1">
        <f t="array" ref="AE1360">_xlfn.IFS(AD1360=1,"Low",AD1360=2,"Good",AD1360=3,"Excellent",AD1360=4,"Outstanding")</f>
        <v>Excellent</v>
      </c>
      <c r="AF1360">
        <v>4</v>
      </c>
      <c r="AG1360" t="str" cm="1">
        <f t="array" ref="AG1360">_xlfn.IFS(AF1360=1,"Low",AF1360=2,"Medium",AF1360=3,"High",AF1360=4,"Very High")</f>
        <v>Very High</v>
      </c>
      <c r="AH1360">
        <v>1</v>
      </c>
      <c r="AI1360">
        <v>8</v>
      </c>
      <c r="AJ1360">
        <v>2</v>
      </c>
      <c r="AK1360">
        <v>3</v>
      </c>
      <c r="AL1360" t="str" cm="1">
        <f t="array" ref="AL1360">_xlfn.IFS(AK1360=1,"Low",AK1360=2,"Medium",AK1360=3,"High",AK1360=4,"Very High")</f>
        <v>High</v>
      </c>
      <c r="AM1360">
        <v>5</v>
      </c>
      <c r="AN1360">
        <v>2</v>
      </c>
      <c r="AO1360">
        <v>1</v>
      </c>
      <c r="AP1360">
        <v>4</v>
      </c>
    </row>
    <row r="1361" spans="1:42">
      <c r="A1361">
        <v>34</v>
      </c>
      <c r="B1361" t="str" cm="1">
        <f t="array" ref="B1361">_xlfn.IFS(A1361&lt;=25,"18-25",A1361&lt;=35,"26-35",A1361&lt;=45,"36-45",A1361&lt;=55,"46-55",A1361&gt;55,"56+")</f>
        <v>26-35</v>
      </c>
      <c r="C1361" t="s">
        <v>39</v>
      </c>
      <c r="D1361" t="s">
        <v>33</v>
      </c>
      <c r="E1361" s="2">
        <v>735</v>
      </c>
      <c r="F1361" t="s">
        <v>34</v>
      </c>
      <c r="G1361">
        <v>3</v>
      </c>
      <c r="H1361" t="str">
        <f t="shared" si="21"/>
        <v>1-10 km</v>
      </c>
      <c r="I1361">
        <v>1</v>
      </c>
      <c r="J1361" t="str" cm="1">
        <f t="array" ref="J1361">_xlfn.IFS(I1361=1,"Below College",I1361=2,"College",I1361=3,"Bachelor",I1361=4,"Master",I1361=5,"Doctor")</f>
        <v>Below College</v>
      </c>
      <c r="K1361" t="s">
        <v>47</v>
      </c>
      <c r="L1361">
        <v>1915</v>
      </c>
      <c r="M1361">
        <v>4</v>
      </c>
      <c r="N1361" t="str" cm="1">
        <f t="array" ref="N1361">_xlfn.IFS(M1361=1,"Low",M1361=2,"Medium",M1361=3,"High",M1361=4,"Very High")</f>
        <v>Very High</v>
      </c>
      <c r="O1361" t="s">
        <v>36</v>
      </c>
      <c r="P1361" s="2">
        <v>75</v>
      </c>
      <c r="Q1361">
        <v>2</v>
      </c>
      <c r="R1361" t="str" cm="1">
        <f t="array" ref="R1361">_xlfn.IFS(Q1361=1,"Low",Q1361=2,"Medium",Q1361=3,"High",Q1361=4,"Very High")</f>
        <v>Medium</v>
      </c>
      <c r="S1361">
        <v>2</v>
      </c>
      <c r="T1361" t="str" cm="1">
        <f t="array" ref="T1361">_xlfn.IFS(S1361=1,"Entry Level",S1361=2,"Junior",S1361=3,"Mid-Level",S1361=4,"Senior",S1361=5,"Executive")</f>
        <v>Junior</v>
      </c>
      <c r="U1361" t="s">
        <v>37</v>
      </c>
      <c r="V1361">
        <v>4</v>
      </c>
      <c r="W1361" t="str" cm="1">
        <f t="array" ref="W1361">_xlfn.IFS(V1361=1,"Low",V1361=2,"Medium",V1361=3,"High",V1361=4,"Very High")</f>
        <v>Very High</v>
      </c>
      <c r="X1361" t="s">
        <v>44</v>
      </c>
      <c r="Y1361" s="2">
        <v>8103</v>
      </c>
      <c r="Z1361" s="2">
        <v>16495</v>
      </c>
      <c r="AA1361">
        <v>3</v>
      </c>
      <c r="AB1361" t="s">
        <v>32</v>
      </c>
      <c r="AC1361">
        <v>12</v>
      </c>
      <c r="AD1361">
        <v>3</v>
      </c>
      <c r="AE1361" t="str" cm="1">
        <f t="array" ref="AE1361">_xlfn.IFS(AD1361=1,"Low",AD1361=2,"Good",AD1361=3,"Excellent",AD1361=4,"Outstanding")</f>
        <v>Excellent</v>
      </c>
      <c r="AF1361">
        <v>3</v>
      </c>
      <c r="AG1361" t="str" cm="1">
        <f t="array" ref="AG1361">_xlfn.IFS(AF1361=1,"Low",AF1361=2,"Medium",AF1361=3,"High",AF1361=4,"Very High")</f>
        <v>High</v>
      </c>
      <c r="AH1361">
        <v>0</v>
      </c>
      <c r="AI1361">
        <v>9</v>
      </c>
      <c r="AJ1361">
        <v>3</v>
      </c>
      <c r="AK1361">
        <v>2</v>
      </c>
      <c r="AL1361" t="str" cm="1">
        <f t="array" ref="AL1361">_xlfn.IFS(AK1361=1,"Low",AK1361=2,"Medium",AK1361=3,"High",AK1361=4,"Very High")</f>
        <v>Medium</v>
      </c>
      <c r="AM1361">
        <v>4</v>
      </c>
      <c r="AN1361">
        <v>2</v>
      </c>
      <c r="AO1361">
        <v>0</v>
      </c>
      <c r="AP1361">
        <v>1</v>
      </c>
    </row>
    <row r="1362" spans="1:42">
      <c r="A1362">
        <v>31</v>
      </c>
      <c r="B1362" t="str" cm="1">
        <f t="array" ref="B1362">_xlfn.IFS(A1362&lt;=25,"18-25",A1362&lt;=35,"26-35",A1362&lt;=45,"36-45",A1362&lt;=55,"46-55",A1362&gt;55,"56+")</f>
        <v>26-35</v>
      </c>
      <c r="C1362" t="s">
        <v>39</v>
      </c>
      <c r="D1362" t="s">
        <v>33</v>
      </c>
      <c r="E1362" s="2">
        <v>471</v>
      </c>
      <c r="F1362" t="s">
        <v>41</v>
      </c>
      <c r="G1362">
        <v>4</v>
      </c>
      <c r="H1362" t="str">
        <f t="shared" si="21"/>
        <v>1-10 km</v>
      </c>
      <c r="I1362">
        <v>3</v>
      </c>
      <c r="J1362" t="str" cm="1">
        <f t="array" ref="J1362">_xlfn.IFS(I1362=1,"Below College",I1362=2,"College",I1362=3,"Bachelor",I1362=4,"Master",I1362=5,"Doctor")</f>
        <v>Bachelor</v>
      </c>
      <c r="K1362" t="s">
        <v>47</v>
      </c>
      <c r="L1362">
        <v>1916</v>
      </c>
      <c r="M1362">
        <v>1</v>
      </c>
      <c r="N1362" t="str" cm="1">
        <f t="array" ref="N1362">_xlfn.IFS(M1362=1,"Low",M1362=2,"Medium",M1362=3,"High",M1362=4,"Very High")</f>
        <v>Low</v>
      </c>
      <c r="O1362" t="s">
        <v>36</v>
      </c>
      <c r="P1362" s="2">
        <v>62</v>
      </c>
      <c r="Q1362">
        <v>4</v>
      </c>
      <c r="R1362" t="str" cm="1">
        <f t="array" ref="R1362">_xlfn.IFS(Q1362=1,"Low",Q1362=2,"Medium",Q1362=3,"High",Q1362=4,"Very High")</f>
        <v>Very High</v>
      </c>
      <c r="S1362">
        <v>1</v>
      </c>
      <c r="T1362" t="str" cm="1">
        <f t="array" ref="T1362">_xlfn.IFS(S1362=1,"Entry Level",S1362=2,"Junior",S1362=3,"Mid-Level",S1362=4,"Senior",S1362=5,"Executive")</f>
        <v>Entry Level</v>
      </c>
      <c r="U1362" t="s">
        <v>46</v>
      </c>
      <c r="V1362">
        <v>3</v>
      </c>
      <c r="W1362" t="str" cm="1">
        <f t="array" ref="W1362">_xlfn.IFS(V1362=1,"Low",V1362=2,"Medium",V1362=3,"High",V1362=4,"Very High")</f>
        <v>High</v>
      </c>
      <c r="X1362" t="s">
        <v>48</v>
      </c>
      <c r="Y1362" s="2">
        <v>3978</v>
      </c>
      <c r="Z1362" s="2">
        <v>16031</v>
      </c>
      <c r="AA1362">
        <v>8</v>
      </c>
      <c r="AB1362" t="s">
        <v>39</v>
      </c>
      <c r="AC1362">
        <v>12</v>
      </c>
      <c r="AD1362">
        <v>3</v>
      </c>
      <c r="AE1362" t="str" cm="1">
        <f t="array" ref="AE1362">_xlfn.IFS(AD1362=1,"Low",AD1362=2,"Good",AD1362=3,"Excellent",AD1362=4,"Outstanding")</f>
        <v>Excellent</v>
      </c>
      <c r="AF1362">
        <v>2</v>
      </c>
      <c r="AG1362" t="str" cm="1">
        <f t="array" ref="AG1362">_xlfn.IFS(AF1362=1,"Low",AF1362=2,"Medium",AF1362=3,"High",AF1362=4,"Very High")</f>
        <v>Medium</v>
      </c>
      <c r="AH1362">
        <v>1</v>
      </c>
      <c r="AI1362">
        <v>4</v>
      </c>
      <c r="AJ1362">
        <v>0</v>
      </c>
      <c r="AK1362">
        <v>2</v>
      </c>
      <c r="AL1362" t="str" cm="1">
        <f t="array" ref="AL1362">_xlfn.IFS(AK1362=1,"Low",AK1362=2,"Medium",AK1362=3,"High",AK1362=4,"Very High")</f>
        <v>Medium</v>
      </c>
      <c r="AM1362">
        <v>2</v>
      </c>
      <c r="AN1362">
        <v>2</v>
      </c>
      <c r="AO1362">
        <v>2</v>
      </c>
      <c r="AP1362">
        <v>2</v>
      </c>
    </row>
    <row r="1363" spans="1:42">
      <c r="A1363">
        <v>26</v>
      </c>
      <c r="B1363" t="str" cm="1">
        <f t="array" ref="B1363">_xlfn.IFS(A1363&lt;=25,"18-25",A1363&lt;=35,"26-35",A1363&lt;=45,"36-45",A1363&lt;=55,"46-55",A1363&gt;55,"56+")</f>
        <v>26-35</v>
      </c>
      <c r="C1363" t="s">
        <v>39</v>
      </c>
      <c r="D1363" t="s">
        <v>40</v>
      </c>
      <c r="E1363" s="2">
        <v>1096</v>
      </c>
      <c r="F1363" t="s">
        <v>41</v>
      </c>
      <c r="G1363">
        <v>6</v>
      </c>
      <c r="H1363" t="str">
        <f t="shared" si="21"/>
        <v>1-10 km</v>
      </c>
      <c r="I1363">
        <v>3</v>
      </c>
      <c r="J1363" t="str" cm="1">
        <f t="array" ref="J1363">_xlfn.IFS(I1363=1,"Below College",I1363=2,"College",I1363=3,"Bachelor",I1363=4,"Master",I1363=5,"Doctor")</f>
        <v>Bachelor</v>
      </c>
      <c r="K1363" t="s">
        <v>45</v>
      </c>
      <c r="L1363">
        <v>1918</v>
      </c>
      <c r="M1363">
        <v>3</v>
      </c>
      <c r="N1363" t="str" cm="1">
        <f t="array" ref="N1363">_xlfn.IFS(M1363=1,"Low",M1363=2,"Medium",M1363=3,"High",M1363=4,"Very High")</f>
        <v>High</v>
      </c>
      <c r="O1363" t="s">
        <v>42</v>
      </c>
      <c r="P1363" s="2">
        <v>61</v>
      </c>
      <c r="Q1363">
        <v>4</v>
      </c>
      <c r="R1363" t="str" cm="1">
        <f t="array" ref="R1363">_xlfn.IFS(Q1363=1,"Low",Q1363=2,"Medium",Q1363=3,"High",Q1363=4,"Very High")</f>
        <v>Very High</v>
      </c>
      <c r="S1363">
        <v>1</v>
      </c>
      <c r="T1363" t="str" cm="1">
        <f t="array" ref="T1363">_xlfn.IFS(S1363=1,"Entry Level",S1363=2,"Junior",S1363=3,"Mid-Level",S1363=4,"Senior",S1363=5,"Executive")</f>
        <v>Entry Level</v>
      </c>
      <c r="U1363" t="s">
        <v>46</v>
      </c>
      <c r="V1363">
        <v>4</v>
      </c>
      <c r="W1363" t="str" cm="1">
        <f t="array" ref="W1363">_xlfn.IFS(V1363=1,"Low",V1363=2,"Medium",V1363=3,"High",V1363=4,"Very High")</f>
        <v>Very High</v>
      </c>
      <c r="X1363" t="s">
        <v>44</v>
      </c>
      <c r="Y1363" s="2">
        <v>2544</v>
      </c>
      <c r="Z1363" s="2">
        <v>7102</v>
      </c>
      <c r="AA1363">
        <v>0</v>
      </c>
      <c r="AB1363" t="s">
        <v>39</v>
      </c>
      <c r="AC1363">
        <v>18</v>
      </c>
      <c r="AD1363">
        <v>3</v>
      </c>
      <c r="AE1363" t="str" cm="1">
        <f t="array" ref="AE1363">_xlfn.IFS(AD1363=1,"Low",AD1363=2,"Good",AD1363=3,"Excellent",AD1363=4,"Outstanding")</f>
        <v>Excellent</v>
      </c>
      <c r="AF1363">
        <v>1</v>
      </c>
      <c r="AG1363" t="str" cm="1">
        <f t="array" ref="AG1363">_xlfn.IFS(AF1363=1,"Low",AF1363=2,"Medium",AF1363=3,"High",AF1363=4,"Very High")</f>
        <v>Low</v>
      </c>
      <c r="AH1363">
        <v>1</v>
      </c>
      <c r="AI1363">
        <v>8</v>
      </c>
      <c r="AJ1363">
        <v>3</v>
      </c>
      <c r="AK1363">
        <v>3</v>
      </c>
      <c r="AL1363" t="str" cm="1">
        <f t="array" ref="AL1363">_xlfn.IFS(AK1363=1,"Low",AK1363=2,"Medium",AK1363=3,"High",AK1363=4,"Very High")</f>
        <v>High</v>
      </c>
      <c r="AM1363">
        <v>7</v>
      </c>
      <c r="AN1363">
        <v>7</v>
      </c>
      <c r="AO1363">
        <v>7</v>
      </c>
      <c r="AP1363">
        <v>7</v>
      </c>
    </row>
    <row r="1364" spans="1:42">
      <c r="A1364">
        <v>45</v>
      </c>
      <c r="B1364" t="str" cm="1">
        <f t="array" ref="B1364">_xlfn.IFS(A1364&lt;=25,"18-25",A1364&lt;=35,"26-35",A1364&lt;=45,"36-45",A1364&lt;=55,"46-55",A1364&gt;55,"56+")</f>
        <v>36-45</v>
      </c>
      <c r="C1364" t="s">
        <v>39</v>
      </c>
      <c r="D1364" t="s">
        <v>40</v>
      </c>
      <c r="E1364" s="2">
        <v>1297</v>
      </c>
      <c r="F1364" t="s">
        <v>41</v>
      </c>
      <c r="G1364">
        <v>1</v>
      </c>
      <c r="H1364" t="str">
        <f t="shared" si="21"/>
        <v>1-10 km</v>
      </c>
      <c r="I1364">
        <v>4</v>
      </c>
      <c r="J1364" t="str" cm="1">
        <f t="array" ref="J1364">_xlfn.IFS(I1364=1,"Below College",I1364=2,"College",I1364=3,"Bachelor",I1364=4,"Master",I1364=5,"Doctor")</f>
        <v>Master</v>
      </c>
      <c r="K1364" t="s">
        <v>47</v>
      </c>
      <c r="L1364">
        <v>1922</v>
      </c>
      <c r="M1364">
        <v>2</v>
      </c>
      <c r="N1364" t="str" cm="1">
        <f t="array" ref="N1364">_xlfn.IFS(M1364=1,"Low",M1364=2,"Medium",M1364=3,"High",M1364=4,"Very High")</f>
        <v>Medium</v>
      </c>
      <c r="O1364" t="s">
        <v>42</v>
      </c>
      <c r="P1364" s="2">
        <v>44</v>
      </c>
      <c r="Q1364">
        <v>3</v>
      </c>
      <c r="R1364" t="str" cm="1">
        <f t="array" ref="R1364">_xlfn.IFS(Q1364=1,"Low",Q1364=2,"Medium",Q1364=3,"High",Q1364=4,"Very High")</f>
        <v>High</v>
      </c>
      <c r="S1364">
        <v>2</v>
      </c>
      <c r="T1364" t="str" cm="1">
        <f t="array" ref="T1364">_xlfn.IFS(S1364=1,"Entry Level",S1364=2,"Junior",S1364=3,"Mid-Level",S1364=4,"Senior",S1364=5,"Executive")</f>
        <v>Junior</v>
      </c>
      <c r="U1364" t="s">
        <v>50</v>
      </c>
      <c r="V1364">
        <v>3</v>
      </c>
      <c r="W1364" t="str" cm="1">
        <f t="array" ref="W1364">_xlfn.IFS(V1364=1,"Low",V1364=2,"Medium",V1364=3,"High",V1364=4,"Very High")</f>
        <v>High</v>
      </c>
      <c r="X1364" t="s">
        <v>38</v>
      </c>
      <c r="Y1364" s="2">
        <v>5399</v>
      </c>
      <c r="Z1364" s="2">
        <v>14511</v>
      </c>
      <c r="AA1364">
        <v>4</v>
      </c>
      <c r="AB1364" t="s">
        <v>39</v>
      </c>
      <c r="AC1364">
        <v>12</v>
      </c>
      <c r="AD1364">
        <v>3</v>
      </c>
      <c r="AE1364" t="str" cm="1">
        <f t="array" ref="AE1364">_xlfn.IFS(AD1364=1,"Low",AD1364=2,"Good",AD1364=3,"Excellent",AD1364=4,"Outstanding")</f>
        <v>Excellent</v>
      </c>
      <c r="AF1364">
        <v>3</v>
      </c>
      <c r="AG1364" t="str" cm="1">
        <f t="array" ref="AG1364">_xlfn.IFS(AF1364=1,"Low",AF1364=2,"Medium",AF1364=3,"High",AF1364=4,"Very High")</f>
        <v>High</v>
      </c>
      <c r="AH1364">
        <v>0</v>
      </c>
      <c r="AI1364">
        <v>12</v>
      </c>
      <c r="AJ1364">
        <v>3</v>
      </c>
      <c r="AK1364">
        <v>3</v>
      </c>
      <c r="AL1364" t="str" cm="1">
        <f t="array" ref="AL1364">_xlfn.IFS(AK1364=1,"Low",AK1364=2,"Medium",AK1364=3,"High",AK1364=4,"Very High")</f>
        <v>High</v>
      </c>
      <c r="AM1364">
        <v>4</v>
      </c>
      <c r="AN1364">
        <v>2</v>
      </c>
      <c r="AO1364">
        <v>0</v>
      </c>
      <c r="AP1364">
        <v>3</v>
      </c>
    </row>
    <row r="1365" spans="1:42">
      <c r="A1365">
        <v>33</v>
      </c>
      <c r="B1365" t="str" cm="1">
        <f t="array" ref="B1365">_xlfn.IFS(A1365&lt;=25,"18-25",A1365&lt;=35,"26-35",A1365&lt;=45,"36-45",A1365&lt;=55,"46-55",A1365&gt;55,"56+")</f>
        <v>26-35</v>
      </c>
      <c r="C1365" t="s">
        <v>39</v>
      </c>
      <c r="D1365" t="s">
        <v>33</v>
      </c>
      <c r="E1365" s="2">
        <v>217</v>
      </c>
      <c r="F1365" t="s">
        <v>34</v>
      </c>
      <c r="G1365">
        <v>10</v>
      </c>
      <c r="H1365" t="str">
        <f t="shared" si="21"/>
        <v>1-10 km</v>
      </c>
      <c r="I1365">
        <v>4</v>
      </c>
      <c r="J1365" t="str" cm="1">
        <f t="array" ref="J1365">_xlfn.IFS(I1365=1,"Below College",I1365=2,"College",I1365=3,"Bachelor",I1365=4,"Master",I1365=5,"Doctor")</f>
        <v>Master</v>
      </c>
      <c r="K1365" t="s">
        <v>55</v>
      </c>
      <c r="L1365">
        <v>1924</v>
      </c>
      <c r="M1365">
        <v>2</v>
      </c>
      <c r="N1365" t="str" cm="1">
        <f t="array" ref="N1365">_xlfn.IFS(M1365=1,"Low",M1365=2,"Medium",M1365=3,"High",M1365=4,"Very High")</f>
        <v>Medium</v>
      </c>
      <c r="O1365" t="s">
        <v>42</v>
      </c>
      <c r="P1365" s="2">
        <v>43</v>
      </c>
      <c r="Q1365">
        <v>3</v>
      </c>
      <c r="R1365" t="str" cm="1">
        <f t="array" ref="R1365">_xlfn.IFS(Q1365=1,"Low",Q1365=2,"Medium",Q1365=3,"High",Q1365=4,"Very High")</f>
        <v>High</v>
      </c>
      <c r="S1365">
        <v>2</v>
      </c>
      <c r="T1365" t="str" cm="1">
        <f t="array" ref="T1365">_xlfn.IFS(S1365=1,"Entry Level",S1365=2,"Junior",S1365=3,"Mid-Level",S1365=4,"Senior",S1365=5,"Executive")</f>
        <v>Junior</v>
      </c>
      <c r="U1365" t="s">
        <v>37</v>
      </c>
      <c r="V1365">
        <v>3</v>
      </c>
      <c r="W1365" t="str" cm="1">
        <f t="array" ref="W1365">_xlfn.IFS(V1365=1,"Low",V1365=2,"Medium",V1365=3,"High",V1365=4,"Very High")</f>
        <v>High</v>
      </c>
      <c r="X1365" t="s">
        <v>38</v>
      </c>
      <c r="Y1365" s="2">
        <v>5487</v>
      </c>
      <c r="Z1365" s="2">
        <v>10410</v>
      </c>
      <c r="AA1365">
        <v>1</v>
      </c>
      <c r="AB1365" t="s">
        <v>39</v>
      </c>
      <c r="AC1365">
        <v>14</v>
      </c>
      <c r="AD1365">
        <v>3</v>
      </c>
      <c r="AE1365" t="str" cm="1">
        <f t="array" ref="AE1365">_xlfn.IFS(AD1365=1,"Low",AD1365=2,"Good",AD1365=3,"Excellent",AD1365=4,"Outstanding")</f>
        <v>Excellent</v>
      </c>
      <c r="AF1365">
        <v>2</v>
      </c>
      <c r="AG1365" t="str" cm="1">
        <f t="array" ref="AG1365">_xlfn.IFS(AF1365=1,"Low",AF1365=2,"Medium",AF1365=3,"High",AF1365=4,"Very High")</f>
        <v>Medium</v>
      </c>
      <c r="AH1365">
        <v>0</v>
      </c>
      <c r="AI1365">
        <v>10</v>
      </c>
      <c r="AJ1365">
        <v>2</v>
      </c>
      <c r="AK1365">
        <v>2</v>
      </c>
      <c r="AL1365" t="str" cm="1">
        <f t="array" ref="AL1365">_xlfn.IFS(AK1365=1,"Low",AK1365=2,"Medium",AK1365=3,"High",AK1365=4,"Very High")</f>
        <v>Medium</v>
      </c>
      <c r="AM1365">
        <v>10</v>
      </c>
      <c r="AN1365">
        <v>4</v>
      </c>
      <c r="AO1365">
        <v>0</v>
      </c>
      <c r="AP1365">
        <v>9</v>
      </c>
    </row>
    <row r="1366" spans="1:42">
      <c r="A1366">
        <v>28</v>
      </c>
      <c r="B1366" t="str" cm="1">
        <f t="array" ref="B1366">_xlfn.IFS(A1366&lt;=25,"18-25",A1366&lt;=35,"26-35",A1366&lt;=45,"36-45",A1366&lt;=55,"46-55",A1366&gt;55,"56+")</f>
        <v>26-35</v>
      </c>
      <c r="C1366" t="s">
        <v>39</v>
      </c>
      <c r="D1366" t="s">
        <v>40</v>
      </c>
      <c r="E1366" s="2">
        <v>783</v>
      </c>
      <c r="F1366" t="s">
        <v>34</v>
      </c>
      <c r="G1366">
        <v>1</v>
      </c>
      <c r="H1366" t="str">
        <f t="shared" si="21"/>
        <v>1-10 km</v>
      </c>
      <c r="I1366">
        <v>2</v>
      </c>
      <c r="J1366" t="str" cm="1">
        <f t="array" ref="J1366">_xlfn.IFS(I1366=1,"Below College",I1366=2,"College",I1366=3,"Bachelor",I1366=4,"Master",I1366=5,"Doctor")</f>
        <v>College</v>
      </c>
      <c r="K1366" t="s">
        <v>35</v>
      </c>
      <c r="L1366">
        <v>1927</v>
      </c>
      <c r="M1366">
        <v>3</v>
      </c>
      <c r="N1366" t="str" cm="1">
        <f t="array" ref="N1366">_xlfn.IFS(M1366=1,"Low",M1366=2,"Medium",M1366=3,"High",M1366=4,"Very High")</f>
        <v>High</v>
      </c>
      <c r="O1366" t="s">
        <v>42</v>
      </c>
      <c r="P1366" s="2">
        <v>42</v>
      </c>
      <c r="Q1366">
        <v>2</v>
      </c>
      <c r="R1366" t="str" cm="1">
        <f t="array" ref="R1366">_xlfn.IFS(Q1366=1,"Low",Q1366=2,"Medium",Q1366=3,"High",Q1366=4,"Very High")</f>
        <v>Medium</v>
      </c>
      <c r="S1366">
        <v>2</v>
      </c>
      <c r="T1366" t="str" cm="1">
        <f t="array" ref="T1366">_xlfn.IFS(S1366=1,"Entry Level",S1366=2,"Junior",S1366=3,"Mid-Level",S1366=4,"Senior",S1366=5,"Executive")</f>
        <v>Junior</v>
      </c>
      <c r="U1366" t="s">
        <v>37</v>
      </c>
      <c r="V1366">
        <v>4</v>
      </c>
      <c r="W1366" t="str" cm="1">
        <f t="array" ref="W1366">_xlfn.IFS(V1366=1,"Low",V1366=2,"Medium",V1366=3,"High",V1366=4,"Very High")</f>
        <v>Very High</v>
      </c>
      <c r="X1366" t="s">
        <v>44</v>
      </c>
      <c r="Y1366" s="2">
        <v>6834</v>
      </c>
      <c r="Z1366" s="2">
        <v>19255</v>
      </c>
      <c r="AA1366">
        <v>1</v>
      </c>
      <c r="AB1366" t="s">
        <v>32</v>
      </c>
      <c r="AC1366">
        <v>12</v>
      </c>
      <c r="AD1366">
        <v>3</v>
      </c>
      <c r="AE1366" t="str" cm="1">
        <f t="array" ref="AE1366">_xlfn.IFS(AD1366=1,"Low",AD1366=2,"Good",AD1366=3,"Excellent",AD1366=4,"Outstanding")</f>
        <v>Excellent</v>
      </c>
      <c r="AF1366">
        <v>3</v>
      </c>
      <c r="AG1366" t="str" cm="1">
        <f t="array" ref="AG1366">_xlfn.IFS(AF1366=1,"Low",AF1366=2,"Medium",AF1366=3,"High",AF1366=4,"Very High")</f>
        <v>High</v>
      </c>
      <c r="AH1366">
        <v>1</v>
      </c>
      <c r="AI1366">
        <v>7</v>
      </c>
      <c r="AJ1366">
        <v>2</v>
      </c>
      <c r="AK1366">
        <v>3</v>
      </c>
      <c r="AL1366" t="str" cm="1">
        <f t="array" ref="AL1366">_xlfn.IFS(AK1366=1,"Low",AK1366=2,"Medium",AK1366=3,"High",AK1366=4,"Very High")</f>
        <v>High</v>
      </c>
      <c r="AM1366">
        <v>7</v>
      </c>
      <c r="AN1366">
        <v>7</v>
      </c>
      <c r="AO1366">
        <v>0</v>
      </c>
      <c r="AP1366">
        <v>7</v>
      </c>
    </row>
    <row r="1367" spans="1:42">
      <c r="A1367">
        <v>29</v>
      </c>
      <c r="B1367" t="str" cm="1">
        <f t="array" ref="B1367">_xlfn.IFS(A1367&lt;=25,"18-25",A1367&lt;=35,"26-35",A1367&lt;=45,"36-45",A1367&lt;=55,"46-55",A1367&gt;55,"56+")</f>
        <v>26-35</v>
      </c>
      <c r="C1367" t="s">
        <v>32</v>
      </c>
      <c r="D1367" t="s">
        <v>40</v>
      </c>
      <c r="E1367" s="2">
        <v>746</v>
      </c>
      <c r="F1367" t="s">
        <v>34</v>
      </c>
      <c r="G1367">
        <v>24</v>
      </c>
      <c r="H1367" t="str">
        <f t="shared" si="21"/>
        <v>21-30 km</v>
      </c>
      <c r="I1367">
        <v>3</v>
      </c>
      <c r="J1367" t="str" cm="1">
        <f t="array" ref="J1367">_xlfn.IFS(I1367=1,"Below College",I1367=2,"College",I1367=3,"Bachelor",I1367=4,"Master",I1367=5,"Doctor")</f>
        <v>Bachelor</v>
      </c>
      <c r="K1367" t="s">
        <v>56</v>
      </c>
      <c r="L1367">
        <v>1928</v>
      </c>
      <c r="M1367">
        <v>3</v>
      </c>
      <c r="N1367" t="str" cm="1">
        <f t="array" ref="N1367">_xlfn.IFS(M1367=1,"Low",M1367=2,"Medium",M1367=3,"High",M1367=4,"Very High")</f>
        <v>High</v>
      </c>
      <c r="O1367" t="s">
        <v>42</v>
      </c>
      <c r="P1367" s="2">
        <v>45</v>
      </c>
      <c r="Q1367">
        <v>4</v>
      </c>
      <c r="R1367" t="str" cm="1">
        <f t="array" ref="R1367">_xlfn.IFS(Q1367=1,"Low",Q1367=2,"Medium",Q1367=3,"High",Q1367=4,"Very High")</f>
        <v>Very High</v>
      </c>
      <c r="S1367">
        <v>1</v>
      </c>
      <c r="T1367" t="str" cm="1">
        <f t="array" ref="T1367">_xlfn.IFS(S1367=1,"Entry Level",S1367=2,"Junior",S1367=3,"Mid-Level",S1367=4,"Senior",S1367=5,"Executive")</f>
        <v>Entry Level</v>
      </c>
      <c r="U1367" t="s">
        <v>53</v>
      </c>
      <c r="V1367">
        <v>1</v>
      </c>
      <c r="W1367" t="str" cm="1">
        <f t="array" ref="W1367">_xlfn.IFS(V1367=1,"Low",V1367=2,"Medium",V1367=3,"High",V1367=4,"Very High")</f>
        <v>Low</v>
      </c>
      <c r="X1367" t="s">
        <v>38</v>
      </c>
      <c r="Y1367" s="2">
        <v>1091</v>
      </c>
      <c r="Z1367" s="2">
        <v>10642</v>
      </c>
      <c r="AA1367">
        <v>1</v>
      </c>
      <c r="AB1367" t="s">
        <v>39</v>
      </c>
      <c r="AC1367">
        <v>17</v>
      </c>
      <c r="AD1367">
        <v>3</v>
      </c>
      <c r="AE1367" t="str" cm="1">
        <f t="array" ref="AE1367">_xlfn.IFS(AD1367=1,"Low",AD1367=2,"Good",AD1367=3,"Excellent",AD1367=4,"Outstanding")</f>
        <v>Excellent</v>
      </c>
      <c r="AF1367">
        <v>4</v>
      </c>
      <c r="AG1367" t="str" cm="1">
        <f t="array" ref="AG1367">_xlfn.IFS(AF1367=1,"Low",AF1367=2,"Medium",AF1367=3,"High",AF1367=4,"Very High")</f>
        <v>Very High</v>
      </c>
      <c r="AH1367">
        <v>0</v>
      </c>
      <c r="AI1367">
        <v>1</v>
      </c>
      <c r="AJ1367">
        <v>3</v>
      </c>
      <c r="AK1367">
        <v>3</v>
      </c>
      <c r="AL1367" t="str" cm="1">
        <f t="array" ref="AL1367">_xlfn.IFS(AK1367=1,"Low",AK1367=2,"Medium",AK1367=3,"High",AK1367=4,"Very High")</f>
        <v>High</v>
      </c>
      <c r="AM1367">
        <v>1</v>
      </c>
      <c r="AN1367">
        <v>0</v>
      </c>
      <c r="AO1367">
        <v>0</v>
      </c>
      <c r="AP1367">
        <v>0</v>
      </c>
    </row>
    <row r="1368" spans="1:42">
      <c r="A1368">
        <v>39</v>
      </c>
      <c r="B1368" t="str" cm="1">
        <f t="array" ref="B1368">_xlfn.IFS(A1368&lt;=25,"18-25",A1368&lt;=35,"26-35",A1368&lt;=45,"36-45",A1368&lt;=55,"46-55",A1368&gt;55,"56+")</f>
        <v>36-45</v>
      </c>
      <c r="C1368" t="s">
        <v>39</v>
      </c>
      <c r="D1368" t="s">
        <v>51</v>
      </c>
      <c r="E1368" s="2">
        <v>1251</v>
      </c>
      <c r="F1368" t="s">
        <v>34</v>
      </c>
      <c r="G1368">
        <v>21</v>
      </c>
      <c r="H1368" t="str">
        <f t="shared" si="21"/>
        <v>21-30 km</v>
      </c>
      <c r="I1368">
        <v>4</v>
      </c>
      <c r="J1368" t="str" cm="1">
        <f t="array" ref="J1368">_xlfn.IFS(I1368=1,"Below College",I1368=2,"College",I1368=3,"Bachelor",I1368=4,"Master",I1368=5,"Doctor")</f>
        <v>Master</v>
      </c>
      <c r="K1368" t="s">
        <v>35</v>
      </c>
      <c r="L1368">
        <v>1929</v>
      </c>
      <c r="M1368">
        <v>1</v>
      </c>
      <c r="N1368" t="str" cm="1">
        <f t="array" ref="N1368">_xlfn.IFS(M1368=1,"Low",M1368=2,"Medium",M1368=3,"High",M1368=4,"Very High")</f>
        <v>Low</v>
      </c>
      <c r="O1368" t="s">
        <v>36</v>
      </c>
      <c r="P1368" s="2">
        <v>32</v>
      </c>
      <c r="Q1368">
        <v>1</v>
      </c>
      <c r="R1368" t="str" cm="1">
        <f t="array" ref="R1368">_xlfn.IFS(Q1368=1,"Low",Q1368=2,"Medium",Q1368=3,"High",Q1368=4,"Very High")</f>
        <v>Low</v>
      </c>
      <c r="S1368">
        <v>2</v>
      </c>
      <c r="T1368" t="str" cm="1">
        <f t="array" ref="T1368">_xlfn.IFS(S1368=1,"Entry Level",S1368=2,"Junior",S1368=3,"Mid-Level",S1368=4,"Senior",S1368=5,"Executive")</f>
        <v>Junior</v>
      </c>
      <c r="U1368" t="s">
        <v>37</v>
      </c>
      <c r="V1368">
        <v>3</v>
      </c>
      <c r="W1368" t="str" cm="1">
        <f t="array" ref="W1368">_xlfn.IFS(V1368=1,"Low",V1368=2,"Medium",V1368=3,"High",V1368=4,"Very High")</f>
        <v>High</v>
      </c>
      <c r="X1368" t="s">
        <v>44</v>
      </c>
      <c r="Y1368" s="2">
        <v>5736</v>
      </c>
      <c r="Z1368" s="2">
        <v>3987</v>
      </c>
      <c r="AA1368">
        <v>6</v>
      </c>
      <c r="AB1368" t="s">
        <v>39</v>
      </c>
      <c r="AC1368">
        <v>19</v>
      </c>
      <c r="AD1368">
        <v>3</v>
      </c>
      <c r="AE1368" t="str" cm="1">
        <f t="array" ref="AE1368">_xlfn.IFS(AD1368=1,"Low",AD1368=2,"Good",AD1368=3,"Excellent",AD1368=4,"Outstanding")</f>
        <v>Excellent</v>
      </c>
      <c r="AF1368">
        <v>3</v>
      </c>
      <c r="AG1368" t="str" cm="1">
        <f t="array" ref="AG1368">_xlfn.IFS(AF1368=1,"Low",AF1368=2,"Medium",AF1368=3,"High",AF1368=4,"Very High")</f>
        <v>High</v>
      </c>
      <c r="AH1368">
        <v>1</v>
      </c>
      <c r="AI1368">
        <v>10</v>
      </c>
      <c r="AJ1368">
        <v>1</v>
      </c>
      <c r="AK1368">
        <v>3</v>
      </c>
      <c r="AL1368" t="str" cm="1">
        <f t="array" ref="AL1368">_xlfn.IFS(AK1368=1,"Low",AK1368=2,"Medium",AK1368=3,"High",AK1368=4,"Very High")</f>
        <v>High</v>
      </c>
      <c r="AM1368">
        <v>3</v>
      </c>
      <c r="AN1368">
        <v>2</v>
      </c>
      <c r="AO1368">
        <v>1</v>
      </c>
      <c r="AP1368">
        <v>2</v>
      </c>
    </row>
    <row r="1369" spans="1:42">
      <c r="A1369">
        <v>27</v>
      </c>
      <c r="B1369" t="str" cm="1">
        <f t="array" ref="B1369">_xlfn.IFS(A1369&lt;=25,"18-25",A1369&lt;=35,"26-35",A1369&lt;=45,"36-45",A1369&lt;=55,"46-55",A1369&gt;55,"56+")</f>
        <v>26-35</v>
      </c>
      <c r="C1369" t="s">
        <v>39</v>
      </c>
      <c r="D1369" t="s">
        <v>33</v>
      </c>
      <c r="E1369" s="2">
        <v>1354</v>
      </c>
      <c r="F1369" t="s">
        <v>41</v>
      </c>
      <c r="G1369">
        <v>2</v>
      </c>
      <c r="H1369" t="str">
        <f t="shared" si="21"/>
        <v>1-10 km</v>
      </c>
      <c r="I1369">
        <v>4</v>
      </c>
      <c r="J1369" t="str" cm="1">
        <f t="array" ref="J1369">_xlfn.IFS(I1369=1,"Below College",I1369=2,"College",I1369=3,"Bachelor",I1369=4,"Master",I1369=5,"Doctor")</f>
        <v>Master</v>
      </c>
      <c r="K1369" t="s">
        <v>56</v>
      </c>
      <c r="L1369">
        <v>1931</v>
      </c>
      <c r="M1369">
        <v>2</v>
      </c>
      <c r="N1369" t="str" cm="1">
        <f t="array" ref="N1369">_xlfn.IFS(M1369=1,"Low",M1369=2,"Medium",M1369=3,"High",M1369=4,"Very High")</f>
        <v>Medium</v>
      </c>
      <c r="O1369" t="s">
        <v>42</v>
      </c>
      <c r="P1369" s="2">
        <v>41</v>
      </c>
      <c r="Q1369">
        <v>3</v>
      </c>
      <c r="R1369" t="str" cm="1">
        <f t="array" ref="R1369">_xlfn.IFS(Q1369=1,"Low",Q1369=2,"Medium",Q1369=3,"High",Q1369=4,"Very High")</f>
        <v>High</v>
      </c>
      <c r="S1369">
        <v>1</v>
      </c>
      <c r="T1369" t="str" cm="1">
        <f t="array" ref="T1369">_xlfn.IFS(S1369=1,"Entry Level",S1369=2,"Junior",S1369=3,"Mid-Level",S1369=4,"Senior",S1369=5,"Executive")</f>
        <v>Entry Level</v>
      </c>
      <c r="U1369" t="s">
        <v>43</v>
      </c>
      <c r="V1369">
        <v>2</v>
      </c>
      <c r="W1369" t="str" cm="1">
        <f t="array" ref="W1369">_xlfn.IFS(V1369=1,"Low",V1369=2,"Medium",V1369=3,"High",V1369=4,"Very High")</f>
        <v>Medium</v>
      </c>
      <c r="X1369" t="s">
        <v>44</v>
      </c>
      <c r="Y1369" s="2">
        <v>2226</v>
      </c>
      <c r="Z1369" s="2">
        <v>6073</v>
      </c>
      <c r="AA1369">
        <v>1</v>
      </c>
      <c r="AB1369" t="s">
        <v>39</v>
      </c>
      <c r="AC1369">
        <v>11</v>
      </c>
      <c r="AD1369">
        <v>3</v>
      </c>
      <c r="AE1369" t="str" cm="1">
        <f t="array" ref="AE1369">_xlfn.IFS(AD1369=1,"Low",AD1369=2,"Good",AD1369=3,"Excellent",AD1369=4,"Outstanding")</f>
        <v>Excellent</v>
      </c>
      <c r="AF1369">
        <v>3</v>
      </c>
      <c r="AG1369" t="str" cm="1">
        <f t="array" ref="AG1369">_xlfn.IFS(AF1369=1,"Low",AF1369=2,"Medium",AF1369=3,"High",AF1369=4,"Very High")</f>
        <v>High</v>
      </c>
      <c r="AH1369">
        <v>1</v>
      </c>
      <c r="AI1369">
        <v>6</v>
      </c>
      <c r="AJ1369">
        <v>3</v>
      </c>
      <c r="AK1369">
        <v>2</v>
      </c>
      <c r="AL1369" t="str" cm="1">
        <f t="array" ref="AL1369">_xlfn.IFS(AK1369=1,"Low",AK1369=2,"Medium",AK1369=3,"High",AK1369=4,"Very High")</f>
        <v>Medium</v>
      </c>
      <c r="AM1369">
        <v>5</v>
      </c>
      <c r="AN1369">
        <v>3</v>
      </c>
      <c r="AO1369">
        <v>1</v>
      </c>
      <c r="AP1369">
        <v>2</v>
      </c>
    </row>
    <row r="1370" spans="1:42">
      <c r="A1370">
        <v>34</v>
      </c>
      <c r="B1370" t="str" cm="1">
        <f t="array" ref="B1370">_xlfn.IFS(A1370&lt;=25,"18-25",A1370&lt;=35,"26-35",A1370&lt;=45,"36-45",A1370&lt;=55,"46-55",A1370&gt;55,"56+")</f>
        <v>26-35</v>
      </c>
      <c r="C1370" t="s">
        <v>39</v>
      </c>
      <c r="D1370" t="s">
        <v>40</v>
      </c>
      <c r="E1370" s="2">
        <v>735</v>
      </c>
      <c r="F1370" t="s">
        <v>41</v>
      </c>
      <c r="G1370">
        <v>22</v>
      </c>
      <c r="H1370" t="str">
        <f t="shared" si="21"/>
        <v>21-30 km</v>
      </c>
      <c r="I1370">
        <v>4</v>
      </c>
      <c r="J1370" t="str" cm="1">
        <f t="array" ref="J1370">_xlfn.IFS(I1370=1,"Below College",I1370=2,"College",I1370=3,"Bachelor",I1370=4,"Master",I1370=5,"Doctor")</f>
        <v>Master</v>
      </c>
      <c r="K1370" t="s">
        <v>45</v>
      </c>
      <c r="L1370">
        <v>1932</v>
      </c>
      <c r="M1370">
        <v>3</v>
      </c>
      <c r="N1370" t="str" cm="1">
        <f t="array" ref="N1370">_xlfn.IFS(M1370=1,"Low",M1370=2,"Medium",M1370=3,"High",M1370=4,"Very High")</f>
        <v>High</v>
      </c>
      <c r="O1370" t="s">
        <v>42</v>
      </c>
      <c r="P1370" s="2">
        <v>86</v>
      </c>
      <c r="Q1370">
        <v>2</v>
      </c>
      <c r="R1370" t="str" cm="1">
        <f t="array" ref="R1370">_xlfn.IFS(Q1370=1,"Low",Q1370=2,"Medium",Q1370=3,"High",Q1370=4,"Very High")</f>
        <v>Medium</v>
      </c>
      <c r="S1370">
        <v>2</v>
      </c>
      <c r="T1370" t="str" cm="1">
        <f t="array" ref="T1370">_xlfn.IFS(S1370=1,"Entry Level",S1370=2,"Junior",S1370=3,"Mid-Level",S1370=4,"Senior",S1370=5,"Executive")</f>
        <v>Junior</v>
      </c>
      <c r="U1370" t="s">
        <v>43</v>
      </c>
      <c r="V1370">
        <v>4</v>
      </c>
      <c r="W1370" t="str" cm="1">
        <f t="array" ref="W1370">_xlfn.IFS(V1370=1,"Low",V1370=2,"Medium",V1370=3,"High",V1370=4,"Very High")</f>
        <v>Very High</v>
      </c>
      <c r="X1370" t="s">
        <v>44</v>
      </c>
      <c r="Y1370" s="2">
        <v>5747</v>
      </c>
      <c r="Z1370" s="2">
        <v>26496</v>
      </c>
      <c r="AA1370">
        <v>1</v>
      </c>
      <c r="AB1370" t="s">
        <v>32</v>
      </c>
      <c r="AC1370">
        <v>15</v>
      </c>
      <c r="AD1370">
        <v>3</v>
      </c>
      <c r="AE1370" t="str" cm="1">
        <f t="array" ref="AE1370">_xlfn.IFS(AD1370=1,"Low",AD1370=2,"Good",AD1370=3,"Excellent",AD1370=4,"Outstanding")</f>
        <v>Excellent</v>
      </c>
      <c r="AF1370">
        <v>2</v>
      </c>
      <c r="AG1370" t="str" cm="1">
        <f t="array" ref="AG1370">_xlfn.IFS(AF1370=1,"Low",AF1370=2,"Medium",AF1370=3,"High",AF1370=4,"Very High")</f>
        <v>Medium</v>
      </c>
      <c r="AH1370">
        <v>0</v>
      </c>
      <c r="AI1370">
        <v>16</v>
      </c>
      <c r="AJ1370">
        <v>3</v>
      </c>
      <c r="AK1370">
        <v>3</v>
      </c>
      <c r="AL1370" t="str" cm="1">
        <f t="array" ref="AL1370">_xlfn.IFS(AK1370=1,"Low",AK1370=2,"Medium",AK1370=3,"High",AK1370=4,"Very High")</f>
        <v>High</v>
      </c>
      <c r="AM1370">
        <v>15</v>
      </c>
      <c r="AN1370">
        <v>10</v>
      </c>
      <c r="AO1370">
        <v>6</v>
      </c>
      <c r="AP1370">
        <v>11</v>
      </c>
    </row>
    <row r="1371" spans="1:42">
      <c r="A1371">
        <v>28</v>
      </c>
      <c r="B1371" t="str" cm="1">
        <f t="array" ref="B1371">_xlfn.IFS(A1371&lt;=25,"18-25",A1371&lt;=35,"26-35",A1371&lt;=45,"36-45",A1371&lt;=55,"46-55",A1371&gt;55,"56+")</f>
        <v>26-35</v>
      </c>
      <c r="C1371" t="s">
        <v>32</v>
      </c>
      <c r="D1371" t="s">
        <v>33</v>
      </c>
      <c r="E1371" s="2">
        <v>1475</v>
      </c>
      <c r="F1371" t="s">
        <v>34</v>
      </c>
      <c r="G1371">
        <v>13</v>
      </c>
      <c r="H1371" t="str">
        <f t="shared" si="21"/>
        <v>11-20 km</v>
      </c>
      <c r="I1371">
        <v>2</v>
      </c>
      <c r="J1371" t="str" cm="1">
        <f t="array" ref="J1371">_xlfn.IFS(I1371=1,"Below College",I1371=2,"College",I1371=3,"Bachelor",I1371=4,"Master",I1371=5,"Doctor")</f>
        <v>College</v>
      </c>
      <c r="K1371" t="s">
        <v>55</v>
      </c>
      <c r="L1371">
        <v>1933</v>
      </c>
      <c r="M1371">
        <v>4</v>
      </c>
      <c r="N1371" t="str" cm="1">
        <f t="array" ref="N1371">_xlfn.IFS(M1371=1,"Low",M1371=2,"Medium",M1371=3,"High",M1371=4,"Very High")</f>
        <v>Very High</v>
      </c>
      <c r="O1371" t="s">
        <v>36</v>
      </c>
      <c r="P1371" s="2">
        <v>84</v>
      </c>
      <c r="Q1371">
        <v>3</v>
      </c>
      <c r="R1371" t="str" cm="1">
        <f t="array" ref="R1371">_xlfn.IFS(Q1371=1,"Low",Q1371=2,"Medium",Q1371=3,"High",Q1371=4,"Very High")</f>
        <v>High</v>
      </c>
      <c r="S1371">
        <v>2</v>
      </c>
      <c r="T1371" t="str" cm="1">
        <f t="array" ref="T1371">_xlfn.IFS(S1371=1,"Entry Level",S1371=2,"Junior",S1371=3,"Mid-Level",S1371=4,"Senior",S1371=5,"Executive")</f>
        <v>Junior</v>
      </c>
      <c r="U1371" t="s">
        <v>37</v>
      </c>
      <c r="V1371">
        <v>3</v>
      </c>
      <c r="W1371" t="str" cm="1">
        <f t="array" ref="W1371">_xlfn.IFS(V1371=1,"Low",V1371=2,"Medium",V1371=3,"High",V1371=4,"Very High")</f>
        <v>High</v>
      </c>
      <c r="X1371" t="s">
        <v>38</v>
      </c>
      <c r="Y1371" s="2">
        <v>9854</v>
      </c>
      <c r="Z1371" s="2">
        <v>23352</v>
      </c>
      <c r="AA1371">
        <v>3</v>
      </c>
      <c r="AB1371" t="s">
        <v>32</v>
      </c>
      <c r="AC1371">
        <v>11</v>
      </c>
      <c r="AD1371">
        <v>3</v>
      </c>
      <c r="AE1371" t="str" cm="1">
        <f t="array" ref="AE1371">_xlfn.IFS(AD1371=1,"Low",AD1371=2,"Good",AD1371=3,"Excellent",AD1371=4,"Outstanding")</f>
        <v>Excellent</v>
      </c>
      <c r="AF1371">
        <v>4</v>
      </c>
      <c r="AG1371" t="str" cm="1">
        <f t="array" ref="AG1371">_xlfn.IFS(AF1371=1,"Low",AF1371=2,"Medium",AF1371=3,"High",AF1371=4,"Very High")</f>
        <v>Very High</v>
      </c>
      <c r="AH1371">
        <v>0</v>
      </c>
      <c r="AI1371">
        <v>6</v>
      </c>
      <c r="AJ1371">
        <v>0</v>
      </c>
      <c r="AK1371">
        <v>3</v>
      </c>
      <c r="AL1371" t="str" cm="1">
        <f t="array" ref="AL1371">_xlfn.IFS(AK1371=1,"Low",AK1371=2,"Medium",AK1371=3,"High",AK1371=4,"Very High")</f>
        <v>High</v>
      </c>
      <c r="AM1371">
        <v>2</v>
      </c>
      <c r="AN1371">
        <v>0</v>
      </c>
      <c r="AO1371">
        <v>2</v>
      </c>
      <c r="AP1371">
        <v>2</v>
      </c>
    </row>
    <row r="1372" spans="1:42">
      <c r="A1372">
        <v>47</v>
      </c>
      <c r="B1372" t="str" cm="1">
        <f t="array" ref="B1372">_xlfn.IFS(A1372&lt;=25,"18-25",A1372&lt;=35,"26-35",A1372&lt;=45,"36-45",A1372&lt;=55,"46-55",A1372&gt;55,"56+")</f>
        <v>46-55</v>
      </c>
      <c r="C1372" t="s">
        <v>39</v>
      </c>
      <c r="D1372" t="s">
        <v>51</v>
      </c>
      <c r="E1372" s="2">
        <v>1169</v>
      </c>
      <c r="F1372" t="s">
        <v>41</v>
      </c>
      <c r="G1372">
        <v>14</v>
      </c>
      <c r="H1372" t="str">
        <f t="shared" si="21"/>
        <v>11-20 km</v>
      </c>
      <c r="I1372">
        <v>4</v>
      </c>
      <c r="J1372" t="str" cm="1">
        <f t="array" ref="J1372">_xlfn.IFS(I1372=1,"Below College",I1372=2,"College",I1372=3,"Bachelor",I1372=4,"Master",I1372=5,"Doctor")</f>
        <v>Master</v>
      </c>
      <c r="K1372" t="s">
        <v>56</v>
      </c>
      <c r="L1372">
        <v>1934</v>
      </c>
      <c r="M1372">
        <v>3</v>
      </c>
      <c r="N1372" t="str" cm="1">
        <f t="array" ref="N1372">_xlfn.IFS(M1372=1,"Low",M1372=2,"Medium",M1372=3,"High",M1372=4,"Very High")</f>
        <v>High</v>
      </c>
      <c r="O1372" t="s">
        <v>42</v>
      </c>
      <c r="P1372" s="2">
        <v>64</v>
      </c>
      <c r="Q1372">
        <v>3</v>
      </c>
      <c r="R1372" t="str" cm="1">
        <f t="array" ref="R1372">_xlfn.IFS(Q1372=1,"Low",Q1372=2,"Medium",Q1372=3,"High",Q1372=4,"Very High")</f>
        <v>High</v>
      </c>
      <c r="S1372">
        <v>2</v>
      </c>
      <c r="T1372" t="str" cm="1">
        <f t="array" ref="T1372">_xlfn.IFS(S1372=1,"Entry Level",S1372=2,"Junior",S1372=3,"Mid-Level",S1372=4,"Senior",S1372=5,"Executive")</f>
        <v>Junior</v>
      </c>
      <c r="U1372" t="s">
        <v>43</v>
      </c>
      <c r="V1372">
        <v>2</v>
      </c>
      <c r="W1372" t="str" cm="1">
        <f t="array" ref="W1372">_xlfn.IFS(V1372=1,"Low",V1372=2,"Medium",V1372=3,"High",V1372=4,"Very High")</f>
        <v>Medium</v>
      </c>
      <c r="X1372" t="s">
        <v>44</v>
      </c>
      <c r="Y1372" s="2">
        <v>5467</v>
      </c>
      <c r="Z1372" s="2">
        <v>2125</v>
      </c>
      <c r="AA1372">
        <v>8</v>
      </c>
      <c r="AB1372" t="s">
        <v>39</v>
      </c>
      <c r="AC1372">
        <v>18</v>
      </c>
      <c r="AD1372">
        <v>3</v>
      </c>
      <c r="AE1372" t="str" cm="1">
        <f t="array" ref="AE1372">_xlfn.IFS(AD1372=1,"Low",AD1372=2,"Good",AD1372=3,"Excellent",AD1372=4,"Outstanding")</f>
        <v>Excellent</v>
      </c>
      <c r="AF1372">
        <v>3</v>
      </c>
      <c r="AG1372" t="str" cm="1">
        <f t="array" ref="AG1372">_xlfn.IFS(AF1372=1,"Low",AF1372=2,"Medium",AF1372=3,"High",AF1372=4,"Very High")</f>
        <v>High</v>
      </c>
      <c r="AH1372">
        <v>1</v>
      </c>
      <c r="AI1372">
        <v>16</v>
      </c>
      <c r="AJ1372">
        <v>4</v>
      </c>
      <c r="AK1372">
        <v>4</v>
      </c>
      <c r="AL1372" t="str" cm="1">
        <f t="array" ref="AL1372">_xlfn.IFS(AK1372=1,"Low",AK1372=2,"Medium",AK1372=3,"High",AK1372=4,"Very High")</f>
        <v>Very High</v>
      </c>
      <c r="AM1372">
        <v>8</v>
      </c>
      <c r="AN1372">
        <v>7</v>
      </c>
      <c r="AO1372">
        <v>1</v>
      </c>
      <c r="AP1372">
        <v>7</v>
      </c>
    </row>
    <row r="1373" spans="1:42">
      <c r="A1373">
        <v>56</v>
      </c>
      <c r="B1373" t="str" cm="1">
        <f t="array" ref="B1373">_xlfn.IFS(A1373&lt;=25,"18-25",A1373&lt;=35,"26-35",A1373&lt;=45,"36-45",A1373&lt;=55,"46-55",A1373&gt;55,"56+")</f>
        <v>56+</v>
      </c>
      <c r="C1373" t="s">
        <v>39</v>
      </c>
      <c r="D1373" t="s">
        <v>33</v>
      </c>
      <c r="E1373" s="2">
        <v>1443</v>
      </c>
      <c r="F1373" t="s">
        <v>34</v>
      </c>
      <c r="G1373">
        <v>11</v>
      </c>
      <c r="H1373" t="str">
        <f t="shared" si="21"/>
        <v>11-20 km</v>
      </c>
      <c r="I1373">
        <v>5</v>
      </c>
      <c r="J1373" t="str" cm="1">
        <f t="array" ref="J1373">_xlfn.IFS(I1373=1,"Below College",I1373=2,"College",I1373=3,"Bachelor",I1373=4,"Master",I1373=5,"Doctor")</f>
        <v>Doctor</v>
      </c>
      <c r="K1373" t="s">
        <v>55</v>
      </c>
      <c r="L1373">
        <v>1935</v>
      </c>
      <c r="M1373">
        <v>4</v>
      </c>
      <c r="N1373" t="str" cm="1">
        <f t="array" ref="N1373">_xlfn.IFS(M1373=1,"Low",M1373=2,"Medium",M1373=3,"High",M1373=4,"Very High")</f>
        <v>Very High</v>
      </c>
      <c r="O1373" t="s">
        <v>36</v>
      </c>
      <c r="P1373" s="2">
        <v>89</v>
      </c>
      <c r="Q1373">
        <v>2</v>
      </c>
      <c r="R1373" t="str" cm="1">
        <f t="array" ref="R1373">_xlfn.IFS(Q1373=1,"Low",Q1373=2,"Medium",Q1373=3,"High",Q1373=4,"Very High")</f>
        <v>Medium</v>
      </c>
      <c r="S1373">
        <v>2</v>
      </c>
      <c r="T1373" t="str" cm="1">
        <f t="array" ref="T1373">_xlfn.IFS(S1373=1,"Entry Level",S1373=2,"Junior",S1373=3,"Mid-Level",S1373=4,"Senior",S1373=5,"Executive")</f>
        <v>Junior</v>
      </c>
      <c r="U1373" t="s">
        <v>37</v>
      </c>
      <c r="V1373">
        <v>1</v>
      </c>
      <c r="W1373" t="str" cm="1">
        <f t="array" ref="W1373">_xlfn.IFS(V1373=1,"Low",V1373=2,"Medium",V1373=3,"High",V1373=4,"Very High")</f>
        <v>Low</v>
      </c>
      <c r="X1373" t="s">
        <v>44</v>
      </c>
      <c r="Y1373" s="2">
        <v>5380</v>
      </c>
      <c r="Z1373" s="2">
        <v>20328</v>
      </c>
      <c r="AA1373">
        <v>4</v>
      </c>
      <c r="AB1373" t="s">
        <v>39</v>
      </c>
      <c r="AC1373">
        <v>16</v>
      </c>
      <c r="AD1373">
        <v>3</v>
      </c>
      <c r="AE1373" t="str" cm="1">
        <f t="array" ref="AE1373">_xlfn.IFS(AD1373=1,"Low",AD1373=2,"Good",AD1373=3,"Excellent",AD1373=4,"Outstanding")</f>
        <v>Excellent</v>
      </c>
      <c r="AF1373">
        <v>3</v>
      </c>
      <c r="AG1373" t="str" cm="1">
        <f t="array" ref="AG1373">_xlfn.IFS(AF1373=1,"Low",AF1373=2,"Medium",AF1373=3,"High",AF1373=4,"Very High")</f>
        <v>High</v>
      </c>
      <c r="AH1373">
        <v>1</v>
      </c>
      <c r="AI1373">
        <v>6</v>
      </c>
      <c r="AJ1373">
        <v>3</v>
      </c>
      <c r="AK1373">
        <v>3</v>
      </c>
      <c r="AL1373" t="str" cm="1">
        <f t="array" ref="AL1373">_xlfn.IFS(AK1373=1,"Low",AK1373=2,"Medium",AK1373=3,"High",AK1373=4,"Very High")</f>
        <v>High</v>
      </c>
      <c r="AM1373">
        <v>0</v>
      </c>
      <c r="AN1373">
        <v>0</v>
      </c>
      <c r="AO1373">
        <v>0</v>
      </c>
      <c r="AP1373">
        <v>0</v>
      </c>
    </row>
    <row r="1374" spans="1:42">
      <c r="A1374">
        <v>39</v>
      </c>
      <c r="B1374" t="str" cm="1">
        <f t="array" ref="B1374">_xlfn.IFS(A1374&lt;=25,"18-25",A1374&lt;=35,"26-35",A1374&lt;=45,"36-45",A1374&lt;=55,"46-55",A1374&gt;55,"56+")</f>
        <v>36-45</v>
      </c>
      <c r="C1374" t="s">
        <v>39</v>
      </c>
      <c r="D1374" t="s">
        <v>33</v>
      </c>
      <c r="E1374" s="2">
        <v>867</v>
      </c>
      <c r="F1374" t="s">
        <v>41</v>
      </c>
      <c r="G1374">
        <v>9</v>
      </c>
      <c r="H1374" t="str">
        <f t="shared" si="21"/>
        <v>1-10 km</v>
      </c>
      <c r="I1374">
        <v>2</v>
      </c>
      <c r="J1374" t="str" cm="1">
        <f t="array" ref="J1374">_xlfn.IFS(I1374=1,"Below College",I1374=2,"College",I1374=3,"Bachelor",I1374=4,"Master",I1374=5,"Doctor")</f>
        <v>College</v>
      </c>
      <c r="K1374" t="s">
        <v>47</v>
      </c>
      <c r="L1374">
        <v>1936</v>
      </c>
      <c r="M1374">
        <v>1</v>
      </c>
      <c r="N1374" t="str" cm="1">
        <f t="array" ref="N1374">_xlfn.IFS(M1374=1,"Low",M1374=2,"Medium",M1374=3,"High",M1374=4,"Very High")</f>
        <v>Low</v>
      </c>
      <c r="O1374" t="s">
        <v>42</v>
      </c>
      <c r="P1374" s="2">
        <v>87</v>
      </c>
      <c r="Q1374">
        <v>3</v>
      </c>
      <c r="R1374" t="str" cm="1">
        <f t="array" ref="R1374">_xlfn.IFS(Q1374=1,"Low",Q1374=2,"Medium",Q1374=3,"High",Q1374=4,"Very High")</f>
        <v>High</v>
      </c>
      <c r="S1374">
        <v>2</v>
      </c>
      <c r="T1374" t="str" cm="1">
        <f t="array" ref="T1374">_xlfn.IFS(S1374=1,"Entry Level",S1374=2,"Junior",S1374=3,"Mid-Level",S1374=4,"Senior",S1374=5,"Executive")</f>
        <v>Junior</v>
      </c>
      <c r="U1374" t="s">
        <v>49</v>
      </c>
      <c r="V1374">
        <v>1</v>
      </c>
      <c r="W1374" t="str" cm="1">
        <f t="array" ref="W1374">_xlfn.IFS(V1374=1,"Low",V1374=2,"Medium",V1374=3,"High",V1374=4,"Very High")</f>
        <v>Low</v>
      </c>
      <c r="X1374" t="s">
        <v>44</v>
      </c>
      <c r="Y1374" s="2">
        <v>5151</v>
      </c>
      <c r="Z1374" s="2">
        <v>12315</v>
      </c>
      <c r="AA1374">
        <v>1</v>
      </c>
      <c r="AB1374" t="s">
        <v>39</v>
      </c>
      <c r="AC1374">
        <v>25</v>
      </c>
      <c r="AD1374">
        <v>4</v>
      </c>
      <c r="AE1374" t="str" cm="1">
        <f t="array" ref="AE1374">_xlfn.IFS(AD1374=1,"Low",AD1374=2,"Good",AD1374=3,"Excellent",AD1374=4,"Outstanding")</f>
        <v>Outstanding</v>
      </c>
      <c r="AF1374">
        <v>4</v>
      </c>
      <c r="AG1374" t="str" cm="1">
        <f t="array" ref="AG1374">_xlfn.IFS(AF1374=1,"Low",AF1374=2,"Medium",AF1374=3,"High",AF1374=4,"Very High")</f>
        <v>Very High</v>
      </c>
      <c r="AH1374">
        <v>1</v>
      </c>
      <c r="AI1374">
        <v>10</v>
      </c>
      <c r="AJ1374">
        <v>3</v>
      </c>
      <c r="AK1374">
        <v>3</v>
      </c>
      <c r="AL1374" t="str" cm="1">
        <f t="array" ref="AL1374">_xlfn.IFS(AK1374=1,"Low",AK1374=2,"Medium",AK1374=3,"High",AK1374=4,"Very High")</f>
        <v>High</v>
      </c>
      <c r="AM1374">
        <v>10</v>
      </c>
      <c r="AN1374">
        <v>0</v>
      </c>
      <c r="AO1374">
        <v>7</v>
      </c>
      <c r="AP1374">
        <v>9</v>
      </c>
    </row>
    <row r="1375" spans="1:42">
      <c r="A1375">
        <v>38</v>
      </c>
      <c r="B1375" t="str" cm="1">
        <f t="array" ref="B1375">_xlfn.IFS(A1375&lt;=25,"18-25",A1375&lt;=35,"26-35",A1375&lt;=45,"36-45",A1375&lt;=55,"46-55",A1375&gt;55,"56+")</f>
        <v>36-45</v>
      </c>
      <c r="C1375" t="s">
        <v>39</v>
      </c>
      <c r="D1375" t="s">
        <v>40</v>
      </c>
      <c r="E1375" s="2">
        <v>1394</v>
      </c>
      <c r="F1375" t="s">
        <v>41</v>
      </c>
      <c r="G1375">
        <v>8</v>
      </c>
      <c r="H1375" t="str">
        <f t="shared" si="21"/>
        <v>1-10 km</v>
      </c>
      <c r="I1375">
        <v>3</v>
      </c>
      <c r="J1375" t="str" cm="1">
        <f t="array" ref="J1375">_xlfn.IFS(I1375=1,"Below College",I1375=2,"College",I1375=3,"Bachelor",I1375=4,"Master",I1375=5,"Doctor")</f>
        <v>Bachelor</v>
      </c>
      <c r="K1375" t="s">
        <v>47</v>
      </c>
      <c r="L1375">
        <v>1937</v>
      </c>
      <c r="M1375">
        <v>4</v>
      </c>
      <c r="N1375" t="str" cm="1">
        <f t="array" ref="N1375">_xlfn.IFS(M1375=1,"Low",M1375=2,"Medium",M1375=3,"High",M1375=4,"Very High")</f>
        <v>Very High</v>
      </c>
      <c r="O1375" t="s">
        <v>36</v>
      </c>
      <c r="P1375" s="2">
        <v>58</v>
      </c>
      <c r="Q1375">
        <v>2</v>
      </c>
      <c r="R1375" t="str" cm="1">
        <f t="array" ref="R1375">_xlfn.IFS(Q1375=1,"Low",Q1375=2,"Medium",Q1375=3,"High",Q1375=4,"Very High")</f>
        <v>Medium</v>
      </c>
      <c r="S1375">
        <v>2</v>
      </c>
      <c r="T1375" t="str" cm="1">
        <f t="array" ref="T1375">_xlfn.IFS(S1375=1,"Entry Level",S1375=2,"Junior",S1375=3,"Mid-Level",S1375=4,"Senior",S1375=5,"Executive")</f>
        <v>Junior</v>
      </c>
      <c r="U1375" t="s">
        <v>43</v>
      </c>
      <c r="V1375">
        <v>2</v>
      </c>
      <c r="W1375" t="str" cm="1">
        <f t="array" ref="W1375">_xlfn.IFS(V1375=1,"Low",V1375=2,"Medium",V1375=3,"High",V1375=4,"Very High")</f>
        <v>Medium</v>
      </c>
      <c r="X1375" t="s">
        <v>48</v>
      </c>
      <c r="Y1375" s="2">
        <v>2133</v>
      </c>
      <c r="Z1375" s="2">
        <v>18115</v>
      </c>
      <c r="AA1375">
        <v>1</v>
      </c>
      <c r="AB1375" t="s">
        <v>32</v>
      </c>
      <c r="AC1375">
        <v>16</v>
      </c>
      <c r="AD1375">
        <v>3</v>
      </c>
      <c r="AE1375" t="str" cm="1">
        <f t="array" ref="AE1375">_xlfn.IFS(AD1375=1,"Low",AD1375=2,"Good",AD1375=3,"Excellent",AD1375=4,"Outstanding")</f>
        <v>Excellent</v>
      </c>
      <c r="AF1375">
        <v>3</v>
      </c>
      <c r="AG1375" t="str" cm="1">
        <f t="array" ref="AG1375">_xlfn.IFS(AF1375=1,"Low",AF1375=2,"Medium",AF1375=3,"High",AF1375=4,"Very High")</f>
        <v>High</v>
      </c>
      <c r="AH1375">
        <v>1</v>
      </c>
      <c r="AI1375">
        <v>20</v>
      </c>
      <c r="AJ1375">
        <v>3</v>
      </c>
      <c r="AK1375">
        <v>3</v>
      </c>
      <c r="AL1375" t="str" cm="1">
        <f t="array" ref="AL1375">_xlfn.IFS(AK1375=1,"Low",AK1375=2,"Medium",AK1375=3,"High",AK1375=4,"Very High")</f>
        <v>High</v>
      </c>
      <c r="AM1375">
        <v>20</v>
      </c>
      <c r="AN1375">
        <v>11</v>
      </c>
      <c r="AO1375">
        <v>0</v>
      </c>
      <c r="AP1375">
        <v>7</v>
      </c>
    </row>
    <row r="1376" spans="1:42">
      <c r="A1376">
        <v>58</v>
      </c>
      <c r="B1376" t="str" cm="1">
        <f t="array" ref="B1376">_xlfn.IFS(A1376&lt;=25,"18-25",A1376&lt;=35,"26-35",A1376&lt;=45,"36-45",A1376&lt;=55,"46-55",A1376&gt;55,"56+")</f>
        <v>56+</v>
      </c>
      <c r="C1376" t="s">
        <v>39</v>
      </c>
      <c r="D1376" t="s">
        <v>33</v>
      </c>
      <c r="E1376" s="2">
        <v>605</v>
      </c>
      <c r="F1376" t="s">
        <v>34</v>
      </c>
      <c r="G1376">
        <v>21</v>
      </c>
      <c r="H1376" t="str">
        <f t="shared" si="21"/>
        <v>21-30 km</v>
      </c>
      <c r="I1376">
        <v>3</v>
      </c>
      <c r="J1376" t="str" cm="1">
        <f t="array" ref="J1376">_xlfn.IFS(I1376=1,"Below College",I1376=2,"College",I1376=3,"Bachelor",I1376=4,"Master",I1376=5,"Doctor")</f>
        <v>Bachelor</v>
      </c>
      <c r="K1376" t="s">
        <v>35</v>
      </c>
      <c r="L1376">
        <v>1938</v>
      </c>
      <c r="M1376">
        <v>4</v>
      </c>
      <c r="N1376" t="str" cm="1">
        <f t="array" ref="N1376">_xlfn.IFS(M1376=1,"Low",M1376=2,"Medium",M1376=3,"High",M1376=4,"Very High")</f>
        <v>Very High</v>
      </c>
      <c r="O1376" t="s">
        <v>36</v>
      </c>
      <c r="P1376" s="2">
        <v>72</v>
      </c>
      <c r="Q1376">
        <v>3</v>
      </c>
      <c r="R1376" t="str" cm="1">
        <f t="array" ref="R1376">_xlfn.IFS(Q1376=1,"Low",Q1376=2,"Medium",Q1376=3,"High",Q1376=4,"Very High")</f>
        <v>High</v>
      </c>
      <c r="S1376">
        <v>4</v>
      </c>
      <c r="T1376" t="str" cm="1">
        <f t="array" ref="T1376">_xlfn.IFS(S1376=1,"Entry Level",S1376=2,"Junior",S1376=3,"Mid-Level",S1376=4,"Senior",S1376=5,"Executive")</f>
        <v>Senior</v>
      </c>
      <c r="U1376" t="s">
        <v>52</v>
      </c>
      <c r="V1376">
        <v>4</v>
      </c>
      <c r="W1376" t="str" cm="1">
        <f t="array" ref="W1376">_xlfn.IFS(V1376=1,"Low",V1376=2,"Medium",V1376=3,"High",V1376=4,"Very High")</f>
        <v>Very High</v>
      </c>
      <c r="X1376" t="s">
        <v>44</v>
      </c>
      <c r="Y1376" s="2">
        <v>17875</v>
      </c>
      <c r="Z1376" s="2">
        <v>11761</v>
      </c>
      <c r="AA1376">
        <v>4</v>
      </c>
      <c r="AB1376" t="s">
        <v>32</v>
      </c>
      <c r="AC1376">
        <v>13</v>
      </c>
      <c r="AD1376">
        <v>3</v>
      </c>
      <c r="AE1376" t="str" cm="1">
        <f t="array" ref="AE1376">_xlfn.IFS(AD1376=1,"Low",AD1376=2,"Good",AD1376=3,"Excellent",AD1376=4,"Outstanding")</f>
        <v>Excellent</v>
      </c>
      <c r="AF1376">
        <v>3</v>
      </c>
      <c r="AG1376" t="str" cm="1">
        <f t="array" ref="AG1376">_xlfn.IFS(AF1376=1,"Low",AF1376=2,"Medium",AF1376=3,"High",AF1376=4,"Very High")</f>
        <v>High</v>
      </c>
      <c r="AH1376">
        <v>1</v>
      </c>
      <c r="AI1376">
        <v>29</v>
      </c>
      <c r="AJ1376">
        <v>2</v>
      </c>
      <c r="AK1376">
        <v>2</v>
      </c>
      <c r="AL1376" t="str" cm="1">
        <f t="array" ref="AL1376">_xlfn.IFS(AK1376=1,"Low",AK1376=2,"Medium",AK1376=3,"High",AK1376=4,"Very High")</f>
        <v>Medium</v>
      </c>
      <c r="AM1376">
        <v>1</v>
      </c>
      <c r="AN1376">
        <v>0</v>
      </c>
      <c r="AO1376">
        <v>0</v>
      </c>
      <c r="AP1376">
        <v>0</v>
      </c>
    </row>
    <row r="1377" spans="1:42">
      <c r="A1377">
        <v>32</v>
      </c>
      <c r="B1377" t="str" cm="1">
        <f t="array" ref="B1377">_xlfn.IFS(A1377&lt;=25,"18-25",A1377&lt;=35,"26-35",A1377&lt;=45,"36-45",A1377&lt;=55,"46-55",A1377&gt;55,"56+")</f>
        <v>26-35</v>
      </c>
      <c r="C1377" t="s">
        <v>32</v>
      </c>
      <c r="D1377" t="s">
        <v>40</v>
      </c>
      <c r="E1377" s="2">
        <v>238</v>
      </c>
      <c r="F1377" t="s">
        <v>41</v>
      </c>
      <c r="G1377">
        <v>5</v>
      </c>
      <c r="H1377" t="str">
        <f t="shared" si="21"/>
        <v>1-10 km</v>
      </c>
      <c r="I1377">
        <v>2</v>
      </c>
      <c r="J1377" t="str" cm="1">
        <f t="array" ref="J1377">_xlfn.IFS(I1377=1,"Below College",I1377=2,"College",I1377=3,"Bachelor",I1377=4,"Master",I1377=5,"Doctor")</f>
        <v>College</v>
      </c>
      <c r="K1377" t="s">
        <v>35</v>
      </c>
      <c r="L1377">
        <v>1939</v>
      </c>
      <c r="M1377">
        <v>1</v>
      </c>
      <c r="N1377" t="str" cm="1">
        <f t="array" ref="N1377">_xlfn.IFS(M1377=1,"Low",M1377=2,"Medium",M1377=3,"High",M1377=4,"Very High")</f>
        <v>Low</v>
      </c>
      <c r="O1377" t="s">
        <v>36</v>
      </c>
      <c r="P1377" s="2">
        <v>47</v>
      </c>
      <c r="Q1377">
        <v>4</v>
      </c>
      <c r="R1377" t="str" cm="1">
        <f t="array" ref="R1377">_xlfn.IFS(Q1377=1,"Low",Q1377=2,"Medium",Q1377=3,"High",Q1377=4,"Very High")</f>
        <v>Very High</v>
      </c>
      <c r="S1377">
        <v>1</v>
      </c>
      <c r="T1377" t="str" cm="1">
        <f t="array" ref="T1377">_xlfn.IFS(S1377=1,"Entry Level",S1377=2,"Junior",S1377=3,"Mid-Level",S1377=4,"Senior",S1377=5,"Executive")</f>
        <v>Entry Level</v>
      </c>
      <c r="U1377" t="s">
        <v>43</v>
      </c>
      <c r="V1377">
        <v>3</v>
      </c>
      <c r="W1377" t="str" cm="1">
        <f t="array" ref="W1377">_xlfn.IFS(V1377=1,"Low",V1377=2,"Medium",V1377=3,"High",V1377=4,"Very High")</f>
        <v>High</v>
      </c>
      <c r="X1377" t="s">
        <v>38</v>
      </c>
      <c r="Y1377" s="2">
        <v>2432</v>
      </c>
      <c r="Z1377" s="2">
        <v>15318</v>
      </c>
      <c r="AA1377">
        <v>3</v>
      </c>
      <c r="AB1377" t="s">
        <v>32</v>
      </c>
      <c r="AC1377">
        <v>14</v>
      </c>
      <c r="AD1377">
        <v>3</v>
      </c>
      <c r="AE1377" t="str" cm="1">
        <f t="array" ref="AE1377">_xlfn.IFS(AD1377=1,"Low",AD1377=2,"Good",AD1377=3,"Excellent",AD1377=4,"Outstanding")</f>
        <v>Excellent</v>
      </c>
      <c r="AF1377">
        <v>1</v>
      </c>
      <c r="AG1377" t="str" cm="1">
        <f t="array" ref="AG1377">_xlfn.IFS(AF1377=1,"Low",AF1377=2,"Medium",AF1377=3,"High",AF1377=4,"Very High")</f>
        <v>Low</v>
      </c>
      <c r="AH1377">
        <v>0</v>
      </c>
      <c r="AI1377">
        <v>8</v>
      </c>
      <c r="AJ1377">
        <v>2</v>
      </c>
      <c r="AK1377">
        <v>3</v>
      </c>
      <c r="AL1377" t="str" cm="1">
        <f t="array" ref="AL1377">_xlfn.IFS(AK1377=1,"Low",AK1377=2,"Medium",AK1377=3,"High",AK1377=4,"Very High")</f>
        <v>High</v>
      </c>
      <c r="AM1377">
        <v>4</v>
      </c>
      <c r="AN1377">
        <v>1</v>
      </c>
      <c r="AO1377">
        <v>0</v>
      </c>
      <c r="AP1377">
        <v>3</v>
      </c>
    </row>
    <row r="1378" spans="1:42">
      <c r="A1378">
        <v>38</v>
      </c>
      <c r="B1378" t="str" cm="1">
        <f t="array" ref="B1378">_xlfn.IFS(A1378&lt;=25,"18-25",A1378&lt;=35,"26-35",A1378&lt;=45,"36-45",A1378&lt;=55,"46-55",A1378&gt;55,"56+")</f>
        <v>36-45</v>
      </c>
      <c r="C1378" t="s">
        <v>39</v>
      </c>
      <c r="D1378" t="s">
        <v>33</v>
      </c>
      <c r="E1378" s="2">
        <v>1206</v>
      </c>
      <c r="F1378" t="s">
        <v>41</v>
      </c>
      <c r="G1378">
        <v>9</v>
      </c>
      <c r="H1378" t="str">
        <f t="shared" si="21"/>
        <v>1-10 km</v>
      </c>
      <c r="I1378">
        <v>2</v>
      </c>
      <c r="J1378" t="str" cm="1">
        <f t="array" ref="J1378">_xlfn.IFS(I1378=1,"Below College",I1378=2,"College",I1378=3,"Bachelor",I1378=4,"Master",I1378=5,"Doctor")</f>
        <v>College</v>
      </c>
      <c r="K1378" t="s">
        <v>35</v>
      </c>
      <c r="L1378">
        <v>1940</v>
      </c>
      <c r="M1378">
        <v>2</v>
      </c>
      <c r="N1378" t="str" cm="1">
        <f t="array" ref="N1378">_xlfn.IFS(M1378=1,"Low",M1378=2,"Medium",M1378=3,"High",M1378=4,"Very High")</f>
        <v>Medium</v>
      </c>
      <c r="O1378" t="s">
        <v>42</v>
      </c>
      <c r="P1378" s="2">
        <v>71</v>
      </c>
      <c r="Q1378">
        <v>3</v>
      </c>
      <c r="R1378" t="str" cm="1">
        <f t="array" ref="R1378">_xlfn.IFS(Q1378=1,"Low",Q1378=2,"Medium",Q1378=3,"High",Q1378=4,"Very High")</f>
        <v>High</v>
      </c>
      <c r="S1378">
        <v>1</v>
      </c>
      <c r="T1378" t="str" cm="1">
        <f t="array" ref="T1378">_xlfn.IFS(S1378=1,"Entry Level",S1378=2,"Junior",S1378=3,"Mid-Level",S1378=4,"Senior",S1378=5,"Executive")</f>
        <v>Entry Level</v>
      </c>
      <c r="U1378" t="s">
        <v>43</v>
      </c>
      <c r="V1378">
        <v>4</v>
      </c>
      <c r="W1378" t="str" cm="1">
        <f t="array" ref="W1378">_xlfn.IFS(V1378=1,"Low",V1378=2,"Medium",V1378=3,"High",V1378=4,"Very High")</f>
        <v>Very High</v>
      </c>
      <c r="X1378" t="s">
        <v>48</v>
      </c>
      <c r="Y1378" s="2">
        <v>4771</v>
      </c>
      <c r="Z1378" s="2">
        <v>14293</v>
      </c>
      <c r="AA1378">
        <v>2</v>
      </c>
      <c r="AB1378" t="s">
        <v>39</v>
      </c>
      <c r="AC1378">
        <v>19</v>
      </c>
      <c r="AD1378">
        <v>3</v>
      </c>
      <c r="AE1378" t="str" cm="1">
        <f t="array" ref="AE1378">_xlfn.IFS(AD1378=1,"Low",AD1378=2,"Good",AD1378=3,"Excellent",AD1378=4,"Outstanding")</f>
        <v>Excellent</v>
      </c>
      <c r="AF1378">
        <v>4</v>
      </c>
      <c r="AG1378" t="str" cm="1">
        <f t="array" ref="AG1378">_xlfn.IFS(AF1378=1,"Low",AF1378=2,"Medium",AF1378=3,"High",AF1378=4,"Very High")</f>
        <v>Very High</v>
      </c>
      <c r="AH1378">
        <v>2</v>
      </c>
      <c r="AI1378">
        <v>10</v>
      </c>
      <c r="AJ1378">
        <v>0</v>
      </c>
      <c r="AK1378">
        <v>4</v>
      </c>
      <c r="AL1378" t="str" cm="1">
        <f t="array" ref="AL1378">_xlfn.IFS(AK1378=1,"Low",AK1378=2,"Medium",AK1378=3,"High",AK1378=4,"Very High")</f>
        <v>Very High</v>
      </c>
      <c r="AM1378">
        <v>5</v>
      </c>
      <c r="AN1378">
        <v>2</v>
      </c>
      <c r="AO1378">
        <v>0</v>
      </c>
      <c r="AP1378">
        <v>3</v>
      </c>
    </row>
    <row r="1379" spans="1:42">
      <c r="A1379">
        <v>49</v>
      </c>
      <c r="B1379" t="str" cm="1">
        <f t="array" ref="B1379">_xlfn.IFS(A1379&lt;=25,"18-25",A1379&lt;=35,"26-35",A1379&lt;=45,"36-45",A1379&lt;=55,"46-55",A1379&gt;55,"56+")</f>
        <v>46-55</v>
      </c>
      <c r="C1379" t="s">
        <v>39</v>
      </c>
      <c r="D1379" t="s">
        <v>40</v>
      </c>
      <c r="E1379" s="2">
        <v>1064</v>
      </c>
      <c r="F1379" t="s">
        <v>41</v>
      </c>
      <c r="G1379">
        <v>2</v>
      </c>
      <c r="H1379" t="str">
        <f t="shared" si="21"/>
        <v>1-10 km</v>
      </c>
      <c r="I1379">
        <v>1</v>
      </c>
      <c r="J1379" t="str" cm="1">
        <f t="array" ref="J1379">_xlfn.IFS(I1379=1,"Below College",I1379=2,"College",I1379=3,"Bachelor",I1379=4,"Master",I1379=5,"Doctor")</f>
        <v>Below College</v>
      </c>
      <c r="K1379" t="s">
        <v>35</v>
      </c>
      <c r="L1379">
        <v>1941</v>
      </c>
      <c r="M1379">
        <v>2</v>
      </c>
      <c r="N1379" t="str" cm="1">
        <f t="array" ref="N1379">_xlfn.IFS(M1379=1,"Low",M1379=2,"Medium",M1379=3,"High",M1379=4,"Very High")</f>
        <v>Medium</v>
      </c>
      <c r="O1379" t="s">
        <v>42</v>
      </c>
      <c r="P1379" s="2">
        <v>42</v>
      </c>
      <c r="Q1379">
        <v>3</v>
      </c>
      <c r="R1379" t="str" cm="1">
        <f t="array" ref="R1379">_xlfn.IFS(Q1379=1,"Low",Q1379=2,"Medium",Q1379=3,"High",Q1379=4,"Very High")</f>
        <v>High</v>
      </c>
      <c r="S1379">
        <v>5</v>
      </c>
      <c r="T1379" t="str" cm="1">
        <f t="array" ref="T1379">_xlfn.IFS(S1379=1,"Entry Level",S1379=2,"Junior",S1379=3,"Mid-Level",S1379=4,"Senior",S1379=5,"Executive")</f>
        <v>Executive</v>
      </c>
      <c r="U1379" t="s">
        <v>54</v>
      </c>
      <c r="V1379">
        <v>4</v>
      </c>
      <c r="W1379" t="str" cm="1">
        <f t="array" ref="W1379">_xlfn.IFS(V1379=1,"Low",V1379=2,"Medium",V1379=3,"High",V1379=4,"Very High")</f>
        <v>Very High</v>
      </c>
      <c r="X1379" t="s">
        <v>44</v>
      </c>
      <c r="Y1379" s="2">
        <v>19161</v>
      </c>
      <c r="Z1379" s="2">
        <v>13738</v>
      </c>
      <c r="AA1379">
        <v>3</v>
      </c>
      <c r="AB1379" t="s">
        <v>39</v>
      </c>
      <c r="AC1379">
        <v>15</v>
      </c>
      <c r="AD1379">
        <v>3</v>
      </c>
      <c r="AE1379" t="str" cm="1">
        <f t="array" ref="AE1379">_xlfn.IFS(AD1379=1,"Low",AD1379=2,"Good",AD1379=3,"Excellent",AD1379=4,"Outstanding")</f>
        <v>Excellent</v>
      </c>
      <c r="AF1379">
        <v>4</v>
      </c>
      <c r="AG1379" t="str" cm="1">
        <f t="array" ref="AG1379">_xlfn.IFS(AF1379=1,"Low",AF1379=2,"Medium",AF1379=3,"High",AF1379=4,"Very High")</f>
        <v>Very High</v>
      </c>
      <c r="AH1379">
        <v>0</v>
      </c>
      <c r="AI1379">
        <v>28</v>
      </c>
      <c r="AJ1379">
        <v>3</v>
      </c>
      <c r="AK1379">
        <v>3</v>
      </c>
      <c r="AL1379" t="str" cm="1">
        <f t="array" ref="AL1379">_xlfn.IFS(AK1379=1,"Low",AK1379=2,"Medium",AK1379=3,"High",AK1379=4,"Very High")</f>
        <v>High</v>
      </c>
      <c r="AM1379">
        <v>5</v>
      </c>
      <c r="AN1379">
        <v>4</v>
      </c>
      <c r="AO1379">
        <v>4</v>
      </c>
      <c r="AP1379">
        <v>3</v>
      </c>
    </row>
    <row r="1380" spans="1:42">
      <c r="A1380">
        <v>42</v>
      </c>
      <c r="B1380" t="str" cm="1">
        <f t="array" ref="B1380">_xlfn.IFS(A1380&lt;=25,"18-25",A1380&lt;=35,"26-35",A1380&lt;=45,"36-45",A1380&lt;=55,"46-55",A1380&gt;55,"56+")</f>
        <v>36-45</v>
      </c>
      <c r="C1380" t="s">
        <v>39</v>
      </c>
      <c r="D1380" t="s">
        <v>33</v>
      </c>
      <c r="E1380" s="2">
        <v>419</v>
      </c>
      <c r="F1380" t="s">
        <v>34</v>
      </c>
      <c r="G1380">
        <v>12</v>
      </c>
      <c r="H1380" t="str">
        <f t="shared" si="21"/>
        <v>11-20 km</v>
      </c>
      <c r="I1380">
        <v>4</v>
      </c>
      <c r="J1380" t="str" cm="1">
        <f t="array" ref="J1380">_xlfn.IFS(I1380=1,"Below College",I1380=2,"College",I1380=3,"Bachelor",I1380=4,"Master",I1380=5,"Doctor")</f>
        <v>Master</v>
      </c>
      <c r="K1380" t="s">
        <v>55</v>
      </c>
      <c r="L1380">
        <v>1943</v>
      </c>
      <c r="M1380">
        <v>2</v>
      </c>
      <c r="N1380" t="str" cm="1">
        <f t="array" ref="N1380">_xlfn.IFS(M1380=1,"Low",M1380=2,"Medium",M1380=3,"High",M1380=4,"Very High")</f>
        <v>Medium</v>
      </c>
      <c r="O1380" t="s">
        <v>42</v>
      </c>
      <c r="P1380" s="2">
        <v>77</v>
      </c>
      <c r="Q1380">
        <v>3</v>
      </c>
      <c r="R1380" t="str" cm="1">
        <f t="array" ref="R1380">_xlfn.IFS(Q1380=1,"Low",Q1380=2,"Medium",Q1380=3,"High",Q1380=4,"Very High")</f>
        <v>High</v>
      </c>
      <c r="S1380">
        <v>2</v>
      </c>
      <c r="T1380" t="str" cm="1">
        <f t="array" ref="T1380">_xlfn.IFS(S1380=1,"Entry Level",S1380=2,"Junior",S1380=3,"Mid-Level",S1380=4,"Senior",S1380=5,"Executive")</f>
        <v>Junior</v>
      </c>
      <c r="U1380" t="s">
        <v>37</v>
      </c>
      <c r="V1380">
        <v>4</v>
      </c>
      <c r="W1380" t="str" cm="1">
        <f t="array" ref="W1380">_xlfn.IFS(V1380=1,"Low",V1380=2,"Medium",V1380=3,"High",V1380=4,"Very High")</f>
        <v>Very High</v>
      </c>
      <c r="X1380" t="s">
        <v>48</v>
      </c>
      <c r="Y1380" s="2">
        <v>5087</v>
      </c>
      <c r="Z1380" s="2">
        <v>2900</v>
      </c>
      <c r="AA1380">
        <v>3</v>
      </c>
      <c r="AB1380" t="s">
        <v>32</v>
      </c>
      <c r="AC1380">
        <v>12</v>
      </c>
      <c r="AD1380">
        <v>3</v>
      </c>
      <c r="AE1380" t="str" cm="1">
        <f t="array" ref="AE1380">_xlfn.IFS(AD1380=1,"Low",AD1380=2,"Good",AD1380=3,"Excellent",AD1380=4,"Outstanding")</f>
        <v>Excellent</v>
      </c>
      <c r="AF1380">
        <v>3</v>
      </c>
      <c r="AG1380" t="str" cm="1">
        <f t="array" ref="AG1380">_xlfn.IFS(AF1380=1,"Low",AF1380=2,"Medium",AF1380=3,"High",AF1380=4,"Very High")</f>
        <v>High</v>
      </c>
      <c r="AH1380">
        <v>2</v>
      </c>
      <c r="AI1380">
        <v>14</v>
      </c>
      <c r="AJ1380">
        <v>4</v>
      </c>
      <c r="AK1380">
        <v>3</v>
      </c>
      <c r="AL1380" t="str" cm="1">
        <f t="array" ref="AL1380">_xlfn.IFS(AK1380=1,"Low",AK1380=2,"Medium",AK1380=3,"High",AK1380=4,"Very High")</f>
        <v>High</v>
      </c>
      <c r="AM1380">
        <v>0</v>
      </c>
      <c r="AN1380">
        <v>0</v>
      </c>
      <c r="AO1380">
        <v>0</v>
      </c>
      <c r="AP1380">
        <v>0</v>
      </c>
    </row>
    <row r="1381" spans="1:42">
      <c r="A1381">
        <v>27</v>
      </c>
      <c r="B1381" t="str" cm="1">
        <f t="array" ref="B1381">_xlfn.IFS(A1381&lt;=25,"18-25",A1381&lt;=35,"26-35",A1381&lt;=45,"36-45",A1381&lt;=55,"46-55",A1381&gt;55,"56+")</f>
        <v>26-35</v>
      </c>
      <c r="C1381" t="s">
        <v>32</v>
      </c>
      <c r="D1381" t="s">
        <v>40</v>
      </c>
      <c r="E1381" s="2">
        <v>1337</v>
      </c>
      <c r="F1381" t="s">
        <v>57</v>
      </c>
      <c r="G1381">
        <v>22</v>
      </c>
      <c r="H1381" t="str">
        <f t="shared" si="21"/>
        <v>21-30 km</v>
      </c>
      <c r="I1381">
        <v>3</v>
      </c>
      <c r="J1381" t="str" cm="1">
        <f t="array" ref="J1381">_xlfn.IFS(I1381=1,"Below College",I1381=2,"College",I1381=3,"Bachelor",I1381=4,"Master",I1381=5,"Doctor")</f>
        <v>Bachelor</v>
      </c>
      <c r="K1381" t="s">
        <v>57</v>
      </c>
      <c r="L1381">
        <v>1944</v>
      </c>
      <c r="M1381">
        <v>1</v>
      </c>
      <c r="N1381" t="str" cm="1">
        <f t="array" ref="N1381">_xlfn.IFS(M1381=1,"Low",M1381=2,"Medium",M1381=3,"High",M1381=4,"Very High")</f>
        <v>Low</v>
      </c>
      <c r="O1381" t="s">
        <v>36</v>
      </c>
      <c r="P1381" s="2">
        <v>58</v>
      </c>
      <c r="Q1381">
        <v>2</v>
      </c>
      <c r="R1381" t="str" cm="1">
        <f t="array" ref="R1381">_xlfn.IFS(Q1381=1,"Low",Q1381=2,"Medium",Q1381=3,"High",Q1381=4,"Very High")</f>
        <v>Medium</v>
      </c>
      <c r="S1381">
        <v>1</v>
      </c>
      <c r="T1381" t="str" cm="1">
        <f t="array" ref="T1381">_xlfn.IFS(S1381=1,"Entry Level",S1381=2,"Junior",S1381=3,"Mid-Level",S1381=4,"Senior",S1381=5,"Executive")</f>
        <v>Entry Level</v>
      </c>
      <c r="U1381" t="s">
        <v>57</v>
      </c>
      <c r="V1381">
        <v>2</v>
      </c>
      <c r="W1381" t="str" cm="1">
        <f t="array" ref="W1381">_xlfn.IFS(V1381=1,"Low",V1381=2,"Medium",V1381=3,"High",V1381=4,"Very High")</f>
        <v>Medium</v>
      </c>
      <c r="X1381" t="s">
        <v>44</v>
      </c>
      <c r="Y1381" s="2">
        <v>2863</v>
      </c>
      <c r="Z1381" s="2">
        <v>19555</v>
      </c>
      <c r="AA1381">
        <v>1</v>
      </c>
      <c r="AB1381" t="s">
        <v>39</v>
      </c>
      <c r="AC1381">
        <v>12</v>
      </c>
      <c r="AD1381">
        <v>3</v>
      </c>
      <c r="AE1381" t="str" cm="1">
        <f t="array" ref="AE1381">_xlfn.IFS(AD1381=1,"Low",AD1381=2,"Good",AD1381=3,"Excellent",AD1381=4,"Outstanding")</f>
        <v>Excellent</v>
      </c>
      <c r="AF1381">
        <v>1</v>
      </c>
      <c r="AG1381" t="str" cm="1">
        <f t="array" ref="AG1381">_xlfn.IFS(AF1381=1,"Low",AF1381=2,"Medium",AF1381=3,"High",AF1381=4,"Very High")</f>
        <v>Low</v>
      </c>
      <c r="AH1381">
        <v>0</v>
      </c>
      <c r="AI1381">
        <v>1</v>
      </c>
      <c r="AJ1381">
        <v>2</v>
      </c>
      <c r="AK1381">
        <v>3</v>
      </c>
      <c r="AL1381" t="str" cm="1">
        <f t="array" ref="AL1381">_xlfn.IFS(AK1381=1,"Low",AK1381=2,"Medium",AK1381=3,"High",AK1381=4,"Very High")</f>
        <v>High</v>
      </c>
      <c r="AM1381">
        <v>1</v>
      </c>
      <c r="AN1381">
        <v>0</v>
      </c>
      <c r="AO1381">
        <v>0</v>
      </c>
      <c r="AP1381">
        <v>0</v>
      </c>
    </row>
    <row r="1382" spans="1:42">
      <c r="A1382">
        <v>35</v>
      </c>
      <c r="B1382" t="str" cm="1">
        <f t="array" ref="B1382">_xlfn.IFS(A1382&lt;=25,"18-25",A1382&lt;=35,"26-35",A1382&lt;=45,"36-45",A1382&lt;=55,"46-55",A1382&gt;55,"56+")</f>
        <v>26-35</v>
      </c>
      <c r="C1382" t="s">
        <v>39</v>
      </c>
      <c r="D1382" t="s">
        <v>33</v>
      </c>
      <c r="E1382" s="2">
        <v>682</v>
      </c>
      <c r="F1382" t="s">
        <v>34</v>
      </c>
      <c r="G1382">
        <v>18</v>
      </c>
      <c r="H1382" t="str">
        <f t="shared" si="21"/>
        <v>11-20 km</v>
      </c>
      <c r="I1382">
        <v>4</v>
      </c>
      <c r="J1382" t="str" cm="1">
        <f t="array" ref="J1382">_xlfn.IFS(I1382=1,"Below College",I1382=2,"College",I1382=3,"Bachelor",I1382=4,"Master",I1382=5,"Doctor")</f>
        <v>Master</v>
      </c>
      <c r="K1382" t="s">
        <v>47</v>
      </c>
      <c r="L1382">
        <v>1945</v>
      </c>
      <c r="M1382">
        <v>2</v>
      </c>
      <c r="N1382" t="str" cm="1">
        <f t="array" ref="N1382">_xlfn.IFS(M1382=1,"Low",M1382=2,"Medium",M1382=3,"High",M1382=4,"Very High")</f>
        <v>Medium</v>
      </c>
      <c r="O1382" t="s">
        <v>42</v>
      </c>
      <c r="P1382" s="2">
        <v>71</v>
      </c>
      <c r="Q1382">
        <v>3</v>
      </c>
      <c r="R1382" t="str" cm="1">
        <f t="array" ref="R1382">_xlfn.IFS(Q1382=1,"Low",Q1382=2,"Medium",Q1382=3,"High",Q1382=4,"Very High")</f>
        <v>High</v>
      </c>
      <c r="S1382">
        <v>2</v>
      </c>
      <c r="T1382" t="str" cm="1">
        <f t="array" ref="T1382">_xlfn.IFS(S1382=1,"Entry Level",S1382=2,"Junior",S1382=3,"Mid-Level",S1382=4,"Senior",S1382=5,"Executive")</f>
        <v>Junior</v>
      </c>
      <c r="U1382" t="s">
        <v>37</v>
      </c>
      <c r="V1382">
        <v>1</v>
      </c>
      <c r="W1382" t="str" cm="1">
        <f t="array" ref="W1382">_xlfn.IFS(V1382=1,"Low",V1382=2,"Medium",V1382=3,"High",V1382=4,"Very High")</f>
        <v>Low</v>
      </c>
      <c r="X1382" t="s">
        <v>44</v>
      </c>
      <c r="Y1382" s="2">
        <v>5561</v>
      </c>
      <c r="Z1382" s="2">
        <v>15975</v>
      </c>
      <c r="AA1382">
        <v>0</v>
      </c>
      <c r="AB1382" t="s">
        <v>39</v>
      </c>
      <c r="AC1382">
        <v>16</v>
      </c>
      <c r="AD1382">
        <v>3</v>
      </c>
      <c r="AE1382" t="str" cm="1">
        <f t="array" ref="AE1382">_xlfn.IFS(AD1382=1,"Low",AD1382=2,"Good",AD1382=3,"Excellent",AD1382=4,"Outstanding")</f>
        <v>Excellent</v>
      </c>
      <c r="AF1382">
        <v>4</v>
      </c>
      <c r="AG1382" t="str" cm="1">
        <f t="array" ref="AG1382">_xlfn.IFS(AF1382=1,"Low",AF1382=2,"Medium",AF1382=3,"High",AF1382=4,"Very High")</f>
        <v>Very High</v>
      </c>
      <c r="AH1382">
        <v>1</v>
      </c>
      <c r="AI1382">
        <v>6</v>
      </c>
      <c r="AJ1382">
        <v>2</v>
      </c>
      <c r="AK1382">
        <v>1</v>
      </c>
      <c r="AL1382" t="str" cm="1">
        <f t="array" ref="AL1382">_xlfn.IFS(AK1382=1,"Low",AK1382=2,"Medium",AK1382=3,"High",AK1382=4,"Very High")</f>
        <v>Low</v>
      </c>
      <c r="AM1382">
        <v>5</v>
      </c>
      <c r="AN1382">
        <v>3</v>
      </c>
      <c r="AO1382">
        <v>0</v>
      </c>
      <c r="AP1382">
        <v>4</v>
      </c>
    </row>
    <row r="1383" spans="1:42">
      <c r="A1383">
        <v>28</v>
      </c>
      <c r="B1383" t="str" cm="1">
        <f t="array" ref="B1383">_xlfn.IFS(A1383&lt;=25,"18-25",A1383&lt;=35,"26-35",A1383&lt;=45,"36-45",A1383&lt;=55,"46-55",A1383&gt;55,"56+")</f>
        <v>26-35</v>
      </c>
      <c r="C1383" t="s">
        <v>39</v>
      </c>
      <c r="D1383" t="s">
        <v>51</v>
      </c>
      <c r="E1383" s="2">
        <v>1103</v>
      </c>
      <c r="F1383" t="s">
        <v>41</v>
      </c>
      <c r="G1383">
        <v>16</v>
      </c>
      <c r="H1383" t="str">
        <f t="shared" si="21"/>
        <v>11-20 km</v>
      </c>
      <c r="I1383">
        <v>3</v>
      </c>
      <c r="J1383" t="str" cm="1">
        <f t="array" ref="J1383">_xlfn.IFS(I1383=1,"Below College",I1383=2,"College",I1383=3,"Bachelor",I1383=4,"Master",I1383=5,"Doctor")</f>
        <v>Bachelor</v>
      </c>
      <c r="K1383" t="s">
        <v>47</v>
      </c>
      <c r="L1383">
        <v>1947</v>
      </c>
      <c r="M1383">
        <v>3</v>
      </c>
      <c r="N1383" t="str" cm="1">
        <f t="array" ref="N1383">_xlfn.IFS(M1383=1,"Low",M1383=2,"Medium",M1383=3,"High",M1383=4,"Very High")</f>
        <v>High</v>
      </c>
      <c r="O1383" t="s">
        <v>42</v>
      </c>
      <c r="P1383" s="2">
        <v>49</v>
      </c>
      <c r="Q1383">
        <v>3</v>
      </c>
      <c r="R1383" t="str" cm="1">
        <f t="array" ref="R1383">_xlfn.IFS(Q1383=1,"Low",Q1383=2,"Medium",Q1383=3,"High",Q1383=4,"Very High")</f>
        <v>High</v>
      </c>
      <c r="S1383">
        <v>1</v>
      </c>
      <c r="T1383" t="str" cm="1">
        <f t="array" ref="T1383">_xlfn.IFS(S1383=1,"Entry Level",S1383=2,"Junior",S1383=3,"Mid-Level",S1383=4,"Senior",S1383=5,"Executive")</f>
        <v>Entry Level</v>
      </c>
      <c r="U1383" t="s">
        <v>43</v>
      </c>
      <c r="V1383">
        <v>3</v>
      </c>
      <c r="W1383" t="str" cm="1">
        <f t="array" ref="W1383">_xlfn.IFS(V1383=1,"Low",V1383=2,"Medium",V1383=3,"High",V1383=4,"Very High")</f>
        <v>High</v>
      </c>
      <c r="X1383" t="s">
        <v>38</v>
      </c>
      <c r="Y1383" s="2">
        <v>2144</v>
      </c>
      <c r="Z1383" s="2">
        <v>2122</v>
      </c>
      <c r="AA1383">
        <v>1</v>
      </c>
      <c r="AB1383" t="s">
        <v>39</v>
      </c>
      <c r="AC1383">
        <v>14</v>
      </c>
      <c r="AD1383">
        <v>3</v>
      </c>
      <c r="AE1383" t="str" cm="1">
        <f t="array" ref="AE1383">_xlfn.IFS(AD1383=1,"Low",AD1383=2,"Good",AD1383=3,"Excellent",AD1383=4,"Outstanding")</f>
        <v>Excellent</v>
      </c>
      <c r="AF1383">
        <v>3</v>
      </c>
      <c r="AG1383" t="str" cm="1">
        <f t="array" ref="AG1383">_xlfn.IFS(AF1383=1,"Low",AF1383=2,"Medium",AF1383=3,"High",AF1383=4,"Very High")</f>
        <v>High</v>
      </c>
      <c r="AH1383">
        <v>0</v>
      </c>
      <c r="AI1383">
        <v>5</v>
      </c>
      <c r="AJ1383">
        <v>3</v>
      </c>
      <c r="AK1383">
        <v>2</v>
      </c>
      <c r="AL1383" t="str" cm="1">
        <f t="array" ref="AL1383">_xlfn.IFS(AK1383=1,"Low",AK1383=2,"Medium",AK1383=3,"High",AK1383=4,"Very High")</f>
        <v>Medium</v>
      </c>
      <c r="AM1383">
        <v>5</v>
      </c>
      <c r="AN1383">
        <v>3</v>
      </c>
      <c r="AO1383">
        <v>1</v>
      </c>
      <c r="AP1383">
        <v>4</v>
      </c>
    </row>
    <row r="1384" spans="1:42">
      <c r="A1384">
        <v>31</v>
      </c>
      <c r="B1384" t="str" cm="1">
        <f t="array" ref="B1384">_xlfn.IFS(A1384&lt;=25,"18-25",A1384&lt;=35,"26-35",A1384&lt;=45,"36-45",A1384&lt;=55,"46-55",A1384&gt;55,"56+")</f>
        <v>26-35</v>
      </c>
      <c r="C1384" t="s">
        <v>39</v>
      </c>
      <c r="D1384" t="s">
        <v>51</v>
      </c>
      <c r="E1384" s="2">
        <v>976</v>
      </c>
      <c r="F1384" t="s">
        <v>41</v>
      </c>
      <c r="G1384">
        <v>3</v>
      </c>
      <c r="H1384" t="str">
        <f t="shared" si="21"/>
        <v>1-10 km</v>
      </c>
      <c r="I1384">
        <v>2</v>
      </c>
      <c r="J1384" t="str" cm="1">
        <f t="array" ref="J1384">_xlfn.IFS(I1384=1,"Below College",I1384=2,"College",I1384=3,"Bachelor",I1384=4,"Master",I1384=5,"Doctor")</f>
        <v>College</v>
      </c>
      <c r="K1384" t="s">
        <v>47</v>
      </c>
      <c r="L1384">
        <v>1948</v>
      </c>
      <c r="M1384">
        <v>3</v>
      </c>
      <c r="N1384" t="str" cm="1">
        <f t="array" ref="N1384">_xlfn.IFS(M1384=1,"Low",M1384=2,"Medium",M1384=3,"High",M1384=4,"Very High")</f>
        <v>High</v>
      </c>
      <c r="O1384" t="s">
        <v>42</v>
      </c>
      <c r="P1384" s="2">
        <v>48</v>
      </c>
      <c r="Q1384">
        <v>3</v>
      </c>
      <c r="R1384" t="str" cm="1">
        <f t="array" ref="R1384">_xlfn.IFS(Q1384=1,"Low",Q1384=2,"Medium",Q1384=3,"High",Q1384=4,"Very High")</f>
        <v>High</v>
      </c>
      <c r="S1384">
        <v>1</v>
      </c>
      <c r="T1384" t="str" cm="1">
        <f t="array" ref="T1384">_xlfn.IFS(S1384=1,"Entry Level",S1384=2,"Junior",S1384=3,"Mid-Level",S1384=4,"Senior",S1384=5,"Executive")</f>
        <v>Entry Level</v>
      </c>
      <c r="U1384" t="s">
        <v>43</v>
      </c>
      <c r="V1384">
        <v>1</v>
      </c>
      <c r="W1384" t="str" cm="1">
        <f t="array" ref="W1384">_xlfn.IFS(V1384=1,"Low",V1384=2,"Medium",V1384=3,"High",V1384=4,"Very High")</f>
        <v>Low</v>
      </c>
      <c r="X1384" t="s">
        <v>48</v>
      </c>
      <c r="Y1384" s="2">
        <v>3065</v>
      </c>
      <c r="Z1384" s="2">
        <v>3995</v>
      </c>
      <c r="AA1384">
        <v>1</v>
      </c>
      <c r="AB1384" t="s">
        <v>32</v>
      </c>
      <c r="AC1384">
        <v>13</v>
      </c>
      <c r="AD1384">
        <v>3</v>
      </c>
      <c r="AE1384" t="str" cm="1">
        <f t="array" ref="AE1384">_xlfn.IFS(AD1384=1,"Low",AD1384=2,"Good",AD1384=3,"Excellent",AD1384=4,"Outstanding")</f>
        <v>Excellent</v>
      </c>
      <c r="AF1384">
        <v>4</v>
      </c>
      <c r="AG1384" t="str" cm="1">
        <f t="array" ref="AG1384">_xlfn.IFS(AF1384=1,"Low",AF1384=2,"Medium",AF1384=3,"High",AF1384=4,"Very High")</f>
        <v>Very High</v>
      </c>
      <c r="AH1384">
        <v>1</v>
      </c>
      <c r="AI1384">
        <v>4</v>
      </c>
      <c r="AJ1384">
        <v>3</v>
      </c>
      <c r="AK1384">
        <v>4</v>
      </c>
      <c r="AL1384" t="str" cm="1">
        <f t="array" ref="AL1384">_xlfn.IFS(AK1384=1,"Low",AK1384=2,"Medium",AK1384=3,"High",AK1384=4,"Very High")</f>
        <v>Very High</v>
      </c>
      <c r="AM1384">
        <v>4</v>
      </c>
      <c r="AN1384">
        <v>2</v>
      </c>
      <c r="AO1384">
        <v>2</v>
      </c>
      <c r="AP1384">
        <v>3</v>
      </c>
    </row>
    <row r="1385" spans="1:42">
      <c r="A1385">
        <v>36</v>
      </c>
      <c r="B1385" t="str" cm="1">
        <f t="array" ref="B1385">_xlfn.IFS(A1385&lt;=25,"18-25",A1385&lt;=35,"26-35",A1385&lt;=45,"36-45",A1385&lt;=55,"46-55",A1385&gt;55,"56+")</f>
        <v>36-45</v>
      </c>
      <c r="C1385" t="s">
        <v>39</v>
      </c>
      <c r="D1385" t="s">
        <v>51</v>
      </c>
      <c r="E1385" s="2">
        <v>1351</v>
      </c>
      <c r="F1385" t="s">
        <v>41</v>
      </c>
      <c r="G1385">
        <v>9</v>
      </c>
      <c r="H1385" t="str">
        <f t="shared" si="21"/>
        <v>1-10 km</v>
      </c>
      <c r="I1385">
        <v>4</v>
      </c>
      <c r="J1385" t="str" cm="1">
        <f t="array" ref="J1385">_xlfn.IFS(I1385=1,"Below College",I1385=2,"College",I1385=3,"Bachelor",I1385=4,"Master",I1385=5,"Doctor")</f>
        <v>Master</v>
      </c>
      <c r="K1385" t="s">
        <v>35</v>
      </c>
      <c r="L1385">
        <v>1949</v>
      </c>
      <c r="M1385">
        <v>1</v>
      </c>
      <c r="N1385" t="str" cm="1">
        <f t="array" ref="N1385">_xlfn.IFS(M1385=1,"Low",M1385=2,"Medium",M1385=3,"High",M1385=4,"Very High")</f>
        <v>Low</v>
      </c>
      <c r="O1385" t="s">
        <v>42</v>
      </c>
      <c r="P1385" s="2">
        <v>66</v>
      </c>
      <c r="Q1385">
        <v>4</v>
      </c>
      <c r="R1385" t="str" cm="1">
        <f t="array" ref="R1385">_xlfn.IFS(Q1385=1,"Low",Q1385=2,"Medium",Q1385=3,"High",Q1385=4,"Very High")</f>
        <v>Very High</v>
      </c>
      <c r="S1385">
        <v>1</v>
      </c>
      <c r="T1385" t="str" cm="1">
        <f t="array" ref="T1385">_xlfn.IFS(S1385=1,"Entry Level",S1385=2,"Junior",S1385=3,"Mid-Level",S1385=4,"Senior",S1385=5,"Executive")</f>
        <v>Entry Level</v>
      </c>
      <c r="U1385" t="s">
        <v>46</v>
      </c>
      <c r="V1385">
        <v>2</v>
      </c>
      <c r="W1385" t="str" cm="1">
        <f t="array" ref="W1385">_xlfn.IFS(V1385=1,"Low",V1385=2,"Medium",V1385=3,"High",V1385=4,"Very High")</f>
        <v>Medium</v>
      </c>
      <c r="X1385" t="s">
        <v>44</v>
      </c>
      <c r="Y1385" s="2">
        <v>2810</v>
      </c>
      <c r="Z1385" s="2">
        <v>9238</v>
      </c>
      <c r="AA1385">
        <v>1</v>
      </c>
      <c r="AB1385" t="s">
        <v>39</v>
      </c>
      <c r="AC1385">
        <v>22</v>
      </c>
      <c r="AD1385">
        <v>4</v>
      </c>
      <c r="AE1385" t="str" cm="1">
        <f t="array" ref="AE1385">_xlfn.IFS(AD1385=1,"Low",AD1385=2,"Good",AD1385=3,"Excellent",AD1385=4,"Outstanding")</f>
        <v>Outstanding</v>
      </c>
      <c r="AF1385">
        <v>2</v>
      </c>
      <c r="AG1385" t="str" cm="1">
        <f t="array" ref="AG1385">_xlfn.IFS(AF1385=1,"Low",AF1385=2,"Medium",AF1385=3,"High",AF1385=4,"Very High")</f>
        <v>Medium</v>
      </c>
      <c r="AH1385">
        <v>0</v>
      </c>
      <c r="AI1385">
        <v>5</v>
      </c>
      <c r="AJ1385">
        <v>3</v>
      </c>
      <c r="AK1385">
        <v>3</v>
      </c>
      <c r="AL1385" t="str" cm="1">
        <f t="array" ref="AL1385">_xlfn.IFS(AK1385=1,"Low",AK1385=2,"Medium",AK1385=3,"High",AK1385=4,"Very High")</f>
        <v>High</v>
      </c>
      <c r="AM1385">
        <v>5</v>
      </c>
      <c r="AN1385">
        <v>4</v>
      </c>
      <c r="AO1385">
        <v>0</v>
      </c>
      <c r="AP1385">
        <v>2</v>
      </c>
    </row>
    <row r="1386" spans="1:42">
      <c r="A1386">
        <v>34</v>
      </c>
      <c r="B1386" t="str" cm="1">
        <f t="array" ref="B1386">_xlfn.IFS(A1386&lt;=25,"18-25",A1386&lt;=35,"26-35",A1386&lt;=45,"36-45",A1386&lt;=55,"46-55",A1386&gt;55,"56+")</f>
        <v>26-35</v>
      </c>
      <c r="C1386" t="s">
        <v>39</v>
      </c>
      <c r="D1386" t="s">
        <v>33</v>
      </c>
      <c r="E1386" s="2">
        <v>937</v>
      </c>
      <c r="F1386" t="s">
        <v>34</v>
      </c>
      <c r="G1386">
        <v>1</v>
      </c>
      <c r="H1386" t="str">
        <f t="shared" si="21"/>
        <v>1-10 km</v>
      </c>
      <c r="I1386">
        <v>3</v>
      </c>
      <c r="J1386" t="str" cm="1">
        <f t="array" ref="J1386">_xlfn.IFS(I1386=1,"Below College",I1386=2,"College",I1386=3,"Bachelor",I1386=4,"Master",I1386=5,"Doctor")</f>
        <v>Bachelor</v>
      </c>
      <c r="K1386" t="s">
        <v>55</v>
      </c>
      <c r="L1386">
        <v>1950</v>
      </c>
      <c r="M1386">
        <v>1</v>
      </c>
      <c r="N1386" t="str" cm="1">
        <f t="array" ref="N1386">_xlfn.IFS(M1386=1,"Low",M1386=2,"Medium",M1386=3,"High",M1386=4,"Very High")</f>
        <v>Low</v>
      </c>
      <c r="O1386" t="s">
        <v>42</v>
      </c>
      <c r="P1386" s="2">
        <v>32</v>
      </c>
      <c r="Q1386">
        <v>3</v>
      </c>
      <c r="R1386" t="str" cm="1">
        <f t="array" ref="R1386">_xlfn.IFS(Q1386=1,"Low",Q1386=2,"Medium",Q1386=3,"High",Q1386=4,"Very High")</f>
        <v>High</v>
      </c>
      <c r="S1386">
        <v>3</v>
      </c>
      <c r="T1386" t="str" cm="1">
        <f t="array" ref="T1386">_xlfn.IFS(S1386=1,"Entry Level",S1386=2,"Junior",S1386=3,"Mid-Level",S1386=4,"Senior",S1386=5,"Executive")</f>
        <v>Mid-Level</v>
      </c>
      <c r="U1386" t="s">
        <v>37</v>
      </c>
      <c r="V1386">
        <v>4</v>
      </c>
      <c r="W1386" t="str" cm="1">
        <f t="array" ref="W1386">_xlfn.IFS(V1386=1,"Low",V1386=2,"Medium",V1386=3,"High",V1386=4,"Very High")</f>
        <v>Very High</v>
      </c>
      <c r="X1386" t="s">
        <v>38</v>
      </c>
      <c r="Y1386" s="2">
        <v>9888</v>
      </c>
      <c r="Z1386" s="2">
        <v>6770</v>
      </c>
      <c r="AA1386">
        <v>1</v>
      </c>
      <c r="AB1386" t="s">
        <v>39</v>
      </c>
      <c r="AC1386">
        <v>21</v>
      </c>
      <c r="AD1386">
        <v>4</v>
      </c>
      <c r="AE1386" t="str" cm="1">
        <f t="array" ref="AE1386">_xlfn.IFS(AD1386=1,"Low",AD1386=2,"Good",AD1386=3,"Excellent",AD1386=4,"Outstanding")</f>
        <v>Outstanding</v>
      </c>
      <c r="AF1386">
        <v>1</v>
      </c>
      <c r="AG1386" t="str" cm="1">
        <f t="array" ref="AG1386">_xlfn.IFS(AF1386=1,"Low",AF1386=2,"Medium",AF1386=3,"High",AF1386=4,"Very High")</f>
        <v>Low</v>
      </c>
      <c r="AH1386">
        <v>0</v>
      </c>
      <c r="AI1386">
        <v>14</v>
      </c>
      <c r="AJ1386">
        <v>3</v>
      </c>
      <c r="AK1386">
        <v>2</v>
      </c>
      <c r="AL1386" t="str" cm="1">
        <f t="array" ref="AL1386">_xlfn.IFS(AK1386=1,"Low",AK1386=2,"Medium",AK1386=3,"High",AK1386=4,"Very High")</f>
        <v>Medium</v>
      </c>
      <c r="AM1386">
        <v>14</v>
      </c>
      <c r="AN1386">
        <v>8</v>
      </c>
      <c r="AO1386">
        <v>2</v>
      </c>
      <c r="AP1386">
        <v>1</v>
      </c>
    </row>
    <row r="1387" spans="1:42">
      <c r="A1387">
        <v>34</v>
      </c>
      <c r="B1387" t="str" cm="1">
        <f t="array" ref="B1387">_xlfn.IFS(A1387&lt;=25,"18-25",A1387&lt;=35,"26-35",A1387&lt;=45,"36-45",A1387&lt;=55,"46-55",A1387&gt;55,"56+")</f>
        <v>26-35</v>
      </c>
      <c r="C1387" t="s">
        <v>39</v>
      </c>
      <c r="D1387" t="s">
        <v>33</v>
      </c>
      <c r="E1387" s="2">
        <v>1239</v>
      </c>
      <c r="F1387" t="s">
        <v>34</v>
      </c>
      <c r="G1387">
        <v>13</v>
      </c>
      <c r="H1387" t="str">
        <f t="shared" si="21"/>
        <v>11-20 km</v>
      </c>
      <c r="I1387">
        <v>4</v>
      </c>
      <c r="J1387" t="str" cm="1">
        <f t="array" ref="J1387">_xlfn.IFS(I1387=1,"Below College",I1387=2,"College",I1387=3,"Bachelor",I1387=4,"Master",I1387=5,"Doctor")</f>
        <v>Master</v>
      </c>
      <c r="K1387" t="s">
        <v>47</v>
      </c>
      <c r="L1387">
        <v>1951</v>
      </c>
      <c r="M1387">
        <v>4</v>
      </c>
      <c r="N1387" t="str" cm="1">
        <f t="array" ref="N1387">_xlfn.IFS(M1387=1,"Low",M1387=2,"Medium",M1387=3,"High",M1387=4,"Very High")</f>
        <v>Very High</v>
      </c>
      <c r="O1387" t="s">
        <v>42</v>
      </c>
      <c r="P1387" s="2">
        <v>39</v>
      </c>
      <c r="Q1387">
        <v>3</v>
      </c>
      <c r="R1387" t="str" cm="1">
        <f t="array" ref="R1387">_xlfn.IFS(Q1387=1,"Low",Q1387=2,"Medium",Q1387=3,"High",Q1387=4,"Very High")</f>
        <v>High</v>
      </c>
      <c r="S1387">
        <v>3</v>
      </c>
      <c r="T1387" t="str" cm="1">
        <f t="array" ref="T1387">_xlfn.IFS(S1387=1,"Entry Level",S1387=2,"Junior",S1387=3,"Mid-Level",S1387=4,"Senior",S1387=5,"Executive")</f>
        <v>Mid-Level</v>
      </c>
      <c r="U1387" t="s">
        <v>37</v>
      </c>
      <c r="V1387">
        <v>3</v>
      </c>
      <c r="W1387" t="str" cm="1">
        <f t="array" ref="W1387">_xlfn.IFS(V1387=1,"Low",V1387=2,"Medium",V1387=3,"High",V1387=4,"Very High")</f>
        <v>High</v>
      </c>
      <c r="X1387" t="s">
        <v>48</v>
      </c>
      <c r="Y1387" s="2">
        <v>8628</v>
      </c>
      <c r="Z1387" s="2">
        <v>22914</v>
      </c>
      <c r="AA1387">
        <v>1</v>
      </c>
      <c r="AB1387" t="s">
        <v>39</v>
      </c>
      <c r="AC1387">
        <v>18</v>
      </c>
      <c r="AD1387">
        <v>3</v>
      </c>
      <c r="AE1387" t="str" cm="1">
        <f t="array" ref="AE1387">_xlfn.IFS(AD1387=1,"Low",AD1387=2,"Good",AD1387=3,"Excellent",AD1387=4,"Outstanding")</f>
        <v>Excellent</v>
      </c>
      <c r="AF1387">
        <v>3</v>
      </c>
      <c r="AG1387" t="str" cm="1">
        <f t="array" ref="AG1387">_xlfn.IFS(AF1387=1,"Low",AF1387=2,"Medium",AF1387=3,"High",AF1387=4,"Very High")</f>
        <v>High</v>
      </c>
      <c r="AH1387">
        <v>1</v>
      </c>
      <c r="AI1387">
        <v>9</v>
      </c>
      <c r="AJ1387">
        <v>2</v>
      </c>
      <c r="AK1387">
        <v>2</v>
      </c>
      <c r="AL1387" t="str" cm="1">
        <f t="array" ref="AL1387">_xlfn.IFS(AK1387=1,"Low",AK1387=2,"Medium",AK1387=3,"High",AK1387=4,"Very High")</f>
        <v>Medium</v>
      </c>
      <c r="AM1387">
        <v>8</v>
      </c>
      <c r="AN1387">
        <v>7</v>
      </c>
      <c r="AO1387">
        <v>1</v>
      </c>
      <c r="AP1387">
        <v>1</v>
      </c>
    </row>
    <row r="1388" spans="1:42">
      <c r="A1388">
        <v>26</v>
      </c>
      <c r="B1388" t="str" cm="1">
        <f t="array" ref="B1388">_xlfn.IFS(A1388&lt;=25,"18-25",A1388&lt;=35,"26-35",A1388&lt;=45,"36-45",A1388&lt;=55,"46-55",A1388&gt;55,"56+")</f>
        <v>26-35</v>
      </c>
      <c r="C1388" t="s">
        <v>39</v>
      </c>
      <c r="D1388" t="s">
        <v>33</v>
      </c>
      <c r="E1388" s="2">
        <v>157</v>
      </c>
      <c r="F1388" t="s">
        <v>41</v>
      </c>
      <c r="G1388">
        <v>1</v>
      </c>
      <c r="H1388" t="str">
        <f t="shared" si="21"/>
        <v>1-10 km</v>
      </c>
      <c r="I1388">
        <v>3</v>
      </c>
      <c r="J1388" t="str" cm="1">
        <f t="array" ref="J1388">_xlfn.IFS(I1388=1,"Below College",I1388=2,"College",I1388=3,"Bachelor",I1388=4,"Master",I1388=5,"Doctor")</f>
        <v>Bachelor</v>
      </c>
      <c r="K1388" t="s">
        <v>47</v>
      </c>
      <c r="L1388">
        <v>1952</v>
      </c>
      <c r="M1388">
        <v>3</v>
      </c>
      <c r="N1388" t="str" cm="1">
        <f t="array" ref="N1388">_xlfn.IFS(M1388=1,"Low",M1388=2,"Medium",M1388=3,"High",M1388=4,"Very High")</f>
        <v>High</v>
      </c>
      <c r="O1388" t="s">
        <v>42</v>
      </c>
      <c r="P1388" s="2">
        <v>95</v>
      </c>
      <c r="Q1388">
        <v>3</v>
      </c>
      <c r="R1388" t="str" cm="1">
        <f t="array" ref="R1388">_xlfn.IFS(Q1388=1,"Low",Q1388=2,"Medium",Q1388=3,"High",Q1388=4,"Very High")</f>
        <v>High</v>
      </c>
      <c r="S1388">
        <v>1</v>
      </c>
      <c r="T1388" t="str" cm="1">
        <f t="array" ref="T1388">_xlfn.IFS(S1388=1,"Entry Level",S1388=2,"Junior",S1388=3,"Mid-Level",S1388=4,"Senior",S1388=5,"Executive")</f>
        <v>Entry Level</v>
      </c>
      <c r="U1388" t="s">
        <v>46</v>
      </c>
      <c r="V1388">
        <v>1</v>
      </c>
      <c r="W1388" t="str" cm="1">
        <f t="array" ref="W1388">_xlfn.IFS(V1388=1,"Low",V1388=2,"Medium",V1388=3,"High",V1388=4,"Very High")</f>
        <v>Low</v>
      </c>
      <c r="X1388" t="s">
        <v>38</v>
      </c>
      <c r="Y1388" s="2">
        <v>2867</v>
      </c>
      <c r="Z1388" s="2">
        <v>20006</v>
      </c>
      <c r="AA1388">
        <v>0</v>
      </c>
      <c r="AB1388" t="s">
        <v>39</v>
      </c>
      <c r="AC1388">
        <v>13</v>
      </c>
      <c r="AD1388">
        <v>3</v>
      </c>
      <c r="AE1388" t="str" cm="1">
        <f t="array" ref="AE1388">_xlfn.IFS(AD1388=1,"Low",AD1388=2,"Good",AD1388=3,"Excellent",AD1388=4,"Outstanding")</f>
        <v>Excellent</v>
      </c>
      <c r="AF1388">
        <v>4</v>
      </c>
      <c r="AG1388" t="str" cm="1">
        <f t="array" ref="AG1388">_xlfn.IFS(AF1388=1,"Low",AF1388=2,"Medium",AF1388=3,"High",AF1388=4,"Very High")</f>
        <v>Very High</v>
      </c>
      <c r="AH1388">
        <v>0</v>
      </c>
      <c r="AI1388">
        <v>8</v>
      </c>
      <c r="AJ1388">
        <v>6</v>
      </c>
      <c r="AK1388">
        <v>2</v>
      </c>
      <c r="AL1388" t="str" cm="1">
        <f t="array" ref="AL1388">_xlfn.IFS(AK1388=1,"Low",AK1388=2,"Medium",AK1388=3,"High",AK1388=4,"Very High")</f>
        <v>Medium</v>
      </c>
      <c r="AM1388">
        <v>7</v>
      </c>
      <c r="AN1388">
        <v>7</v>
      </c>
      <c r="AO1388">
        <v>7</v>
      </c>
      <c r="AP1388">
        <v>6</v>
      </c>
    </row>
    <row r="1389" spans="1:42">
      <c r="A1389">
        <v>29</v>
      </c>
      <c r="B1389" t="str" cm="1">
        <f t="array" ref="B1389">_xlfn.IFS(A1389&lt;=25,"18-25",A1389&lt;=35,"26-35",A1389&lt;=45,"36-45",A1389&lt;=55,"46-55",A1389&gt;55,"56+")</f>
        <v>26-35</v>
      </c>
      <c r="C1389" t="s">
        <v>39</v>
      </c>
      <c r="D1389" t="s">
        <v>33</v>
      </c>
      <c r="E1389" s="2">
        <v>136</v>
      </c>
      <c r="F1389" t="s">
        <v>41</v>
      </c>
      <c r="G1389">
        <v>1</v>
      </c>
      <c r="H1389" t="str">
        <f t="shared" si="21"/>
        <v>1-10 km</v>
      </c>
      <c r="I1389">
        <v>3</v>
      </c>
      <c r="J1389" t="str" cm="1">
        <f t="array" ref="J1389">_xlfn.IFS(I1389=1,"Below College",I1389=2,"College",I1389=3,"Bachelor",I1389=4,"Master",I1389=5,"Doctor")</f>
        <v>Bachelor</v>
      </c>
      <c r="K1389" t="s">
        <v>35</v>
      </c>
      <c r="L1389">
        <v>1954</v>
      </c>
      <c r="M1389">
        <v>1</v>
      </c>
      <c r="N1389" t="str" cm="1">
        <f t="array" ref="N1389">_xlfn.IFS(M1389=1,"Low",M1389=2,"Medium",M1389=3,"High",M1389=4,"Very High")</f>
        <v>Low</v>
      </c>
      <c r="O1389" t="s">
        <v>42</v>
      </c>
      <c r="P1389" s="2">
        <v>89</v>
      </c>
      <c r="Q1389">
        <v>3</v>
      </c>
      <c r="R1389" t="str" cm="1">
        <f t="array" ref="R1389">_xlfn.IFS(Q1389=1,"Low",Q1389=2,"Medium",Q1389=3,"High",Q1389=4,"Very High")</f>
        <v>High</v>
      </c>
      <c r="S1389">
        <v>2</v>
      </c>
      <c r="T1389" t="str" cm="1">
        <f t="array" ref="T1389">_xlfn.IFS(S1389=1,"Entry Level",S1389=2,"Junior",S1389=3,"Mid-Level",S1389=4,"Senior",S1389=5,"Executive")</f>
        <v>Junior</v>
      </c>
      <c r="U1389" t="s">
        <v>50</v>
      </c>
      <c r="V1389">
        <v>1</v>
      </c>
      <c r="W1389" t="str" cm="1">
        <f t="array" ref="W1389">_xlfn.IFS(V1389=1,"Low",V1389=2,"Medium",V1389=3,"High",V1389=4,"Very High")</f>
        <v>Low</v>
      </c>
      <c r="X1389" t="s">
        <v>44</v>
      </c>
      <c r="Y1389" s="2">
        <v>5373</v>
      </c>
      <c r="Z1389" s="2">
        <v>6225</v>
      </c>
      <c r="AA1389">
        <v>0</v>
      </c>
      <c r="AB1389" t="s">
        <v>39</v>
      </c>
      <c r="AC1389">
        <v>12</v>
      </c>
      <c r="AD1389">
        <v>3</v>
      </c>
      <c r="AE1389" t="str" cm="1">
        <f t="array" ref="AE1389">_xlfn.IFS(AD1389=1,"Low",AD1389=2,"Good",AD1389=3,"Excellent",AD1389=4,"Outstanding")</f>
        <v>Excellent</v>
      </c>
      <c r="AF1389">
        <v>1</v>
      </c>
      <c r="AG1389" t="str" cm="1">
        <f t="array" ref="AG1389">_xlfn.IFS(AF1389=1,"Low",AF1389=2,"Medium",AF1389=3,"High",AF1389=4,"Very High")</f>
        <v>Low</v>
      </c>
      <c r="AH1389">
        <v>1</v>
      </c>
      <c r="AI1389">
        <v>6</v>
      </c>
      <c r="AJ1389">
        <v>5</v>
      </c>
      <c r="AK1389">
        <v>2</v>
      </c>
      <c r="AL1389" t="str" cm="1">
        <f t="array" ref="AL1389">_xlfn.IFS(AK1389=1,"Low",AK1389=2,"Medium",AK1389=3,"High",AK1389=4,"Very High")</f>
        <v>Medium</v>
      </c>
      <c r="AM1389">
        <v>5</v>
      </c>
      <c r="AN1389">
        <v>3</v>
      </c>
      <c r="AO1389">
        <v>0</v>
      </c>
      <c r="AP1389">
        <v>2</v>
      </c>
    </row>
    <row r="1390" spans="1:42">
      <c r="A1390">
        <v>32</v>
      </c>
      <c r="B1390" t="str" cm="1">
        <f t="array" ref="B1390">_xlfn.IFS(A1390&lt;=25,"18-25",A1390&lt;=35,"26-35",A1390&lt;=45,"36-45",A1390&lt;=55,"46-55",A1390&gt;55,"56+")</f>
        <v>26-35</v>
      </c>
      <c r="C1390" t="s">
        <v>39</v>
      </c>
      <c r="D1390" t="s">
        <v>51</v>
      </c>
      <c r="E1390" s="2">
        <v>1146</v>
      </c>
      <c r="F1390" t="s">
        <v>41</v>
      </c>
      <c r="G1390">
        <v>15</v>
      </c>
      <c r="H1390" t="str">
        <f t="shared" si="21"/>
        <v>11-20 km</v>
      </c>
      <c r="I1390">
        <v>4</v>
      </c>
      <c r="J1390" t="str" cm="1">
        <f t="array" ref="J1390">_xlfn.IFS(I1390=1,"Below College",I1390=2,"College",I1390=3,"Bachelor",I1390=4,"Master",I1390=5,"Doctor")</f>
        <v>Master</v>
      </c>
      <c r="K1390" t="s">
        <v>47</v>
      </c>
      <c r="L1390">
        <v>1955</v>
      </c>
      <c r="M1390">
        <v>3</v>
      </c>
      <c r="N1390" t="str" cm="1">
        <f t="array" ref="N1390">_xlfn.IFS(M1390=1,"Low",M1390=2,"Medium",M1390=3,"High",M1390=4,"Very High")</f>
        <v>High</v>
      </c>
      <c r="O1390" t="s">
        <v>36</v>
      </c>
      <c r="P1390" s="2">
        <v>34</v>
      </c>
      <c r="Q1390">
        <v>3</v>
      </c>
      <c r="R1390" t="str" cm="1">
        <f t="array" ref="R1390">_xlfn.IFS(Q1390=1,"Low",Q1390=2,"Medium",Q1390=3,"High",Q1390=4,"Very High")</f>
        <v>High</v>
      </c>
      <c r="S1390">
        <v>2</v>
      </c>
      <c r="T1390" t="str" cm="1">
        <f t="array" ref="T1390">_xlfn.IFS(S1390=1,"Entry Level",S1390=2,"Junior",S1390=3,"Mid-Level",S1390=4,"Senior",S1390=5,"Executive")</f>
        <v>Junior</v>
      </c>
      <c r="U1390" t="s">
        <v>50</v>
      </c>
      <c r="V1390">
        <v>4</v>
      </c>
      <c r="W1390" t="str" cm="1">
        <f t="array" ref="W1390">_xlfn.IFS(V1390=1,"Low",V1390=2,"Medium",V1390=3,"High",V1390=4,"Very High")</f>
        <v>Very High</v>
      </c>
      <c r="X1390" t="s">
        <v>48</v>
      </c>
      <c r="Y1390" s="2">
        <v>6667</v>
      </c>
      <c r="Z1390" s="2">
        <v>16542</v>
      </c>
      <c r="AA1390">
        <v>5</v>
      </c>
      <c r="AB1390" t="s">
        <v>39</v>
      </c>
      <c r="AC1390">
        <v>18</v>
      </c>
      <c r="AD1390">
        <v>3</v>
      </c>
      <c r="AE1390" t="str" cm="1">
        <f t="array" ref="AE1390">_xlfn.IFS(AD1390=1,"Low",AD1390=2,"Good",AD1390=3,"Excellent",AD1390=4,"Outstanding")</f>
        <v>Excellent</v>
      </c>
      <c r="AF1390">
        <v>2</v>
      </c>
      <c r="AG1390" t="str" cm="1">
        <f t="array" ref="AG1390">_xlfn.IFS(AF1390=1,"Low",AF1390=2,"Medium",AF1390=3,"High",AF1390=4,"Very High")</f>
        <v>Medium</v>
      </c>
      <c r="AH1390">
        <v>1</v>
      </c>
      <c r="AI1390">
        <v>9</v>
      </c>
      <c r="AJ1390">
        <v>6</v>
      </c>
      <c r="AK1390">
        <v>3</v>
      </c>
      <c r="AL1390" t="str" cm="1">
        <f t="array" ref="AL1390">_xlfn.IFS(AK1390=1,"Low",AK1390=2,"Medium",AK1390=3,"High",AK1390=4,"Very High")</f>
        <v>High</v>
      </c>
      <c r="AM1390">
        <v>5</v>
      </c>
      <c r="AN1390">
        <v>1</v>
      </c>
      <c r="AO1390">
        <v>1</v>
      </c>
      <c r="AP1390">
        <v>2</v>
      </c>
    </row>
    <row r="1391" spans="1:42">
      <c r="A1391">
        <v>31</v>
      </c>
      <c r="B1391" t="str" cm="1">
        <f t="array" ref="B1391">_xlfn.IFS(A1391&lt;=25,"18-25",A1391&lt;=35,"26-35",A1391&lt;=45,"36-45",A1391&lt;=55,"46-55",A1391&gt;55,"56+")</f>
        <v>26-35</v>
      </c>
      <c r="C1391" t="s">
        <v>39</v>
      </c>
      <c r="D1391" t="s">
        <v>40</v>
      </c>
      <c r="E1391" s="2">
        <v>1125</v>
      </c>
      <c r="F1391" t="s">
        <v>41</v>
      </c>
      <c r="G1391">
        <v>1</v>
      </c>
      <c r="H1391" t="str">
        <f t="shared" si="21"/>
        <v>1-10 km</v>
      </c>
      <c r="I1391">
        <v>3</v>
      </c>
      <c r="J1391" t="str" cm="1">
        <f t="array" ref="J1391">_xlfn.IFS(I1391=1,"Below College",I1391=2,"College",I1391=3,"Bachelor",I1391=4,"Master",I1391=5,"Doctor")</f>
        <v>Bachelor</v>
      </c>
      <c r="K1391" t="s">
        <v>35</v>
      </c>
      <c r="L1391">
        <v>1956</v>
      </c>
      <c r="M1391">
        <v>4</v>
      </c>
      <c r="N1391" t="str" cm="1">
        <f t="array" ref="N1391">_xlfn.IFS(M1391=1,"Low",M1391=2,"Medium",M1391=3,"High",M1391=4,"Very High")</f>
        <v>Very High</v>
      </c>
      <c r="O1391" t="s">
        <v>42</v>
      </c>
      <c r="P1391" s="2">
        <v>48</v>
      </c>
      <c r="Q1391">
        <v>1</v>
      </c>
      <c r="R1391" t="str" cm="1">
        <f t="array" ref="R1391">_xlfn.IFS(Q1391=1,"Low",Q1391=2,"Medium",Q1391=3,"High",Q1391=4,"Very High")</f>
        <v>Low</v>
      </c>
      <c r="S1391">
        <v>2</v>
      </c>
      <c r="T1391" t="str" cm="1">
        <f t="array" ref="T1391">_xlfn.IFS(S1391=1,"Entry Level",S1391=2,"Junior",S1391=3,"Mid-Level",S1391=4,"Senior",S1391=5,"Executive")</f>
        <v>Junior</v>
      </c>
      <c r="U1391" t="s">
        <v>43</v>
      </c>
      <c r="V1391">
        <v>1</v>
      </c>
      <c r="W1391" t="str" cm="1">
        <f t="array" ref="W1391">_xlfn.IFS(V1391=1,"Low",V1391=2,"Medium",V1391=3,"High",V1391=4,"Very High")</f>
        <v>Low</v>
      </c>
      <c r="X1391" t="s">
        <v>44</v>
      </c>
      <c r="Y1391" s="2">
        <v>5003</v>
      </c>
      <c r="Z1391" s="2">
        <v>5771</v>
      </c>
      <c r="AA1391">
        <v>1</v>
      </c>
      <c r="AB1391" t="s">
        <v>39</v>
      </c>
      <c r="AC1391">
        <v>21</v>
      </c>
      <c r="AD1391">
        <v>4</v>
      </c>
      <c r="AE1391" t="str" cm="1">
        <f t="array" ref="AE1391">_xlfn.IFS(AD1391=1,"Low",AD1391=2,"Good",AD1391=3,"Excellent",AD1391=4,"Outstanding")</f>
        <v>Outstanding</v>
      </c>
      <c r="AF1391">
        <v>2</v>
      </c>
      <c r="AG1391" t="str" cm="1">
        <f t="array" ref="AG1391">_xlfn.IFS(AF1391=1,"Low",AF1391=2,"Medium",AF1391=3,"High",AF1391=4,"Very High")</f>
        <v>Medium</v>
      </c>
      <c r="AH1391">
        <v>0</v>
      </c>
      <c r="AI1391">
        <v>10</v>
      </c>
      <c r="AJ1391">
        <v>6</v>
      </c>
      <c r="AK1391">
        <v>3</v>
      </c>
      <c r="AL1391" t="str" cm="1">
        <f t="array" ref="AL1391">_xlfn.IFS(AK1391=1,"Low",AK1391=2,"Medium",AK1391=3,"High",AK1391=4,"Very High")</f>
        <v>High</v>
      </c>
      <c r="AM1391">
        <v>10</v>
      </c>
      <c r="AN1391">
        <v>8</v>
      </c>
      <c r="AO1391">
        <v>8</v>
      </c>
      <c r="AP1391">
        <v>7</v>
      </c>
    </row>
    <row r="1392" spans="1:42">
      <c r="A1392">
        <v>28</v>
      </c>
      <c r="B1392" t="str" cm="1">
        <f t="array" ref="B1392">_xlfn.IFS(A1392&lt;=25,"18-25",A1392&lt;=35,"26-35",A1392&lt;=45,"36-45",A1392&lt;=55,"46-55",A1392&gt;55,"56+")</f>
        <v>26-35</v>
      </c>
      <c r="C1392" t="s">
        <v>32</v>
      </c>
      <c r="D1392" t="s">
        <v>33</v>
      </c>
      <c r="E1392" s="2">
        <v>1404</v>
      </c>
      <c r="F1392" t="s">
        <v>41</v>
      </c>
      <c r="G1392">
        <v>17</v>
      </c>
      <c r="H1392" t="str">
        <f t="shared" si="21"/>
        <v>11-20 km</v>
      </c>
      <c r="I1392">
        <v>3</v>
      </c>
      <c r="J1392" t="str" cm="1">
        <f t="array" ref="J1392">_xlfn.IFS(I1392=1,"Below College",I1392=2,"College",I1392=3,"Bachelor",I1392=4,"Master",I1392=5,"Doctor")</f>
        <v>Bachelor</v>
      </c>
      <c r="K1392" t="s">
        <v>56</v>
      </c>
      <c r="L1392">
        <v>1960</v>
      </c>
      <c r="M1392">
        <v>3</v>
      </c>
      <c r="N1392" t="str" cm="1">
        <f t="array" ref="N1392">_xlfn.IFS(M1392=1,"Low",M1392=2,"Medium",M1392=3,"High",M1392=4,"Very High")</f>
        <v>High</v>
      </c>
      <c r="O1392" t="s">
        <v>42</v>
      </c>
      <c r="P1392" s="2">
        <v>32</v>
      </c>
      <c r="Q1392">
        <v>2</v>
      </c>
      <c r="R1392" t="str" cm="1">
        <f t="array" ref="R1392">_xlfn.IFS(Q1392=1,"Low",Q1392=2,"Medium",Q1392=3,"High",Q1392=4,"Very High")</f>
        <v>Medium</v>
      </c>
      <c r="S1392">
        <v>1</v>
      </c>
      <c r="T1392" t="str" cm="1">
        <f t="array" ref="T1392">_xlfn.IFS(S1392=1,"Entry Level",S1392=2,"Junior",S1392=3,"Mid-Level",S1392=4,"Senior",S1392=5,"Executive")</f>
        <v>Entry Level</v>
      </c>
      <c r="U1392" t="s">
        <v>46</v>
      </c>
      <c r="V1392">
        <v>4</v>
      </c>
      <c r="W1392" t="str" cm="1">
        <f t="array" ref="W1392">_xlfn.IFS(V1392=1,"Low",V1392=2,"Medium",V1392=3,"High",V1392=4,"Very High")</f>
        <v>Very High</v>
      </c>
      <c r="X1392" t="s">
        <v>48</v>
      </c>
      <c r="Y1392" s="2">
        <v>2367</v>
      </c>
      <c r="Z1392" s="2">
        <v>18779</v>
      </c>
      <c r="AA1392">
        <v>5</v>
      </c>
      <c r="AB1392" t="s">
        <v>39</v>
      </c>
      <c r="AC1392">
        <v>12</v>
      </c>
      <c r="AD1392">
        <v>3</v>
      </c>
      <c r="AE1392" t="str" cm="1">
        <f t="array" ref="AE1392">_xlfn.IFS(AD1392=1,"Low",AD1392=2,"Good",AD1392=3,"Excellent",AD1392=4,"Outstanding")</f>
        <v>Excellent</v>
      </c>
      <c r="AF1392">
        <v>1</v>
      </c>
      <c r="AG1392" t="str" cm="1">
        <f t="array" ref="AG1392">_xlfn.IFS(AF1392=1,"Low",AF1392=2,"Medium",AF1392=3,"High",AF1392=4,"Very High")</f>
        <v>Low</v>
      </c>
      <c r="AH1392">
        <v>1</v>
      </c>
      <c r="AI1392">
        <v>6</v>
      </c>
      <c r="AJ1392">
        <v>2</v>
      </c>
      <c r="AK1392">
        <v>2</v>
      </c>
      <c r="AL1392" t="str" cm="1">
        <f t="array" ref="AL1392">_xlfn.IFS(AK1392=1,"Low",AK1392=2,"Medium",AK1392=3,"High",AK1392=4,"Very High")</f>
        <v>Medium</v>
      </c>
      <c r="AM1392">
        <v>4</v>
      </c>
      <c r="AN1392">
        <v>1</v>
      </c>
      <c r="AO1392">
        <v>0</v>
      </c>
      <c r="AP1392">
        <v>3</v>
      </c>
    </row>
    <row r="1393" spans="1:42">
      <c r="A1393">
        <v>38</v>
      </c>
      <c r="B1393" t="str" cm="1">
        <f t="array" ref="B1393">_xlfn.IFS(A1393&lt;=25,"18-25",A1393&lt;=35,"26-35",A1393&lt;=45,"36-45",A1393&lt;=55,"46-55",A1393&gt;55,"56+")</f>
        <v>36-45</v>
      </c>
      <c r="C1393" t="s">
        <v>39</v>
      </c>
      <c r="D1393" t="s">
        <v>33</v>
      </c>
      <c r="E1393" s="2">
        <v>1404</v>
      </c>
      <c r="F1393" t="s">
        <v>34</v>
      </c>
      <c r="G1393">
        <v>1</v>
      </c>
      <c r="H1393" t="str">
        <f t="shared" si="21"/>
        <v>1-10 km</v>
      </c>
      <c r="I1393">
        <v>3</v>
      </c>
      <c r="J1393" t="str" cm="1">
        <f t="array" ref="J1393">_xlfn.IFS(I1393=1,"Below College",I1393=2,"College",I1393=3,"Bachelor",I1393=4,"Master",I1393=5,"Doctor")</f>
        <v>Bachelor</v>
      </c>
      <c r="K1393" t="s">
        <v>35</v>
      </c>
      <c r="L1393">
        <v>1961</v>
      </c>
      <c r="M1393">
        <v>1</v>
      </c>
      <c r="N1393" t="str" cm="1">
        <f t="array" ref="N1393">_xlfn.IFS(M1393=1,"Low",M1393=2,"Medium",M1393=3,"High",M1393=4,"Very High")</f>
        <v>Low</v>
      </c>
      <c r="O1393" t="s">
        <v>42</v>
      </c>
      <c r="P1393" s="2">
        <v>59</v>
      </c>
      <c r="Q1393">
        <v>2</v>
      </c>
      <c r="R1393" t="str" cm="1">
        <f t="array" ref="R1393">_xlfn.IFS(Q1393=1,"Low",Q1393=2,"Medium",Q1393=3,"High",Q1393=4,"Very High")</f>
        <v>Medium</v>
      </c>
      <c r="S1393">
        <v>1</v>
      </c>
      <c r="T1393" t="str" cm="1">
        <f t="array" ref="T1393">_xlfn.IFS(S1393=1,"Entry Level",S1393=2,"Junior",S1393=3,"Mid-Level",S1393=4,"Senior",S1393=5,"Executive")</f>
        <v>Entry Level</v>
      </c>
      <c r="U1393" t="s">
        <v>53</v>
      </c>
      <c r="V1393">
        <v>1</v>
      </c>
      <c r="W1393" t="str" cm="1">
        <f t="array" ref="W1393">_xlfn.IFS(V1393=1,"Low",V1393=2,"Medium",V1393=3,"High",V1393=4,"Very High")</f>
        <v>Low</v>
      </c>
      <c r="X1393" t="s">
        <v>38</v>
      </c>
      <c r="Y1393" s="2">
        <v>2858</v>
      </c>
      <c r="Z1393" s="2">
        <v>11473</v>
      </c>
      <c r="AA1393">
        <v>4</v>
      </c>
      <c r="AB1393" t="s">
        <v>39</v>
      </c>
      <c r="AC1393">
        <v>14</v>
      </c>
      <c r="AD1393">
        <v>3</v>
      </c>
      <c r="AE1393" t="str" cm="1">
        <f t="array" ref="AE1393">_xlfn.IFS(AD1393=1,"Low",AD1393=2,"Good",AD1393=3,"Excellent",AD1393=4,"Outstanding")</f>
        <v>Excellent</v>
      </c>
      <c r="AF1393">
        <v>1</v>
      </c>
      <c r="AG1393" t="str" cm="1">
        <f t="array" ref="AG1393">_xlfn.IFS(AF1393=1,"Low",AF1393=2,"Medium",AF1393=3,"High",AF1393=4,"Very High")</f>
        <v>Low</v>
      </c>
      <c r="AH1393">
        <v>0</v>
      </c>
      <c r="AI1393">
        <v>20</v>
      </c>
      <c r="AJ1393">
        <v>3</v>
      </c>
      <c r="AK1393">
        <v>2</v>
      </c>
      <c r="AL1393" t="str" cm="1">
        <f t="array" ref="AL1393">_xlfn.IFS(AK1393=1,"Low",AK1393=2,"Medium",AK1393=3,"High",AK1393=4,"Very High")</f>
        <v>Medium</v>
      </c>
      <c r="AM1393">
        <v>1</v>
      </c>
      <c r="AN1393">
        <v>0</v>
      </c>
      <c r="AO1393">
        <v>0</v>
      </c>
      <c r="AP1393">
        <v>0</v>
      </c>
    </row>
    <row r="1394" spans="1:42">
      <c r="A1394">
        <v>35</v>
      </c>
      <c r="B1394" t="str" cm="1">
        <f t="array" ref="B1394">_xlfn.IFS(A1394&lt;=25,"18-25",A1394&lt;=35,"26-35",A1394&lt;=45,"36-45",A1394&lt;=55,"46-55",A1394&gt;55,"56+")</f>
        <v>26-35</v>
      </c>
      <c r="C1394" t="s">
        <v>39</v>
      </c>
      <c r="D1394" t="s">
        <v>33</v>
      </c>
      <c r="E1394" s="2">
        <v>1224</v>
      </c>
      <c r="F1394" t="s">
        <v>34</v>
      </c>
      <c r="G1394">
        <v>7</v>
      </c>
      <c r="H1394" t="str">
        <f t="shared" si="21"/>
        <v>1-10 km</v>
      </c>
      <c r="I1394">
        <v>4</v>
      </c>
      <c r="J1394" t="str" cm="1">
        <f t="array" ref="J1394">_xlfn.IFS(I1394=1,"Below College",I1394=2,"College",I1394=3,"Bachelor",I1394=4,"Master",I1394=5,"Doctor")</f>
        <v>Master</v>
      </c>
      <c r="K1394" t="s">
        <v>35</v>
      </c>
      <c r="L1394">
        <v>1962</v>
      </c>
      <c r="M1394">
        <v>3</v>
      </c>
      <c r="N1394" t="str" cm="1">
        <f t="array" ref="N1394">_xlfn.IFS(M1394=1,"Low",M1394=2,"Medium",M1394=3,"High",M1394=4,"Very High")</f>
        <v>High</v>
      </c>
      <c r="O1394" t="s">
        <v>36</v>
      </c>
      <c r="P1394" s="2">
        <v>55</v>
      </c>
      <c r="Q1394">
        <v>3</v>
      </c>
      <c r="R1394" t="str" cm="1">
        <f t="array" ref="R1394">_xlfn.IFS(Q1394=1,"Low",Q1394=2,"Medium",Q1394=3,"High",Q1394=4,"Very High")</f>
        <v>High</v>
      </c>
      <c r="S1394">
        <v>2</v>
      </c>
      <c r="T1394" t="str" cm="1">
        <f t="array" ref="T1394">_xlfn.IFS(S1394=1,"Entry Level",S1394=2,"Junior",S1394=3,"Mid-Level",S1394=4,"Senior",S1394=5,"Executive")</f>
        <v>Junior</v>
      </c>
      <c r="U1394" t="s">
        <v>37</v>
      </c>
      <c r="V1394">
        <v>4</v>
      </c>
      <c r="W1394" t="str" cm="1">
        <f t="array" ref="W1394">_xlfn.IFS(V1394=1,"Low",V1394=2,"Medium",V1394=3,"High",V1394=4,"Very High")</f>
        <v>Very High</v>
      </c>
      <c r="X1394" t="s">
        <v>44</v>
      </c>
      <c r="Y1394" s="2">
        <v>5204</v>
      </c>
      <c r="Z1394" s="2">
        <v>13586</v>
      </c>
      <c r="AA1394">
        <v>1</v>
      </c>
      <c r="AB1394" t="s">
        <v>32</v>
      </c>
      <c r="AC1394">
        <v>11</v>
      </c>
      <c r="AD1394">
        <v>3</v>
      </c>
      <c r="AE1394" t="str" cm="1">
        <f t="array" ref="AE1394">_xlfn.IFS(AD1394=1,"Low",AD1394=2,"Good",AD1394=3,"Excellent",AD1394=4,"Outstanding")</f>
        <v>Excellent</v>
      </c>
      <c r="AF1394">
        <v>4</v>
      </c>
      <c r="AG1394" t="str" cm="1">
        <f t="array" ref="AG1394">_xlfn.IFS(AF1394=1,"Low",AF1394=2,"Medium",AF1394=3,"High",AF1394=4,"Very High")</f>
        <v>Very High</v>
      </c>
      <c r="AH1394">
        <v>0</v>
      </c>
      <c r="AI1394">
        <v>10</v>
      </c>
      <c r="AJ1394">
        <v>2</v>
      </c>
      <c r="AK1394">
        <v>3</v>
      </c>
      <c r="AL1394" t="str" cm="1">
        <f t="array" ref="AL1394">_xlfn.IFS(AK1394=1,"Low",AK1394=2,"Medium",AK1394=3,"High",AK1394=4,"Very High")</f>
        <v>High</v>
      </c>
      <c r="AM1394">
        <v>10</v>
      </c>
      <c r="AN1394">
        <v>8</v>
      </c>
      <c r="AO1394">
        <v>0</v>
      </c>
      <c r="AP1394">
        <v>9</v>
      </c>
    </row>
    <row r="1395" spans="1:42">
      <c r="A1395">
        <v>27</v>
      </c>
      <c r="B1395" t="str" cm="1">
        <f t="array" ref="B1395">_xlfn.IFS(A1395&lt;=25,"18-25",A1395&lt;=35,"26-35",A1395&lt;=45,"36-45",A1395&lt;=55,"46-55",A1395&gt;55,"56+")</f>
        <v>26-35</v>
      </c>
      <c r="C1395" t="s">
        <v>39</v>
      </c>
      <c r="D1395" t="s">
        <v>33</v>
      </c>
      <c r="E1395" s="2">
        <v>954</v>
      </c>
      <c r="F1395" t="s">
        <v>34</v>
      </c>
      <c r="G1395">
        <v>9</v>
      </c>
      <c r="H1395" t="str">
        <f t="shared" si="21"/>
        <v>1-10 km</v>
      </c>
      <c r="I1395">
        <v>3</v>
      </c>
      <c r="J1395" t="str" cm="1">
        <f t="array" ref="J1395">_xlfn.IFS(I1395=1,"Below College",I1395=2,"College",I1395=3,"Bachelor",I1395=4,"Master",I1395=5,"Doctor")</f>
        <v>Bachelor</v>
      </c>
      <c r="K1395" t="s">
        <v>55</v>
      </c>
      <c r="L1395">
        <v>1965</v>
      </c>
      <c r="M1395">
        <v>4</v>
      </c>
      <c r="N1395" t="str" cm="1">
        <f t="array" ref="N1395">_xlfn.IFS(M1395=1,"Low",M1395=2,"Medium",M1395=3,"High",M1395=4,"Very High")</f>
        <v>Very High</v>
      </c>
      <c r="O1395" t="s">
        <v>42</v>
      </c>
      <c r="P1395" s="2">
        <v>44</v>
      </c>
      <c r="Q1395">
        <v>3</v>
      </c>
      <c r="R1395" t="str" cm="1">
        <f t="array" ref="R1395">_xlfn.IFS(Q1395=1,"Low",Q1395=2,"Medium",Q1395=3,"High",Q1395=4,"Very High")</f>
        <v>High</v>
      </c>
      <c r="S1395">
        <v>2</v>
      </c>
      <c r="T1395" t="str" cm="1">
        <f t="array" ref="T1395">_xlfn.IFS(S1395=1,"Entry Level",S1395=2,"Junior",S1395=3,"Mid-Level",S1395=4,"Senior",S1395=5,"Executive")</f>
        <v>Junior</v>
      </c>
      <c r="U1395" t="s">
        <v>37</v>
      </c>
      <c r="V1395">
        <v>4</v>
      </c>
      <c r="W1395" t="str" cm="1">
        <f t="array" ref="W1395">_xlfn.IFS(V1395=1,"Low",V1395=2,"Medium",V1395=3,"High",V1395=4,"Very High")</f>
        <v>Very High</v>
      </c>
      <c r="X1395" t="s">
        <v>38</v>
      </c>
      <c r="Y1395" s="2">
        <v>4105</v>
      </c>
      <c r="Z1395" s="2">
        <v>5099</v>
      </c>
      <c r="AA1395">
        <v>1</v>
      </c>
      <c r="AB1395" t="s">
        <v>39</v>
      </c>
      <c r="AC1395">
        <v>14</v>
      </c>
      <c r="AD1395">
        <v>3</v>
      </c>
      <c r="AE1395" t="str" cm="1">
        <f t="array" ref="AE1395">_xlfn.IFS(AD1395=1,"Low",AD1395=2,"Good",AD1395=3,"Excellent",AD1395=4,"Outstanding")</f>
        <v>Excellent</v>
      </c>
      <c r="AF1395">
        <v>1</v>
      </c>
      <c r="AG1395" t="str" cm="1">
        <f t="array" ref="AG1395">_xlfn.IFS(AF1395=1,"Low",AF1395=2,"Medium",AF1395=3,"High",AF1395=4,"Very High")</f>
        <v>Low</v>
      </c>
      <c r="AH1395">
        <v>0</v>
      </c>
      <c r="AI1395">
        <v>7</v>
      </c>
      <c r="AJ1395">
        <v>5</v>
      </c>
      <c r="AK1395">
        <v>3</v>
      </c>
      <c r="AL1395" t="str" cm="1">
        <f t="array" ref="AL1395">_xlfn.IFS(AK1395=1,"Low",AK1395=2,"Medium",AK1395=3,"High",AK1395=4,"Very High")</f>
        <v>High</v>
      </c>
      <c r="AM1395">
        <v>7</v>
      </c>
      <c r="AN1395">
        <v>7</v>
      </c>
      <c r="AO1395">
        <v>0</v>
      </c>
      <c r="AP1395">
        <v>7</v>
      </c>
    </row>
    <row r="1396" spans="1:42">
      <c r="A1396">
        <v>32</v>
      </c>
      <c r="B1396" t="str" cm="1">
        <f t="array" ref="B1396">_xlfn.IFS(A1396&lt;=25,"18-25",A1396&lt;=35,"26-35",A1396&lt;=45,"36-45",A1396&lt;=55,"46-55",A1396&gt;55,"56+")</f>
        <v>26-35</v>
      </c>
      <c r="C1396" t="s">
        <v>39</v>
      </c>
      <c r="D1396" t="s">
        <v>33</v>
      </c>
      <c r="E1396" s="2">
        <v>1373</v>
      </c>
      <c r="F1396" t="s">
        <v>41</v>
      </c>
      <c r="G1396">
        <v>5</v>
      </c>
      <c r="H1396" t="str">
        <f t="shared" si="21"/>
        <v>1-10 km</v>
      </c>
      <c r="I1396">
        <v>4</v>
      </c>
      <c r="J1396" t="str" cm="1">
        <f t="array" ref="J1396">_xlfn.IFS(I1396=1,"Below College",I1396=2,"College",I1396=3,"Bachelor",I1396=4,"Master",I1396=5,"Doctor")</f>
        <v>Master</v>
      </c>
      <c r="K1396" t="s">
        <v>35</v>
      </c>
      <c r="L1396">
        <v>1966</v>
      </c>
      <c r="M1396">
        <v>4</v>
      </c>
      <c r="N1396" t="str" cm="1">
        <f t="array" ref="N1396">_xlfn.IFS(M1396=1,"Low",M1396=2,"Medium",M1396=3,"High",M1396=4,"Very High")</f>
        <v>Very High</v>
      </c>
      <c r="O1396" t="s">
        <v>42</v>
      </c>
      <c r="P1396" s="2">
        <v>56</v>
      </c>
      <c r="Q1396">
        <v>2</v>
      </c>
      <c r="R1396" t="str" cm="1">
        <f t="array" ref="R1396">_xlfn.IFS(Q1396=1,"Low",Q1396=2,"Medium",Q1396=3,"High",Q1396=4,"Very High")</f>
        <v>Medium</v>
      </c>
      <c r="S1396">
        <v>2</v>
      </c>
      <c r="T1396" t="str" cm="1">
        <f t="array" ref="T1396">_xlfn.IFS(S1396=1,"Entry Level",S1396=2,"Junior",S1396=3,"Mid-Level",S1396=4,"Senior",S1396=5,"Executive")</f>
        <v>Junior</v>
      </c>
      <c r="U1396" t="s">
        <v>49</v>
      </c>
      <c r="V1396">
        <v>4</v>
      </c>
      <c r="W1396" t="str" cm="1">
        <f t="array" ref="W1396">_xlfn.IFS(V1396=1,"Low",V1396=2,"Medium",V1396=3,"High",V1396=4,"Very High")</f>
        <v>Very High</v>
      </c>
      <c r="X1396" t="s">
        <v>38</v>
      </c>
      <c r="Y1396" s="2">
        <v>9679</v>
      </c>
      <c r="Z1396" s="2">
        <v>10138</v>
      </c>
      <c r="AA1396">
        <v>8</v>
      </c>
      <c r="AB1396" t="s">
        <v>39</v>
      </c>
      <c r="AC1396">
        <v>24</v>
      </c>
      <c r="AD1396">
        <v>4</v>
      </c>
      <c r="AE1396" t="str" cm="1">
        <f t="array" ref="AE1396">_xlfn.IFS(AD1396=1,"Low",AD1396=2,"Good",AD1396=3,"Excellent",AD1396=4,"Outstanding")</f>
        <v>Outstanding</v>
      </c>
      <c r="AF1396">
        <v>2</v>
      </c>
      <c r="AG1396" t="str" cm="1">
        <f t="array" ref="AG1396">_xlfn.IFS(AF1396=1,"Low",AF1396=2,"Medium",AF1396=3,"High",AF1396=4,"Very High")</f>
        <v>Medium</v>
      </c>
      <c r="AH1396">
        <v>0</v>
      </c>
      <c r="AI1396">
        <v>8</v>
      </c>
      <c r="AJ1396">
        <v>1</v>
      </c>
      <c r="AK1396">
        <v>3</v>
      </c>
      <c r="AL1396" t="str" cm="1">
        <f t="array" ref="AL1396">_xlfn.IFS(AK1396=1,"Low",AK1396=2,"Medium",AK1396=3,"High",AK1396=4,"Very High")</f>
        <v>High</v>
      </c>
      <c r="AM1396">
        <v>1</v>
      </c>
      <c r="AN1396">
        <v>0</v>
      </c>
      <c r="AO1396">
        <v>0</v>
      </c>
      <c r="AP1396">
        <v>0</v>
      </c>
    </row>
    <row r="1397" spans="1:42">
      <c r="A1397">
        <v>31</v>
      </c>
      <c r="B1397" t="str" cm="1">
        <f t="array" ref="B1397">_xlfn.IFS(A1397&lt;=25,"18-25",A1397&lt;=35,"26-35",A1397&lt;=45,"36-45",A1397&lt;=55,"46-55",A1397&gt;55,"56+")</f>
        <v>26-35</v>
      </c>
      <c r="C1397" t="s">
        <v>32</v>
      </c>
      <c r="D1397" t="s">
        <v>40</v>
      </c>
      <c r="E1397" s="2">
        <v>754</v>
      </c>
      <c r="F1397" t="s">
        <v>34</v>
      </c>
      <c r="G1397">
        <v>26</v>
      </c>
      <c r="H1397" t="str">
        <f t="shared" si="21"/>
        <v>21-30 km</v>
      </c>
      <c r="I1397">
        <v>4</v>
      </c>
      <c r="J1397" t="str" cm="1">
        <f t="array" ref="J1397">_xlfn.IFS(I1397=1,"Below College",I1397=2,"College",I1397=3,"Bachelor",I1397=4,"Master",I1397=5,"Doctor")</f>
        <v>Master</v>
      </c>
      <c r="K1397" t="s">
        <v>55</v>
      </c>
      <c r="L1397">
        <v>1967</v>
      </c>
      <c r="M1397">
        <v>1</v>
      </c>
      <c r="N1397" t="str" cm="1">
        <f t="array" ref="N1397">_xlfn.IFS(M1397=1,"Low",M1397=2,"Medium",M1397=3,"High",M1397=4,"Very High")</f>
        <v>Low</v>
      </c>
      <c r="O1397" t="s">
        <v>42</v>
      </c>
      <c r="P1397" s="2">
        <v>63</v>
      </c>
      <c r="Q1397">
        <v>3</v>
      </c>
      <c r="R1397" t="str" cm="1">
        <f t="array" ref="R1397">_xlfn.IFS(Q1397=1,"Low",Q1397=2,"Medium",Q1397=3,"High",Q1397=4,"Very High")</f>
        <v>High</v>
      </c>
      <c r="S1397">
        <v>2</v>
      </c>
      <c r="T1397" t="str" cm="1">
        <f t="array" ref="T1397">_xlfn.IFS(S1397=1,"Entry Level",S1397=2,"Junior",S1397=3,"Mid-Level",S1397=4,"Senior",S1397=5,"Executive")</f>
        <v>Junior</v>
      </c>
      <c r="U1397" t="s">
        <v>37</v>
      </c>
      <c r="V1397">
        <v>4</v>
      </c>
      <c r="W1397" t="str" cm="1">
        <f t="array" ref="W1397">_xlfn.IFS(V1397=1,"Low",V1397=2,"Medium",V1397=3,"High",V1397=4,"Very High")</f>
        <v>Very High</v>
      </c>
      <c r="X1397" t="s">
        <v>44</v>
      </c>
      <c r="Y1397" s="2">
        <v>5617</v>
      </c>
      <c r="Z1397" s="2">
        <v>21075</v>
      </c>
      <c r="AA1397">
        <v>1</v>
      </c>
      <c r="AB1397" t="s">
        <v>32</v>
      </c>
      <c r="AC1397">
        <v>11</v>
      </c>
      <c r="AD1397">
        <v>3</v>
      </c>
      <c r="AE1397" t="str" cm="1">
        <f t="array" ref="AE1397">_xlfn.IFS(AD1397=1,"Low",AD1397=2,"Good",AD1397=3,"Excellent",AD1397=4,"Outstanding")</f>
        <v>Excellent</v>
      </c>
      <c r="AF1397">
        <v>3</v>
      </c>
      <c r="AG1397" t="str" cm="1">
        <f t="array" ref="AG1397">_xlfn.IFS(AF1397=1,"Low",AF1397=2,"Medium",AF1397=3,"High",AF1397=4,"Very High")</f>
        <v>High</v>
      </c>
      <c r="AH1397">
        <v>0</v>
      </c>
      <c r="AI1397">
        <v>10</v>
      </c>
      <c r="AJ1397">
        <v>4</v>
      </c>
      <c r="AK1397">
        <v>3</v>
      </c>
      <c r="AL1397" t="str" cm="1">
        <f t="array" ref="AL1397">_xlfn.IFS(AK1397=1,"Low",AK1397=2,"Medium",AK1397=3,"High",AK1397=4,"Very High")</f>
        <v>High</v>
      </c>
      <c r="AM1397">
        <v>10</v>
      </c>
      <c r="AN1397">
        <v>7</v>
      </c>
      <c r="AO1397">
        <v>0</v>
      </c>
      <c r="AP1397">
        <v>8</v>
      </c>
    </row>
    <row r="1398" spans="1:42">
      <c r="A1398">
        <v>53</v>
      </c>
      <c r="B1398" t="str" cm="1">
        <f t="array" ref="B1398">_xlfn.IFS(A1398&lt;=25,"18-25",A1398&lt;=35,"26-35",A1398&lt;=45,"36-45",A1398&lt;=55,"46-55",A1398&gt;55,"56+")</f>
        <v>46-55</v>
      </c>
      <c r="C1398" t="s">
        <v>32</v>
      </c>
      <c r="D1398" t="s">
        <v>33</v>
      </c>
      <c r="E1398" s="2">
        <v>1168</v>
      </c>
      <c r="F1398" t="s">
        <v>34</v>
      </c>
      <c r="G1398">
        <v>24</v>
      </c>
      <c r="H1398" t="str">
        <f t="shared" si="21"/>
        <v>21-30 km</v>
      </c>
      <c r="I1398">
        <v>4</v>
      </c>
      <c r="J1398" t="str" cm="1">
        <f t="array" ref="J1398">_xlfn.IFS(I1398=1,"Below College",I1398=2,"College",I1398=3,"Bachelor",I1398=4,"Master",I1398=5,"Doctor")</f>
        <v>Master</v>
      </c>
      <c r="K1398" t="s">
        <v>35</v>
      </c>
      <c r="L1398">
        <v>1968</v>
      </c>
      <c r="M1398">
        <v>1</v>
      </c>
      <c r="N1398" t="str" cm="1">
        <f t="array" ref="N1398">_xlfn.IFS(M1398=1,"Low",M1398=2,"Medium",M1398=3,"High",M1398=4,"Very High")</f>
        <v>Low</v>
      </c>
      <c r="O1398" t="s">
        <v>42</v>
      </c>
      <c r="P1398" s="2">
        <v>66</v>
      </c>
      <c r="Q1398">
        <v>3</v>
      </c>
      <c r="R1398" t="str" cm="1">
        <f t="array" ref="R1398">_xlfn.IFS(Q1398=1,"Low",Q1398=2,"Medium",Q1398=3,"High",Q1398=4,"Very High")</f>
        <v>High</v>
      </c>
      <c r="S1398">
        <v>3</v>
      </c>
      <c r="T1398" t="str" cm="1">
        <f t="array" ref="T1398">_xlfn.IFS(S1398=1,"Entry Level",S1398=2,"Junior",S1398=3,"Mid-Level",S1398=4,"Senior",S1398=5,"Executive")</f>
        <v>Mid-Level</v>
      </c>
      <c r="U1398" t="s">
        <v>37</v>
      </c>
      <c r="V1398">
        <v>1</v>
      </c>
      <c r="W1398" t="str" cm="1">
        <f t="array" ref="W1398">_xlfn.IFS(V1398=1,"Low",V1398=2,"Medium",V1398=3,"High",V1398=4,"Very High")</f>
        <v>Low</v>
      </c>
      <c r="X1398" t="s">
        <v>38</v>
      </c>
      <c r="Y1398" s="2">
        <v>10448</v>
      </c>
      <c r="Z1398" s="2">
        <v>5843</v>
      </c>
      <c r="AA1398">
        <v>6</v>
      </c>
      <c r="AB1398" t="s">
        <v>32</v>
      </c>
      <c r="AC1398">
        <v>13</v>
      </c>
      <c r="AD1398">
        <v>3</v>
      </c>
      <c r="AE1398" t="str" cm="1">
        <f t="array" ref="AE1398">_xlfn.IFS(AD1398=1,"Low",AD1398=2,"Good",AD1398=3,"Excellent",AD1398=4,"Outstanding")</f>
        <v>Excellent</v>
      </c>
      <c r="AF1398">
        <v>2</v>
      </c>
      <c r="AG1398" t="str" cm="1">
        <f t="array" ref="AG1398">_xlfn.IFS(AF1398=1,"Low",AF1398=2,"Medium",AF1398=3,"High",AF1398=4,"Very High")</f>
        <v>Medium</v>
      </c>
      <c r="AH1398">
        <v>0</v>
      </c>
      <c r="AI1398">
        <v>15</v>
      </c>
      <c r="AJ1398">
        <v>2</v>
      </c>
      <c r="AK1398">
        <v>2</v>
      </c>
      <c r="AL1398" t="str" cm="1">
        <f t="array" ref="AL1398">_xlfn.IFS(AK1398=1,"Low",AK1398=2,"Medium",AK1398=3,"High",AK1398=4,"Very High")</f>
        <v>Medium</v>
      </c>
      <c r="AM1398">
        <v>2</v>
      </c>
      <c r="AN1398">
        <v>2</v>
      </c>
      <c r="AO1398">
        <v>2</v>
      </c>
      <c r="AP1398">
        <v>2</v>
      </c>
    </row>
    <row r="1399" spans="1:42">
      <c r="A1399">
        <v>54</v>
      </c>
      <c r="B1399" t="str" cm="1">
        <f t="array" ref="B1399">_xlfn.IFS(A1399&lt;=25,"18-25",A1399&lt;=35,"26-35",A1399&lt;=45,"36-45",A1399&lt;=55,"46-55",A1399&gt;55,"56+")</f>
        <v>46-55</v>
      </c>
      <c r="C1399" t="s">
        <v>39</v>
      </c>
      <c r="D1399" t="s">
        <v>33</v>
      </c>
      <c r="E1399" s="2">
        <v>155</v>
      </c>
      <c r="F1399" t="s">
        <v>41</v>
      </c>
      <c r="G1399">
        <v>9</v>
      </c>
      <c r="H1399" t="str">
        <f t="shared" si="21"/>
        <v>1-10 km</v>
      </c>
      <c r="I1399">
        <v>2</v>
      </c>
      <c r="J1399" t="str" cm="1">
        <f t="array" ref="J1399">_xlfn.IFS(I1399=1,"Below College",I1399=2,"College",I1399=3,"Bachelor",I1399=4,"Master",I1399=5,"Doctor")</f>
        <v>College</v>
      </c>
      <c r="K1399" t="s">
        <v>35</v>
      </c>
      <c r="L1399">
        <v>1969</v>
      </c>
      <c r="M1399">
        <v>1</v>
      </c>
      <c r="N1399" t="str" cm="1">
        <f t="array" ref="N1399">_xlfn.IFS(M1399=1,"Low",M1399=2,"Medium",M1399=3,"High",M1399=4,"Very High")</f>
        <v>Low</v>
      </c>
      <c r="O1399" t="s">
        <v>36</v>
      </c>
      <c r="P1399" s="2">
        <v>67</v>
      </c>
      <c r="Q1399">
        <v>3</v>
      </c>
      <c r="R1399" t="str" cm="1">
        <f t="array" ref="R1399">_xlfn.IFS(Q1399=1,"Low",Q1399=2,"Medium",Q1399=3,"High",Q1399=4,"Very High")</f>
        <v>High</v>
      </c>
      <c r="S1399">
        <v>2</v>
      </c>
      <c r="T1399" t="str" cm="1">
        <f t="array" ref="T1399">_xlfn.IFS(S1399=1,"Entry Level",S1399=2,"Junior",S1399=3,"Mid-Level",S1399=4,"Senior",S1399=5,"Executive")</f>
        <v>Junior</v>
      </c>
      <c r="U1399" t="s">
        <v>43</v>
      </c>
      <c r="V1399">
        <v>3</v>
      </c>
      <c r="W1399" t="str" cm="1">
        <f t="array" ref="W1399">_xlfn.IFS(V1399=1,"Low",V1399=2,"Medium",V1399=3,"High",V1399=4,"Very High")</f>
        <v>High</v>
      </c>
      <c r="X1399" t="s">
        <v>44</v>
      </c>
      <c r="Y1399" s="2">
        <v>2897</v>
      </c>
      <c r="Z1399" s="2">
        <v>22474</v>
      </c>
      <c r="AA1399">
        <v>3</v>
      </c>
      <c r="AB1399" t="s">
        <v>39</v>
      </c>
      <c r="AC1399">
        <v>11</v>
      </c>
      <c r="AD1399">
        <v>3</v>
      </c>
      <c r="AE1399" t="str" cm="1">
        <f t="array" ref="AE1399">_xlfn.IFS(AD1399=1,"Low",AD1399=2,"Good",AD1399=3,"Excellent",AD1399=4,"Outstanding")</f>
        <v>Excellent</v>
      </c>
      <c r="AF1399">
        <v>3</v>
      </c>
      <c r="AG1399" t="str" cm="1">
        <f t="array" ref="AG1399">_xlfn.IFS(AF1399=1,"Low",AF1399=2,"Medium",AF1399=3,"High",AF1399=4,"Very High")</f>
        <v>High</v>
      </c>
      <c r="AH1399">
        <v>2</v>
      </c>
      <c r="AI1399">
        <v>9</v>
      </c>
      <c r="AJ1399">
        <v>6</v>
      </c>
      <c r="AK1399">
        <v>2</v>
      </c>
      <c r="AL1399" t="str" cm="1">
        <f t="array" ref="AL1399">_xlfn.IFS(AK1399=1,"Low",AK1399=2,"Medium",AK1399=3,"High",AK1399=4,"Very High")</f>
        <v>Medium</v>
      </c>
      <c r="AM1399">
        <v>4</v>
      </c>
      <c r="AN1399">
        <v>3</v>
      </c>
      <c r="AO1399">
        <v>2</v>
      </c>
      <c r="AP1399">
        <v>3</v>
      </c>
    </row>
    <row r="1400" spans="1:42">
      <c r="A1400">
        <v>33</v>
      </c>
      <c r="B1400" t="str" cm="1">
        <f t="array" ref="B1400">_xlfn.IFS(A1400&lt;=25,"18-25",A1400&lt;=35,"26-35",A1400&lt;=45,"36-45",A1400&lt;=55,"46-55",A1400&gt;55,"56+")</f>
        <v>26-35</v>
      </c>
      <c r="C1400" t="s">
        <v>39</v>
      </c>
      <c r="D1400" t="s">
        <v>40</v>
      </c>
      <c r="E1400" s="2">
        <v>1303</v>
      </c>
      <c r="F1400" t="s">
        <v>41</v>
      </c>
      <c r="G1400">
        <v>7</v>
      </c>
      <c r="H1400" t="str">
        <f t="shared" si="21"/>
        <v>1-10 km</v>
      </c>
      <c r="I1400">
        <v>2</v>
      </c>
      <c r="J1400" t="str" cm="1">
        <f t="array" ref="J1400">_xlfn.IFS(I1400=1,"Below College",I1400=2,"College",I1400=3,"Bachelor",I1400=4,"Master",I1400=5,"Doctor")</f>
        <v>College</v>
      </c>
      <c r="K1400" t="s">
        <v>35</v>
      </c>
      <c r="L1400">
        <v>1970</v>
      </c>
      <c r="M1400">
        <v>4</v>
      </c>
      <c r="N1400" t="str" cm="1">
        <f t="array" ref="N1400">_xlfn.IFS(M1400=1,"Low",M1400=2,"Medium",M1400=3,"High",M1400=4,"Very High")</f>
        <v>Very High</v>
      </c>
      <c r="O1400" t="s">
        <v>42</v>
      </c>
      <c r="P1400" s="2">
        <v>36</v>
      </c>
      <c r="Q1400">
        <v>3</v>
      </c>
      <c r="R1400" t="str" cm="1">
        <f t="array" ref="R1400">_xlfn.IFS(Q1400=1,"Low",Q1400=2,"Medium",Q1400=3,"High",Q1400=4,"Very High")</f>
        <v>High</v>
      </c>
      <c r="S1400">
        <v>2</v>
      </c>
      <c r="T1400" t="str" cm="1">
        <f t="array" ref="T1400">_xlfn.IFS(S1400=1,"Entry Level",S1400=2,"Junior",S1400=3,"Mid-Level",S1400=4,"Senior",S1400=5,"Executive")</f>
        <v>Junior</v>
      </c>
      <c r="U1400" t="s">
        <v>50</v>
      </c>
      <c r="V1400">
        <v>3</v>
      </c>
      <c r="W1400" t="str" cm="1">
        <f t="array" ref="W1400">_xlfn.IFS(V1400=1,"Low",V1400=2,"Medium",V1400=3,"High",V1400=4,"Very High")</f>
        <v>High</v>
      </c>
      <c r="X1400" t="s">
        <v>48</v>
      </c>
      <c r="Y1400" s="2">
        <v>5968</v>
      </c>
      <c r="Z1400" s="2">
        <v>18079</v>
      </c>
      <c r="AA1400">
        <v>1</v>
      </c>
      <c r="AB1400" t="s">
        <v>39</v>
      </c>
      <c r="AC1400">
        <v>20</v>
      </c>
      <c r="AD1400">
        <v>4</v>
      </c>
      <c r="AE1400" t="str" cm="1">
        <f t="array" ref="AE1400">_xlfn.IFS(AD1400=1,"Low",AD1400=2,"Good",AD1400=3,"Excellent",AD1400=4,"Outstanding")</f>
        <v>Outstanding</v>
      </c>
      <c r="AF1400">
        <v>3</v>
      </c>
      <c r="AG1400" t="str" cm="1">
        <f t="array" ref="AG1400">_xlfn.IFS(AF1400=1,"Low",AF1400=2,"Medium",AF1400=3,"High",AF1400=4,"Very High")</f>
        <v>High</v>
      </c>
      <c r="AH1400">
        <v>3</v>
      </c>
      <c r="AI1400">
        <v>9</v>
      </c>
      <c r="AJ1400">
        <v>2</v>
      </c>
      <c r="AK1400">
        <v>3</v>
      </c>
      <c r="AL1400" t="str" cm="1">
        <f t="array" ref="AL1400">_xlfn.IFS(AK1400=1,"Low",AK1400=2,"Medium",AK1400=3,"High",AK1400=4,"Very High")</f>
        <v>High</v>
      </c>
      <c r="AM1400">
        <v>9</v>
      </c>
      <c r="AN1400">
        <v>7</v>
      </c>
      <c r="AO1400">
        <v>2</v>
      </c>
      <c r="AP1400">
        <v>8</v>
      </c>
    </row>
    <row r="1401" spans="1:42">
      <c r="A1401">
        <v>43</v>
      </c>
      <c r="B1401" t="str" cm="1">
        <f t="array" ref="B1401">_xlfn.IFS(A1401&lt;=25,"18-25",A1401&lt;=35,"26-35",A1401&lt;=45,"36-45",A1401&lt;=55,"46-55",A1401&gt;55,"56+")</f>
        <v>36-45</v>
      </c>
      <c r="C1401" t="s">
        <v>39</v>
      </c>
      <c r="D1401" t="s">
        <v>33</v>
      </c>
      <c r="E1401" s="2">
        <v>574</v>
      </c>
      <c r="F1401" t="s">
        <v>41</v>
      </c>
      <c r="G1401">
        <v>11</v>
      </c>
      <c r="H1401" t="str">
        <f t="shared" si="21"/>
        <v>11-20 km</v>
      </c>
      <c r="I1401">
        <v>3</v>
      </c>
      <c r="J1401" t="str" cm="1">
        <f t="array" ref="J1401">_xlfn.IFS(I1401=1,"Below College",I1401=2,"College",I1401=3,"Bachelor",I1401=4,"Master",I1401=5,"Doctor")</f>
        <v>Bachelor</v>
      </c>
      <c r="K1401" t="s">
        <v>35</v>
      </c>
      <c r="L1401">
        <v>1971</v>
      </c>
      <c r="M1401">
        <v>1</v>
      </c>
      <c r="N1401" t="str" cm="1">
        <f t="array" ref="N1401">_xlfn.IFS(M1401=1,"Low",M1401=2,"Medium",M1401=3,"High",M1401=4,"Very High")</f>
        <v>Low</v>
      </c>
      <c r="O1401" t="s">
        <v>42</v>
      </c>
      <c r="P1401" s="2">
        <v>30</v>
      </c>
      <c r="Q1401">
        <v>3</v>
      </c>
      <c r="R1401" t="str" cm="1">
        <f t="array" ref="R1401">_xlfn.IFS(Q1401=1,"Low",Q1401=2,"Medium",Q1401=3,"High",Q1401=4,"Very High")</f>
        <v>High</v>
      </c>
      <c r="S1401">
        <v>3</v>
      </c>
      <c r="T1401" t="str" cm="1">
        <f t="array" ref="T1401">_xlfn.IFS(S1401=1,"Entry Level",S1401=2,"Junior",S1401=3,"Mid-Level",S1401=4,"Senior",S1401=5,"Executive")</f>
        <v>Mid-Level</v>
      </c>
      <c r="U1401" t="s">
        <v>50</v>
      </c>
      <c r="V1401">
        <v>3</v>
      </c>
      <c r="W1401" t="str" cm="1">
        <f t="array" ref="W1401">_xlfn.IFS(V1401=1,"Low",V1401=2,"Medium",V1401=3,"High",V1401=4,"Very High")</f>
        <v>High</v>
      </c>
      <c r="X1401" t="s">
        <v>44</v>
      </c>
      <c r="Y1401" s="2">
        <v>7510</v>
      </c>
      <c r="Z1401" s="2">
        <v>16873</v>
      </c>
      <c r="AA1401">
        <v>1</v>
      </c>
      <c r="AB1401" t="s">
        <v>39</v>
      </c>
      <c r="AC1401">
        <v>17</v>
      </c>
      <c r="AD1401">
        <v>3</v>
      </c>
      <c r="AE1401" t="str" cm="1">
        <f t="array" ref="AE1401">_xlfn.IFS(AD1401=1,"Low",AD1401=2,"Good",AD1401=3,"Excellent",AD1401=4,"Outstanding")</f>
        <v>Excellent</v>
      </c>
      <c r="AF1401">
        <v>2</v>
      </c>
      <c r="AG1401" t="str" cm="1">
        <f t="array" ref="AG1401">_xlfn.IFS(AF1401=1,"Low",AF1401=2,"Medium",AF1401=3,"High",AF1401=4,"Very High")</f>
        <v>Medium</v>
      </c>
      <c r="AH1401">
        <v>1</v>
      </c>
      <c r="AI1401">
        <v>10</v>
      </c>
      <c r="AJ1401">
        <v>1</v>
      </c>
      <c r="AK1401">
        <v>3</v>
      </c>
      <c r="AL1401" t="str" cm="1">
        <f t="array" ref="AL1401">_xlfn.IFS(AK1401=1,"Low",AK1401=2,"Medium",AK1401=3,"High",AK1401=4,"Very High")</f>
        <v>High</v>
      </c>
      <c r="AM1401">
        <v>10</v>
      </c>
      <c r="AN1401">
        <v>9</v>
      </c>
      <c r="AO1401">
        <v>0</v>
      </c>
      <c r="AP1401">
        <v>9</v>
      </c>
    </row>
    <row r="1402" spans="1:42">
      <c r="A1402">
        <v>38</v>
      </c>
      <c r="B1402" t="str" cm="1">
        <f t="array" ref="B1402">_xlfn.IFS(A1402&lt;=25,"18-25",A1402&lt;=35,"26-35",A1402&lt;=45,"36-45",A1402&lt;=55,"46-55",A1402&gt;55,"56+")</f>
        <v>36-45</v>
      </c>
      <c r="C1402" t="s">
        <v>39</v>
      </c>
      <c r="D1402" t="s">
        <v>40</v>
      </c>
      <c r="E1402" s="2">
        <v>1444</v>
      </c>
      <c r="F1402" t="s">
        <v>57</v>
      </c>
      <c r="G1402">
        <v>1</v>
      </c>
      <c r="H1402" t="str">
        <f t="shared" si="21"/>
        <v>1-10 km</v>
      </c>
      <c r="I1402">
        <v>4</v>
      </c>
      <c r="J1402" t="str" cm="1">
        <f t="array" ref="J1402">_xlfn.IFS(I1402=1,"Below College",I1402=2,"College",I1402=3,"Bachelor",I1402=4,"Master",I1402=5,"Doctor")</f>
        <v>Master</v>
      </c>
      <c r="K1402" t="s">
        <v>45</v>
      </c>
      <c r="L1402">
        <v>1972</v>
      </c>
      <c r="M1402">
        <v>4</v>
      </c>
      <c r="N1402" t="str" cm="1">
        <f t="array" ref="N1402">_xlfn.IFS(M1402=1,"Low",M1402=2,"Medium",M1402=3,"High",M1402=4,"Very High")</f>
        <v>Very High</v>
      </c>
      <c r="O1402" t="s">
        <v>42</v>
      </c>
      <c r="P1402" s="2">
        <v>88</v>
      </c>
      <c r="Q1402">
        <v>3</v>
      </c>
      <c r="R1402" t="str" cm="1">
        <f t="array" ref="R1402">_xlfn.IFS(Q1402=1,"Low",Q1402=2,"Medium",Q1402=3,"High",Q1402=4,"Very High")</f>
        <v>High</v>
      </c>
      <c r="S1402">
        <v>1</v>
      </c>
      <c r="T1402" t="str" cm="1">
        <f t="array" ref="T1402">_xlfn.IFS(S1402=1,"Entry Level",S1402=2,"Junior",S1402=3,"Mid-Level",S1402=4,"Senior",S1402=5,"Executive")</f>
        <v>Entry Level</v>
      </c>
      <c r="U1402" t="s">
        <v>57</v>
      </c>
      <c r="V1402">
        <v>2</v>
      </c>
      <c r="W1402" t="str" cm="1">
        <f t="array" ref="W1402">_xlfn.IFS(V1402=1,"Low",V1402=2,"Medium",V1402=3,"High",V1402=4,"Very High")</f>
        <v>Medium</v>
      </c>
      <c r="X1402" t="s">
        <v>44</v>
      </c>
      <c r="Y1402" s="2">
        <v>2991</v>
      </c>
      <c r="Z1402" s="2">
        <v>5224</v>
      </c>
      <c r="AA1402">
        <v>0</v>
      </c>
      <c r="AB1402" t="s">
        <v>32</v>
      </c>
      <c r="AC1402">
        <v>11</v>
      </c>
      <c r="AD1402">
        <v>3</v>
      </c>
      <c r="AE1402" t="str" cm="1">
        <f t="array" ref="AE1402">_xlfn.IFS(AD1402=1,"Low",AD1402=2,"Good",AD1402=3,"Excellent",AD1402=4,"Outstanding")</f>
        <v>Excellent</v>
      </c>
      <c r="AF1402">
        <v>2</v>
      </c>
      <c r="AG1402" t="str" cm="1">
        <f t="array" ref="AG1402">_xlfn.IFS(AF1402=1,"Low",AF1402=2,"Medium",AF1402=3,"High",AF1402=4,"Very High")</f>
        <v>Medium</v>
      </c>
      <c r="AH1402">
        <v>1</v>
      </c>
      <c r="AI1402">
        <v>7</v>
      </c>
      <c r="AJ1402">
        <v>2</v>
      </c>
      <c r="AK1402">
        <v>3</v>
      </c>
      <c r="AL1402" t="str" cm="1">
        <f t="array" ref="AL1402">_xlfn.IFS(AK1402=1,"Low",AK1402=2,"Medium",AK1402=3,"High",AK1402=4,"Very High")</f>
        <v>High</v>
      </c>
      <c r="AM1402">
        <v>6</v>
      </c>
      <c r="AN1402">
        <v>2</v>
      </c>
      <c r="AO1402">
        <v>1</v>
      </c>
      <c r="AP1402">
        <v>2</v>
      </c>
    </row>
    <row r="1403" spans="1:42">
      <c r="A1403">
        <v>55</v>
      </c>
      <c r="B1403" t="str" cm="1">
        <f t="array" ref="B1403">_xlfn.IFS(A1403&lt;=25,"18-25",A1403&lt;=35,"26-35",A1403&lt;=45,"36-45",A1403&lt;=55,"46-55",A1403&gt;55,"56+")</f>
        <v>46-55</v>
      </c>
      <c r="C1403" t="s">
        <v>39</v>
      </c>
      <c r="D1403" t="s">
        <v>33</v>
      </c>
      <c r="E1403" s="2">
        <v>189</v>
      </c>
      <c r="F1403" t="s">
        <v>57</v>
      </c>
      <c r="G1403">
        <v>26</v>
      </c>
      <c r="H1403" t="str">
        <f t="shared" si="21"/>
        <v>21-30 km</v>
      </c>
      <c r="I1403">
        <v>4</v>
      </c>
      <c r="J1403" t="str" cm="1">
        <f t="array" ref="J1403">_xlfn.IFS(I1403=1,"Below College",I1403=2,"College",I1403=3,"Bachelor",I1403=4,"Master",I1403=5,"Doctor")</f>
        <v>Master</v>
      </c>
      <c r="K1403" t="s">
        <v>57</v>
      </c>
      <c r="L1403">
        <v>1973</v>
      </c>
      <c r="M1403">
        <v>3</v>
      </c>
      <c r="N1403" t="str" cm="1">
        <f t="array" ref="N1403">_xlfn.IFS(M1403=1,"Low",M1403=2,"Medium",M1403=3,"High",M1403=4,"Very High")</f>
        <v>High</v>
      </c>
      <c r="O1403" t="s">
        <v>42</v>
      </c>
      <c r="P1403" s="2">
        <v>71</v>
      </c>
      <c r="Q1403">
        <v>4</v>
      </c>
      <c r="R1403" t="str" cm="1">
        <f t="array" ref="R1403">_xlfn.IFS(Q1403=1,"Low",Q1403=2,"Medium",Q1403=3,"High",Q1403=4,"Very High")</f>
        <v>Very High</v>
      </c>
      <c r="S1403">
        <v>5</v>
      </c>
      <c r="T1403" t="str" cm="1">
        <f t="array" ref="T1403">_xlfn.IFS(S1403=1,"Entry Level",S1403=2,"Junior",S1403=3,"Mid-Level",S1403=4,"Senior",S1403=5,"Executive")</f>
        <v>Executive</v>
      </c>
      <c r="U1403" t="s">
        <v>52</v>
      </c>
      <c r="V1403">
        <v>2</v>
      </c>
      <c r="W1403" t="str" cm="1">
        <f t="array" ref="W1403">_xlfn.IFS(V1403=1,"Low",V1403=2,"Medium",V1403=3,"High",V1403=4,"Very High")</f>
        <v>Medium</v>
      </c>
      <c r="X1403" t="s">
        <v>44</v>
      </c>
      <c r="Y1403" s="2">
        <v>19636</v>
      </c>
      <c r="Z1403" s="2">
        <v>25811</v>
      </c>
      <c r="AA1403">
        <v>4</v>
      </c>
      <c r="AB1403" t="s">
        <v>32</v>
      </c>
      <c r="AC1403">
        <v>18</v>
      </c>
      <c r="AD1403">
        <v>3</v>
      </c>
      <c r="AE1403" t="str" cm="1">
        <f t="array" ref="AE1403">_xlfn.IFS(AD1403=1,"Low",AD1403=2,"Good",AD1403=3,"Excellent",AD1403=4,"Outstanding")</f>
        <v>Excellent</v>
      </c>
      <c r="AF1403">
        <v>1</v>
      </c>
      <c r="AG1403" t="str" cm="1">
        <f t="array" ref="AG1403">_xlfn.IFS(AF1403=1,"Low",AF1403=2,"Medium",AF1403=3,"High",AF1403=4,"Very High")</f>
        <v>Low</v>
      </c>
      <c r="AH1403">
        <v>1</v>
      </c>
      <c r="AI1403">
        <v>35</v>
      </c>
      <c r="AJ1403">
        <v>0</v>
      </c>
      <c r="AK1403">
        <v>3</v>
      </c>
      <c r="AL1403" t="str" cm="1">
        <f t="array" ref="AL1403">_xlfn.IFS(AK1403=1,"Low",AK1403=2,"Medium",AK1403=3,"High",AK1403=4,"Very High")</f>
        <v>High</v>
      </c>
      <c r="AM1403">
        <v>10</v>
      </c>
      <c r="AN1403">
        <v>9</v>
      </c>
      <c r="AO1403">
        <v>1</v>
      </c>
      <c r="AP1403">
        <v>4</v>
      </c>
    </row>
    <row r="1404" spans="1:42">
      <c r="A1404">
        <v>31</v>
      </c>
      <c r="B1404" t="str" cm="1">
        <f t="array" ref="B1404">_xlfn.IFS(A1404&lt;=25,"18-25",A1404&lt;=35,"26-35",A1404&lt;=45,"36-45",A1404&lt;=55,"46-55",A1404&gt;55,"56+")</f>
        <v>26-35</v>
      </c>
      <c r="C1404" t="s">
        <v>39</v>
      </c>
      <c r="D1404" t="s">
        <v>33</v>
      </c>
      <c r="E1404" s="2">
        <v>1276</v>
      </c>
      <c r="F1404" t="s">
        <v>41</v>
      </c>
      <c r="G1404">
        <v>2</v>
      </c>
      <c r="H1404" t="str">
        <f t="shared" si="21"/>
        <v>1-10 km</v>
      </c>
      <c r="I1404">
        <v>1</v>
      </c>
      <c r="J1404" t="str" cm="1">
        <f t="array" ref="J1404">_xlfn.IFS(I1404=1,"Below College",I1404=2,"College",I1404=3,"Bachelor",I1404=4,"Master",I1404=5,"Doctor")</f>
        <v>Below College</v>
      </c>
      <c r="K1404" t="s">
        <v>47</v>
      </c>
      <c r="L1404">
        <v>1974</v>
      </c>
      <c r="M1404">
        <v>4</v>
      </c>
      <c r="N1404" t="str" cm="1">
        <f t="array" ref="N1404">_xlfn.IFS(M1404=1,"Low",M1404=2,"Medium",M1404=3,"High",M1404=4,"Very High")</f>
        <v>Very High</v>
      </c>
      <c r="O1404" t="s">
        <v>36</v>
      </c>
      <c r="P1404" s="2">
        <v>59</v>
      </c>
      <c r="Q1404">
        <v>1</v>
      </c>
      <c r="R1404" t="str" cm="1">
        <f t="array" ref="R1404">_xlfn.IFS(Q1404=1,"Low",Q1404=2,"Medium",Q1404=3,"High",Q1404=4,"Very High")</f>
        <v>Low</v>
      </c>
      <c r="S1404">
        <v>1</v>
      </c>
      <c r="T1404" t="str" cm="1">
        <f t="array" ref="T1404">_xlfn.IFS(S1404=1,"Entry Level",S1404=2,"Junior",S1404=3,"Mid-Level",S1404=4,"Senior",S1404=5,"Executive")</f>
        <v>Entry Level</v>
      </c>
      <c r="U1404" t="s">
        <v>46</v>
      </c>
      <c r="V1404">
        <v>4</v>
      </c>
      <c r="W1404" t="str" cm="1">
        <f t="array" ref="W1404">_xlfn.IFS(V1404=1,"Low",V1404=2,"Medium",V1404=3,"High",V1404=4,"Very High")</f>
        <v>Very High</v>
      </c>
      <c r="X1404" t="s">
        <v>48</v>
      </c>
      <c r="Y1404" s="2">
        <v>1129</v>
      </c>
      <c r="Z1404" s="2">
        <v>17536</v>
      </c>
      <c r="AA1404">
        <v>1</v>
      </c>
      <c r="AB1404" t="s">
        <v>32</v>
      </c>
      <c r="AC1404">
        <v>11</v>
      </c>
      <c r="AD1404">
        <v>3</v>
      </c>
      <c r="AE1404" t="str" cm="1">
        <f t="array" ref="AE1404">_xlfn.IFS(AD1404=1,"Low",AD1404=2,"Good",AD1404=3,"Excellent",AD1404=4,"Outstanding")</f>
        <v>Excellent</v>
      </c>
      <c r="AF1404">
        <v>3</v>
      </c>
      <c r="AG1404" t="str" cm="1">
        <f t="array" ref="AG1404">_xlfn.IFS(AF1404=1,"Low",AF1404=2,"Medium",AF1404=3,"High",AF1404=4,"Very High")</f>
        <v>High</v>
      </c>
      <c r="AH1404">
        <v>3</v>
      </c>
      <c r="AI1404">
        <v>1</v>
      </c>
      <c r="AJ1404">
        <v>4</v>
      </c>
      <c r="AK1404">
        <v>3</v>
      </c>
      <c r="AL1404" t="str" cm="1">
        <f t="array" ref="AL1404">_xlfn.IFS(AK1404=1,"Low",AK1404=2,"Medium",AK1404=3,"High",AK1404=4,"Very High")</f>
        <v>High</v>
      </c>
      <c r="AM1404">
        <v>1</v>
      </c>
      <c r="AN1404">
        <v>0</v>
      </c>
      <c r="AO1404">
        <v>0</v>
      </c>
      <c r="AP1404">
        <v>0</v>
      </c>
    </row>
    <row r="1405" spans="1:42">
      <c r="A1405">
        <v>39</v>
      </c>
      <c r="B1405" t="str" cm="1">
        <f t="array" ref="B1405">_xlfn.IFS(A1405&lt;=25,"18-25",A1405&lt;=35,"26-35",A1405&lt;=45,"36-45",A1405&lt;=55,"46-55",A1405&gt;55,"56+")</f>
        <v>36-45</v>
      </c>
      <c r="C1405" t="s">
        <v>39</v>
      </c>
      <c r="D1405" t="s">
        <v>33</v>
      </c>
      <c r="E1405" s="2">
        <v>119</v>
      </c>
      <c r="F1405" t="s">
        <v>34</v>
      </c>
      <c r="G1405">
        <v>15</v>
      </c>
      <c r="H1405" t="str">
        <f t="shared" si="21"/>
        <v>11-20 km</v>
      </c>
      <c r="I1405">
        <v>4</v>
      </c>
      <c r="J1405" t="str" cm="1">
        <f t="array" ref="J1405">_xlfn.IFS(I1405=1,"Below College",I1405=2,"College",I1405=3,"Bachelor",I1405=4,"Master",I1405=5,"Doctor")</f>
        <v>Master</v>
      </c>
      <c r="K1405" t="s">
        <v>55</v>
      </c>
      <c r="L1405">
        <v>1975</v>
      </c>
      <c r="M1405">
        <v>2</v>
      </c>
      <c r="N1405" t="str" cm="1">
        <f t="array" ref="N1405">_xlfn.IFS(M1405=1,"Low",M1405=2,"Medium",M1405=3,"High",M1405=4,"Very High")</f>
        <v>Medium</v>
      </c>
      <c r="O1405" t="s">
        <v>42</v>
      </c>
      <c r="P1405" s="2">
        <v>77</v>
      </c>
      <c r="Q1405">
        <v>3</v>
      </c>
      <c r="R1405" t="str" cm="1">
        <f t="array" ref="R1405">_xlfn.IFS(Q1405=1,"Low",Q1405=2,"Medium",Q1405=3,"High",Q1405=4,"Very High")</f>
        <v>High</v>
      </c>
      <c r="S1405">
        <v>4</v>
      </c>
      <c r="T1405" t="str" cm="1">
        <f t="array" ref="T1405">_xlfn.IFS(S1405=1,"Entry Level",S1405=2,"Junior",S1405=3,"Mid-Level",S1405=4,"Senior",S1405=5,"Executive")</f>
        <v>Senior</v>
      </c>
      <c r="U1405" t="s">
        <v>37</v>
      </c>
      <c r="V1405">
        <v>1</v>
      </c>
      <c r="W1405" t="str" cm="1">
        <f t="array" ref="W1405">_xlfn.IFS(V1405=1,"Low",V1405=2,"Medium",V1405=3,"High",V1405=4,"Very High")</f>
        <v>Low</v>
      </c>
      <c r="X1405" t="s">
        <v>38</v>
      </c>
      <c r="Y1405" s="2">
        <v>13341</v>
      </c>
      <c r="Z1405" s="2">
        <v>25098</v>
      </c>
      <c r="AA1405">
        <v>0</v>
      </c>
      <c r="AB1405" t="s">
        <v>39</v>
      </c>
      <c r="AC1405">
        <v>12</v>
      </c>
      <c r="AD1405">
        <v>3</v>
      </c>
      <c r="AE1405" t="str" cm="1">
        <f t="array" ref="AE1405">_xlfn.IFS(AD1405=1,"Low",AD1405=2,"Good",AD1405=3,"Excellent",AD1405=4,"Outstanding")</f>
        <v>Excellent</v>
      </c>
      <c r="AF1405">
        <v>1</v>
      </c>
      <c r="AG1405" t="str" cm="1">
        <f t="array" ref="AG1405">_xlfn.IFS(AF1405=1,"Low",AF1405=2,"Medium",AF1405=3,"High",AF1405=4,"Very High")</f>
        <v>Low</v>
      </c>
      <c r="AH1405">
        <v>0</v>
      </c>
      <c r="AI1405">
        <v>21</v>
      </c>
      <c r="AJ1405">
        <v>3</v>
      </c>
      <c r="AK1405">
        <v>3</v>
      </c>
      <c r="AL1405" t="str" cm="1">
        <f t="array" ref="AL1405">_xlfn.IFS(AK1405=1,"Low",AK1405=2,"Medium",AK1405=3,"High",AK1405=4,"Very High")</f>
        <v>High</v>
      </c>
      <c r="AM1405">
        <v>20</v>
      </c>
      <c r="AN1405">
        <v>8</v>
      </c>
      <c r="AO1405">
        <v>11</v>
      </c>
      <c r="AP1405">
        <v>10</v>
      </c>
    </row>
    <row r="1406" spans="1:42">
      <c r="A1406">
        <v>42</v>
      </c>
      <c r="B1406" t="str" cm="1">
        <f t="array" ref="B1406">_xlfn.IFS(A1406&lt;=25,"18-25",A1406&lt;=35,"26-35",A1406&lt;=45,"36-45",A1406&lt;=55,"46-55",A1406&gt;55,"56+")</f>
        <v>36-45</v>
      </c>
      <c r="C1406" t="s">
        <v>39</v>
      </c>
      <c r="D1406" t="s">
        <v>51</v>
      </c>
      <c r="E1406" s="2">
        <v>335</v>
      </c>
      <c r="F1406" t="s">
        <v>41</v>
      </c>
      <c r="G1406">
        <v>23</v>
      </c>
      <c r="H1406" t="str">
        <f t="shared" si="21"/>
        <v>21-30 km</v>
      </c>
      <c r="I1406">
        <v>2</v>
      </c>
      <c r="J1406" t="str" cm="1">
        <f t="array" ref="J1406">_xlfn.IFS(I1406=1,"Below College",I1406=2,"College",I1406=3,"Bachelor",I1406=4,"Master",I1406=5,"Doctor")</f>
        <v>College</v>
      </c>
      <c r="K1406" t="s">
        <v>35</v>
      </c>
      <c r="L1406">
        <v>1976</v>
      </c>
      <c r="M1406">
        <v>4</v>
      </c>
      <c r="N1406" t="str" cm="1">
        <f t="array" ref="N1406">_xlfn.IFS(M1406=1,"Low",M1406=2,"Medium",M1406=3,"High",M1406=4,"Very High")</f>
        <v>Very High</v>
      </c>
      <c r="O1406" t="s">
        <v>42</v>
      </c>
      <c r="P1406" s="2">
        <v>37</v>
      </c>
      <c r="Q1406">
        <v>2</v>
      </c>
      <c r="R1406" t="str" cm="1">
        <f t="array" ref="R1406">_xlfn.IFS(Q1406=1,"Low",Q1406=2,"Medium",Q1406=3,"High",Q1406=4,"Very High")</f>
        <v>Medium</v>
      </c>
      <c r="S1406">
        <v>2</v>
      </c>
      <c r="T1406" t="str" cm="1">
        <f t="array" ref="T1406">_xlfn.IFS(S1406=1,"Entry Level",S1406=2,"Junior",S1406=3,"Mid-Level",S1406=4,"Senior",S1406=5,"Executive")</f>
        <v>Junior</v>
      </c>
      <c r="U1406" t="s">
        <v>43</v>
      </c>
      <c r="V1406">
        <v>3</v>
      </c>
      <c r="W1406" t="str" cm="1">
        <f t="array" ref="W1406">_xlfn.IFS(V1406=1,"Low",V1406=2,"Medium",V1406=3,"High",V1406=4,"Very High")</f>
        <v>High</v>
      </c>
      <c r="X1406" t="s">
        <v>38</v>
      </c>
      <c r="Y1406" s="2">
        <v>4332</v>
      </c>
      <c r="Z1406" s="2">
        <v>14811</v>
      </c>
      <c r="AA1406">
        <v>1</v>
      </c>
      <c r="AB1406" t="s">
        <v>39</v>
      </c>
      <c r="AC1406">
        <v>12</v>
      </c>
      <c r="AD1406">
        <v>3</v>
      </c>
      <c r="AE1406" t="str" cm="1">
        <f t="array" ref="AE1406">_xlfn.IFS(AD1406=1,"Low",AD1406=2,"Good",AD1406=3,"Excellent",AD1406=4,"Outstanding")</f>
        <v>Excellent</v>
      </c>
      <c r="AF1406">
        <v>4</v>
      </c>
      <c r="AG1406" t="str" cm="1">
        <f t="array" ref="AG1406">_xlfn.IFS(AF1406=1,"Low",AF1406=2,"Medium",AF1406=3,"High",AF1406=4,"Very High")</f>
        <v>Very High</v>
      </c>
      <c r="AH1406">
        <v>0</v>
      </c>
      <c r="AI1406">
        <v>20</v>
      </c>
      <c r="AJ1406">
        <v>2</v>
      </c>
      <c r="AK1406">
        <v>3</v>
      </c>
      <c r="AL1406" t="str" cm="1">
        <f t="array" ref="AL1406">_xlfn.IFS(AK1406=1,"Low",AK1406=2,"Medium",AK1406=3,"High",AK1406=4,"Very High")</f>
        <v>High</v>
      </c>
      <c r="AM1406">
        <v>20</v>
      </c>
      <c r="AN1406">
        <v>9</v>
      </c>
      <c r="AO1406">
        <v>3</v>
      </c>
      <c r="AP1406">
        <v>7</v>
      </c>
    </row>
    <row r="1407" spans="1:42">
      <c r="A1407">
        <v>31</v>
      </c>
      <c r="B1407" t="str" cm="1">
        <f t="array" ref="B1407">_xlfn.IFS(A1407&lt;=25,"18-25",A1407&lt;=35,"26-35",A1407&lt;=45,"36-45",A1407&lt;=55,"46-55",A1407&gt;55,"56+")</f>
        <v>26-35</v>
      </c>
      <c r="C1407" t="s">
        <v>39</v>
      </c>
      <c r="D1407" t="s">
        <v>51</v>
      </c>
      <c r="E1407" s="2">
        <v>697</v>
      </c>
      <c r="F1407" t="s">
        <v>41</v>
      </c>
      <c r="G1407">
        <v>10</v>
      </c>
      <c r="H1407" t="str">
        <f t="shared" si="21"/>
        <v>1-10 km</v>
      </c>
      <c r="I1407">
        <v>3</v>
      </c>
      <c r="J1407" t="str" cm="1">
        <f t="array" ref="J1407">_xlfn.IFS(I1407=1,"Below College",I1407=2,"College",I1407=3,"Bachelor",I1407=4,"Master",I1407=5,"Doctor")</f>
        <v>Bachelor</v>
      </c>
      <c r="K1407" t="s">
        <v>47</v>
      </c>
      <c r="L1407">
        <v>1979</v>
      </c>
      <c r="M1407">
        <v>3</v>
      </c>
      <c r="N1407" t="str" cm="1">
        <f t="array" ref="N1407">_xlfn.IFS(M1407=1,"Low",M1407=2,"Medium",M1407=3,"High",M1407=4,"Very High")</f>
        <v>High</v>
      </c>
      <c r="O1407" t="s">
        <v>36</v>
      </c>
      <c r="P1407" s="2">
        <v>40</v>
      </c>
      <c r="Q1407">
        <v>3</v>
      </c>
      <c r="R1407" t="str" cm="1">
        <f t="array" ref="R1407">_xlfn.IFS(Q1407=1,"Low",Q1407=2,"Medium",Q1407=3,"High",Q1407=4,"Very High")</f>
        <v>High</v>
      </c>
      <c r="S1407">
        <v>3</v>
      </c>
      <c r="T1407" t="str" cm="1">
        <f t="array" ref="T1407">_xlfn.IFS(S1407=1,"Entry Level",S1407=2,"Junior",S1407=3,"Mid-Level",S1407=4,"Senior",S1407=5,"Executive")</f>
        <v>Mid-Level</v>
      </c>
      <c r="U1407" t="s">
        <v>54</v>
      </c>
      <c r="V1407">
        <v>3</v>
      </c>
      <c r="W1407" t="str" cm="1">
        <f t="array" ref="W1407">_xlfn.IFS(V1407=1,"Low",V1407=2,"Medium",V1407=3,"High",V1407=4,"Very High")</f>
        <v>High</v>
      </c>
      <c r="X1407" t="s">
        <v>44</v>
      </c>
      <c r="Y1407" s="2">
        <v>11031</v>
      </c>
      <c r="Z1407" s="2">
        <v>26862</v>
      </c>
      <c r="AA1407">
        <v>4</v>
      </c>
      <c r="AB1407" t="s">
        <v>39</v>
      </c>
      <c r="AC1407">
        <v>20</v>
      </c>
      <c r="AD1407">
        <v>4</v>
      </c>
      <c r="AE1407" t="str" cm="1">
        <f t="array" ref="AE1407">_xlfn.IFS(AD1407=1,"Low",AD1407=2,"Good",AD1407=3,"Excellent",AD1407=4,"Outstanding")</f>
        <v>Outstanding</v>
      </c>
      <c r="AF1407">
        <v>3</v>
      </c>
      <c r="AG1407" t="str" cm="1">
        <f t="array" ref="AG1407">_xlfn.IFS(AF1407=1,"Low",AF1407=2,"Medium",AF1407=3,"High",AF1407=4,"Very High")</f>
        <v>High</v>
      </c>
      <c r="AH1407">
        <v>1</v>
      </c>
      <c r="AI1407">
        <v>13</v>
      </c>
      <c r="AJ1407">
        <v>2</v>
      </c>
      <c r="AK1407">
        <v>4</v>
      </c>
      <c r="AL1407" t="str" cm="1">
        <f t="array" ref="AL1407">_xlfn.IFS(AK1407=1,"Low",AK1407=2,"Medium",AK1407=3,"High",AK1407=4,"Very High")</f>
        <v>Very High</v>
      </c>
      <c r="AM1407">
        <v>11</v>
      </c>
      <c r="AN1407">
        <v>7</v>
      </c>
      <c r="AO1407">
        <v>4</v>
      </c>
      <c r="AP1407">
        <v>8</v>
      </c>
    </row>
    <row r="1408" spans="1:42">
      <c r="A1408">
        <v>54</v>
      </c>
      <c r="B1408" t="str" cm="1">
        <f t="array" ref="B1408">_xlfn.IFS(A1408&lt;=25,"18-25",A1408&lt;=35,"26-35",A1408&lt;=45,"36-45",A1408&lt;=55,"46-55",A1408&gt;55,"56+")</f>
        <v>46-55</v>
      </c>
      <c r="C1408" t="s">
        <v>39</v>
      </c>
      <c r="D1408" t="s">
        <v>33</v>
      </c>
      <c r="E1408" s="2">
        <v>157</v>
      </c>
      <c r="F1408" t="s">
        <v>41</v>
      </c>
      <c r="G1408">
        <v>10</v>
      </c>
      <c r="H1408" t="str">
        <f t="shared" si="21"/>
        <v>1-10 km</v>
      </c>
      <c r="I1408">
        <v>3</v>
      </c>
      <c r="J1408" t="str" cm="1">
        <f t="array" ref="J1408">_xlfn.IFS(I1408=1,"Below College",I1408=2,"College",I1408=3,"Bachelor",I1408=4,"Master",I1408=5,"Doctor")</f>
        <v>Bachelor</v>
      </c>
      <c r="K1408" t="s">
        <v>47</v>
      </c>
      <c r="L1408">
        <v>1980</v>
      </c>
      <c r="M1408">
        <v>3</v>
      </c>
      <c r="N1408" t="str" cm="1">
        <f t="array" ref="N1408">_xlfn.IFS(M1408=1,"Low",M1408=2,"Medium",M1408=3,"High",M1408=4,"Very High")</f>
        <v>High</v>
      </c>
      <c r="O1408" t="s">
        <v>36</v>
      </c>
      <c r="P1408" s="2">
        <v>77</v>
      </c>
      <c r="Q1408">
        <v>3</v>
      </c>
      <c r="R1408" t="str" cm="1">
        <f t="array" ref="R1408">_xlfn.IFS(Q1408=1,"Low",Q1408=2,"Medium",Q1408=3,"High",Q1408=4,"Very High")</f>
        <v>High</v>
      </c>
      <c r="S1408">
        <v>2</v>
      </c>
      <c r="T1408" t="str" cm="1">
        <f t="array" ref="T1408">_xlfn.IFS(S1408=1,"Entry Level",S1408=2,"Junior",S1408=3,"Mid-Level",S1408=4,"Senior",S1408=5,"Executive")</f>
        <v>Junior</v>
      </c>
      <c r="U1408" t="s">
        <v>49</v>
      </c>
      <c r="V1408">
        <v>1</v>
      </c>
      <c r="W1408" t="str" cm="1">
        <f t="array" ref="W1408">_xlfn.IFS(V1408=1,"Low",V1408=2,"Medium",V1408=3,"High",V1408=4,"Very High")</f>
        <v>Low</v>
      </c>
      <c r="X1408" t="s">
        <v>38</v>
      </c>
      <c r="Y1408" s="2">
        <v>4440</v>
      </c>
      <c r="Z1408" s="2">
        <v>25198</v>
      </c>
      <c r="AA1408">
        <v>6</v>
      </c>
      <c r="AB1408" t="s">
        <v>32</v>
      </c>
      <c r="AC1408">
        <v>19</v>
      </c>
      <c r="AD1408">
        <v>3</v>
      </c>
      <c r="AE1408" t="str" cm="1">
        <f t="array" ref="AE1408">_xlfn.IFS(AD1408=1,"Low",AD1408=2,"Good",AD1408=3,"Excellent",AD1408=4,"Outstanding")</f>
        <v>Excellent</v>
      </c>
      <c r="AF1408">
        <v>4</v>
      </c>
      <c r="AG1408" t="str" cm="1">
        <f t="array" ref="AG1408">_xlfn.IFS(AF1408=1,"Low",AF1408=2,"Medium",AF1408=3,"High",AF1408=4,"Very High")</f>
        <v>Very High</v>
      </c>
      <c r="AH1408">
        <v>0</v>
      </c>
      <c r="AI1408">
        <v>9</v>
      </c>
      <c r="AJ1408">
        <v>3</v>
      </c>
      <c r="AK1408">
        <v>3</v>
      </c>
      <c r="AL1408" t="str" cm="1">
        <f t="array" ref="AL1408">_xlfn.IFS(AK1408=1,"Low",AK1408=2,"Medium",AK1408=3,"High",AK1408=4,"Very High")</f>
        <v>High</v>
      </c>
      <c r="AM1408">
        <v>5</v>
      </c>
      <c r="AN1408">
        <v>2</v>
      </c>
      <c r="AO1408">
        <v>1</v>
      </c>
      <c r="AP1408">
        <v>4</v>
      </c>
    </row>
    <row r="1409" spans="1:42">
      <c r="A1409">
        <v>24</v>
      </c>
      <c r="B1409" t="str" cm="1">
        <f t="array" ref="B1409">_xlfn.IFS(A1409&lt;=25,"18-25",A1409&lt;=35,"26-35",A1409&lt;=45,"36-45",A1409&lt;=55,"46-55",A1409&gt;55,"56+")</f>
        <v>18-25</v>
      </c>
      <c r="C1409" t="s">
        <v>39</v>
      </c>
      <c r="D1409" t="s">
        <v>33</v>
      </c>
      <c r="E1409" s="2">
        <v>771</v>
      </c>
      <c r="F1409" t="s">
        <v>41</v>
      </c>
      <c r="G1409">
        <v>1</v>
      </c>
      <c r="H1409" t="str">
        <f t="shared" si="21"/>
        <v>1-10 km</v>
      </c>
      <c r="I1409">
        <v>2</v>
      </c>
      <c r="J1409" t="str" cm="1">
        <f t="array" ref="J1409">_xlfn.IFS(I1409=1,"Below College",I1409=2,"College",I1409=3,"Bachelor",I1409=4,"Master",I1409=5,"Doctor")</f>
        <v>College</v>
      </c>
      <c r="K1409" t="s">
        <v>35</v>
      </c>
      <c r="L1409">
        <v>1981</v>
      </c>
      <c r="M1409">
        <v>2</v>
      </c>
      <c r="N1409" t="str" cm="1">
        <f t="array" ref="N1409">_xlfn.IFS(M1409=1,"Low",M1409=2,"Medium",M1409=3,"High",M1409=4,"Very High")</f>
        <v>Medium</v>
      </c>
      <c r="O1409" t="s">
        <v>42</v>
      </c>
      <c r="P1409" s="2">
        <v>45</v>
      </c>
      <c r="Q1409">
        <v>2</v>
      </c>
      <c r="R1409" t="str" cm="1">
        <f t="array" ref="R1409">_xlfn.IFS(Q1409=1,"Low",Q1409=2,"Medium",Q1409=3,"High",Q1409=4,"Very High")</f>
        <v>Medium</v>
      </c>
      <c r="S1409">
        <v>2</v>
      </c>
      <c r="T1409" t="str" cm="1">
        <f t="array" ref="T1409">_xlfn.IFS(S1409=1,"Entry Level",S1409=2,"Junior",S1409=3,"Mid-Level",S1409=4,"Senior",S1409=5,"Executive")</f>
        <v>Junior</v>
      </c>
      <c r="U1409" t="s">
        <v>50</v>
      </c>
      <c r="V1409">
        <v>3</v>
      </c>
      <c r="W1409" t="str" cm="1">
        <f t="array" ref="W1409">_xlfn.IFS(V1409=1,"Low",V1409=2,"Medium",V1409=3,"High",V1409=4,"Very High")</f>
        <v>High</v>
      </c>
      <c r="X1409" t="s">
        <v>38</v>
      </c>
      <c r="Y1409" s="2">
        <v>4617</v>
      </c>
      <c r="Z1409" s="2">
        <v>14120</v>
      </c>
      <c r="AA1409">
        <v>1</v>
      </c>
      <c r="AB1409" t="s">
        <v>39</v>
      </c>
      <c r="AC1409">
        <v>12</v>
      </c>
      <c r="AD1409">
        <v>3</v>
      </c>
      <c r="AE1409" t="str" cm="1">
        <f t="array" ref="AE1409">_xlfn.IFS(AD1409=1,"Low",AD1409=2,"Good",AD1409=3,"Excellent",AD1409=4,"Outstanding")</f>
        <v>Excellent</v>
      </c>
      <c r="AF1409">
        <v>2</v>
      </c>
      <c r="AG1409" t="str" cm="1">
        <f t="array" ref="AG1409">_xlfn.IFS(AF1409=1,"Low",AF1409=2,"Medium",AF1409=3,"High",AF1409=4,"Very High")</f>
        <v>Medium</v>
      </c>
      <c r="AH1409">
        <v>0</v>
      </c>
      <c r="AI1409">
        <v>4</v>
      </c>
      <c r="AJ1409">
        <v>2</v>
      </c>
      <c r="AK1409">
        <v>2</v>
      </c>
      <c r="AL1409" t="str" cm="1">
        <f t="array" ref="AL1409">_xlfn.IFS(AK1409=1,"Low",AK1409=2,"Medium",AK1409=3,"High",AK1409=4,"Very High")</f>
        <v>Medium</v>
      </c>
      <c r="AM1409">
        <v>4</v>
      </c>
      <c r="AN1409">
        <v>3</v>
      </c>
      <c r="AO1409">
        <v>1</v>
      </c>
      <c r="AP1409">
        <v>2</v>
      </c>
    </row>
    <row r="1410" spans="1:42">
      <c r="A1410">
        <v>23</v>
      </c>
      <c r="B1410" t="str" cm="1">
        <f t="array" ref="B1410">_xlfn.IFS(A1410&lt;=25,"18-25",A1410&lt;=35,"26-35",A1410&lt;=45,"36-45",A1410&lt;=55,"46-55",A1410&gt;55,"56+")</f>
        <v>18-25</v>
      </c>
      <c r="C1410" t="s">
        <v>39</v>
      </c>
      <c r="D1410" t="s">
        <v>33</v>
      </c>
      <c r="E1410" s="2">
        <v>571</v>
      </c>
      <c r="F1410" t="s">
        <v>41</v>
      </c>
      <c r="G1410">
        <v>12</v>
      </c>
      <c r="H1410" t="str">
        <f t="shared" si="21"/>
        <v>11-20 km</v>
      </c>
      <c r="I1410">
        <v>2</v>
      </c>
      <c r="J1410" t="str" cm="1">
        <f t="array" ref="J1410">_xlfn.IFS(I1410=1,"Below College",I1410=2,"College",I1410=3,"Bachelor",I1410=4,"Master",I1410=5,"Doctor")</f>
        <v>College</v>
      </c>
      <c r="K1410" t="s">
        <v>45</v>
      </c>
      <c r="L1410">
        <v>1982</v>
      </c>
      <c r="M1410">
        <v>4</v>
      </c>
      <c r="N1410" t="str" cm="1">
        <f t="array" ref="N1410">_xlfn.IFS(M1410=1,"Low",M1410=2,"Medium",M1410=3,"High",M1410=4,"Very High")</f>
        <v>Very High</v>
      </c>
      <c r="O1410" t="s">
        <v>42</v>
      </c>
      <c r="P1410" s="2">
        <v>78</v>
      </c>
      <c r="Q1410">
        <v>3</v>
      </c>
      <c r="R1410" t="str" cm="1">
        <f t="array" ref="R1410">_xlfn.IFS(Q1410=1,"Low",Q1410=2,"Medium",Q1410=3,"High",Q1410=4,"Very High")</f>
        <v>High</v>
      </c>
      <c r="S1410">
        <v>1</v>
      </c>
      <c r="T1410" t="str" cm="1">
        <f t="array" ref="T1410">_xlfn.IFS(S1410=1,"Entry Level",S1410=2,"Junior",S1410=3,"Mid-Level",S1410=4,"Senior",S1410=5,"Executive")</f>
        <v>Entry Level</v>
      </c>
      <c r="U1410" t="s">
        <v>46</v>
      </c>
      <c r="V1410">
        <v>4</v>
      </c>
      <c r="W1410" t="str" cm="1">
        <f t="array" ref="W1410">_xlfn.IFS(V1410=1,"Low",V1410=2,"Medium",V1410=3,"High",V1410=4,"Very High")</f>
        <v>Very High</v>
      </c>
      <c r="X1410" t="s">
        <v>38</v>
      </c>
      <c r="Y1410" s="2">
        <v>2647</v>
      </c>
      <c r="Z1410" s="2">
        <v>13672</v>
      </c>
      <c r="AA1410">
        <v>1</v>
      </c>
      <c r="AB1410" t="s">
        <v>39</v>
      </c>
      <c r="AC1410">
        <v>13</v>
      </c>
      <c r="AD1410">
        <v>3</v>
      </c>
      <c r="AE1410" t="str" cm="1">
        <f t="array" ref="AE1410">_xlfn.IFS(AD1410=1,"Low",AD1410=2,"Good",AD1410=3,"Excellent",AD1410=4,"Outstanding")</f>
        <v>Excellent</v>
      </c>
      <c r="AF1410">
        <v>3</v>
      </c>
      <c r="AG1410" t="str" cm="1">
        <f t="array" ref="AG1410">_xlfn.IFS(AF1410=1,"Low",AF1410=2,"Medium",AF1410=3,"High",AF1410=4,"Very High")</f>
        <v>High</v>
      </c>
      <c r="AH1410">
        <v>0</v>
      </c>
      <c r="AI1410">
        <v>5</v>
      </c>
      <c r="AJ1410">
        <v>6</v>
      </c>
      <c r="AK1410">
        <v>4</v>
      </c>
      <c r="AL1410" t="str" cm="1">
        <f t="array" ref="AL1410">_xlfn.IFS(AK1410=1,"Low",AK1410=2,"Medium",AK1410=3,"High",AK1410=4,"Very High")</f>
        <v>Very High</v>
      </c>
      <c r="AM1410">
        <v>5</v>
      </c>
      <c r="AN1410">
        <v>2</v>
      </c>
      <c r="AO1410">
        <v>1</v>
      </c>
      <c r="AP1410">
        <v>4</v>
      </c>
    </row>
    <row r="1411" spans="1:42">
      <c r="A1411">
        <v>40</v>
      </c>
      <c r="B1411" t="str" cm="1">
        <f t="array" ref="B1411">_xlfn.IFS(A1411&lt;=25,"18-25",A1411&lt;=35,"26-35",A1411&lt;=45,"36-45",A1411&lt;=55,"46-55",A1411&gt;55,"56+")</f>
        <v>36-45</v>
      </c>
      <c r="C1411" t="s">
        <v>39</v>
      </c>
      <c r="D1411" t="s">
        <v>40</v>
      </c>
      <c r="E1411" s="2">
        <v>692</v>
      </c>
      <c r="F1411" t="s">
        <v>41</v>
      </c>
      <c r="G1411">
        <v>11</v>
      </c>
      <c r="H1411" t="str">
        <f t="shared" ref="H1411:H1471" si="22">IF(G1411&lt;=10,"1-10 km",IF(G1411&lt;=20,"11-20 km",IF(G1411&lt;=30,"21-30 km","31+ km")))</f>
        <v>11-20 km</v>
      </c>
      <c r="I1411">
        <v>3</v>
      </c>
      <c r="J1411" t="str" cm="1">
        <f t="array" ref="J1411">_xlfn.IFS(I1411=1,"Below College",I1411=2,"College",I1411=3,"Bachelor",I1411=4,"Master",I1411=5,"Doctor")</f>
        <v>Bachelor</v>
      </c>
      <c r="K1411" t="s">
        <v>56</v>
      </c>
      <c r="L1411">
        <v>1985</v>
      </c>
      <c r="M1411">
        <v>4</v>
      </c>
      <c r="N1411" t="str" cm="1">
        <f t="array" ref="N1411">_xlfn.IFS(M1411=1,"Low",M1411=2,"Medium",M1411=3,"High",M1411=4,"Very High")</f>
        <v>Very High</v>
      </c>
      <c r="O1411" t="s">
        <v>36</v>
      </c>
      <c r="P1411" s="2">
        <v>73</v>
      </c>
      <c r="Q1411">
        <v>3</v>
      </c>
      <c r="R1411" t="str" cm="1">
        <f t="array" ref="R1411">_xlfn.IFS(Q1411=1,"Low",Q1411=2,"Medium",Q1411=3,"High",Q1411=4,"Very High")</f>
        <v>High</v>
      </c>
      <c r="S1411">
        <v>2</v>
      </c>
      <c r="T1411" t="str" cm="1">
        <f t="array" ref="T1411">_xlfn.IFS(S1411=1,"Entry Level",S1411=2,"Junior",S1411=3,"Mid-Level",S1411=4,"Senior",S1411=5,"Executive")</f>
        <v>Junior</v>
      </c>
      <c r="U1411" t="s">
        <v>46</v>
      </c>
      <c r="V1411">
        <v>3</v>
      </c>
      <c r="W1411" t="str" cm="1">
        <f t="array" ref="W1411">_xlfn.IFS(V1411=1,"Low",V1411=2,"Medium",V1411=3,"High",V1411=4,"Very High")</f>
        <v>High</v>
      </c>
      <c r="X1411" t="s">
        <v>44</v>
      </c>
      <c r="Y1411" s="2">
        <v>6323</v>
      </c>
      <c r="Z1411" s="2">
        <v>26849</v>
      </c>
      <c r="AA1411">
        <v>1</v>
      </c>
      <c r="AB1411" t="s">
        <v>39</v>
      </c>
      <c r="AC1411">
        <v>11</v>
      </c>
      <c r="AD1411">
        <v>3</v>
      </c>
      <c r="AE1411" t="str" cm="1">
        <f t="array" ref="AE1411">_xlfn.IFS(AD1411=1,"Low",AD1411=2,"Good",AD1411=3,"Excellent",AD1411=4,"Outstanding")</f>
        <v>Excellent</v>
      </c>
      <c r="AF1411">
        <v>1</v>
      </c>
      <c r="AG1411" t="str" cm="1">
        <f t="array" ref="AG1411">_xlfn.IFS(AF1411=1,"Low",AF1411=2,"Medium",AF1411=3,"High",AF1411=4,"Very High")</f>
        <v>Low</v>
      </c>
      <c r="AH1411">
        <v>1</v>
      </c>
      <c r="AI1411">
        <v>10</v>
      </c>
      <c r="AJ1411">
        <v>2</v>
      </c>
      <c r="AK1411">
        <v>4</v>
      </c>
      <c r="AL1411" t="str" cm="1">
        <f t="array" ref="AL1411">_xlfn.IFS(AK1411=1,"Low",AK1411=2,"Medium",AK1411=3,"High",AK1411=4,"Very High")</f>
        <v>Very High</v>
      </c>
      <c r="AM1411">
        <v>10</v>
      </c>
      <c r="AN1411">
        <v>9</v>
      </c>
      <c r="AO1411">
        <v>9</v>
      </c>
      <c r="AP1411">
        <v>4</v>
      </c>
    </row>
    <row r="1412" spans="1:42">
      <c r="A1412">
        <v>40</v>
      </c>
      <c r="B1412" t="str" cm="1">
        <f t="array" ref="B1412">_xlfn.IFS(A1412&lt;=25,"18-25",A1412&lt;=35,"26-35",A1412&lt;=45,"36-45",A1412&lt;=55,"46-55",A1412&gt;55,"56+")</f>
        <v>36-45</v>
      </c>
      <c r="C1412" t="s">
        <v>39</v>
      </c>
      <c r="D1412" t="s">
        <v>33</v>
      </c>
      <c r="E1412" s="2">
        <v>444</v>
      </c>
      <c r="F1412" t="s">
        <v>34</v>
      </c>
      <c r="G1412">
        <v>2</v>
      </c>
      <c r="H1412" t="str">
        <f t="shared" si="22"/>
        <v>1-10 km</v>
      </c>
      <c r="I1412">
        <v>2</v>
      </c>
      <c r="J1412" t="str" cm="1">
        <f t="array" ref="J1412">_xlfn.IFS(I1412=1,"Below College",I1412=2,"College",I1412=3,"Bachelor",I1412=4,"Master",I1412=5,"Doctor")</f>
        <v>College</v>
      </c>
      <c r="K1412" t="s">
        <v>55</v>
      </c>
      <c r="L1412">
        <v>1986</v>
      </c>
      <c r="M1412">
        <v>2</v>
      </c>
      <c r="N1412" t="str" cm="1">
        <f t="array" ref="N1412">_xlfn.IFS(M1412=1,"Low",M1412=2,"Medium",M1412=3,"High",M1412=4,"Very High")</f>
        <v>Medium</v>
      </c>
      <c r="O1412" t="s">
        <v>36</v>
      </c>
      <c r="P1412" s="2">
        <v>92</v>
      </c>
      <c r="Q1412">
        <v>3</v>
      </c>
      <c r="R1412" t="str" cm="1">
        <f t="array" ref="R1412">_xlfn.IFS(Q1412=1,"Low",Q1412=2,"Medium",Q1412=3,"High",Q1412=4,"Very High")</f>
        <v>High</v>
      </c>
      <c r="S1412">
        <v>2</v>
      </c>
      <c r="T1412" t="str" cm="1">
        <f t="array" ref="T1412">_xlfn.IFS(S1412=1,"Entry Level",S1412=2,"Junior",S1412=3,"Mid-Level",S1412=4,"Senior",S1412=5,"Executive")</f>
        <v>Junior</v>
      </c>
      <c r="U1412" t="s">
        <v>37</v>
      </c>
      <c r="V1412">
        <v>2</v>
      </c>
      <c r="W1412" t="str" cm="1">
        <f t="array" ref="W1412">_xlfn.IFS(V1412=1,"Low",V1412=2,"Medium",V1412=3,"High",V1412=4,"Very High")</f>
        <v>Medium</v>
      </c>
      <c r="X1412" t="s">
        <v>44</v>
      </c>
      <c r="Y1412" s="2">
        <v>5677</v>
      </c>
      <c r="Z1412" s="2">
        <v>4258</v>
      </c>
      <c r="AA1412">
        <v>3</v>
      </c>
      <c r="AB1412" t="s">
        <v>39</v>
      </c>
      <c r="AC1412">
        <v>14</v>
      </c>
      <c r="AD1412">
        <v>3</v>
      </c>
      <c r="AE1412" t="str" cm="1">
        <f t="array" ref="AE1412">_xlfn.IFS(AD1412=1,"Low",AD1412=2,"Good",AD1412=3,"Excellent",AD1412=4,"Outstanding")</f>
        <v>Excellent</v>
      </c>
      <c r="AF1412">
        <v>3</v>
      </c>
      <c r="AG1412" t="str" cm="1">
        <f t="array" ref="AG1412">_xlfn.IFS(AF1412=1,"Low",AF1412=2,"Medium",AF1412=3,"High",AF1412=4,"Very High")</f>
        <v>High</v>
      </c>
      <c r="AH1412">
        <v>1</v>
      </c>
      <c r="AI1412">
        <v>15</v>
      </c>
      <c r="AJ1412">
        <v>4</v>
      </c>
      <c r="AK1412">
        <v>3</v>
      </c>
      <c r="AL1412" t="str" cm="1">
        <f t="array" ref="AL1412">_xlfn.IFS(AK1412=1,"Low",AK1412=2,"Medium",AK1412=3,"High",AK1412=4,"Very High")</f>
        <v>High</v>
      </c>
      <c r="AM1412">
        <v>11</v>
      </c>
      <c r="AN1412">
        <v>8</v>
      </c>
      <c r="AO1412">
        <v>5</v>
      </c>
      <c r="AP1412">
        <v>10</v>
      </c>
    </row>
    <row r="1413" spans="1:42">
      <c r="A1413">
        <v>25</v>
      </c>
      <c r="B1413" t="str" cm="1">
        <f t="array" ref="B1413">_xlfn.IFS(A1413&lt;=25,"18-25",A1413&lt;=35,"26-35",A1413&lt;=45,"36-45",A1413&lt;=55,"46-55",A1413&gt;55,"56+")</f>
        <v>18-25</v>
      </c>
      <c r="C1413" t="s">
        <v>39</v>
      </c>
      <c r="D1413" t="s">
        <v>33</v>
      </c>
      <c r="E1413" s="2">
        <v>309</v>
      </c>
      <c r="F1413" t="s">
        <v>57</v>
      </c>
      <c r="G1413">
        <v>2</v>
      </c>
      <c r="H1413" t="str">
        <f t="shared" si="22"/>
        <v>1-10 km</v>
      </c>
      <c r="I1413">
        <v>3</v>
      </c>
      <c r="J1413" t="str" cm="1">
        <f t="array" ref="J1413">_xlfn.IFS(I1413=1,"Below College",I1413=2,"College",I1413=3,"Bachelor",I1413=4,"Master",I1413=5,"Doctor")</f>
        <v>Bachelor</v>
      </c>
      <c r="K1413" t="s">
        <v>57</v>
      </c>
      <c r="L1413">
        <v>1987</v>
      </c>
      <c r="M1413">
        <v>3</v>
      </c>
      <c r="N1413" t="str" cm="1">
        <f t="array" ref="N1413">_xlfn.IFS(M1413=1,"Low",M1413=2,"Medium",M1413=3,"High",M1413=4,"Very High")</f>
        <v>High</v>
      </c>
      <c r="O1413" t="s">
        <v>36</v>
      </c>
      <c r="P1413" s="2">
        <v>82</v>
      </c>
      <c r="Q1413">
        <v>3</v>
      </c>
      <c r="R1413" t="str" cm="1">
        <f t="array" ref="R1413">_xlfn.IFS(Q1413=1,"Low",Q1413=2,"Medium",Q1413=3,"High",Q1413=4,"Very High")</f>
        <v>High</v>
      </c>
      <c r="S1413">
        <v>1</v>
      </c>
      <c r="T1413" t="str" cm="1">
        <f t="array" ref="T1413">_xlfn.IFS(S1413=1,"Entry Level",S1413=2,"Junior",S1413=3,"Mid-Level",S1413=4,"Senior",S1413=5,"Executive")</f>
        <v>Entry Level</v>
      </c>
      <c r="U1413" t="s">
        <v>57</v>
      </c>
      <c r="V1413">
        <v>2</v>
      </c>
      <c r="W1413" t="str" cm="1">
        <f t="array" ref="W1413">_xlfn.IFS(V1413=1,"Low",V1413=2,"Medium",V1413=3,"High",V1413=4,"Very High")</f>
        <v>Medium</v>
      </c>
      <c r="X1413" t="s">
        <v>44</v>
      </c>
      <c r="Y1413" s="2">
        <v>2187</v>
      </c>
      <c r="Z1413" s="2">
        <v>19655</v>
      </c>
      <c r="AA1413">
        <v>4</v>
      </c>
      <c r="AB1413" t="s">
        <v>39</v>
      </c>
      <c r="AC1413">
        <v>14</v>
      </c>
      <c r="AD1413">
        <v>3</v>
      </c>
      <c r="AE1413" t="str" cm="1">
        <f t="array" ref="AE1413">_xlfn.IFS(AD1413=1,"Low",AD1413=2,"Good",AD1413=3,"Excellent",AD1413=4,"Outstanding")</f>
        <v>Excellent</v>
      </c>
      <c r="AF1413">
        <v>3</v>
      </c>
      <c r="AG1413" t="str" cm="1">
        <f t="array" ref="AG1413">_xlfn.IFS(AF1413=1,"Low",AF1413=2,"Medium",AF1413=3,"High",AF1413=4,"Very High")</f>
        <v>High</v>
      </c>
      <c r="AH1413">
        <v>0</v>
      </c>
      <c r="AI1413">
        <v>6</v>
      </c>
      <c r="AJ1413">
        <v>3</v>
      </c>
      <c r="AK1413">
        <v>3</v>
      </c>
      <c r="AL1413" t="str" cm="1">
        <f t="array" ref="AL1413">_xlfn.IFS(AK1413=1,"Low",AK1413=2,"Medium",AK1413=3,"High",AK1413=4,"Very High")</f>
        <v>High</v>
      </c>
      <c r="AM1413">
        <v>2</v>
      </c>
      <c r="AN1413">
        <v>0</v>
      </c>
      <c r="AO1413">
        <v>1</v>
      </c>
      <c r="AP1413">
        <v>2</v>
      </c>
    </row>
    <row r="1414" spans="1:42">
      <c r="A1414">
        <v>30</v>
      </c>
      <c r="B1414" t="str" cm="1">
        <f t="array" ref="B1414">_xlfn.IFS(A1414&lt;=25,"18-25",A1414&lt;=35,"26-35",A1414&lt;=45,"36-45",A1414&lt;=55,"46-55",A1414&gt;55,"56+")</f>
        <v>26-35</v>
      </c>
      <c r="C1414" t="s">
        <v>39</v>
      </c>
      <c r="D1414" t="s">
        <v>33</v>
      </c>
      <c r="E1414" s="2">
        <v>911</v>
      </c>
      <c r="F1414" t="s">
        <v>41</v>
      </c>
      <c r="G1414">
        <v>1</v>
      </c>
      <c r="H1414" t="str">
        <f t="shared" si="22"/>
        <v>1-10 km</v>
      </c>
      <c r="I1414">
        <v>2</v>
      </c>
      <c r="J1414" t="str" cm="1">
        <f t="array" ref="J1414">_xlfn.IFS(I1414=1,"Below College",I1414=2,"College",I1414=3,"Bachelor",I1414=4,"Master",I1414=5,"Doctor")</f>
        <v>College</v>
      </c>
      <c r="K1414" t="s">
        <v>47</v>
      </c>
      <c r="L1414">
        <v>1989</v>
      </c>
      <c r="M1414">
        <v>4</v>
      </c>
      <c r="N1414" t="str" cm="1">
        <f t="array" ref="N1414">_xlfn.IFS(M1414=1,"Low",M1414=2,"Medium",M1414=3,"High",M1414=4,"Very High")</f>
        <v>Very High</v>
      </c>
      <c r="O1414" t="s">
        <v>42</v>
      </c>
      <c r="P1414" s="2">
        <v>76</v>
      </c>
      <c r="Q1414">
        <v>3</v>
      </c>
      <c r="R1414" t="str" cm="1">
        <f t="array" ref="R1414">_xlfn.IFS(Q1414=1,"Low",Q1414=2,"Medium",Q1414=3,"High",Q1414=4,"Very High")</f>
        <v>High</v>
      </c>
      <c r="S1414">
        <v>1</v>
      </c>
      <c r="T1414" t="str" cm="1">
        <f t="array" ref="T1414">_xlfn.IFS(S1414=1,"Entry Level",S1414=2,"Junior",S1414=3,"Mid-Level",S1414=4,"Senior",S1414=5,"Executive")</f>
        <v>Entry Level</v>
      </c>
      <c r="U1414" t="s">
        <v>46</v>
      </c>
      <c r="V1414">
        <v>2</v>
      </c>
      <c r="W1414" t="str" cm="1">
        <f t="array" ref="W1414">_xlfn.IFS(V1414=1,"Low",V1414=2,"Medium",V1414=3,"High",V1414=4,"Very High")</f>
        <v>Medium</v>
      </c>
      <c r="X1414" t="s">
        <v>44</v>
      </c>
      <c r="Y1414" s="2">
        <v>3748</v>
      </c>
      <c r="Z1414" s="2">
        <v>4077</v>
      </c>
      <c r="AA1414">
        <v>1</v>
      </c>
      <c r="AB1414" t="s">
        <v>39</v>
      </c>
      <c r="AC1414">
        <v>13</v>
      </c>
      <c r="AD1414">
        <v>3</v>
      </c>
      <c r="AE1414" t="str" cm="1">
        <f t="array" ref="AE1414">_xlfn.IFS(AD1414=1,"Low",AD1414=2,"Good",AD1414=3,"Excellent",AD1414=4,"Outstanding")</f>
        <v>Excellent</v>
      </c>
      <c r="AF1414">
        <v>3</v>
      </c>
      <c r="AG1414" t="str" cm="1">
        <f t="array" ref="AG1414">_xlfn.IFS(AF1414=1,"Low",AF1414=2,"Medium",AF1414=3,"High",AF1414=4,"Very High")</f>
        <v>High</v>
      </c>
      <c r="AH1414">
        <v>0</v>
      </c>
      <c r="AI1414">
        <v>12</v>
      </c>
      <c r="AJ1414">
        <v>6</v>
      </c>
      <c r="AK1414">
        <v>2</v>
      </c>
      <c r="AL1414" t="str" cm="1">
        <f t="array" ref="AL1414">_xlfn.IFS(AK1414=1,"Low",AK1414=2,"Medium",AK1414=3,"High",AK1414=4,"Very High")</f>
        <v>Medium</v>
      </c>
      <c r="AM1414">
        <v>12</v>
      </c>
      <c r="AN1414">
        <v>8</v>
      </c>
      <c r="AO1414">
        <v>1</v>
      </c>
      <c r="AP1414">
        <v>7</v>
      </c>
    </row>
    <row r="1415" spans="1:42">
      <c r="A1415">
        <v>25</v>
      </c>
      <c r="B1415" t="str" cm="1">
        <f t="array" ref="B1415">_xlfn.IFS(A1415&lt;=25,"18-25",A1415&lt;=35,"26-35",A1415&lt;=45,"36-45",A1415&lt;=55,"46-55",A1415&gt;55,"56+")</f>
        <v>18-25</v>
      </c>
      <c r="C1415" t="s">
        <v>39</v>
      </c>
      <c r="D1415" t="s">
        <v>33</v>
      </c>
      <c r="E1415" s="2">
        <v>977</v>
      </c>
      <c r="F1415" t="s">
        <v>41</v>
      </c>
      <c r="G1415">
        <v>2</v>
      </c>
      <c r="H1415" t="str">
        <f t="shared" si="22"/>
        <v>1-10 km</v>
      </c>
      <c r="I1415">
        <v>1</v>
      </c>
      <c r="J1415" t="str" cm="1">
        <f t="array" ref="J1415">_xlfn.IFS(I1415=1,"Below College",I1415=2,"College",I1415=3,"Bachelor",I1415=4,"Master",I1415=5,"Doctor")</f>
        <v>Below College</v>
      </c>
      <c r="K1415" t="s">
        <v>45</v>
      </c>
      <c r="L1415">
        <v>1992</v>
      </c>
      <c r="M1415">
        <v>4</v>
      </c>
      <c r="N1415" t="str" cm="1">
        <f t="array" ref="N1415">_xlfn.IFS(M1415=1,"Low",M1415=2,"Medium",M1415=3,"High",M1415=4,"Very High")</f>
        <v>Very High</v>
      </c>
      <c r="O1415" t="s">
        <v>42</v>
      </c>
      <c r="P1415" s="2">
        <v>57</v>
      </c>
      <c r="Q1415">
        <v>3</v>
      </c>
      <c r="R1415" t="str" cm="1">
        <f t="array" ref="R1415">_xlfn.IFS(Q1415=1,"Low",Q1415=2,"Medium",Q1415=3,"High",Q1415=4,"Very High")</f>
        <v>High</v>
      </c>
      <c r="S1415">
        <v>1</v>
      </c>
      <c r="T1415" t="str" cm="1">
        <f t="array" ref="T1415">_xlfn.IFS(S1415=1,"Entry Level",S1415=2,"Junior",S1415=3,"Mid-Level",S1415=4,"Senior",S1415=5,"Executive")</f>
        <v>Entry Level</v>
      </c>
      <c r="U1415" t="s">
        <v>46</v>
      </c>
      <c r="V1415">
        <v>3</v>
      </c>
      <c r="W1415" t="str" cm="1">
        <f t="array" ref="W1415">_xlfn.IFS(V1415=1,"Low",V1415=2,"Medium",V1415=3,"High",V1415=4,"Very High")</f>
        <v>High</v>
      </c>
      <c r="X1415" t="s">
        <v>48</v>
      </c>
      <c r="Y1415" s="2">
        <v>3977</v>
      </c>
      <c r="Z1415" s="2">
        <v>7298</v>
      </c>
      <c r="AA1415">
        <v>6</v>
      </c>
      <c r="AB1415" t="s">
        <v>32</v>
      </c>
      <c r="AC1415">
        <v>19</v>
      </c>
      <c r="AD1415">
        <v>3</v>
      </c>
      <c r="AE1415" t="str" cm="1">
        <f t="array" ref="AE1415">_xlfn.IFS(AD1415=1,"Low",AD1415=2,"Good",AD1415=3,"Excellent",AD1415=4,"Outstanding")</f>
        <v>Excellent</v>
      </c>
      <c r="AF1415">
        <v>3</v>
      </c>
      <c r="AG1415" t="str" cm="1">
        <f t="array" ref="AG1415">_xlfn.IFS(AF1415=1,"Low",AF1415=2,"Medium",AF1415=3,"High",AF1415=4,"Very High")</f>
        <v>High</v>
      </c>
      <c r="AH1415">
        <v>1</v>
      </c>
      <c r="AI1415">
        <v>7</v>
      </c>
      <c r="AJ1415">
        <v>2</v>
      </c>
      <c r="AK1415">
        <v>2</v>
      </c>
      <c r="AL1415" t="str" cm="1">
        <f t="array" ref="AL1415">_xlfn.IFS(AK1415=1,"Low",AK1415=2,"Medium",AK1415=3,"High",AK1415=4,"Very High")</f>
        <v>Medium</v>
      </c>
      <c r="AM1415">
        <v>2</v>
      </c>
      <c r="AN1415">
        <v>2</v>
      </c>
      <c r="AO1415">
        <v>0</v>
      </c>
      <c r="AP1415">
        <v>2</v>
      </c>
    </row>
    <row r="1416" spans="1:42">
      <c r="A1416">
        <v>47</v>
      </c>
      <c r="B1416" t="str" cm="1">
        <f t="array" ref="B1416">_xlfn.IFS(A1416&lt;=25,"18-25",A1416&lt;=35,"26-35",A1416&lt;=45,"36-45",A1416&lt;=55,"46-55",A1416&gt;55,"56+")</f>
        <v>46-55</v>
      </c>
      <c r="C1416" t="s">
        <v>39</v>
      </c>
      <c r="D1416" t="s">
        <v>33</v>
      </c>
      <c r="E1416" s="2">
        <v>1180</v>
      </c>
      <c r="F1416" t="s">
        <v>41</v>
      </c>
      <c r="G1416">
        <v>25</v>
      </c>
      <c r="H1416" t="str">
        <f t="shared" si="22"/>
        <v>21-30 km</v>
      </c>
      <c r="I1416">
        <v>3</v>
      </c>
      <c r="J1416" t="str" cm="1">
        <f t="array" ref="J1416">_xlfn.IFS(I1416=1,"Below College",I1416=2,"College",I1416=3,"Bachelor",I1416=4,"Master",I1416=5,"Doctor")</f>
        <v>Bachelor</v>
      </c>
      <c r="K1416" t="s">
        <v>47</v>
      </c>
      <c r="L1416">
        <v>1993</v>
      </c>
      <c r="M1416">
        <v>1</v>
      </c>
      <c r="N1416" t="str" cm="1">
        <f t="array" ref="N1416">_xlfn.IFS(M1416=1,"Low",M1416=2,"Medium",M1416=3,"High",M1416=4,"Very High")</f>
        <v>Low</v>
      </c>
      <c r="O1416" t="s">
        <v>42</v>
      </c>
      <c r="P1416" s="2">
        <v>84</v>
      </c>
      <c r="Q1416">
        <v>3</v>
      </c>
      <c r="R1416" t="str" cm="1">
        <f t="array" ref="R1416">_xlfn.IFS(Q1416=1,"Low",Q1416=2,"Medium",Q1416=3,"High",Q1416=4,"Very High")</f>
        <v>High</v>
      </c>
      <c r="S1416">
        <v>3</v>
      </c>
      <c r="T1416" t="str" cm="1">
        <f t="array" ref="T1416">_xlfn.IFS(S1416=1,"Entry Level",S1416=2,"Junior",S1416=3,"Mid-Level",S1416=4,"Senior",S1416=5,"Executive")</f>
        <v>Mid-Level</v>
      </c>
      <c r="U1416" t="s">
        <v>50</v>
      </c>
      <c r="V1416">
        <v>3</v>
      </c>
      <c r="W1416" t="str" cm="1">
        <f t="array" ref="W1416">_xlfn.IFS(V1416=1,"Low",V1416=2,"Medium",V1416=3,"High",V1416=4,"Very High")</f>
        <v>High</v>
      </c>
      <c r="X1416" t="s">
        <v>38</v>
      </c>
      <c r="Y1416" s="2">
        <v>8633</v>
      </c>
      <c r="Z1416" s="2">
        <v>13084</v>
      </c>
      <c r="AA1416">
        <v>2</v>
      </c>
      <c r="AB1416" t="s">
        <v>39</v>
      </c>
      <c r="AC1416">
        <v>23</v>
      </c>
      <c r="AD1416">
        <v>4</v>
      </c>
      <c r="AE1416" t="str" cm="1">
        <f t="array" ref="AE1416">_xlfn.IFS(AD1416=1,"Low",AD1416=2,"Good",AD1416=3,"Excellent",AD1416=4,"Outstanding")</f>
        <v>Outstanding</v>
      </c>
      <c r="AF1416">
        <v>2</v>
      </c>
      <c r="AG1416" t="str" cm="1">
        <f t="array" ref="AG1416">_xlfn.IFS(AF1416=1,"Low",AF1416=2,"Medium",AF1416=3,"High",AF1416=4,"Very High")</f>
        <v>Medium</v>
      </c>
      <c r="AH1416">
        <v>0</v>
      </c>
      <c r="AI1416">
        <v>25</v>
      </c>
      <c r="AJ1416">
        <v>3</v>
      </c>
      <c r="AK1416">
        <v>3</v>
      </c>
      <c r="AL1416" t="str" cm="1">
        <f t="array" ref="AL1416">_xlfn.IFS(AK1416=1,"Low",AK1416=2,"Medium",AK1416=3,"High",AK1416=4,"Very High")</f>
        <v>High</v>
      </c>
      <c r="AM1416">
        <v>17</v>
      </c>
      <c r="AN1416">
        <v>14</v>
      </c>
      <c r="AO1416">
        <v>12</v>
      </c>
      <c r="AP1416">
        <v>11</v>
      </c>
    </row>
    <row r="1417" spans="1:42">
      <c r="A1417">
        <v>33</v>
      </c>
      <c r="B1417" t="str" cm="1">
        <f t="array" ref="B1417">_xlfn.IFS(A1417&lt;=25,"18-25",A1417&lt;=35,"26-35",A1417&lt;=45,"36-45",A1417&lt;=55,"46-55",A1417&gt;55,"56+")</f>
        <v>26-35</v>
      </c>
      <c r="C1417" t="s">
        <v>39</v>
      </c>
      <c r="D1417" t="s">
        <v>51</v>
      </c>
      <c r="E1417" s="2">
        <v>1313</v>
      </c>
      <c r="F1417" t="s">
        <v>41</v>
      </c>
      <c r="G1417">
        <v>1</v>
      </c>
      <c r="H1417" t="str">
        <f t="shared" si="22"/>
        <v>1-10 km</v>
      </c>
      <c r="I1417">
        <v>2</v>
      </c>
      <c r="J1417" t="str" cm="1">
        <f t="array" ref="J1417">_xlfn.IFS(I1417=1,"Below College",I1417=2,"College",I1417=3,"Bachelor",I1417=4,"Master",I1417=5,"Doctor")</f>
        <v>College</v>
      </c>
      <c r="K1417" t="s">
        <v>47</v>
      </c>
      <c r="L1417">
        <v>1994</v>
      </c>
      <c r="M1417">
        <v>2</v>
      </c>
      <c r="N1417" t="str" cm="1">
        <f t="array" ref="N1417">_xlfn.IFS(M1417=1,"Low",M1417=2,"Medium",M1417=3,"High",M1417=4,"Very High")</f>
        <v>Medium</v>
      </c>
      <c r="O1417" t="s">
        <v>42</v>
      </c>
      <c r="P1417" s="2">
        <v>59</v>
      </c>
      <c r="Q1417">
        <v>2</v>
      </c>
      <c r="R1417" t="str" cm="1">
        <f t="array" ref="R1417">_xlfn.IFS(Q1417=1,"Low",Q1417=2,"Medium",Q1417=3,"High",Q1417=4,"Very High")</f>
        <v>Medium</v>
      </c>
      <c r="S1417">
        <v>1</v>
      </c>
      <c r="T1417" t="str" cm="1">
        <f t="array" ref="T1417">_xlfn.IFS(S1417=1,"Entry Level",S1417=2,"Junior",S1417=3,"Mid-Level",S1417=4,"Senior",S1417=5,"Executive")</f>
        <v>Entry Level</v>
      </c>
      <c r="U1417" t="s">
        <v>46</v>
      </c>
      <c r="V1417">
        <v>3</v>
      </c>
      <c r="W1417" t="str" cm="1">
        <f t="array" ref="W1417">_xlfn.IFS(V1417=1,"Low",V1417=2,"Medium",V1417=3,"High",V1417=4,"Very High")</f>
        <v>High</v>
      </c>
      <c r="X1417" t="s">
        <v>48</v>
      </c>
      <c r="Y1417" s="2">
        <v>2008</v>
      </c>
      <c r="Z1417" s="2">
        <v>20439</v>
      </c>
      <c r="AA1417">
        <v>1</v>
      </c>
      <c r="AB1417" t="s">
        <v>39</v>
      </c>
      <c r="AC1417">
        <v>12</v>
      </c>
      <c r="AD1417">
        <v>3</v>
      </c>
      <c r="AE1417" t="str" cm="1">
        <f t="array" ref="AE1417">_xlfn.IFS(AD1417=1,"Low",AD1417=2,"Good",AD1417=3,"Excellent",AD1417=4,"Outstanding")</f>
        <v>Excellent</v>
      </c>
      <c r="AF1417">
        <v>3</v>
      </c>
      <c r="AG1417" t="str" cm="1">
        <f t="array" ref="AG1417">_xlfn.IFS(AF1417=1,"Low",AF1417=2,"Medium",AF1417=3,"High",AF1417=4,"Very High")</f>
        <v>High</v>
      </c>
      <c r="AH1417">
        <v>3</v>
      </c>
      <c r="AI1417">
        <v>1</v>
      </c>
      <c r="AJ1417">
        <v>2</v>
      </c>
      <c r="AK1417">
        <v>2</v>
      </c>
      <c r="AL1417" t="str" cm="1">
        <f t="array" ref="AL1417">_xlfn.IFS(AK1417=1,"Low",AK1417=2,"Medium",AK1417=3,"High",AK1417=4,"Very High")</f>
        <v>Medium</v>
      </c>
      <c r="AM1417">
        <v>1</v>
      </c>
      <c r="AN1417">
        <v>1</v>
      </c>
      <c r="AO1417">
        <v>0</v>
      </c>
      <c r="AP1417">
        <v>0</v>
      </c>
    </row>
    <row r="1418" spans="1:42">
      <c r="A1418">
        <v>38</v>
      </c>
      <c r="B1418" t="str" cm="1">
        <f t="array" ref="B1418">_xlfn.IFS(A1418&lt;=25,"18-25",A1418&lt;=35,"26-35",A1418&lt;=45,"36-45",A1418&lt;=55,"46-55",A1418&gt;55,"56+")</f>
        <v>36-45</v>
      </c>
      <c r="C1418" t="s">
        <v>39</v>
      </c>
      <c r="D1418" t="s">
        <v>33</v>
      </c>
      <c r="E1418" s="2">
        <v>1321</v>
      </c>
      <c r="F1418" t="s">
        <v>34</v>
      </c>
      <c r="G1418">
        <v>1</v>
      </c>
      <c r="H1418" t="str">
        <f t="shared" si="22"/>
        <v>1-10 km</v>
      </c>
      <c r="I1418">
        <v>4</v>
      </c>
      <c r="J1418" t="str" cm="1">
        <f t="array" ref="J1418">_xlfn.IFS(I1418=1,"Below College",I1418=2,"College",I1418=3,"Bachelor",I1418=4,"Master",I1418=5,"Doctor")</f>
        <v>Master</v>
      </c>
      <c r="K1418" t="s">
        <v>35</v>
      </c>
      <c r="L1418">
        <v>1995</v>
      </c>
      <c r="M1418">
        <v>4</v>
      </c>
      <c r="N1418" t="str" cm="1">
        <f t="array" ref="N1418">_xlfn.IFS(M1418=1,"Low",M1418=2,"Medium",M1418=3,"High",M1418=4,"Very High")</f>
        <v>Very High</v>
      </c>
      <c r="O1418" t="s">
        <v>42</v>
      </c>
      <c r="P1418" s="2">
        <v>86</v>
      </c>
      <c r="Q1418">
        <v>3</v>
      </c>
      <c r="R1418" t="str" cm="1">
        <f t="array" ref="R1418">_xlfn.IFS(Q1418=1,"Low",Q1418=2,"Medium",Q1418=3,"High",Q1418=4,"Very High")</f>
        <v>High</v>
      </c>
      <c r="S1418">
        <v>2</v>
      </c>
      <c r="T1418" t="str" cm="1">
        <f t="array" ref="T1418">_xlfn.IFS(S1418=1,"Entry Level",S1418=2,"Junior",S1418=3,"Mid-Level",S1418=4,"Senior",S1418=5,"Executive")</f>
        <v>Junior</v>
      </c>
      <c r="U1418" t="s">
        <v>37</v>
      </c>
      <c r="V1418">
        <v>2</v>
      </c>
      <c r="W1418" t="str" cm="1">
        <f t="array" ref="W1418">_xlfn.IFS(V1418=1,"Low",V1418=2,"Medium",V1418=3,"High",V1418=4,"Very High")</f>
        <v>Medium</v>
      </c>
      <c r="X1418" t="s">
        <v>44</v>
      </c>
      <c r="Y1418" s="2">
        <v>4440</v>
      </c>
      <c r="Z1418" s="2">
        <v>7636</v>
      </c>
      <c r="AA1418">
        <v>0</v>
      </c>
      <c r="AB1418" t="s">
        <v>39</v>
      </c>
      <c r="AC1418">
        <v>15</v>
      </c>
      <c r="AD1418">
        <v>3</v>
      </c>
      <c r="AE1418" t="str" cm="1">
        <f t="array" ref="AE1418">_xlfn.IFS(AD1418=1,"Low",AD1418=2,"Good",AD1418=3,"Excellent",AD1418=4,"Outstanding")</f>
        <v>Excellent</v>
      </c>
      <c r="AF1418">
        <v>1</v>
      </c>
      <c r="AG1418" t="str" cm="1">
        <f t="array" ref="AG1418">_xlfn.IFS(AF1418=1,"Low",AF1418=2,"Medium",AF1418=3,"High",AF1418=4,"Very High")</f>
        <v>Low</v>
      </c>
      <c r="AH1418">
        <v>2</v>
      </c>
      <c r="AI1418">
        <v>16</v>
      </c>
      <c r="AJ1418">
        <v>3</v>
      </c>
      <c r="AK1418">
        <v>3</v>
      </c>
      <c r="AL1418" t="str" cm="1">
        <f t="array" ref="AL1418">_xlfn.IFS(AK1418=1,"Low",AK1418=2,"Medium",AK1418=3,"High",AK1418=4,"Very High")</f>
        <v>High</v>
      </c>
      <c r="AM1418">
        <v>15</v>
      </c>
      <c r="AN1418">
        <v>13</v>
      </c>
      <c r="AO1418">
        <v>5</v>
      </c>
      <c r="AP1418">
        <v>8</v>
      </c>
    </row>
    <row r="1419" spans="1:42">
      <c r="A1419">
        <v>31</v>
      </c>
      <c r="B1419" t="str" cm="1">
        <f t="array" ref="B1419">_xlfn.IFS(A1419&lt;=25,"18-25",A1419&lt;=35,"26-35",A1419&lt;=45,"36-45",A1419&lt;=55,"46-55",A1419&gt;55,"56+")</f>
        <v>26-35</v>
      </c>
      <c r="C1419" t="s">
        <v>39</v>
      </c>
      <c r="D1419" t="s">
        <v>33</v>
      </c>
      <c r="E1419" s="2">
        <v>1154</v>
      </c>
      <c r="F1419" t="s">
        <v>34</v>
      </c>
      <c r="G1419">
        <v>2</v>
      </c>
      <c r="H1419" t="str">
        <f t="shared" si="22"/>
        <v>1-10 km</v>
      </c>
      <c r="I1419">
        <v>2</v>
      </c>
      <c r="J1419" t="str" cm="1">
        <f t="array" ref="J1419">_xlfn.IFS(I1419=1,"Below College",I1419=2,"College",I1419=3,"Bachelor",I1419=4,"Master",I1419=5,"Doctor")</f>
        <v>College</v>
      </c>
      <c r="K1419" t="s">
        <v>35</v>
      </c>
      <c r="L1419">
        <v>1996</v>
      </c>
      <c r="M1419">
        <v>1</v>
      </c>
      <c r="N1419" t="str" cm="1">
        <f t="array" ref="N1419">_xlfn.IFS(M1419=1,"Low",M1419=2,"Medium",M1419=3,"High",M1419=4,"Very High")</f>
        <v>Low</v>
      </c>
      <c r="O1419" t="s">
        <v>42</v>
      </c>
      <c r="P1419" s="2">
        <v>54</v>
      </c>
      <c r="Q1419">
        <v>3</v>
      </c>
      <c r="R1419" t="str" cm="1">
        <f t="array" ref="R1419">_xlfn.IFS(Q1419=1,"Low",Q1419=2,"Medium",Q1419=3,"High",Q1419=4,"Very High")</f>
        <v>High</v>
      </c>
      <c r="S1419">
        <v>1</v>
      </c>
      <c r="T1419" t="str" cm="1">
        <f t="array" ref="T1419">_xlfn.IFS(S1419=1,"Entry Level",S1419=2,"Junior",S1419=3,"Mid-Level",S1419=4,"Senior",S1419=5,"Executive")</f>
        <v>Entry Level</v>
      </c>
      <c r="U1419" t="s">
        <v>53</v>
      </c>
      <c r="V1419">
        <v>3</v>
      </c>
      <c r="W1419" t="str" cm="1">
        <f t="array" ref="W1419">_xlfn.IFS(V1419=1,"Low",V1419=2,"Medium",V1419=3,"High",V1419=4,"Very High")</f>
        <v>High</v>
      </c>
      <c r="X1419" t="s">
        <v>44</v>
      </c>
      <c r="Y1419" s="2">
        <v>3067</v>
      </c>
      <c r="Z1419" s="2">
        <v>6393</v>
      </c>
      <c r="AA1419">
        <v>0</v>
      </c>
      <c r="AB1419" t="s">
        <v>39</v>
      </c>
      <c r="AC1419">
        <v>19</v>
      </c>
      <c r="AD1419">
        <v>3</v>
      </c>
      <c r="AE1419" t="str" cm="1">
        <f t="array" ref="AE1419">_xlfn.IFS(AD1419=1,"Low",AD1419=2,"Good",AD1419=3,"Excellent",AD1419=4,"Outstanding")</f>
        <v>Excellent</v>
      </c>
      <c r="AF1419">
        <v>3</v>
      </c>
      <c r="AG1419" t="str" cm="1">
        <f t="array" ref="AG1419">_xlfn.IFS(AF1419=1,"Low",AF1419=2,"Medium",AF1419=3,"High",AF1419=4,"Very High")</f>
        <v>High</v>
      </c>
      <c r="AH1419">
        <v>1</v>
      </c>
      <c r="AI1419">
        <v>3</v>
      </c>
      <c r="AJ1419">
        <v>1</v>
      </c>
      <c r="AK1419">
        <v>3</v>
      </c>
      <c r="AL1419" t="str" cm="1">
        <f t="array" ref="AL1419">_xlfn.IFS(AK1419=1,"Low",AK1419=2,"Medium",AK1419=3,"High",AK1419=4,"Very High")</f>
        <v>High</v>
      </c>
      <c r="AM1419">
        <v>2</v>
      </c>
      <c r="AN1419">
        <v>2</v>
      </c>
      <c r="AO1419">
        <v>1</v>
      </c>
      <c r="AP1419">
        <v>2</v>
      </c>
    </row>
    <row r="1420" spans="1:42">
      <c r="A1420">
        <v>38</v>
      </c>
      <c r="B1420" t="str" cm="1">
        <f t="array" ref="B1420">_xlfn.IFS(A1420&lt;=25,"18-25",A1420&lt;=35,"26-35",A1420&lt;=45,"36-45",A1420&lt;=55,"46-55",A1420&gt;55,"56+")</f>
        <v>36-45</v>
      </c>
      <c r="C1420" t="s">
        <v>39</v>
      </c>
      <c r="D1420" t="s">
        <v>40</v>
      </c>
      <c r="E1420" s="2">
        <v>508</v>
      </c>
      <c r="F1420" t="s">
        <v>41</v>
      </c>
      <c r="G1420">
        <v>6</v>
      </c>
      <c r="H1420" t="str">
        <f t="shared" si="22"/>
        <v>1-10 km</v>
      </c>
      <c r="I1420">
        <v>4</v>
      </c>
      <c r="J1420" t="str" cm="1">
        <f t="array" ref="J1420">_xlfn.IFS(I1420=1,"Below College",I1420=2,"College",I1420=3,"Bachelor",I1420=4,"Master",I1420=5,"Doctor")</f>
        <v>Master</v>
      </c>
      <c r="K1420" t="s">
        <v>35</v>
      </c>
      <c r="L1420">
        <v>1997</v>
      </c>
      <c r="M1420">
        <v>1</v>
      </c>
      <c r="N1420" t="str" cm="1">
        <f t="array" ref="N1420">_xlfn.IFS(M1420=1,"Low",M1420=2,"Medium",M1420=3,"High",M1420=4,"Very High")</f>
        <v>Low</v>
      </c>
      <c r="O1420" t="s">
        <v>42</v>
      </c>
      <c r="P1420" s="2">
        <v>72</v>
      </c>
      <c r="Q1420">
        <v>2</v>
      </c>
      <c r="R1420" t="str" cm="1">
        <f t="array" ref="R1420">_xlfn.IFS(Q1420=1,"Low",Q1420=2,"Medium",Q1420=3,"High",Q1420=4,"Very High")</f>
        <v>Medium</v>
      </c>
      <c r="S1420">
        <v>2</v>
      </c>
      <c r="T1420" t="str" cm="1">
        <f t="array" ref="T1420">_xlfn.IFS(S1420=1,"Entry Level",S1420=2,"Junior",S1420=3,"Mid-Level",S1420=4,"Senior",S1420=5,"Executive")</f>
        <v>Junior</v>
      </c>
      <c r="U1420" t="s">
        <v>49</v>
      </c>
      <c r="V1420">
        <v>3</v>
      </c>
      <c r="W1420" t="str" cm="1">
        <f t="array" ref="W1420">_xlfn.IFS(V1420=1,"Low",V1420=2,"Medium",V1420=3,"High",V1420=4,"Very High")</f>
        <v>High</v>
      </c>
      <c r="X1420" t="s">
        <v>44</v>
      </c>
      <c r="Y1420" s="2">
        <v>5321</v>
      </c>
      <c r="Z1420" s="2">
        <v>14284</v>
      </c>
      <c r="AA1420">
        <v>2</v>
      </c>
      <c r="AB1420" t="s">
        <v>39</v>
      </c>
      <c r="AC1420">
        <v>11</v>
      </c>
      <c r="AD1420">
        <v>3</v>
      </c>
      <c r="AE1420" t="str" cm="1">
        <f t="array" ref="AE1420">_xlfn.IFS(AD1420=1,"Low",AD1420=2,"Good",AD1420=3,"Excellent",AD1420=4,"Outstanding")</f>
        <v>Excellent</v>
      </c>
      <c r="AF1420">
        <v>4</v>
      </c>
      <c r="AG1420" t="str" cm="1">
        <f t="array" ref="AG1420">_xlfn.IFS(AF1420=1,"Low",AF1420=2,"Medium",AF1420=3,"High",AF1420=4,"Very High")</f>
        <v>Very High</v>
      </c>
      <c r="AH1420">
        <v>1</v>
      </c>
      <c r="AI1420">
        <v>10</v>
      </c>
      <c r="AJ1420">
        <v>1</v>
      </c>
      <c r="AK1420">
        <v>3</v>
      </c>
      <c r="AL1420" t="str" cm="1">
        <f t="array" ref="AL1420">_xlfn.IFS(AK1420=1,"Low",AK1420=2,"Medium",AK1420=3,"High",AK1420=4,"Very High")</f>
        <v>High</v>
      </c>
      <c r="AM1420">
        <v>8</v>
      </c>
      <c r="AN1420">
        <v>3</v>
      </c>
      <c r="AO1420">
        <v>7</v>
      </c>
      <c r="AP1420">
        <v>7</v>
      </c>
    </row>
    <row r="1421" spans="1:42">
      <c r="A1421">
        <v>42</v>
      </c>
      <c r="B1421" t="str" cm="1">
        <f t="array" ref="B1421">_xlfn.IFS(A1421&lt;=25,"18-25",A1421&lt;=35,"26-35",A1421&lt;=45,"36-45",A1421&lt;=55,"46-55",A1421&gt;55,"56+")</f>
        <v>36-45</v>
      </c>
      <c r="C1421" t="s">
        <v>39</v>
      </c>
      <c r="D1421" t="s">
        <v>33</v>
      </c>
      <c r="E1421" s="2">
        <v>557</v>
      </c>
      <c r="F1421" t="s">
        <v>41</v>
      </c>
      <c r="G1421">
        <v>18</v>
      </c>
      <c r="H1421" t="str">
        <f t="shared" si="22"/>
        <v>11-20 km</v>
      </c>
      <c r="I1421">
        <v>4</v>
      </c>
      <c r="J1421" t="str" cm="1">
        <f t="array" ref="J1421">_xlfn.IFS(I1421=1,"Below College",I1421=2,"College",I1421=3,"Bachelor",I1421=4,"Master",I1421=5,"Doctor")</f>
        <v>Master</v>
      </c>
      <c r="K1421" t="s">
        <v>35</v>
      </c>
      <c r="L1421">
        <v>1998</v>
      </c>
      <c r="M1421">
        <v>4</v>
      </c>
      <c r="N1421" t="str" cm="1">
        <f t="array" ref="N1421">_xlfn.IFS(M1421=1,"Low",M1421=2,"Medium",M1421=3,"High",M1421=4,"Very High")</f>
        <v>Very High</v>
      </c>
      <c r="O1421" t="s">
        <v>42</v>
      </c>
      <c r="P1421" s="2">
        <v>35</v>
      </c>
      <c r="Q1421">
        <v>3</v>
      </c>
      <c r="R1421" t="str" cm="1">
        <f t="array" ref="R1421">_xlfn.IFS(Q1421=1,"Low",Q1421=2,"Medium",Q1421=3,"High",Q1421=4,"Very High")</f>
        <v>High</v>
      </c>
      <c r="S1421">
        <v>2</v>
      </c>
      <c r="T1421" t="str" cm="1">
        <f t="array" ref="T1421">_xlfn.IFS(S1421=1,"Entry Level",S1421=2,"Junior",S1421=3,"Mid-Level",S1421=4,"Senior",S1421=5,"Executive")</f>
        <v>Junior</v>
      </c>
      <c r="U1421" t="s">
        <v>43</v>
      </c>
      <c r="V1421">
        <v>1</v>
      </c>
      <c r="W1421" t="str" cm="1">
        <f t="array" ref="W1421">_xlfn.IFS(V1421=1,"Low",V1421=2,"Medium",V1421=3,"High",V1421=4,"Very High")</f>
        <v>Low</v>
      </c>
      <c r="X1421" t="s">
        <v>48</v>
      </c>
      <c r="Y1421" s="2">
        <v>5410</v>
      </c>
      <c r="Z1421" s="2">
        <v>11189</v>
      </c>
      <c r="AA1421">
        <v>6</v>
      </c>
      <c r="AB1421" t="s">
        <v>32</v>
      </c>
      <c r="AC1421">
        <v>17</v>
      </c>
      <c r="AD1421">
        <v>3</v>
      </c>
      <c r="AE1421" t="str" cm="1">
        <f t="array" ref="AE1421">_xlfn.IFS(AD1421=1,"Low",AD1421=2,"Good",AD1421=3,"Excellent",AD1421=4,"Outstanding")</f>
        <v>Excellent</v>
      </c>
      <c r="AF1421">
        <v>3</v>
      </c>
      <c r="AG1421" t="str" cm="1">
        <f t="array" ref="AG1421">_xlfn.IFS(AF1421=1,"Low",AF1421=2,"Medium",AF1421=3,"High",AF1421=4,"Very High")</f>
        <v>High</v>
      </c>
      <c r="AH1421">
        <v>1</v>
      </c>
      <c r="AI1421">
        <v>9</v>
      </c>
      <c r="AJ1421">
        <v>3</v>
      </c>
      <c r="AK1421">
        <v>2</v>
      </c>
      <c r="AL1421" t="str" cm="1">
        <f t="array" ref="AL1421">_xlfn.IFS(AK1421=1,"Low",AK1421=2,"Medium",AK1421=3,"High",AK1421=4,"Very High")</f>
        <v>Medium</v>
      </c>
      <c r="AM1421">
        <v>4</v>
      </c>
      <c r="AN1421">
        <v>3</v>
      </c>
      <c r="AO1421">
        <v>1</v>
      </c>
      <c r="AP1421">
        <v>2</v>
      </c>
    </row>
    <row r="1422" spans="1:42">
      <c r="A1422">
        <v>41</v>
      </c>
      <c r="B1422" t="str" cm="1">
        <f t="array" ref="B1422">_xlfn.IFS(A1422&lt;=25,"18-25",A1422&lt;=35,"26-35",A1422&lt;=45,"36-45",A1422&lt;=55,"46-55",A1422&gt;55,"56+")</f>
        <v>36-45</v>
      </c>
      <c r="C1422" t="s">
        <v>39</v>
      </c>
      <c r="D1422" t="s">
        <v>33</v>
      </c>
      <c r="E1422" s="2">
        <v>642</v>
      </c>
      <c r="F1422" t="s">
        <v>41</v>
      </c>
      <c r="G1422">
        <v>1</v>
      </c>
      <c r="H1422" t="str">
        <f t="shared" si="22"/>
        <v>1-10 km</v>
      </c>
      <c r="I1422">
        <v>3</v>
      </c>
      <c r="J1422" t="str" cm="1">
        <f t="array" ref="J1422">_xlfn.IFS(I1422=1,"Below College",I1422=2,"College",I1422=3,"Bachelor",I1422=4,"Master",I1422=5,"Doctor")</f>
        <v>Bachelor</v>
      </c>
      <c r="K1422" t="s">
        <v>35</v>
      </c>
      <c r="L1422">
        <v>1999</v>
      </c>
      <c r="M1422">
        <v>4</v>
      </c>
      <c r="N1422" t="str" cm="1">
        <f t="array" ref="N1422">_xlfn.IFS(M1422=1,"Low",M1422=2,"Medium",M1422=3,"High",M1422=4,"Very High")</f>
        <v>Very High</v>
      </c>
      <c r="O1422" t="s">
        <v>42</v>
      </c>
      <c r="P1422" s="2">
        <v>76</v>
      </c>
      <c r="Q1422">
        <v>3</v>
      </c>
      <c r="R1422" t="str" cm="1">
        <f t="array" ref="R1422">_xlfn.IFS(Q1422=1,"Low",Q1422=2,"Medium",Q1422=3,"High",Q1422=4,"Very High")</f>
        <v>High</v>
      </c>
      <c r="S1422">
        <v>1</v>
      </c>
      <c r="T1422" t="str" cm="1">
        <f t="array" ref="T1422">_xlfn.IFS(S1422=1,"Entry Level",S1422=2,"Junior",S1422=3,"Mid-Level",S1422=4,"Senior",S1422=5,"Executive")</f>
        <v>Entry Level</v>
      </c>
      <c r="U1422" t="s">
        <v>43</v>
      </c>
      <c r="V1422">
        <v>4</v>
      </c>
      <c r="W1422" t="str" cm="1">
        <f t="array" ref="W1422">_xlfn.IFS(V1422=1,"Low",V1422=2,"Medium",V1422=3,"High",V1422=4,"Very High")</f>
        <v>Very High</v>
      </c>
      <c r="X1422" t="s">
        <v>44</v>
      </c>
      <c r="Y1422" s="2">
        <v>2782</v>
      </c>
      <c r="Z1422" s="2">
        <v>21412</v>
      </c>
      <c r="AA1422">
        <v>3</v>
      </c>
      <c r="AB1422" t="s">
        <v>39</v>
      </c>
      <c r="AC1422">
        <v>22</v>
      </c>
      <c r="AD1422">
        <v>4</v>
      </c>
      <c r="AE1422" t="str" cm="1">
        <f t="array" ref="AE1422">_xlfn.IFS(AD1422=1,"Low",AD1422=2,"Good",AD1422=3,"Excellent",AD1422=4,"Outstanding")</f>
        <v>Outstanding</v>
      </c>
      <c r="AF1422">
        <v>1</v>
      </c>
      <c r="AG1422" t="str" cm="1">
        <f t="array" ref="AG1422">_xlfn.IFS(AF1422=1,"Low",AF1422=2,"Medium",AF1422=3,"High",AF1422=4,"Very High")</f>
        <v>Low</v>
      </c>
      <c r="AH1422">
        <v>1</v>
      </c>
      <c r="AI1422">
        <v>12</v>
      </c>
      <c r="AJ1422">
        <v>3</v>
      </c>
      <c r="AK1422">
        <v>3</v>
      </c>
      <c r="AL1422" t="str" cm="1">
        <f t="array" ref="AL1422">_xlfn.IFS(AK1422=1,"Low",AK1422=2,"Medium",AK1422=3,"High",AK1422=4,"Very High")</f>
        <v>High</v>
      </c>
      <c r="AM1422">
        <v>5</v>
      </c>
      <c r="AN1422">
        <v>3</v>
      </c>
      <c r="AO1422">
        <v>1</v>
      </c>
      <c r="AP1422">
        <v>0</v>
      </c>
    </row>
    <row r="1423" spans="1:42">
      <c r="A1423">
        <v>47</v>
      </c>
      <c r="B1423" t="str" cm="1">
        <f t="array" ref="B1423">_xlfn.IFS(A1423&lt;=25,"18-25",A1423&lt;=35,"26-35",A1423&lt;=45,"36-45",A1423&lt;=55,"46-55",A1423&gt;55,"56+")</f>
        <v>46-55</v>
      </c>
      <c r="C1423" t="s">
        <v>39</v>
      </c>
      <c r="D1423" t="s">
        <v>51</v>
      </c>
      <c r="E1423" s="2">
        <v>1162</v>
      </c>
      <c r="F1423" t="s">
        <v>41</v>
      </c>
      <c r="G1423">
        <v>1</v>
      </c>
      <c r="H1423" t="str">
        <f t="shared" si="22"/>
        <v>1-10 km</v>
      </c>
      <c r="I1423">
        <v>1</v>
      </c>
      <c r="J1423" t="str" cm="1">
        <f t="array" ref="J1423">_xlfn.IFS(I1423=1,"Below College",I1423=2,"College",I1423=3,"Bachelor",I1423=4,"Master",I1423=5,"Doctor")</f>
        <v>Below College</v>
      </c>
      <c r="K1423" t="s">
        <v>47</v>
      </c>
      <c r="L1423">
        <v>2000</v>
      </c>
      <c r="M1423">
        <v>3</v>
      </c>
      <c r="N1423" t="str" cm="1">
        <f t="array" ref="N1423">_xlfn.IFS(M1423=1,"Low",M1423=2,"Medium",M1423=3,"High",M1423=4,"Very High")</f>
        <v>High</v>
      </c>
      <c r="O1423" t="s">
        <v>36</v>
      </c>
      <c r="P1423" s="2">
        <v>98</v>
      </c>
      <c r="Q1423">
        <v>3</v>
      </c>
      <c r="R1423" t="str" cm="1">
        <f t="array" ref="R1423">_xlfn.IFS(Q1423=1,"Low",Q1423=2,"Medium",Q1423=3,"High",Q1423=4,"Very High")</f>
        <v>High</v>
      </c>
      <c r="S1423">
        <v>3</v>
      </c>
      <c r="T1423" t="str" cm="1">
        <f t="array" ref="T1423">_xlfn.IFS(S1423=1,"Entry Level",S1423=2,"Junior",S1423=3,"Mid-Level",S1423=4,"Senior",S1423=5,"Executive")</f>
        <v>Mid-Level</v>
      </c>
      <c r="U1423" t="s">
        <v>54</v>
      </c>
      <c r="V1423">
        <v>2</v>
      </c>
      <c r="W1423" t="str" cm="1">
        <f t="array" ref="W1423">_xlfn.IFS(V1423=1,"Low",V1423=2,"Medium",V1423=3,"High",V1423=4,"Very High")</f>
        <v>Medium</v>
      </c>
      <c r="X1423" t="s">
        <v>44</v>
      </c>
      <c r="Y1423" s="2">
        <v>11957</v>
      </c>
      <c r="Z1423" s="2">
        <v>17231</v>
      </c>
      <c r="AA1423">
        <v>0</v>
      </c>
      <c r="AB1423" t="s">
        <v>39</v>
      </c>
      <c r="AC1423">
        <v>18</v>
      </c>
      <c r="AD1423">
        <v>3</v>
      </c>
      <c r="AE1423" t="str" cm="1">
        <f t="array" ref="AE1423">_xlfn.IFS(AD1423=1,"Low",AD1423=2,"Good",AD1423=3,"Excellent",AD1423=4,"Outstanding")</f>
        <v>Excellent</v>
      </c>
      <c r="AF1423">
        <v>1</v>
      </c>
      <c r="AG1423" t="str" cm="1">
        <f t="array" ref="AG1423">_xlfn.IFS(AF1423=1,"Low",AF1423=2,"Medium",AF1423=3,"High",AF1423=4,"Very High")</f>
        <v>Low</v>
      </c>
      <c r="AH1423">
        <v>2</v>
      </c>
      <c r="AI1423">
        <v>14</v>
      </c>
      <c r="AJ1423">
        <v>3</v>
      </c>
      <c r="AK1423">
        <v>1</v>
      </c>
      <c r="AL1423" t="str" cm="1">
        <f t="array" ref="AL1423">_xlfn.IFS(AK1423=1,"Low",AK1423=2,"Medium",AK1423=3,"High",AK1423=4,"Very High")</f>
        <v>Low</v>
      </c>
      <c r="AM1423">
        <v>13</v>
      </c>
      <c r="AN1423">
        <v>8</v>
      </c>
      <c r="AO1423">
        <v>5</v>
      </c>
      <c r="AP1423">
        <v>12</v>
      </c>
    </row>
    <row r="1424" spans="1:42">
      <c r="A1424">
        <v>35</v>
      </c>
      <c r="B1424" t="str" cm="1">
        <f t="array" ref="B1424">_xlfn.IFS(A1424&lt;=25,"18-25",A1424&lt;=35,"26-35",A1424&lt;=45,"36-45",A1424&lt;=55,"46-55",A1424&gt;55,"56+")</f>
        <v>26-35</v>
      </c>
      <c r="C1424" t="s">
        <v>39</v>
      </c>
      <c r="D1424" t="s">
        <v>33</v>
      </c>
      <c r="E1424" s="2">
        <v>1490</v>
      </c>
      <c r="F1424" t="s">
        <v>41</v>
      </c>
      <c r="G1424">
        <v>11</v>
      </c>
      <c r="H1424" t="str">
        <f t="shared" si="22"/>
        <v>11-20 km</v>
      </c>
      <c r="I1424">
        <v>4</v>
      </c>
      <c r="J1424" t="str" cm="1">
        <f t="array" ref="J1424">_xlfn.IFS(I1424=1,"Below College",I1424=2,"College",I1424=3,"Bachelor",I1424=4,"Master",I1424=5,"Doctor")</f>
        <v>Master</v>
      </c>
      <c r="K1424" t="s">
        <v>47</v>
      </c>
      <c r="L1424">
        <v>2003</v>
      </c>
      <c r="M1424">
        <v>4</v>
      </c>
      <c r="N1424" t="str" cm="1">
        <f t="array" ref="N1424">_xlfn.IFS(M1424=1,"Low",M1424=2,"Medium",M1424=3,"High",M1424=4,"Very High")</f>
        <v>Very High</v>
      </c>
      <c r="O1424" t="s">
        <v>42</v>
      </c>
      <c r="P1424" s="2">
        <v>43</v>
      </c>
      <c r="Q1424">
        <v>3</v>
      </c>
      <c r="R1424" t="str" cm="1">
        <f t="array" ref="R1424">_xlfn.IFS(Q1424=1,"Low",Q1424=2,"Medium",Q1424=3,"High",Q1424=4,"Very High")</f>
        <v>High</v>
      </c>
      <c r="S1424">
        <v>1</v>
      </c>
      <c r="T1424" t="str" cm="1">
        <f t="array" ref="T1424">_xlfn.IFS(S1424=1,"Entry Level",S1424=2,"Junior",S1424=3,"Mid-Level",S1424=4,"Senior",S1424=5,"Executive")</f>
        <v>Entry Level</v>
      </c>
      <c r="U1424" t="s">
        <v>46</v>
      </c>
      <c r="V1424">
        <v>3</v>
      </c>
      <c r="W1424" t="str" cm="1">
        <f t="array" ref="W1424">_xlfn.IFS(V1424=1,"Low",V1424=2,"Medium",V1424=3,"High",V1424=4,"Very High")</f>
        <v>High</v>
      </c>
      <c r="X1424" t="s">
        <v>44</v>
      </c>
      <c r="Y1424" s="2">
        <v>2660</v>
      </c>
      <c r="Z1424" s="2">
        <v>20232</v>
      </c>
      <c r="AA1424">
        <v>7</v>
      </c>
      <c r="AB1424" t="s">
        <v>32</v>
      </c>
      <c r="AC1424">
        <v>11</v>
      </c>
      <c r="AD1424">
        <v>3</v>
      </c>
      <c r="AE1424" t="str" cm="1">
        <f t="array" ref="AE1424">_xlfn.IFS(AD1424=1,"Low",AD1424=2,"Good",AD1424=3,"Excellent",AD1424=4,"Outstanding")</f>
        <v>Excellent</v>
      </c>
      <c r="AF1424">
        <v>3</v>
      </c>
      <c r="AG1424" t="str" cm="1">
        <f t="array" ref="AG1424">_xlfn.IFS(AF1424=1,"Low",AF1424=2,"Medium",AF1424=3,"High",AF1424=4,"Very High")</f>
        <v>High</v>
      </c>
      <c r="AH1424">
        <v>1</v>
      </c>
      <c r="AI1424">
        <v>5</v>
      </c>
      <c r="AJ1424">
        <v>3</v>
      </c>
      <c r="AK1424">
        <v>3</v>
      </c>
      <c r="AL1424" t="str" cm="1">
        <f t="array" ref="AL1424">_xlfn.IFS(AK1424=1,"Low",AK1424=2,"Medium",AK1424=3,"High",AK1424=4,"Very High")</f>
        <v>High</v>
      </c>
      <c r="AM1424">
        <v>2</v>
      </c>
      <c r="AN1424">
        <v>2</v>
      </c>
      <c r="AO1424">
        <v>2</v>
      </c>
      <c r="AP1424">
        <v>2</v>
      </c>
    </row>
    <row r="1425" spans="1:42">
      <c r="A1425">
        <v>22</v>
      </c>
      <c r="B1425" t="str" cm="1">
        <f t="array" ref="B1425">_xlfn.IFS(A1425&lt;=25,"18-25",A1425&lt;=35,"26-35",A1425&lt;=45,"36-45",A1425&lt;=55,"46-55",A1425&gt;55,"56+")</f>
        <v>18-25</v>
      </c>
      <c r="C1425" t="s">
        <v>39</v>
      </c>
      <c r="D1425" t="s">
        <v>33</v>
      </c>
      <c r="E1425" s="2">
        <v>581</v>
      </c>
      <c r="F1425" t="s">
        <v>41</v>
      </c>
      <c r="G1425">
        <v>1</v>
      </c>
      <c r="H1425" t="str">
        <f t="shared" si="22"/>
        <v>1-10 km</v>
      </c>
      <c r="I1425">
        <v>2</v>
      </c>
      <c r="J1425" t="str" cm="1">
        <f t="array" ref="J1425">_xlfn.IFS(I1425=1,"Below College",I1425=2,"College",I1425=3,"Bachelor",I1425=4,"Master",I1425=5,"Doctor")</f>
        <v>College</v>
      </c>
      <c r="K1425" t="s">
        <v>35</v>
      </c>
      <c r="L1425">
        <v>2007</v>
      </c>
      <c r="M1425">
        <v>4</v>
      </c>
      <c r="N1425" t="str" cm="1">
        <f t="array" ref="N1425">_xlfn.IFS(M1425=1,"Low",M1425=2,"Medium",M1425=3,"High",M1425=4,"Very High")</f>
        <v>Very High</v>
      </c>
      <c r="O1425" t="s">
        <v>42</v>
      </c>
      <c r="P1425" s="2">
        <v>63</v>
      </c>
      <c r="Q1425">
        <v>3</v>
      </c>
      <c r="R1425" t="str" cm="1">
        <f t="array" ref="R1425">_xlfn.IFS(Q1425=1,"Low",Q1425=2,"Medium",Q1425=3,"High",Q1425=4,"Very High")</f>
        <v>High</v>
      </c>
      <c r="S1425">
        <v>1</v>
      </c>
      <c r="T1425" t="str" cm="1">
        <f t="array" ref="T1425">_xlfn.IFS(S1425=1,"Entry Level",S1425=2,"Junior",S1425=3,"Mid-Level",S1425=4,"Senior",S1425=5,"Executive")</f>
        <v>Entry Level</v>
      </c>
      <c r="U1425" t="s">
        <v>43</v>
      </c>
      <c r="V1425">
        <v>3</v>
      </c>
      <c r="W1425" t="str" cm="1">
        <f t="array" ref="W1425">_xlfn.IFS(V1425=1,"Low",V1425=2,"Medium",V1425=3,"High",V1425=4,"Very High")</f>
        <v>High</v>
      </c>
      <c r="X1425" t="s">
        <v>38</v>
      </c>
      <c r="Y1425" s="2">
        <v>3375</v>
      </c>
      <c r="Z1425" s="2">
        <v>17624</v>
      </c>
      <c r="AA1425">
        <v>0</v>
      </c>
      <c r="AB1425" t="s">
        <v>39</v>
      </c>
      <c r="AC1425">
        <v>12</v>
      </c>
      <c r="AD1425">
        <v>3</v>
      </c>
      <c r="AE1425" t="str" cm="1">
        <f t="array" ref="AE1425">_xlfn.IFS(AD1425=1,"Low",AD1425=2,"Good",AD1425=3,"Excellent",AD1425=4,"Outstanding")</f>
        <v>Excellent</v>
      </c>
      <c r="AF1425">
        <v>4</v>
      </c>
      <c r="AG1425" t="str" cm="1">
        <f t="array" ref="AG1425">_xlfn.IFS(AF1425=1,"Low",AF1425=2,"Medium",AF1425=3,"High",AF1425=4,"Very High")</f>
        <v>Very High</v>
      </c>
      <c r="AH1425">
        <v>0</v>
      </c>
      <c r="AI1425">
        <v>4</v>
      </c>
      <c r="AJ1425">
        <v>2</v>
      </c>
      <c r="AK1425">
        <v>4</v>
      </c>
      <c r="AL1425" t="str" cm="1">
        <f t="array" ref="AL1425">_xlfn.IFS(AK1425=1,"Low",AK1425=2,"Medium",AK1425=3,"High",AK1425=4,"Very High")</f>
        <v>Very High</v>
      </c>
      <c r="AM1425">
        <v>3</v>
      </c>
      <c r="AN1425">
        <v>2</v>
      </c>
      <c r="AO1425">
        <v>1</v>
      </c>
      <c r="AP1425">
        <v>2</v>
      </c>
    </row>
    <row r="1426" spans="1:42">
      <c r="A1426">
        <v>35</v>
      </c>
      <c r="B1426" t="str" cm="1">
        <f t="array" ref="B1426">_xlfn.IFS(A1426&lt;=25,"18-25",A1426&lt;=35,"26-35",A1426&lt;=45,"36-45",A1426&lt;=55,"46-55",A1426&gt;55,"56+")</f>
        <v>26-35</v>
      </c>
      <c r="C1426" t="s">
        <v>39</v>
      </c>
      <c r="D1426" t="s">
        <v>33</v>
      </c>
      <c r="E1426" s="2">
        <v>1395</v>
      </c>
      <c r="F1426" t="s">
        <v>41</v>
      </c>
      <c r="G1426">
        <v>9</v>
      </c>
      <c r="H1426" t="str">
        <f t="shared" si="22"/>
        <v>1-10 km</v>
      </c>
      <c r="I1426">
        <v>4</v>
      </c>
      <c r="J1426" t="str" cm="1">
        <f t="array" ref="J1426">_xlfn.IFS(I1426=1,"Below College",I1426=2,"College",I1426=3,"Bachelor",I1426=4,"Master",I1426=5,"Doctor")</f>
        <v>Master</v>
      </c>
      <c r="K1426" t="s">
        <v>47</v>
      </c>
      <c r="L1426">
        <v>2008</v>
      </c>
      <c r="M1426">
        <v>2</v>
      </c>
      <c r="N1426" t="str" cm="1">
        <f t="array" ref="N1426">_xlfn.IFS(M1426=1,"Low",M1426=2,"Medium",M1426=3,"High",M1426=4,"Very High")</f>
        <v>Medium</v>
      </c>
      <c r="O1426" t="s">
        <v>42</v>
      </c>
      <c r="P1426" s="2">
        <v>48</v>
      </c>
      <c r="Q1426">
        <v>3</v>
      </c>
      <c r="R1426" t="str" cm="1">
        <f t="array" ref="R1426">_xlfn.IFS(Q1426=1,"Low",Q1426=2,"Medium",Q1426=3,"High",Q1426=4,"Very High")</f>
        <v>High</v>
      </c>
      <c r="S1426">
        <v>2</v>
      </c>
      <c r="T1426" t="str" cm="1">
        <f t="array" ref="T1426">_xlfn.IFS(S1426=1,"Entry Level",S1426=2,"Junior",S1426=3,"Mid-Level",S1426=4,"Senior",S1426=5,"Executive")</f>
        <v>Junior</v>
      </c>
      <c r="U1426" t="s">
        <v>43</v>
      </c>
      <c r="V1426">
        <v>3</v>
      </c>
      <c r="W1426" t="str" cm="1">
        <f t="array" ref="W1426">_xlfn.IFS(V1426=1,"Low",V1426=2,"Medium",V1426=3,"High",V1426=4,"Very High")</f>
        <v>High</v>
      </c>
      <c r="X1426" t="s">
        <v>38</v>
      </c>
      <c r="Y1426" s="2">
        <v>5098</v>
      </c>
      <c r="Z1426" s="2">
        <v>18698</v>
      </c>
      <c r="AA1426">
        <v>1</v>
      </c>
      <c r="AB1426" t="s">
        <v>39</v>
      </c>
      <c r="AC1426">
        <v>19</v>
      </c>
      <c r="AD1426">
        <v>3</v>
      </c>
      <c r="AE1426" t="str" cm="1">
        <f t="array" ref="AE1426">_xlfn.IFS(AD1426=1,"Low",AD1426=2,"Good",AD1426=3,"Excellent",AD1426=4,"Outstanding")</f>
        <v>Excellent</v>
      </c>
      <c r="AF1426">
        <v>2</v>
      </c>
      <c r="AG1426" t="str" cm="1">
        <f t="array" ref="AG1426">_xlfn.IFS(AF1426=1,"Low",AF1426=2,"Medium",AF1426=3,"High",AF1426=4,"Very High")</f>
        <v>Medium</v>
      </c>
      <c r="AH1426">
        <v>0</v>
      </c>
      <c r="AI1426">
        <v>10</v>
      </c>
      <c r="AJ1426">
        <v>5</v>
      </c>
      <c r="AK1426">
        <v>3</v>
      </c>
      <c r="AL1426" t="str" cm="1">
        <f t="array" ref="AL1426">_xlfn.IFS(AK1426=1,"Low",AK1426=2,"Medium",AK1426=3,"High",AK1426=4,"Very High")</f>
        <v>High</v>
      </c>
      <c r="AM1426">
        <v>10</v>
      </c>
      <c r="AN1426">
        <v>7</v>
      </c>
      <c r="AO1426">
        <v>0</v>
      </c>
      <c r="AP1426">
        <v>8</v>
      </c>
    </row>
    <row r="1427" spans="1:42">
      <c r="A1427">
        <v>33</v>
      </c>
      <c r="B1427" t="str" cm="1">
        <f t="array" ref="B1427">_xlfn.IFS(A1427&lt;=25,"18-25",A1427&lt;=35,"26-35",A1427&lt;=45,"36-45",A1427&lt;=55,"46-55",A1427&gt;55,"56+")</f>
        <v>26-35</v>
      </c>
      <c r="C1427" t="s">
        <v>39</v>
      </c>
      <c r="D1427" t="s">
        <v>33</v>
      </c>
      <c r="E1427" s="2">
        <v>501</v>
      </c>
      <c r="F1427" t="s">
        <v>41</v>
      </c>
      <c r="G1427">
        <v>15</v>
      </c>
      <c r="H1427" t="str">
        <f t="shared" si="22"/>
        <v>11-20 km</v>
      </c>
      <c r="I1427">
        <v>2</v>
      </c>
      <c r="J1427" t="str" cm="1">
        <f t="array" ref="J1427">_xlfn.IFS(I1427=1,"Below College",I1427=2,"College",I1427=3,"Bachelor",I1427=4,"Master",I1427=5,"Doctor")</f>
        <v>College</v>
      </c>
      <c r="K1427" t="s">
        <v>47</v>
      </c>
      <c r="L1427">
        <v>2009</v>
      </c>
      <c r="M1427">
        <v>2</v>
      </c>
      <c r="N1427" t="str" cm="1">
        <f t="array" ref="N1427">_xlfn.IFS(M1427=1,"Low",M1427=2,"Medium",M1427=3,"High",M1427=4,"Very High")</f>
        <v>Medium</v>
      </c>
      <c r="O1427" t="s">
        <v>36</v>
      </c>
      <c r="P1427" s="2">
        <v>95</v>
      </c>
      <c r="Q1427">
        <v>3</v>
      </c>
      <c r="R1427" t="str" cm="1">
        <f t="array" ref="R1427">_xlfn.IFS(Q1427=1,"Low",Q1427=2,"Medium",Q1427=3,"High",Q1427=4,"Very High")</f>
        <v>High</v>
      </c>
      <c r="S1427">
        <v>2</v>
      </c>
      <c r="T1427" t="str" cm="1">
        <f t="array" ref="T1427">_xlfn.IFS(S1427=1,"Entry Level",S1427=2,"Junior",S1427=3,"Mid-Level",S1427=4,"Senior",S1427=5,"Executive")</f>
        <v>Junior</v>
      </c>
      <c r="U1427" t="s">
        <v>50</v>
      </c>
      <c r="V1427">
        <v>4</v>
      </c>
      <c r="W1427" t="str" cm="1">
        <f t="array" ref="W1427">_xlfn.IFS(V1427=1,"Low",V1427=2,"Medium",V1427=3,"High",V1427=4,"Very High")</f>
        <v>Very High</v>
      </c>
      <c r="X1427" t="s">
        <v>44</v>
      </c>
      <c r="Y1427" s="2">
        <v>4878</v>
      </c>
      <c r="Z1427" s="2">
        <v>21653</v>
      </c>
      <c r="AA1427">
        <v>0</v>
      </c>
      <c r="AB1427" t="s">
        <v>32</v>
      </c>
      <c r="AC1427">
        <v>13</v>
      </c>
      <c r="AD1427">
        <v>3</v>
      </c>
      <c r="AE1427" t="str" cm="1">
        <f t="array" ref="AE1427">_xlfn.IFS(AD1427=1,"Low",AD1427=2,"Good",AD1427=3,"Excellent",AD1427=4,"Outstanding")</f>
        <v>Excellent</v>
      </c>
      <c r="AF1427">
        <v>1</v>
      </c>
      <c r="AG1427" t="str" cm="1">
        <f t="array" ref="AG1427">_xlfn.IFS(AF1427=1,"Low",AF1427=2,"Medium",AF1427=3,"High",AF1427=4,"Very High")</f>
        <v>Low</v>
      </c>
      <c r="AH1427">
        <v>1</v>
      </c>
      <c r="AI1427">
        <v>10</v>
      </c>
      <c r="AJ1427">
        <v>6</v>
      </c>
      <c r="AK1427">
        <v>3</v>
      </c>
      <c r="AL1427" t="str" cm="1">
        <f t="array" ref="AL1427">_xlfn.IFS(AK1427=1,"Low",AK1427=2,"Medium",AK1427=3,"High",AK1427=4,"Very High")</f>
        <v>High</v>
      </c>
      <c r="AM1427">
        <v>9</v>
      </c>
      <c r="AN1427">
        <v>7</v>
      </c>
      <c r="AO1427">
        <v>8</v>
      </c>
      <c r="AP1427">
        <v>1</v>
      </c>
    </row>
    <row r="1428" spans="1:42">
      <c r="A1428">
        <v>32</v>
      </c>
      <c r="B1428" t="str" cm="1">
        <f t="array" ref="B1428">_xlfn.IFS(A1428&lt;=25,"18-25",A1428&lt;=35,"26-35",A1428&lt;=45,"36-45",A1428&lt;=55,"46-55",A1428&gt;55,"56+")</f>
        <v>26-35</v>
      </c>
      <c r="C1428" t="s">
        <v>39</v>
      </c>
      <c r="D1428" t="s">
        <v>33</v>
      </c>
      <c r="E1428" s="2">
        <v>267</v>
      </c>
      <c r="F1428" t="s">
        <v>41</v>
      </c>
      <c r="G1428">
        <v>29</v>
      </c>
      <c r="H1428" t="str">
        <f t="shared" si="22"/>
        <v>21-30 km</v>
      </c>
      <c r="I1428">
        <v>4</v>
      </c>
      <c r="J1428" t="str" cm="1">
        <f t="array" ref="J1428">_xlfn.IFS(I1428=1,"Below College",I1428=2,"College",I1428=3,"Bachelor",I1428=4,"Master",I1428=5,"Doctor")</f>
        <v>Master</v>
      </c>
      <c r="K1428" t="s">
        <v>35</v>
      </c>
      <c r="L1428">
        <v>2010</v>
      </c>
      <c r="M1428">
        <v>3</v>
      </c>
      <c r="N1428" t="str" cm="1">
        <f t="array" ref="N1428">_xlfn.IFS(M1428=1,"Low",M1428=2,"Medium",M1428=3,"High",M1428=4,"Very High")</f>
        <v>High</v>
      </c>
      <c r="O1428" t="s">
        <v>36</v>
      </c>
      <c r="P1428" s="2">
        <v>49</v>
      </c>
      <c r="Q1428">
        <v>2</v>
      </c>
      <c r="R1428" t="str" cm="1">
        <f t="array" ref="R1428">_xlfn.IFS(Q1428=1,"Low",Q1428=2,"Medium",Q1428=3,"High",Q1428=4,"Very High")</f>
        <v>Medium</v>
      </c>
      <c r="S1428">
        <v>1</v>
      </c>
      <c r="T1428" t="str" cm="1">
        <f t="array" ref="T1428">_xlfn.IFS(S1428=1,"Entry Level",S1428=2,"Junior",S1428=3,"Mid-Level",S1428=4,"Senior",S1428=5,"Executive")</f>
        <v>Entry Level</v>
      </c>
      <c r="U1428" t="s">
        <v>46</v>
      </c>
      <c r="V1428">
        <v>2</v>
      </c>
      <c r="W1428" t="str" cm="1">
        <f t="array" ref="W1428">_xlfn.IFS(V1428=1,"Low",V1428=2,"Medium",V1428=3,"High",V1428=4,"Very High")</f>
        <v>Medium</v>
      </c>
      <c r="X1428" t="s">
        <v>38</v>
      </c>
      <c r="Y1428" s="2">
        <v>2837</v>
      </c>
      <c r="Z1428" s="2">
        <v>15919</v>
      </c>
      <c r="AA1428">
        <v>1</v>
      </c>
      <c r="AB1428" t="s">
        <v>39</v>
      </c>
      <c r="AC1428">
        <v>13</v>
      </c>
      <c r="AD1428">
        <v>3</v>
      </c>
      <c r="AE1428" t="str" cm="1">
        <f t="array" ref="AE1428">_xlfn.IFS(AD1428=1,"Low",AD1428=2,"Good",AD1428=3,"Excellent",AD1428=4,"Outstanding")</f>
        <v>Excellent</v>
      </c>
      <c r="AF1428">
        <v>3</v>
      </c>
      <c r="AG1428" t="str" cm="1">
        <f t="array" ref="AG1428">_xlfn.IFS(AF1428=1,"Low",AF1428=2,"Medium",AF1428=3,"High",AF1428=4,"Very High")</f>
        <v>High</v>
      </c>
      <c r="AH1428">
        <v>0</v>
      </c>
      <c r="AI1428">
        <v>6</v>
      </c>
      <c r="AJ1428">
        <v>3</v>
      </c>
      <c r="AK1428">
        <v>3</v>
      </c>
      <c r="AL1428" t="str" cm="1">
        <f t="array" ref="AL1428">_xlfn.IFS(AK1428=1,"Low",AK1428=2,"Medium",AK1428=3,"High",AK1428=4,"Very High")</f>
        <v>High</v>
      </c>
      <c r="AM1428">
        <v>6</v>
      </c>
      <c r="AN1428">
        <v>2</v>
      </c>
      <c r="AO1428">
        <v>4</v>
      </c>
      <c r="AP1428">
        <v>1</v>
      </c>
    </row>
    <row r="1429" spans="1:42">
      <c r="A1429">
        <v>40</v>
      </c>
      <c r="B1429" t="str" cm="1">
        <f t="array" ref="B1429">_xlfn.IFS(A1429&lt;=25,"18-25",A1429&lt;=35,"26-35",A1429&lt;=45,"36-45",A1429&lt;=55,"46-55",A1429&gt;55,"56+")</f>
        <v>36-45</v>
      </c>
      <c r="C1429" t="s">
        <v>39</v>
      </c>
      <c r="D1429" t="s">
        <v>33</v>
      </c>
      <c r="E1429" s="2">
        <v>543</v>
      </c>
      <c r="F1429" t="s">
        <v>41</v>
      </c>
      <c r="G1429">
        <v>1</v>
      </c>
      <c r="H1429" t="str">
        <f t="shared" si="22"/>
        <v>1-10 km</v>
      </c>
      <c r="I1429">
        <v>4</v>
      </c>
      <c r="J1429" t="str" cm="1">
        <f t="array" ref="J1429">_xlfn.IFS(I1429=1,"Below College",I1429=2,"College",I1429=3,"Bachelor",I1429=4,"Master",I1429=5,"Doctor")</f>
        <v>Master</v>
      </c>
      <c r="K1429" t="s">
        <v>35</v>
      </c>
      <c r="L1429">
        <v>2012</v>
      </c>
      <c r="M1429">
        <v>1</v>
      </c>
      <c r="N1429" t="str" cm="1">
        <f t="array" ref="N1429">_xlfn.IFS(M1429=1,"Low",M1429=2,"Medium",M1429=3,"High",M1429=4,"Very High")</f>
        <v>Low</v>
      </c>
      <c r="O1429" t="s">
        <v>42</v>
      </c>
      <c r="P1429" s="2">
        <v>83</v>
      </c>
      <c r="Q1429">
        <v>3</v>
      </c>
      <c r="R1429" t="str" cm="1">
        <f t="array" ref="R1429">_xlfn.IFS(Q1429=1,"Low",Q1429=2,"Medium",Q1429=3,"High",Q1429=4,"Very High")</f>
        <v>High</v>
      </c>
      <c r="S1429">
        <v>1</v>
      </c>
      <c r="T1429" t="str" cm="1">
        <f t="array" ref="T1429">_xlfn.IFS(S1429=1,"Entry Level",S1429=2,"Junior",S1429=3,"Mid-Level",S1429=4,"Senior",S1429=5,"Executive")</f>
        <v>Entry Level</v>
      </c>
      <c r="U1429" t="s">
        <v>46</v>
      </c>
      <c r="V1429">
        <v>4</v>
      </c>
      <c r="W1429" t="str" cm="1">
        <f t="array" ref="W1429">_xlfn.IFS(V1429=1,"Low",V1429=2,"Medium",V1429=3,"High",V1429=4,"Very High")</f>
        <v>Very High</v>
      </c>
      <c r="X1429" t="s">
        <v>44</v>
      </c>
      <c r="Y1429" s="2">
        <v>2406</v>
      </c>
      <c r="Z1429" s="2">
        <v>4060</v>
      </c>
      <c r="AA1429">
        <v>8</v>
      </c>
      <c r="AB1429" t="s">
        <v>39</v>
      </c>
      <c r="AC1429">
        <v>19</v>
      </c>
      <c r="AD1429">
        <v>3</v>
      </c>
      <c r="AE1429" t="str" cm="1">
        <f t="array" ref="AE1429">_xlfn.IFS(AD1429=1,"Low",AD1429=2,"Good",AD1429=3,"Excellent",AD1429=4,"Outstanding")</f>
        <v>Excellent</v>
      </c>
      <c r="AF1429">
        <v>3</v>
      </c>
      <c r="AG1429" t="str" cm="1">
        <f t="array" ref="AG1429">_xlfn.IFS(AF1429=1,"Low",AF1429=2,"Medium",AF1429=3,"High",AF1429=4,"Very High")</f>
        <v>High</v>
      </c>
      <c r="AH1429">
        <v>2</v>
      </c>
      <c r="AI1429">
        <v>8</v>
      </c>
      <c r="AJ1429">
        <v>3</v>
      </c>
      <c r="AK1429">
        <v>2</v>
      </c>
      <c r="AL1429" t="str" cm="1">
        <f t="array" ref="AL1429">_xlfn.IFS(AK1429=1,"Low",AK1429=2,"Medium",AK1429=3,"High",AK1429=4,"Very High")</f>
        <v>Medium</v>
      </c>
      <c r="AM1429">
        <v>1</v>
      </c>
      <c r="AN1429">
        <v>0</v>
      </c>
      <c r="AO1429">
        <v>0</v>
      </c>
      <c r="AP1429">
        <v>0</v>
      </c>
    </row>
    <row r="1430" spans="1:42">
      <c r="A1430">
        <v>32</v>
      </c>
      <c r="B1430" t="str" cm="1">
        <f t="array" ref="B1430">_xlfn.IFS(A1430&lt;=25,"18-25",A1430&lt;=35,"26-35",A1430&lt;=45,"36-45",A1430&lt;=55,"46-55",A1430&gt;55,"56+")</f>
        <v>26-35</v>
      </c>
      <c r="C1430" t="s">
        <v>39</v>
      </c>
      <c r="D1430" t="s">
        <v>33</v>
      </c>
      <c r="E1430" s="2">
        <v>234</v>
      </c>
      <c r="F1430" t="s">
        <v>34</v>
      </c>
      <c r="G1430">
        <v>1</v>
      </c>
      <c r="H1430" t="str">
        <f t="shared" si="22"/>
        <v>1-10 km</v>
      </c>
      <c r="I1430">
        <v>4</v>
      </c>
      <c r="J1430" t="str" cm="1">
        <f t="array" ref="J1430">_xlfn.IFS(I1430=1,"Below College",I1430=2,"College",I1430=3,"Bachelor",I1430=4,"Master",I1430=5,"Doctor")</f>
        <v>Master</v>
      </c>
      <c r="K1430" t="s">
        <v>47</v>
      </c>
      <c r="L1430">
        <v>2013</v>
      </c>
      <c r="M1430">
        <v>2</v>
      </c>
      <c r="N1430" t="str" cm="1">
        <f t="array" ref="N1430">_xlfn.IFS(M1430=1,"Low",M1430=2,"Medium",M1430=3,"High",M1430=4,"Very High")</f>
        <v>Medium</v>
      </c>
      <c r="O1430" t="s">
        <v>42</v>
      </c>
      <c r="P1430" s="2">
        <v>68</v>
      </c>
      <c r="Q1430">
        <v>2</v>
      </c>
      <c r="R1430" t="str" cm="1">
        <f t="array" ref="R1430">_xlfn.IFS(Q1430=1,"Low",Q1430=2,"Medium",Q1430=3,"High",Q1430=4,"Very High")</f>
        <v>Medium</v>
      </c>
      <c r="S1430">
        <v>1</v>
      </c>
      <c r="T1430" t="str" cm="1">
        <f t="array" ref="T1430">_xlfn.IFS(S1430=1,"Entry Level",S1430=2,"Junior",S1430=3,"Mid-Level",S1430=4,"Senior",S1430=5,"Executive")</f>
        <v>Entry Level</v>
      </c>
      <c r="U1430" t="s">
        <v>53</v>
      </c>
      <c r="V1430">
        <v>2</v>
      </c>
      <c r="W1430" t="str" cm="1">
        <f t="array" ref="W1430">_xlfn.IFS(V1430=1,"Low",V1430=2,"Medium",V1430=3,"High",V1430=4,"Very High")</f>
        <v>Medium</v>
      </c>
      <c r="X1430" t="s">
        <v>44</v>
      </c>
      <c r="Y1430" s="2">
        <v>2269</v>
      </c>
      <c r="Z1430" s="2">
        <v>18024</v>
      </c>
      <c r="AA1430">
        <v>0</v>
      </c>
      <c r="AB1430" t="s">
        <v>39</v>
      </c>
      <c r="AC1430">
        <v>14</v>
      </c>
      <c r="AD1430">
        <v>3</v>
      </c>
      <c r="AE1430" t="str" cm="1">
        <f t="array" ref="AE1430">_xlfn.IFS(AD1430=1,"Low",AD1430=2,"Good",AD1430=3,"Excellent",AD1430=4,"Outstanding")</f>
        <v>Excellent</v>
      </c>
      <c r="AF1430">
        <v>2</v>
      </c>
      <c r="AG1430" t="str" cm="1">
        <f t="array" ref="AG1430">_xlfn.IFS(AF1430=1,"Low",AF1430=2,"Medium",AF1430=3,"High",AF1430=4,"Very High")</f>
        <v>Medium</v>
      </c>
      <c r="AH1430">
        <v>1</v>
      </c>
      <c r="AI1430">
        <v>3</v>
      </c>
      <c r="AJ1430">
        <v>2</v>
      </c>
      <c r="AK1430">
        <v>3</v>
      </c>
      <c r="AL1430" t="str" cm="1">
        <f t="array" ref="AL1430">_xlfn.IFS(AK1430=1,"Low",AK1430=2,"Medium",AK1430=3,"High",AK1430=4,"Very High")</f>
        <v>High</v>
      </c>
      <c r="AM1430">
        <v>2</v>
      </c>
      <c r="AN1430">
        <v>2</v>
      </c>
      <c r="AO1430">
        <v>2</v>
      </c>
      <c r="AP1430">
        <v>2</v>
      </c>
    </row>
    <row r="1431" spans="1:42">
      <c r="A1431">
        <v>39</v>
      </c>
      <c r="B1431" t="str" cm="1">
        <f t="array" ref="B1431">_xlfn.IFS(A1431&lt;=25,"18-25",A1431&lt;=35,"26-35",A1431&lt;=45,"36-45",A1431&lt;=55,"46-55",A1431&gt;55,"56+")</f>
        <v>36-45</v>
      </c>
      <c r="C1431" t="s">
        <v>39</v>
      </c>
      <c r="D1431" t="s">
        <v>33</v>
      </c>
      <c r="E1431" s="2">
        <v>116</v>
      </c>
      <c r="F1431" t="s">
        <v>41</v>
      </c>
      <c r="G1431">
        <v>24</v>
      </c>
      <c r="H1431" t="str">
        <f t="shared" si="22"/>
        <v>21-30 km</v>
      </c>
      <c r="I1431">
        <v>1</v>
      </c>
      <c r="J1431" t="str" cm="1">
        <f t="array" ref="J1431">_xlfn.IFS(I1431=1,"Below College",I1431=2,"College",I1431=3,"Bachelor",I1431=4,"Master",I1431=5,"Doctor")</f>
        <v>Below College</v>
      </c>
      <c r="K1431" t="s">
        <v>35</v>
      </c>
      <c r="L1431">
        <v>2014</v>
      </c>
      <c r="M1431">
        <v>1</v>
      </c>
      <c r="N1431" t="str" cm="1">
        <f t="array" ref="N1431">_xlfn.IFS(M1431=1,"Low",M1431=2,"Medium",M1431=3,"High",M1431=4,"Very High")</f>
        <v>Low</v>
      </c>
      <c r="O1431" t="s">
        <v>42</v>
      </c>
      <c r="P1431" s="2">
        <v>52</v>
      </c>
      <c r="Q1431">
        <v>3</v>
      </c>
      <c r="R1431" t="str" cm="1">
        <f t="array" ref="R1431">_xlfn.IFS(Q1431=1,"Low",Q1431=2,"Medium",Q1431=3,"High",Q1431=4,"Very High")</f>
        <v>High</v>
      </c>
      <c r="S1431">
        <v>2</v>
      </c>
      <c r="T1431" t="str" cm="1">
        <f t="array" ref="T1431">_xlfn.IFS(S1431=1,"Entry Level",S1431=2,"Junior",S1431=3,"Mid-Level",S1431=4,"Senior",S1431=5,"Executive")</f>
        <v>Junior</v>
      </c>
      <c r="U1431" t="s">
        <v>43</v>
      </c>
      <c r="V1431">
        <v>4</v>
      </c>
      <c r="W1431" t="str" cm="1">
        <f t="array" ref="W1431">_xlfn.IFS(V1431=1,"Low",V1431=2,"Medium",V1431=3,"High",V1431=4,"Very High")</f>
        <v>Very High</v>
      </c>
      <c r="X1431" t="s">
        <v>38</v>
      </c>
      <c r="Y1431" s="2">
        <v>4108</v>
      </c>
      <c r="Z1431" s="2">
        <v>5340</v>
      </c>
      <c r="AA1431">
        <v>7</v>
      </c>
      <c r="AB1431" t="s">
        <v>39</v>
      </c>
      <c r="AC1431">
        <v>13</v>
      </c>
      <c r="AD1431">
        <v>3</v>
      </c>
      <c r="AE1431" t="str" cm="1">
        <f t="array" ref="AE1431">_xlfn.IFS(AD1431=1,"Low",AD1431=2,"Good",AD1431=3,"Excellent",AD1431=4,"Outstanding")</f>
        <v>Excellent</v>
      </c>
      <c r="AF1431">
        <v>1</v>
      </c>
      <c r="AG1431" t="str" cm="1">
        <f t="array" ref="AG1431">_xlfn.IFS(AF1431=1,"Low",AF1431=2,"Medium",AF1431=3,"High",AF1431=4,"Very High")</f>
        <v>Low</v>
      </c>
      <c r="AH1431">
        <v>0</v>
      </c>
      <c r="AI1431">
        <v>18</v>
      </c>
      <c r="AJ1431">
        <v>2</v>
      </c>
      <c r="AK1431">
        <v>3</v>
      </c>
      <c r="AL1431" t="str" cm="1">
        <f t="array" ref="AL1431">_xlfn.IFS(AK1431=1,"Low",AK1431=2,"Medium",AK1431=3,"High",AK1431=4,"Very High")</f>
        <v>High</v>
      </c>
      <c r="AM1431">
        <v>7</v>
      </c>
      <c r="AN1431">
        <v>7</v>
      </c>
      <c r="AO1431">
        <v>1</v>
      </c>
      <c r="AP1431">
        <v>7</v>
      </c>
    </row>
    <row r="1432" spans="1:42">
      <c r="A1432">
        <v>38</v>
      </c>
      <c r="B1432" t="str" cm="1">
        <f t="array" ref="B1432">_xlfn.IFS(A1432&lt;=25,"18-25",A1432&lt;=35,"26-35",A1432&lt;=45,"36-45",A1432&lt;=55,"46-55",A1432&gt;55,"56+")</f>
        <v>36-45</v>
      </c>
      <c r="C1432" t="s">
        <v>39</v>
      </c>
      <c r="D1432" t="s">
        <v>33</v>
      </c>
      <c r="E1432" s="2">
        <v>201</v>
      </c>
      <c r="F1432" t="s">
        <v>41</v>
      </c>
      <c r="G1432">
        <v>10</v>
      </c>
      <c r="H1432" t="str">
        <f t="shared" si="22"/>
        <v>1-10 km</v>
      </c>
      <c r="I1432">
        <v>3</v>
      </c>
      <c r="J1432" t="str" cm="1">
        <f t="array" ref="J1432">_xlfn.IFS(I1432=1,"Below College",I1432=2,"College",I1432=3,"Bachelor",I1432=4,"Master",I1432=5,"Doctor")</f>
        <v>Bachelor</v>
      </c>
      <c r="K1432" t="s">
        <v>47</v>
      </c>
      <c r="L1432">
        <v>2015</v>
      </c>
      <c r="M1432">
        <v>2</v>
      </c>
      <c r="N1432" t="str" cm="1">
        <f t="array" ref="N1432">_xlfn.IFS(M1432=1,"Low",M1432=2,"Medium",M1432=3,"High",M1432=4,"Very High")</f>
        <v>Medium</v>
      </c>
      <c r="O1432" t="s">
        <v>36</v>
      </c>
      <c r="P1432" s="2">
        <v>99</v>
      </c>
      <c r="Q1432">
        <v>1</v>
      </c>
      <c r="R1432" t="str" cm="1">
        <f t="array" ref="R1432">_xlfn.IFS(Q1432=1,"Low",Q1432=2,"Medium",Q1432=3,"High",Q1432=4,"Very High")</f>
        <v>Low</v>
      </c>
      <c r="S1432">
        <v>3</v>
      </c>
      <c r="T1432" t="str" cm="1">
        <f t="array" ref="T1432">_xlfn.IFS(S1432=1,"Entry Level",S1432=2,"Junior",S1432=3,"Mid-Level",S1432=4,"Senior",S1432=5,"Executive")</f>
        <v>Mid-Level</v>
      </c>
      <c r="U1432" t="s">
        <v>54</v>
      </c>
      <c r="V1432">
        <v>3</v>
      </c>
      <c r="W1432" t="str" cm="1">
        <f t="array" ref="W1432">_xlfn.IFS(V1432=1,"Low",V1432=2,"Medium",V1432=3,"High",V1432=4,"Very High")</f>
        <v>High</v>
      </c>
      <c r="X1432" t="s">
        <v>44</v>
      </c>
      <c r="Y1432" s="2">
        <v>13206</v>
      </c>
      <c r="Z1432" s="2">
        <v>3376</v>
      </c>
      <c r="AA1432">
        <v>3</v>
      </c>
      <c r="AB1432" t="s">
        <v>39</v>
      </c>
      <c r="AC1432">
        <v>12</v>
      </c>
      <c r="AD1432">
        <v>3</v>
      </c>
      <c r="AE1432" t="str" cm="1">
        <f t="array" ref="AE1432">_xlfn.IFS(AD1432=1,"Low",AD1432=2,"Good",AD1432=3,"Excellent",AD1432=4,"Outstanding")</f>
        <v>Excellent</v>
      </c>
      <c r="AF1432">
        <v>1</v>
      </c>
      <c r="AG1432" t="str" cm="1">
        <f t="array" ref="AG1432">_xlfn.IFS(AF1432=1,"Low",AF1432=2,"Medium",AF1432=3,"High",AF1432=4,"Very High")</f>
        <v>Low</v>
      </c>
      <c r="AH1432">
        <v>1</v>
      </c>
      <c r="AI1432">
        <v>20</v>
      </c>
      <c r="AJ1432">
        <v>3</v>
      </c>
      <c r="AK1432">
        <v>3</v>
      </c>
      <c r="AL1432" t="str" cm="1">
        <f t="array" ref="AL1432">_xlfn.IFS(AK1432=1,"Low",AK1432=2,"Medium",AK1432=3,"High",AK1432=4,"Very High")</f>
        <v>High</v>
      </c>
      <c r="AM1432">
        <v>18</v>
      </c>
      <c r="AN1432">
        <v>16</v>
      </c>
      <c r="AO1432">
        <v>1</v>
      </c>
      <c r="AP1432">
        <v>11</v>
      </c>
    </row>
    <row r="1433" spans="1:42">
      <c r="A1433">
        <v>32</v>
      </c>
      <c r="B1433" t="str" cm="1">
        <f t="array" ref="B1433">_xlfn.IFS(A1433&lt;=25,"18-25",A1433&lt;=35,"26-35",A1433&lt;=45,"36-45",A1433&lt;=55,"46-55",A1433&gt;55,"56+")</f>
        <v>26-35</v>
      </c>
      <c r="C1433" t="s">
        <v>39</v>
      </c>
      <c r="D1433" t="s">
        <v>33</v>
      </c>
      <c r="E1433" s="2">
        <v>801</v>
      </c>
      <c r="F1433" t="s">
        <v>34</v>
      </c>
      <c r="G1433">
        <v>1</v>
      </c>
      <c r="H1433" t="str">
        <f t="shared" si="22"/>
        <v>1-10 km</v>
      </c>
      <c r="I1433">
        <v>4</v>
      </c>
      <c r="J1433" t="str" cm="1">
        <f t="array" ref="J1433">_xlfn.IFS(I1433=1,"Below College",I1433=2,"College",I1433=3,"Bachelor",I1433=4,"Master",I1433=5,"Doctor")</f>
        <v>Master</v>
      </c>
      <c r="K1433" t="s">
        <v>55</v>
      </c>
      <c r="L1433">
        <v>2016</v>
      </c>
      <c r="M1433">
        <v>3</v>
      </c>
      <c r="N1433" t="str" cm="1">
        <f t="array" ref="N1433">_xlfn.IFS(M1433=1,"Low",M1433=2,"Medium",M1433=3,"High",M1433=4,"Very High")</f>
        <v>High</v>
      </c>
      <c r="O1433" t="s">
        <v>36</v>
      </c>
      <c r="P1433" s="2">
        <v>48</v>
      </c>
      <c r="Q1433">
        <v>3</v>
      </c>
      <c r="R1433" t="str" cm="1">
        <f t="array" ref="R1433">_xlfn.IFS(Q1433=1,"Low",Q1433=2,"Medium",Q1433=3,"High",Q1433=4,"Very High")</f>
        <v>High</v>
      </c>
      <c r="S1433">
        <v>3</v>
      </c>
      <c r="T1433" t="str" cm="1">
        <f t="array" ref="T1433">_xlfn.IFS(S1433=1,"Entry Level",S1433=2,"Junior",S1433=3,"Mid-Level",S1433=4,"Senior",S1433=5,"Executive")</f>
        <v>Mid-Level</v>
      </c>
      <c r="U1433" t="s">
        <v>37</v>
      </c>
      <c r="V1433">
        <v>4</v>
      </c>
      <c r="W1433" t="str" cm="1">
        <f t="array" ref="W1433">_xlfn.IFS(V1433=1,"Low",V1433=2,"Medium",V1433=3,"High",V1433=4,"Very High")</f>
        <v>Very High</v>
      </c>
      <c r="X1433" t="s">
        <v>44</v>
      </c>
      <c r="Y1433" s="2">
        <v>10422</v>
      </c>
      <c r="Z1433" s="2">
        <v>24032</v>
      </c>
      <c r="AA1433">
        <v>1</v>
      </c>
      <c r="AB1433" t="s">
        <v>39</v>
      </c>
      <c r="AC1433">
        <v>19</v>
      </c>
      <c r="AD1433">
        <v>3</v>
      </c>
      <c r="AE1433" t="str" cm="1">
        <f t="array" ref="AE1433">_xlfn.IFS(AD1433=1,"Low",AD1433=2,"Good",AD1433=3,"Excellent",AD1433=4,"Outstanding")</f>
        <v>Excellent</v>
      </c>
      <c r="AF1433">
        <v>3</v>
      </c>
      <c r="AG1433" t="str" cm="1">
        <f t="array" ref="AG1433">_xlfn.IFS(AF1433=1,"Low",AF1433=2,"Medium",AF1433=3,"High",AF1433=4,"Very High")</f>
        <v>High</v>
      </c>
      <c r="AH1433">
        <v>2</v>
      </c>
      <c r="AI1433">
        <v>14</v>
      </c>
      <c r="AJ1433">
        <v>3</v>
      </c>
      <c r="AK1433">
        <v>3</v>
      </c>
      <c r="AL1433" t="str" cm="1">
        <f t="array" ref="AL1433">_xlfn.IFS(AK1433=1,"Low",AK1433=2,"Medium",AK1433=3,"High",AK1433=4,"Very High")</f>
        <v>High</v>
      </c>
      <c r="AM1433">
        <v>14</v>
      </c>
      <c r="AN1433">
        <v>10</v>
      </c>
      <c r="AO1433">
        <v>5</v>
      </c>
      <c r="AP1433">
        <v>7</v>
      </c>
    </row>
    <row r="1434" spans="1:42">
      <c r="A1434">
        <v>37</v>
      </c>
      <c r="B1434" t="str" cm="1">
        <f t="array" ref="B1434">_xlfn.IFS(A1434&lt;=25,"18-25",A1434&lt;=35,"26-35",A1434&lt;=45,"36-45",A1434&lt;=55,"46-55",A1434&gt;55,"56+")</f>
        <v>36-45</v>
      </c>
      <c r="C1434" t="s">
        <v>39</v>
      </c>
      <c r="D1434" t="s">
        <v>33</v>
      </c>
      <c r="E1434" s="2">
        <v>161</v>
      </c>
      <c r="F1434" t="s">
        <v>41</v>
      </c>
      <c r="G1434">
        <v>10</v>
      </c>
      <c r="H1434" t="str">
        <f t="shared" si="22"/>
        <v>1-10 km</v>
      </c>
      <c r="I1434">
        <v>3</v>
      </c>
      <c r="J1434" t="str" cm="1">
        <f t="array" ref="J1434">_xlfn.IFS(I1434=1,"Below College",I1434=2,"College",I1434=3,"Bachelor",I1434=4,"Master",I1434=5,"Doctor")</f>
        <v>Bachelor</v>
      </c>
      <c r="K1434" t="s">
        <v>35</v>
      </c>
      <c r="L1434">
        <v>2017</v>
      </c>
      <c r="M1434">
        <v>3</v>
      </c>
      <c r="N1434" t="str" cm="1">
        <f t="array" ref="N1434">_xlfn.IFS(M1434=1,"Low",M1434=2,"Medium",M1434=3,"High",M1434=4,"Very High")</f>
        <v>High</v>
      </c>
      <c r="O1434" t="s">
        <v>36</v>
      </c>
      <c r="P1434" s="2">
        <v>42</v>
      </c>
      <c r="Q1434">
        <v>4</v>
      </c>
      <c r="R1434" t="str" cm="1">
        <f t="array" ref="R1434">_xlfn.IFS(Q1434=1,"Low",Q1434=2,"Medium",Q1434=3,"High",Q1434=4,"Very High")</f>
        <v>Very High</v>
      </c>
      <c r="S1434">
        <v>3</v>
      </c>
      <c r="T1434" t="str" cm="1">
        <f t="array" ref="T1434">_xlfn.IFS(S1434=1,"Entry Level",S1434=2,"Junior",S1434=3,"Mid-Level",S1434=4,"Senior",S1434=5,"Executive")</f>
        <v>Mid-Level</v>
      </c>
      <c r="U1434" t="s">
        <v>54</v>
      </c>
      <c r="V1434">
        <v>4</v>
      </c>
      <c r="W1434" t="str" cm="1">
        <f t="array" ref="W1434">_xlfn.IFS(V1434=1,"Low",V1434=2,"Medium",V1434=3,"High",V1434=4,"Very High")</f>
        <v>Very High</v>
      </c>
      <c r="X1434" t="s">
        <v>44</v>
      </c>
      <c r="Y1434" s="2">
        <v>13744</v>
      </c>
      <c r="Z1434" s="2">
        <v>15471</v>
      </c>
      <c r="AA1434">
        <v>1</v>
      </c>
      <c r="AB1434" t="s">
        <v>32</v>
      </c>
      <c r="AC1434">
        <v>25</v>
      </c>
      <c r="AD1434">
        <v>4</v>
      </c>
      <c r="AE1434" t="str" cm="1">
        <f t="array" ref="AE1434">_xlfn.IFS(AD1434=1,"Low",AD1434=2,"Good",AD1434=3,"Excellent",AD1434=4,"Outstanding")</f>
        <v>Outstanding</v>
      </c>
      <c r="AF1434">
        <v>1</v>
      </c>
      <c r="AG1434" t="str" cm="1">
        <f t="array" ref="AG1434">_xlfn.IFS(AF1434=1,"Low",AF1434=2,"Medium",AF1434=3,"High",AF1434=4,"Very High")</f>
        <v>Low</v>
      </c>
      <c r="AH1434">
        <v>1</v>
      </c>
      <c r="AI1434">
        <v>16</v>
      </c>
      <c r="AJ1434">
        <v>2</v>
      </c>
      <c r="AK1434">
        <v>3</v>
      </c>
      <c r="AL1434" t="str" cm="1">
        <f t="array" ref="AL1434">_xlfn.IFS(AK1434=1,"Low",AK1434=2,"Medium",AK1434=3,"High",AK1434=4,"Very High")</f>
        <v>High</v>
      </c>
      <c r="AM1434">
        <v>16</v>
      </c>
      <c r="AN1434">
        <v>11</v>
      </c>
      <c r="AO1434">
        <v>6</v>
      </c>
      <c r="AP1434">
        <v>8</v>
      </c>
    </row>
    <row r="1435" spans="1:42">
      <c r="A1435">
        <v>25</v>
      </c>
      <c r="B1435" t="str" cm="1">
        <f t="array" ref="B1435">_xlfn.IFS(A1435&lt;=25,"18-25",A1435&lt;=35,"26-35",A1435&lt;=45,"36-45",A1435&lt;=55,"46-55",A1435&gt;55,"56+")</f>
        <v>18-25</v>
      </c>
      <c r="C1435" t="s">
        <v>39</v>
      </c>
      <c r="D1435" t="s">
        <v>33</v>
      </c>
      <c r="E1435" s="2">
        <v>1382</v>
      </c>
      <c r="F1435" t="s">
        <v>34</v>
      </c>
      <c r="G1435">
        <v>8</v>
      </c>
      <c r="H1435" t="str">
        <f t="shared" si="22"/>
        <v>1-10 km</v>
      </c>
      <c r="I1435">
        <v>2</v>
      </c>
      <c r="J1435" t="str" cm="1">
        <f t="array" ref="J1435">_xlfn.IFS(I1435=1,"Below College",I1435=2,"College",I1435=3,"Bachelor",I1435=4,"Master",I1435=5,"Doctor")</f>
        <v>College</v>
      </c>
      <c r="K1435" t="s">
        <v>45</v>
      </c>
      <c r="L1435">
        <v>2018</v>
      </c>
      <c r="M1435">
        <v>1</v>
      </c>
      <c r="N1435" t="str" cm="1">
        <f t="array" ref="N1435">_xlfn.IFS(M1435=1,"Low",M1435=2,"Medium",M1435=3,"High",M1435=4,"Very High")</f>
        <v>Low</v>
      </c>
      <c r="O1435" t="s">
        <v>36</v>
      </c>
      <c r="P1435" s="2">
        <v>85</v>
      </c>
      <c r="Q1435">
        <v>3</v>
      </c>
      <c r="R1435" t="str" cm="1">
        <f t="array" ref="R1435">_xlfn.IFS(Q1435=1,"Low",Q1435=2,"Medium",Q1435=3,"High",Q1435=4,"Very High")</f>
        <v>High</v>
      </c>
      <c r="S1435">
        <v>2</v>
      </c>
      <c r="T1435" t="str" cm="1">
        <f t="array" ref="T1435">_xlfn.IFS(S1435=1,"Entry Level",S1435=2,"Junior",S1435=3,"Mid-Level",S1435=4,"Senior",S1435=5,"Executive")</f>
        <v>Junior</v>
      </c>
      <c r="U1435" t="s">
        <v>37</v>
      </c>
      <c r="V1435">
        <v>3</v>
      </c>
      <c r="W1435" t="str" cm="1">
        <f t="array" ref="W1435">_xlfn.IFS(V1435=1,"Low",V1435=2,"Medium",V1435=3,"High",V1435=4,"Very High")</f>
        <v>High</v>
      </c>
      <c r="X1435" t="s">
        <v>48</v>
      </c>
      <c r="Y1435" s="2">
        <v>4907</v>
      </c>
      <c r="Z1435" s="2">
        <v>13684</v>
      </c>
      <c r="AA1435">
        <v>0</v>
      </c>
      <c r="AB1435" t="s">
        <v>32</v>
      </c>
      <c r="AC1435">
        <v>22</v>
      </c>
      <c r="AD1435">
        <v>4</v>
      </c>
      <c r="AE1435" t="str" cm="1">
        <f t="array" ref="AE1435">_xlfn.IFS(AD1435=1,"Low",AD1435=2,"Good",AD1435=3,"Excellent",AD1435=4,"Outstanding")</f>
        <v>Outstanding</v>
      </c>
      <c r="AF1435">
        <v>2</v>
      </c>
      <c r="AG1435" t="str" cm="1">
        <f t="array" ref="AG1435">_xlfn.IFS(AF1435=1,"Low",AF1435=2,"Medium",AF1435=3,"High",AF1435=4,"Very High")</f>
        <v>Medium</v>
      </c>
      <c r="AH1435">
        <v>1</v>
      </c>
      <c r="AI1435">
        <v>6</v>
      </c>
      <c r="AJ1435">
        <v>3</v>
      </c>
      <c r="AK1435">
        <v>2</v>
      </c>
      <c r="AL1435" t="str" cm="1">
        <f t="array" ref="AL1435">_xlfn.IFS(AK1435=1,"Low",AK1435=2,"Medium",AK1435=3,"High",AK1435=4,"Very High")</f>
        <v>Medium</v>
      </c>
      <c r="AM1435">
        <v>5</v>
      </c>
      <c r="AN1435">
        <v>3</v>
      </c>
      <c r="AO1435">
        <v>0</v>
      </c>
      <c r="AP1435">
        <v>4</v>
      </c>
    </row>
    <row r="1436" spans="1:42">
      <c r="A1436">
        <v>52</v>
      </c>
      <c r="B1436" t="str" cm="1">
        <f t="array" ref="B1436">_xlfn.IFS(A1436&lt;=25,"18-25",A1436&lt;=35,"26-35",A1436&lt;=45,"36-45",A1436&lt;=55,"46-55",A1436&gt;55,"56+")</f>
        <v>46-55</v>
      </c>
      <c r="C1436" t="s">
        <v>39</v>
      </c>
      <c r="D1436" t="s">
        <v>51</v>
      </c>
      <c r="E1436" s="2">
        <v>585</v>
      </c>
      <c r="F1436" t="s">
        <v>34</v>
      </c>
      <c r="G1436">
        <v>29</v>
      </c>
      <c r="H1436" t="str">
        <f t="shared" si="22"/>
        <v>21-30 km</v>
      </c>
      <c r="I1436">
        <v>4</v>
      </c>
      <c r="J1436" t="str" cm="1">
        <f t="array" ref="J1436">_xlfn.IFS(I1436=1,"Below College",I1436=2,"College",I1436=3,"Bachelor",I1436=4,"Master",I1436=5,"Doctor")</f>
        <v>Master</v>
      </c>
      <c r="K1436" t="s">
        <v>35</v>
      </c>
      <c r="L1436">
        <v>2019</v>
      </c>
      <c r="M1436">
        <v>1</v>
      </c>
      <c r="N1436" t="str" cm="1">
        <f t="array" ref="N1436">_xlfn.IFS(M1436=1,"Low",M1436=2,"Medium",M1436=3,"High",M1436=4,"Very High")</f>
        <v>Low</v>
      </c>
      <c r="O1436" t="s">
        <v>42</v>
      </c>
      <c r="P1436" s="2">
        <v>40</v>
      </c>
      <c r="Q1436">
        <v>3</v>
      </c>
      <c r="R1436" t="str" cm="1">
        <f t="array" ref="R1436">_xlfn.IFS(Q1436=1,"Low",Q1436=2,"Medium",Q1436=3,"High",Q1436=4,"Very High")</f>
        <v>High</v>
      </c>
      <c r="S1436">
        <v>1</v>
      </c>
      <c r="T1436" t="str" cm="1">
        <f t="array" ref="T1436">_xlfn.IFS(S1436=1,"Entry Level",S1436=2,"Junior",S1436=3,"Mid-Level",S1436=4,"Senior",S1436=5,"Executive")</f>
        <v>Entry Level</v>
      </c>
      <c r="U1436" t="s">
        <v>53</v>
      </c>
      <c r="V1436">
        <v>4</v>
      </c>
      <c r="W1436" t="str" cm="1">
        <f t="array" ref="W1436">_xlfn.IFS(V1436=1,"Low",V1436=2,"Medium",V1436=3,"High",V1436=4,"Very High")</f>
        <v>Very High</v>
      </c>
      <c r="X1436" t="s">
        <v>48</v>
      </c>
      <c r="Y1436" s="2">
        <v>3482</v>
      </c>
      <c r="Z1436" s="2">
        <v>19788</v>
      </c>
      <c r="AA1436">
        <v>2</v>
      </c>
      <c r="AB1436" t="s">
        <v>39</v>
      </c>
      <c r="AC1436">
        <v>15</v>
      </c>
      <c r="AD1436">
        <v>3</v>
      </c>
      <c r="AE1436" t="str" cm="1">
        <f t="array" ref="AE1436">_xlfn.IFS(AD1436=1,"Low",AD1436=2,"Good",AD1436=3,"Excellent",AD1436=4,"Outstanding")</f>
        <v>Excellent</v>
      </c>
      <c r="AF1436">
        <v>2</v>
      </c>
      <c r="AG1436" t="str" cm="1">
        <f t="array" ref="AG1436">_xlfn.IFS(AF1436=1,"Low",AF1436=2,"Medium",AF1436=3,"High",AF1436=4,"Very High")</f>
        <v>Medium</v>
      </c>
      <c r="AH1436">
        <v>2</v>
      </c>
      <c r="AI1436">
        <v>16</v>
      </c>
      <c r="AJ1436">
        <v>3</v>
      </c>
      <c r="AK1436">
        <v>2</v>
      </c>
      <c r="AL1436" t="str" cm="1">
        <f t="array" ref="AL1436">_xlfn.IFS(AK1436=1,"Low",AK1436=2,"Medium",AK1436=3,"High",AK1436=4,"Very High")</f>
        <v>Medium</v>
      </c>
      <c r="AM1436">
        <v>9</v>
      </c>
      <c r="AN1436">
        <v>8</v>
      </c>
      <c r="AO1436">
        <v>0</v>
      </c>
      <c r="AP1436">
        <v>0</v>
      </c>
    </row>
    <row r="1437" spans="1:42">
      <c r="A1437">
        <v>44</v>
      </c>
      <c r="B1437" t="str" cm="1">
        <f t="array" ref="B1437">_xlfn.IFS(A1437&lt;=25,"18-25",A1437&lt;=35,"26-35",A1437&lt;=45,"36-45",A1437&lt;=55,"46-55",A1437&gt;55,"56+")</f>
        <v>36-45</v>
      </c>
      <c r="C1437" t="s">
        <v>39</v>
      </c>
      <c r="D1437" t="s">
        <v>33</v>
      </c>
      <c r="E1437" s="2">
        <v>1037</v>
      </c>
      <c r="F1437" t="s">
        <v>41</v>
      </c>
      <c r="G1437">
        <v>1</v>
      </c>
      <c r="H1437" t="str">
        <f t="shared" si="22"/>
        <v>1-10 km</v>
      </c>
      <c r="I1437">
        <v>3</v>
      </c>
      <c r="J1437" t="str" cm="1">
        <f t="array" ref="J1437">_xlfn.IFS(I1437=1,"Below College",I1437=2,"College",I1437=3,"Bachelor",I1437=4,"Master",I1437=5,"Doctor")</f>
        <v>Bachelor</v>
      </c>
      <c r="K1437" t="s">
        <v>47</v>
      </c>
      <c r="L1437">
        <v>2020</v>
      </c>
      <c r="M1437">
        <v>2</v>
      </c>
      <c r="N1437" t="str" cm="1">
        <f t="array" ref="N1437">_xlfn.IFS(M1437=1,"Low",M1437=2,"Medium",M1437=3,"High",M1437=4,"Very High")</f>
        <v>Medium</v>
      </c>
      <c r="O1437" t="s">
        <v>42</v>
      </c>
      <c r="P1437" s="2">
        <v>42</v>
      </c>
      <c r="Q1437">
        <v>3</v>
      </c>
      <c r="R1437" t="str" cm="1">
        <f t="array" ref="R1437">_xlfn.IFS(Q1437=1,"Low",Q1437=2,"Medium",Q1437=3,"High",Q1437=4,"Very High")</f>
        <v>High</v>
      </c>
      <c r="S1437">
        <v>1</v>
      </c>
      <c r="T1437" t="str" cm="1">
        <f t="array" ref="T1437">_xlfn.IFS(S1437=1,"Entry Level",S1437=2,"Junior",S1437=3,"Mid-Level",S1437=4,"Senior",S1437=5,"Executive")</f>
        <v>Entry Level</v>
      </c>
      <c r="U1437" t="s">
        <v>43</v>
      </c>
      <c r="V1437">
        <v>4</v>
      </c>
      <c r="W1437" t="str" cm="1">
        <f t="array" ref="W1437">_xlfn.IFS(V1437=1,"Low",V1437=2,"Medium",V1437=3,"High",V1437=4,"Very High")</f>
        <v>Very High</v>
      </c>
      <c r="X1437" t="s">
        <v>38</v>
      </c>
      <c r="Y1437" s="2">
        <v>2436</v>
      </c>
      <c r="Z1437" s="2">
        <v>13422</v>
      </c>
      <c r="AA1437">
        <v>6</v>
      </c>
      <c r="AB1437" t="s">
        <v>32</v>
      </c>
      <c r="AC1437">
        <v>12</v>
      </c>
      <c r="AD1437">
        <v>3</v>
      </c>
      <c r="AE1437" t="str" cm="1">
        <f t="array" ref="AE1437">_xlfn.IFS(AD1437=1,"Low",AD1437=2,"Good",AD1437=3,"Excellent",AD1437=4,"Outstanding")</f>
        <v>Excellent</v>
      </c>
      <c r="AF1437">
        <v>3</v>
      </c>
      <c r="AG1437" t="str" cm="1">
        <f t="array" ref="AG1437">_xlfn.IFS(AF1437=1,"Low",AF1437=2,"Medium",AF1437=3,"High",AF1437=4,"Very High")</f>
        <v>High</v>
      </c>
      <c r="AH1437">
        <v>0</v>
      </c>
      <c r="AI1437">
        <v>6</v>
      </c>
      <c r="AJ1437">
        <v>2</v>
      </c>
      <c r="AK1437">
        <v>3</v>
      </c>
      <c r="AL1437" t="str" cm="1">
        <f t="array" ref="AL1437">_xlfn.IFS(AK1437=1,"Low",AK1437=2,"Medium",AK1437=3,"High",AK1437=4,"Very High")</f>
        <v>High</v>
      </c>
      <c r="AM1437">
        <v>4</v>
      </c>
      <c r="AN1437">
        <v>3</v>
      </c>
      <c r="AO1437">
        <v>1</v>
      </c>
      <c r="AP1437">
        <v>2</v>
      </c>
    </row>
    <row r="1438" spans="1:42">
      <c r="A1438">
        <v>21</v>
      </c>
      <c r="B1438" t="str" cm="1">
        <f t="array" ref="B1438">_xlfn.IFS(A1438&lt;=25,"18-25",A1438&lt;=35,"26-35",A1438&lt;=45,"36-45",A1438&lt;=55,"46-55",A1438&gt;55,"56+")</f>
        <v>18-25</v>
      </c>
      <c r="C1438" t="s">
        <v>39</v>
      </c>
      <c r="D1438" t="s">
        <v>33</v>
      </c>
      <c r="E1438" s="2">
        <v>501</v>
      </c>
      <c r="F1438" t="s">
        <v>34</v>
      </c>
      <c r="G1438">
        <v>5</v>
      </c>
      <c r="H1438" t="str">
        <f t="shared" si="22"/>
        <v>1-10 km</v>
      </c>
      <c r="I1438">
        <v>1</v>
      </c>
      <c r="J1438" t="str" cm="1">
        <f t="array" ref="J1438">_xlfn.IFS(I1438=1,"Below College",I1438=2,"College",I1438=3,"Bachelor",I1438=4,"Master",I1438=5,"Doctor")</f>
        <v>Below College</v>
      </c>
      <c r="K1438" t="s">
        <v>47</v>
      </c>
      <c r="L1438">
        <v>2021</v>
      </c>
      <c r="M1438">
        <v>3</v>
      </c>
      <c r="N1438" t="str" cm="1">
        <f t="array" ref="N1438">_xlfn.IFS(M1438=1,"Low",M1438=2,"Medium",M1438=3,"High",M1438=4,"Very High")</f>
        <v>High</v>
      </c>
      <c r="O1438" t="s">
        <v>42</v>
      </c>
      <c r="P1438" s="2">
        <v>58</v>
      </c>
      <c r="Q1438">
        <v>3</v>
      </c>
      <c r="R1438" t="str" cm="1">
        <f t="array" ref="R1438">_xlfn.IFS(Q1438=1,"Low",Q1438=2,"Medium",Q1438=3,"High",Q1438=4,"Very High")</f>
        <v>High</v>
      </c>
      <c r="S1438">
        <v>1</v>
      </c>
      <c r="T1438" t="str" cm="1">
        <f t="array" ref="T1438">_xlfn.IFS(S1438=1,"Entry Level",S1438=2,"Junior",S1438=3,"Mid-Level",S1438=4,"Senior",S1438=5,"Executive")</f>
        <v>Entry Level</v>
      </c>
      <c r="U1438" t="s">
        <v>53</v>
      </c>
      <c r="V1438">
        <v>1</v>
      </c>
      <c r="W1438" t="str" cm="1">
        <f t="array" ref="W1438">_xlfn.IFS(V1438=1,"Low",V1438=2,"Medium",V1438=3,"High",V1438=4,"Very High")</f>
        <v>Low</v>
      </c>
      <c r="X1438" t="s">
        <v>38</v>
      </c>
      <c r="Y1438" s="2">
        <v>2380</v>
      </c>
      <c r="Z1438" s="2">
        <v>25479</v>
      </c>
      <c r="AA1438">
        <v>1</v>
      </c>
      <c r="AB1438" t="s">
        <v>32</v>
      </c>
      <c r="AC1438">
        <v>11</v>
      </c>
      <c r="AD1438">
        <v>3</v>
      </c>
      <c r="AE1438" t="str" cm="1">
        <f t="array" ref="AE1438">_xlfn.IFS(AD1438=1,"Low",AD1438=2,"Good",AD1438=3,"Excellent",AD1438=4,"Outstanding")</f>
        <v>Excellent</v>
      </c>
      <c r="AF1438">
        <v>4</v>
      </c>
      <c r="AG1438" t="str" cm="1">
        <f t="array" ref="AG1438">_xlfn.IFS(AF1438=1,"Low",AF1438=2,"Medium",AF1438=3,"High",AF1438=4,"Very High")</f>
        <v>Very High</v>
      </c>
      <c r="AH1438">
        <v>0</v>
      </c>
      <c r="AI1438">
        <v>2</v>
      </c>
      <c r="AJ1438">
        <v>6</v>
      </c>
      <c r="AK1438">
        <v>3</v>
      </c>
      <c r="AL1438" t="str" cm="1">
        <f t="array" ref="AL1438">_xlfn.IFS(AK1438=1,"Low",AK1438=2,"Medium",AK1438=3,"High",AK1438=4,"Very High")</f>
        <v>High</v>
      </c>
      <c r="AM1438">
        <v>2</v>
      </c>
      <c r="AN1438">
        <v>2</v>
      </c>
      <c r="AO1438">
        <v>1</v>
      </c>
      <c r="AP1438">
        <v>2</v>
      </c>
    </row>
    <row r="1439" spans="1:42">
      <c r="A1439">
        <v>39</v>
      </c>
      <c r="B1439" t="str" cm="1">
        <f t="array" ref="B1439">_xlfn.IFS(A1439&lt;=25,"18-25",A1439&lt;=35,"26-35",A1439&lt;=45,"36-45",A1439&lt;=55,"46-55",A1439&gt;55,"56+")</f>
        <v>36-45</v>
      </c>
      <c r="C1439" t="s">
        <v>39</v>
      </c>
      <c r="D1439" t="s">
        <v>51</v>
      </c>
      <c r="E1439" s="2">
        <v>105</v>
      </c>
      <c r="F1439" t="s">
        <v>41</v>
      </c>
      <c r="G1439">
        <v>9</v>
      </c>
      <c r="H1439" t="str">
        <f t="shared" si="22"/>
        <v>1-10 km</v>
      </c>
      <c r="I1439">
        <v>3</v>
      </c>
      <c r="J1439" t="str" cm="1">
        <f t="array" ref="J1439">_xlfn.IFS(I1439=1,"Below College",I1439=2,"College",I1439=3,"Bachelor",I1439=4,"Master",I1439=5,"Doctor")</f>
        <v>Bachelor</v>
      </c>
      <c r="K1439" t="s">
        <v>35</v>
      </c>
      <c r="L1439">
        <v>2022</v>
      </c>
      <c r="M1439">
        <v>4</v>
      </c>
      <c r="N1439" t="str" cm="1">
        <f t="array" ref="N1439">_xlfn.IFS(M1439=1,"Low",M1439=2,"Medium",M1439=3,"High",M1439=4,"Very High")</f>
        <v>Very High</v>
      </c>
      <c r="O1439" t="s">
        <v>42</v>
      </c>
      <c r="P1439" s="2">
        <v>87</v>
      </c>
      <c r="Q1439">
        <v>3</v>
      </c>
      <c r="R1439" t="str" cm="1">
        <f t="array" ref="R1439">_xlfn.IFS(Q1439=1,"Low",Q1439=2,"Medium",Q1439=3,"High",Q1439=4,"Very High")</f>
        <v>High</v>
      </c>
      <c r="S1439">
        <v>5</v>
      </c>
      <c r="T1439" t="str" cm="1">
        <f t="array" ref="T1439">_xlfn.IFS(S1439=1,"Entry Level",S1439=2,"Junior",S1439=3,"Mid-Level",S1439=4,"Senior",S1439=5,"Executive")</f>
        <v>Executive</v>
      </c>
      <c r="U1439" t="s">
        <v>52</v>
      </c>
      <c r="V1439">
        <v>4</v>
      </c>
      <c r="W1439" t="str" cm="1">
        <f t="array" ref="W1439">_xlfn.IFS(V1439=1,"Low",V1439=2,"Medium",V1439=3,"High",V1439=4,"Very High")</f>
        <v>Very High</v>
      </c>
      <c r="X1439" t="s">
        <v>38</v>
      </c>
      <c r="Y1439" s="2">
        <v>19431</v>
      </c>
      <c r="Z1439" s="2">
        <v>15302</v>
      </c>
      <c r="AA1439">
        <v>2</v>
      </c>
      <c r="AB1439" t="s">
        <v>39</v>
      </c>
      <c r="AC1439">
        <v>13</v>
      </c>
      <c r="AD1439">
        <v>3</v>
      </c>
      <c r="AE1439" t="str" cm="1">
        <f t="array" ref="AE1439">_xlfn.IFS(AD1439=1,"Low",AD1439=2,"Good",AD1439=3,"Excellent",AD1439=4,"Outstanding")</f>
        <v>Excellent</v>
      </c>
      <c r="AF1439">
        <v>3</v>
      </c>
      <c r="AG1439" t="str" cm="1">
        <f t="array" ref="AG1439">_xlfn.IFS(AF1439=1,"Low",AF1439=2,"Medium",AF1439=3,"High",AF1439=4,"Very High")</f>
        <v>High</v>
      </c>
      <c r="AH1439">
        <v>0</v>
      </c>
      <c r="AI1439">
        <v>21</v>
      </c>
      <c r="AJ1439">
        <v>3</v>
      </c>
      <c r="AK1439">
        <v>2</v>
      </c>
      <c r="AL1439" t="str" cm="1">
        <f t="array" ref="AL1439">_xlfn.IFS(AK1439=1,"Low",AK1439=2,"Medium",AK1439=3,"High",AK1439=4,"Very High")</f>
        <v>Medium</v>
      </c>
      <c r="AM1439">
        <v>6</v>
      </c>
      <c r="AN1439">
        <v>0</v>
      </c>
      <c r="AO1439">
        <v>1</v>
      </c>
      <c r="AP1439">
        <v>3</v>
      </c>
    </row>
    <row r="1440" spans="1:42">
      <c r="A1440">
        <v>23</v>
      </c>
      <c r="B1440" t="str" cm="1">
        <f t="array" ref="B1440">_xlfn.IFS(A1440&lt;=25,"18-25",A1440&lt;=35,"26-35",A1440&lt;=45,"36-45",A1440&lt;=55,"46-55",A1440&gt;55,"56+")</f>
        <v>18-25</v>
      </c>
      <c r="C1440" t="s">
        <v>32</v>
      </c>
      <c r="D1440" t="s">
        <v>40</v>
      </c>
      <c r="E1440" s="2">
        <v>638</v>
      </c>
      <c r="F1440" t="s">
        <v>34</v>
      </c>
      <c r="G1440">
        <v>9</v>
      </c>
      <c r="H1440" t="str">
        <f t="shared" si="22"/>
        <v>1-10 km</v>
      </c>
      <c r="I1440">
        <v>3</v>
      </c>
      <c r="J1440" t="str" cm="1">
        <f t="array" ref="J1440">_xlfn.IFS(I1440=1,"Below College",I1440=2,"College",I1440=3,"Bachelor",I1440=4,"Master",I1440=5,"Doctor")</f>
        <v>Bachelor</v>
      </c>
      <c r="K1440" t="s">
        <v>55</v>
      </c>
      <c r="L1440">
        <v>2023</v>
      </c>
      <c r="M1440">
        <v>4</v>
      </c>
      <c r="N1440" t="str" cm="1">
        <f t="array" ref="N1440">_xlfn.IFS(M1440=1,"Low",M1440=2,"Medium",M1440=3,"High",M1440=4,"Very High")</f>
        <v>Very High</v>
      </c>
      <c r="O1440" t="s">
        <v>42</v>
      </c>
      <c r="P1440" s="2">
        <v>33</v>
      </c>
      <c r="Q1440">
        <v>3</v>
      </c>
      <c r="R1440" t="str" cm="1">
        <f t="array" ref="R1440">_xlfn.IFS(Q1440=1,"Low",Q1440=2,"Medium",Q1440=3,"High",Q1440=4,"Very High")</f>
        <v>High</v>
      </c>
      <c r="S1440">
        <v>1</v>
      </c>
      <c r="T1440" t="str" cm="1">
        <f t="array" ref="T1440">_xlfn.IFS(S1440=1,"Entry Level",S1440=2,"Junior",S1440=3,"Mid-Level",S1440=4,"Senior",S1440=5,"Executive")</f>
        <v>Entry Level</v>
      </c>
      <c r="U1440" t="s">
        <v>53</v>
      </c>
      <c r="V1440">
        <v>1</v>
      </c>
      <c r="W1440" t="str" cm="1">
        <f t="array" ref="W1440">_xlfn.IFS(V1440=1,"Low",V1440=2,"Medium",V1440=3,"High",V1440=4,"Very High")</f>
        <v>Low</v>
      </c>
      <c r="X1440" t="s">
        <v>44</v>
      </c>
      <c r="Y1440" s="2">
        <v>1790</v>
      </c>
      <c r="Z1440" s="2">
        <v>26956</v>
      </c>
      <c r="AA1440">
        <v>1</v>
      </c>
      <c r="AB1440" t="s">
        <v>39</v>
      </c>
      <c r="AC1440">
        <v>19</v>
      </c>
      <c r="AD1440">
        <v>3</v>
      </c>
      <c r="AE1440" t="str" cm="1">
        <f t="array" ref="AE1440">_xlfn.IFS(AD1440=1,"Low",AD1440=2,"Good",AD1440=3,"Excellent",AD1440=4,"Outstanding")</f>
        <v>Excellent</v>
      </c>
      <c r="AF1440">
        <v>1</v>
      </c>
      <c r="AG1440" t="str" cm="1">
        <f t="array" ref="AG1440">_xlfn.IFS(AF1440=1,"Low",AF1440=2,"Medium",AF1440=3,"High",AF1440=4,"Very High")</f>
        <v>Low</v>
      </c>
      <c r="AH1440">
        <v>1</v>
      </c>
      <c r="AI1440">
        <v>1</v>
      </c>
      <c r="AJ1440">
        <v>3</v>
      </c>
      <c r="AK1440">
        <v>2</v>
      </c>
      <c r="AL1440" t="str" cm="1">
        <f t="array" ref="AL1440">_xlfn.IFS(AK1440=1,"Low",AK1440=2,"Medium",AK1440=3,"High",AK1440=4,"Very High")</f>
        <v>Medium</v>
      </c>
      <c r="AM1440">
        <v>1</v>
      </c>
      <c r="AN1440">
        <v>0</v>
      </c>
      <c r="AO1440">
        <v>1</v>
      </c>
      <c r="AP1440">
        <v>0</v>
      </c>
    </row>
    <row r="1441" spans="1:42">
      <c r="A1441">
        <v>36</v>
      </c>
      <c r="B1441" t="str" cm="1">
        <f t="array" ref="B1441">_xlfn.IFS(A1441&lt;=25,"18-25",A1441&lt;=35,"26-35",A1441&lt;=45,"36-45",A1441&lt;=55,"46-55",A1441&gt;55,"56+")</f>
        <v>36-45</v>
      </c>
      <c r="C1441" t="s">
        <v>39</v>
      </c>
      <c r="D1441" t="s">
        <v>33</v>
      </c>
      <c r="E1441" s="2">
        <v>557</v>
      </c>
      <c r="F1441" t="s">
        <v>34</v>
      </c>
      <c r="G1441">
        <v>3</v>
      </c>
      <c r="H1441" t="str">
        <f t="shared" si="22"/>
        <v>1-10 km</v>
      </c>
      <c r="I1441">
        <v>3</v>
      </c>
      <c r="J1441" t="str" cm="1">
        <f t="array" ref="J1441">_xlfn.IFS(I1441=1,"Below College",I1441=2,"College",I1441=3,"Bachelor",I1441=4,"Master",I1441=5,"Doctor")</f>
        <v>Bachelor</v>
      </c>
      <c r="K1441" t="s">
        <v>47</v>
      </c>
      <c r="L1441">
        <v>2024</v>
      </c>
      <c r="M1441">
        <v>1</v>
      </c>
      <c r="N1441" t="str" cm="1">
        <f t="array" ref="N1441">_xlfn.IFS(M1441=1,"Low",M1441=2,"Medium",M1441=3,"High",M1441=4,"Very High")</f>
        <v>Low</v>
      </c>
      <c r="O1441" t="s">
        <v>36</v>
      </c>
      <c r="P1441" s="2">
        <v>94</v>
      </c>
      <c r="Q1441">
        <v>2</v>
      </c>
      <c r="R1441" t="str" cm="1">
        <f t="array" ref="R1441">_xlfn.IFS(Q1441=1,"Low",Q1441=2,"Medium",Q1441=3,"High",Q1441=4,"Very High")</f>
        <v>Medium</v>
      </c>
      <c r="S1441">
        <v>3</v>
      </c>
      <c r="T1441" t="str" cm="1">
        <f t="array" ref="T1441">_xlfn.IFS(S1441=1,"Entry Level",S1441=2,"Junior",S1441=3,"Mid-Level",S1441=4,"Senior",S1441=5,"Executive")</f>
        <v>Mid-Level</v>
      </c>
      <c r="U1441" t="s">
        <v>37</v>
      </c>
      <c r="V1441">
        <v>4</v>
      </c>
      <c r="W1441" t="str" cm="1">
        <f t="array" ref="W1441">_xlfn.IFS(V1441=1,"Low",V1441=2,"Medium",V1441=3,"High",V1441=4,"Very High")</f>
        <v>Very High</v>
      </c>
      <c r="X1441" t="s">
        <v>44</v>
      </c>
      <c r="Y1441" s="2">
        <v>7644</v>
      </c>
      <c r="Z1441" s="2">
        <v>12695</v>
      </c>
      <c r="AA1441">
        <v>0</v>
      </c>
      <c r="AB1441" t="s">
        <v>39</v>
      </c>
      <c r="AC1441">
        <v>19</v>
      </c>
      <c r="AD1441">
        <v>3</v>
      </c>
      <c r="AE1441" t="str" cm="1">
        <f t="array" ref="AE1441">_xlfn.IFS(AD1441=1,"Low",AD1441=2,"Good",AD1441=3,"Excellent",AD1441=4,"Outstanding")</f>
        <v>Excellent</v>
      </c>
      <c r="AF1441">
        <v>3</v>
      </c>
      <c r="AG1441" t="str" cm="1">
        <f t="array" ref="AG1441">_xlfn.IFS(AF1441=1,"Low",AF1441=2,"Medium",AF1441=3,"High",AF1441=4,"Very High")</f>
        <v>High</v>
      </c>
      <c r="AH1441">
        <v>2</v>
      </c>
      <c r="AI1441">
        <v>10</v>
      </c>
      <c r="AJ1441">
        <v>2</v>
      </c>
      <c r="AK1441">
        <v>3</v>
      </c>
      <c r="AL1441" t="str" cm="1">
        <f t="array" ref="AL1441">_xlfn.IFS(AK1441=1,"Low",AK1441=2,"Medium",AK1441=3,"High",AK1441=4,"Very High")</f>
        <v>High</v>
      </c>
      <c r="AM1441">
        <v>9</v>
      </c>
      <c r="AN1441">
        <v>7</v>
      </c>
      <c r="AO1441">
        <v>3</v>
      </c>
      <c r="AP1441">
        <v>4</v>
      </c>
    </row>
    <row r="1442" spans="1:42">
      <c r="A1442">
        <v>36</v>
      </c>
      <c r="B1442" t="str" cm="1">
        <f t="array" ref="B1442">_xlfn.IFS(A1442&lt;=25,"18-25",A1442&lt;=35,"26-35",A1442&lt;=45,"36-45",A1442&lt;=55,"46-55",A1442&gt;55,"56+")</f>
        <v>36-45</v>
      </c>
      <c r="C1442" t="s">
        <v>39</v>
      </c>
      <c r="D1442" t="s">
        <v>40</v>
      </c>
      <c r="E1442" s="2">
        <v>688</v>
      </c>
      <c r="F1442" t="s">
        <v>41</v>
      </c>
      <c r="G1442">
        <v>4</v>
      </c>
      <c r="H1442" t="str">
        <f t="shared" si="22"/>
        <v>1-10 km</v>
      </c>
      <c r="I1442">
        <v>2</v>
      </c>
      <c r="J1442" t="str" cm="1">
        <f t="array" ref="J1442">_xlfn.IFS(I1442=1,"Below College",I1442=2,"College",I1442=3,"Bachelor",I1442=4,"Master",I1442=5,"Doctor")</f>
        <v>College</v>
      </c>
      <c r="K1442" t="s">
        <v>35</v>
      </c>
      <c r="L1442">
        <v>2025</v>
      </c>
      <c r="M1442">
        <v>4</v>
      </c>
      <c r="N1442" t="str" cm="1">
        <f t="array" ref="N1442">_xlfn.IFS(M1442=1,"Low",M1442=2,"Medium",M1442=3,"High",M1442=4,"Very High")</f>
        <v>Very High</v>
      </c>
      <c r="O1442" t="s">
        <v>36</v>
      </c>
      <c r="P1442" s="2">
        <v>97</v>
      </c>
      <c r="Q1442">
        <v>3</v>
      </c>
      <c r="R1442" t="str" cm="1">
        <f t="array" ref="R1442">_xlfn.IFS(Q1442=1,"Low",Q1442=2,"Medium",Q1442=3,"High",Q1442=4,"Very High")</f>
        <v>High</v>
      </c>
      <c r="S1442">
        <v>2</v>
      </c>
      <c r="T1442" t="str" cm="1">
        <f t="array" ref="T1442">_xlfn.IFS(S1442=1,"Entry Level",S1442=2,"Junior",S1442=3,"Mid-Level",S1442=4,"Senior",S1442=5,"Executive")</f>
        <v>Junior</v>
      </c>
      <c r="U1442" t="s">
        <v>49</v>
      </c>
      <c r="V1442">
        <v>2</v>
      </c>
      <c r="W1442" t="str" cm="1">
        <f t="array" ref="W1442">_xlfn.IFS(V1442=1,"Low",V1442=2,"Medium",V1442=3,"High",V1442=4,"Very High")</f>
        <v>Medium</v>
      </c>
      <c r="X1442" t="s">
        <v>48</v>
      </c>
      <c r="Y1442" s="2">
        <v>5131</v>
      </c>
      <c r="Z1442" s="2">
        <v>9192</v>
      </c>
      <c r="AA1442">
        <v>7</v>
      </c>
      <c r="AB1442" t="s">
        <v>39</v>
      </c>
      <c r="AC1442">
        <v>13</v>
      </c>
      <c r="AD1442">
        <v>3</v>
      </c>
      <c r="AE1442" t="str" cm="1">
        <f t="array" ref="AE1442">_xlfn.IFS(AD1442=1,"Low",AD1442=2,"Good",AD1442=3,"Excellent",AD1442=4,"Outstanding")</f>
        <v>Excellent</v>
      </c>
      <c r="AF1442">
        <v>2</v>
      </c>
      <c r="AG1442" t="str" cm="1">
        <f t="array" ref="AG1442">_xlfn.IFS(AF1442=1,"Low",AF1442=2,"Medium",AF1442=3,"High",AF1442=4,"Very High")</f>
        <v>Medium</v>
      </c>
      <c r="AH1442">
        <v>3</v>
      </c>
      <c r="AI1442">
        <v>18</v>
      </c>
      <c r="AJ1442">
        <v>3</v>
      </c>
      <c r="AK1442">
        <v>3</v>
      </c>
      <c r="AL1442" t="str" cm="1">
        <f t="array" ref="AL1442">_xlfn.IFS(AK1442=1,"Low",AK1442=2,"Medium",AK1442=3,"High",AK1442=4,"Very High")</f>
        <v>High</v>
      </c>
      <c r="AM1442">
        <v>4</v>
      </c>
      <c r="AN1442">
        <v>2</v>
      </c>
      <c r="AO1442">
        <v>0</v>
      </c>
      <c r="AP1442">
        <v>2</v>
      </c>
    </row>
    <row r="1443" spans="1:42">
      <c r="A1443">
        <v>56</v>
      </c>
      <c r="B1443" t="str" cm="1">
        <f t="array" ref="B1443">_xlfn.IFS(A1443&lt;=25,"18-25",A1443&lt;=35,"26-35",A1443&lt;=45,"36-45",A1443&lt;=55,"46-55",A1443&gt;55,"56+")</f>
        <v>56+</v>
      </c>
      <c r="C1443" t="s">
        <v>39</v>
      </c>
      <c r="D1443" t="s">
        <v>51</v>
      </c>
      <c r="E1443" s="2">
        <v>667</v>
      </c>
      <c r="F1443" t="s">
        <v>41</v>
      </c>
      <c r="G1443">
        <v>1</v>
      </c>
      <c r="H1443" t="str">
        <f t="shared" si="22"/>
        <v>1-10 km</v>
      </c>
      <c r="I1443">
        <v>4</v>
      </c>
      <c r="J1443" t="str" cm="1">
        <f t="array" ref="J1443">_xlfn.IFS(I1443=1,"Below College",I1443=2,"College",I1443=3,"Bachelor",I1443=4,"Master",I1443=5,"Doctor")</f>
        <v>Master</v>
      </c>
      <c r="K1443" t="s">
        <v>35</v>
      </c>
      <c r="L1443">
        <v>2026</v>
      </c>
      <c r="M1443">
        <v>3</v>
      </c>
      <c r="N1443" t="str" cm="1">
        <f t="array" ref="N1443">_xlfn.IFS(M1443=1,"Low",M1443=2,"Medium",M1443=3,"High",M1443=4,"Very High")</f>
        <v>High</v>
      </c>
      <c r="O1443" t="s">
        <v>42</v>
      </c>
      <c r="P1443" s="2">
        <v>57</v>
      </c>
      <c r="Q1443">
        <v>3</v>
      </c>
      <c r="R1443" t="str" cm="1">
        <f t="array" ref="R1443">_xlfn.IFS(Q1443=1,"Low",Q1443=2,"Medium",Q1443=3,"High",Q1443=4,"Very High")</f>
        <v>High</v>
      </c>
      <c r="S1443">
        <v>2</v>
      </c>
      <c r="T1443" t="str" cm="1">
        <f t="array" ref="T1443">_xlfn.IFS(S1443=1,"Entry Level",S1443=2,"Junior",S1443=3,"Mid-Level",S1443=4,"Senior",S1443=5,"Executive")</f>
        <v>Junior</v>
      </c>
      <c r="U1443" t="s">
        <v>50</v>
      </c>
      <c r="V1443">
        <v>3</v>
      </c>
      <c r="W1443" t="str" cm="1">
        <f t="array" ref="W1443">_xlfn.IFS(V1443=1,"Low",V1443=2,"Medium",V1443=3,"High",V1443=4,"Very High")</f>
        <v>High</v>
      </c>
      <c r="X1443" t="s">
        <v>48</v>
      </c>
      <c r="Y1443" s="2">
        <v>6306</v>
      </c>
      <c r="Z1443" s="2">
        <v>26236</v>
      </c>
      <c r="AA1443">
        <v>1</v>
      </c>
      <c r="AB1443" t="s">
        <v>39</v>
      </c>
      <c r="AC1443">
        <v>21</v>
      </c>
      <c r="AD1443">
        <v>4</v>
      </c>
      <c r="AE1443" t="str" cm="1">
        <f t="array" ref="AE1443">_xlfn.IFS(AD1443=1,"Low",AD1443=2,"Good",AD1443=3,"Excellent",AD1443=4,"Outstanding")</f>
        <v>Outstanding</v>
      </c>
      <c r="AF1443">
        <v>1</v>
      </c>
      <c r="AG1443" t="str" cm="1">
        <f t="array" ref="AG1443">_xlfn.IFS(AF1443=1,"Low",AF1443=2,"Medium",AF1443=3,"High",AF1443=4,"Very High")</f>
        <v>Low</v>
      </c>
      <c r="AH1443">
        <v>1</v>
      </c>
      <c r="AI1443">
        <v>13</v>
      </c>
      <c r="AJ1443">
        <v>2</v>
      </c>
      <c r="AK1443">
        <v>2</v>
      </c>
      <c r="AL1443" t="str" cm="1">
        <f t="array" ref="AL1443">_xlfn.IFS(AK1443=1,"Low",AK1443=2,"Medium",AK1443=3,"High",AK1443=4,"Very High")</f>
        <v>Medium</v>
      </c>
      <c r="AM1443">
        <v>13</v>
      </c>
      <c r="AN1443">
        <v>12</v>
      </c>
      <c r="AO1443">
        <v>1</v>
      </c>
      <c r="AP1443">
        <v>9</v>
      </c>
    </row>
    <row r="1444" spans="1:42">
      <c r="A1444">
        <v>29</v>
      </c>
      <c r="B1444" t="str" cm="1">
        <f t="array" ref="B1444">_xlfn.IFS(A1444&lt;=25,"18-25",A1444&lt;=35,"26-35",A1444&lt;=45,"36-45",A1444&lt;=55,"46-55",A1444&gt;55,"56+")</f>
        <v>26-35</v>
      </c>
      <c r="C1444" t="s">
        <v>32</v>
      </c>
      <c r="D1444" t="s">
        <v>33</v>
      </c>
      <c r="E1444" s="2">
        <v>1092</v>
      </c>
      <c r="F1444" t="s">
        <v>41</v>
      </c>
      <c r="G1444">
        <v>1</v>
      </c>
      <c r="H1444" t="str">
        <f t="shared" si="22"/>
        <v>1-10 km</v>
      </c>
      <c r="I1444">
        <v>4</v>
      </c>
      <c r="J1444" t="str" cm="1">
        <f t="array" ref="J1444">_xlfn.IFS(I1444=1,"Below College",I1444=2,"College",I1444=3,"Bachelor",I1444=4,"Master",I1444=5,"Doctor")</f>
        <v>Master</v>
      </c>
      <c r="K1444" t="s">
        <v>47</v>
      </c>
      <c r="L1444">
        <v>2027</v>
      </c>
      <c r="M1444">
        <v>1</v>
      </c>
      <c r="N1444" t="str" cm="1">
        <f t="array" ref="N1444">_xlfn.IFS(M1444=1,"Low",M1444=2,"Medium",M1444=3,"High",M1444=4,"Very High")</f>
        <v>Low</v>
      </c>
      <c r="O1444" t="s">
        <v>42</v>
      </c>
      <c r="P1444" s="2">
        <v>36</v>
      </c>
      <c r="Q1444">
        <v>3</v>
      </c>
      <c r="R1444" t="str" cm="1">
        <f t="array" ref="R1444">_xlfn.IFS(Q1444=1,"Low",Q1444=2,"Medium",Q1444=3,"High",Q1444=4,"Very High")</f>
        <v>High</v>
      </c>
      <c r="S1444">
        <v>1</v>
      </c>
      <c r="T1444" t="str" cm="1">
        <f t="array" ref="T1444">_xlfn.IFS(S1444=1,"Entry Level",S1444=2,"Junior",S1444=3,"Mid-Level",S1444=4,"Senior",S1444=5,"Executive")</f>
        <v>Entry Level</v>
      </c>
      <c r="U1444" t="s">
        <v>43</v>
      </c>
      <c r="V1444">
        <v>4</v>
      </c>
      <c r="W1444" t="str" cm="1">
        <f t="array" ref="W1444">_xlfn.IFS(V1444=1,"Low",V1444=2,"Medium",V1444=3,"High",V1444=4,"Very High")</f>
        <v>Very High</v>
      </c>
      <c r="X1444" t="s">
        <v>44</v>
      </c>
      <c r="Y1444" s="2">
        <v>4787</v>
      </c>
      <c r="Z1444" s="2">
        <v>26124</v>
      </c>
      <c r="AA1444">
        <v>9</v>
      </c>
      <c r="AB1444" t="s">
        <v>32</v>
      </c>
      <c r="AC1444">
        <v>14</v>
      </c>
      <c r="AD1444">
        <v>3</v>
      </c>
      <c r="AE1444" t="str" cm="1">
        <f t="array" ref="AE1444">_xlfn.IFS(AD1444=1,"Low",AD1444=2,"Good",AD1444=3,"Excellent",AD1444=4,"Outstanding")</f>
        <v>Excellent</v>
      </c>
      <c r="AF1444">
        <v>2</v>
      </c>
      <c r="AG1444" t="str" cm="1">
        <f t="array" ref="AG1444">_xlfn.IFS(AF1444=1,"Low",AF1444=2,"Medium",AF1444=3,"High",AF1444=4,"Very High")</f>
        <v>Medium</v>
      </c>
      <c r="AH1444">
        <v>3</v>
      </c>
      <c r="AI1444">
        <v>4</v>
      </c>
      <c r="AJ1444">
        <v>3</v>
      </c>
      <c r="AK1444">
        <v>4</v>
      </c>
      <c r="AL1444" t="str" cm="1">
        <f t="array" ref="AL1444">_xlfn.IFS(AK1444=1,"Low",AK1444=2,"Medium",AK1444=3,"High",AK1444=4,"Very High")</f>
        <v>Very High</v>
      </c>
      <c r="AM1444">
        <v>2</v>
      </c>
      <c r="AN1444">
        <v>2</v>
      </c>
      <c r="AO1444">
        <v>2</v>
      </c>
      <c r="AP1444">
        <v>2</v>
      </c>
    </row>
    <row r="1445" spans="1:42">
      <c r="A1445">
        <v>42</v>
      </c>
      <c r="B1445" t="str" cm="1">
        <f t="array" ref="B1445">_xlfn.IFS(A1445&lt;=25,"18-25",A1445&lt;=35,"26-35",A1445&lt;=45,"36-45",A1445&lt;=55,"46-55",A1445&gt;55,"56+")</f>
        <v>36-45</v>
      </c>
      <c r="C1445" t="s">
        <v>39</v>
      </c>
      <c r="D1445" t="s">
        <v>33</v>
      </c>
      <c r="E1445" s="2">
        <v>300</v>
      </c>
      <c r="F1445" t="s">
        <v>41</v>
      </c>
      <c r="G1445">
        <v>2</v>
      </c>
      <c r="H1445" t="str">
        <f t="shared" si="22"/>
        <v>1-10 km</v>
      </c>
      <c r="I1445">
        <v>3</v>
      </c>
      <c r="J1445" t="str" cm="1">
        <f t="array" ref="J1445">_xlfn.IFS(I1445=1,"Below College",I1445=2,"College",I1445=3,"Bachelor",I1445=4,"Master",I1445=5,"Doctor")</f>
        <v>Bachelor</v>
      </c>
      <c r="K1445" t="s">
        <v>35</v>
      </c>
      <c r="L1445">
        <v>2031</v>
      </c>
      <c r="M1445">
        <v>1</v>
      </c>
      <c r="N1445" t="str" cm="1">
        <f t="array" ref="N1445">_xlfn.IFS(M1445=1,"Low",M1445=2,"Medium",M1445=3,"High",M1445=4,"Very High")</f>
        <v>Low</v>
      </c>
      <c r="O1445" t="s">
        <v>42</v>
      </c>
      <c r="P1445" s="2">
        <v>56</v>
      </c>
      <c r="Q1445">
        <v>3</v>
      </c>
      <c r="R1445" t="str" cm="1">
        <f t="array" ref="R1445">_xlfn.IFS(Q1445=1,"Low",Q1445=2,"Medium",Q1445=3,"High",Q1445=4,"Very High")</f>
        <v>High</v>
      </c>
      <c r="S1445">
        <v>5</v>
      </c>
      <c r="T1445" t="str" cm="1">
        <f t="array" ref="T1445">_xlfn.IFS(S1445=1,"Entry Level",S1445=2,"Junior",S1445=3,"Mid-Level",S1445=4,"Senior",S1445=5,"Executive")</f>
        <v>Executive</v>
      </c>
      <c r="U1445" t="s">
        <v>52</v>
      </c>
      <c r="V1445">
        <v>3</v>
      </c>
      <c r="W1445" t="str" cm="1">
        <f t="array" ref="W1445">_xlfn.IFS(V1445=1,"Low",V1445=2,"Medium",V1445=3,"High",V1445=4,"Very High")</f>
        <v>High</v>
      </c>
      <c r="X1445" t="s">
        <v>44</v>
      </c>
      <c r="Y1445" s="2">
        <v>18880</v>
      </c>
      <c r="Z1445" s="2">
        <v>17312</v>
      </c>
      <c r="AA1445">
        <v>5</v>
      </c>
      <c r="AB1445" t="s">
        <v>39</v>
      </c>
      <c r="AC1445">
        <v>11</v>
      </c>
      <c r="AD1445">
        <v>3</v>
      </c>
      <c r="AE1445" t="str" cm="1">
        <f t="array" ref="AE1445">_xlfn.IFS(AD1445=1,"Low",AD1445=2,"Good",AD1445=3,"Excellent",AD1445=4,"Outstanding")</f>
        <v>Excellent</v>
      </c>
      <c r="AF1445">
        <v>1</v>
      </c>
      <c r="AG1445" t="str" cm="1">
        <f t="array" ref="AG1445">_xlfn.IFS(AF1445=1,"Low",AF1445=2,"Medium",AF1445=3,"High",AF1445=4,"Very High")</f>
        <v>Low</v>
      </c>
      <c r="AH1445">
        <v>0</v>
      </c>
      <c r="AI1445">
        <v>24</v>
      </c>
      <c r="AJ1445">
        <v>2</v>
      </c>
      <c r="AK1445">
        <v>2</v>
      </c>
      <c r="AL1445" t="str" cm="1">
        <f t="array" ref="AL1445">_xlfn.IFS(AK1445=1,"Low",AK1445=2,"Medium",AK1445=3,"High",AK1445=4,"Very High")</f>
        <v>Medium</v>
      </c>
      <c r="AM1445">
        <v>22</v>
      </c>
      <c r="AN1445">
        <v>6</v>
      </c>
      <c r="AO1445">
        <v>4</v>
      </c>
      <c r="AP1445">
        <v>14</v>
      </c>
    </row>
    <row r="1446" spans="1:42">
      <c r="A1446">
        <v>56</v>
      </c>
      <c r="B1446" t="str" cm="1">
        <f t="array" ref="B1446">_xlfn.IFS(A1446&lt;=25,"18-25",A1446&lt;=35,"26-35",A1446&lt;=45,"36-45",A1446&lt;=55,"46-55",A1446&gt;55,"56+")</f>
        <v>56+</v>
      </c>
      <c r="C1446" t="s">
        <v>32</v>
      </c>
      <c r="D1446" t="s">
        <v>33</v>
      </c>
      <c r="E1446" s="2">
        <v>310</v>
      </c>
      <c r="F1446" t="s">
        <v>41</v>
      </c>
      <c r="G1446">
        <v>7</v>
      </c>
      <c r="H1446" t="str">
        <f t="shared" si="22"/>
        <v>1-10 km</v>
      </c>
      <c r="I1446">
        <v>2</v>
      </c>
      <c r="J1446" t="str" cm="1">
        <f t="array" ref="J1446">_xlfn.IFS(I1446=1,"Below College",I1446=2,"College",I1446=3,"Bachelor",I1446=4,"Master",I1446=5,"Doctor")</f>
        <v>College</v>
      </c>
      <c r="K1446" t="s">
        <v>56</v>
      </c>
      <c r="L1446">
        <v>2032</v>
      </c>
      <c r="M1446">
        <v>4</v>
      </c>
      <c r="N1446" t="str" cm="1">
        <f t="array" ref="N1446">_xlfn.IFS(M1446=1,"Low",M1446=2,"Medium",M1446=3,"High",M1446=4,"Very High")</f>
        <v>Very High</v>
      </c>
      <c r="O1446" t="s">
        <v>42</v>
      </c>
      <c r="P1446" s="2">
        <v>72</v>
      </c>
      <c r="Q1446">
        <v>3</v>
      </c>
      <c r="R1446" t="str" cm="1">
        <f t="array" ref="R1446">_xlfn.IFS(Q1446=1,"Low",Q1446=2,"Medium",Q1446=3,"High",Q1446=4,"Very High")</f>
        <v>High</v>
      </c>
      <c r="S1446">
        <v>1</v>
      </c>
      <c r="T1446" t="str" cm="1">
        <f t="array" ref="T1446">_xlfn.IFS(S1446=1,"Entry Level",S1446=2,"Junior",S1446=3,"Mid-Level",S1446=4,"Senior",S1446=5,"Executive")</f>
        <v>Entry Level</v>
      </c>
      <c r="U1446" t="s">
        <v>46</v>
      </c>
      <c r="V1446">
        <v>3</v>
      </c>
      <c r="W1446" t="str" cm="1">
        <f t="array" ref="W1446">_xlfn.IFS(V1446=1,"Low",V1446=2,"Medium",V1446=3,"High",V1446=4,"Very High")</f>
        <v>High</v>
      </c>
      <c r="X1446" t="s">
        <v>44</v>
      </c>
      <c r="Y1446" s="2">
        <v>2339</v>
      </c>
      <c r="Z1446" s="2">
        <v>3666</v>
      </c>
      <c r="AA1446">
        <v>8</v>
      </c>
      <c r="AB1446" t="s">
        <v>39</v>
      </c>
      <c r="AC1446">
        <v>11</v>
      </c>
      <c r="AD1446">
        <v>3</v>
      </c>
      <c r="AE1446" t="str" cm="1">
        <f t="array" ref="AE1446">_xlfn.IFS(AD1446=1,"Low",AD1446=2,"Good",AD1446=3,"Excellent",AD1446=4,"Outstanding")</f>
        <v>Excellent</v>
      </c>
      <c r="AF1446">
        <v>4</v>
      </c>
      <c r="AG1446" t="str" cm="1">
        <f t="array" ref="AG1446">_xlfn.IFS(AF1446=1,"Low",AF1446=2,"Medium",AF1446=3,"High",AF1446=4,"Very High")</f>
        <v>Very High</v>
      </c>
      <c r="AH1446">
        <v>1</v>
      </c>
      <c r="AI1446">
        <v>14</v>
      </c>
      <c r="AJ1446">
        <v>4</v>
      </c>
      <c r="AK1446">
        <v>1</v>
      </c>
      <c r="AL1446" t="str" cm="1">
        <f t="array" ref="AL1446">_xlfn.IFS(AK1446=1,"Low",AK1446=2,"Medium",AK1446=3,"High",AK1446=4,"Very High")</f>
        <v>Low</v>
      </c>
      <c r="AM1446">
        <v>10</v>
      </c>
      <c r="AN1446">
        <v>9</v>
      </c>
      <c r="AO1446">
        <v>9</v>
      </c>
      <c r="AP1446">
        <v>8</v>
      </c>
    </row>
    <row r="1447" spans="1:42">
      <c r="A1447">
        <v>41</v>
      </c>
      <c r="B1447" t="str" cm="1">
        <f t="array" ref="B1447">_xlfn.IFS(A1447&lt;=25,"18-25",A1447&lt;=35,"26-35",A1447&lt;=45,"36-45",A1447&lt;=55,"46-55",A1447&gt;55,"56+")</f>
        <v>36-45</v>
      </c>
      <c r="C1447" t="s">
        <v>39</v>
      </c>
      <c r="D1447" t="s">
        <v>33</v>
      </c>
      <c r="E1447" s="2">
        <v>582</v>
      </c>
      <c r="F1447" t="s">
        <v>41</v>
      </c>
      <c r="G1447">
        <v>28</v>
      </c>
      <c r="H1447" t="str">
        <f t="shared" si="22"/>
        <v>21-30 km</v>
      </c>
      <c r="I1447">
        <v>4</v>
      </c>
      <c r="J1447" t="str" cm="1">
        <f t="array" ref="J1447">_xlfn.IFS(I1447=1,"Below College",I1447=2,"College",I1447=3,"Bachelor",I1447=4,"Master",I1447=5,"Doctor")</f>
        <v>Master</v>
      </c>
      <c r="K1447" t="s">
        <v>35</v>
      </c>
      <c r="L1447">
        <v>2034</v>
      </c>
      <c r="M1447">
        <v>1</v>
      </c>
      <c r="N1447" t="str" cm="1">
        <f t="array" ref="N1447">_xlfn.IFS(M1447=1,"Low",M1447=2,"Medium",M1447=3,"High",M1447=4,"Very High")</f>
        <v>Low</v>
      </c>
      <c r="O1447" t="s">
        <v>36</v>
      </c>
      <c r="P1447" s="2">
        <v>60</v>
      </c>
      <c r="Q1447">
        <v>2</v>
      </c>
      <c r="R1447" t="str" cm="1">
        <f t="array" ref="R1447">_xlfn.IFS(Q1447=1,"Low",Q1447=2,"Medium",Q1447=3,"High",Q1447=4,"Very High")</f>
        <v>Medium</v>
      </c>
      <c r="S1447">
        <v>4</v>
      </c>
      <c r="T1447" t="str" cm="1">
        <f t="array" ref="T1447">_xlfn.IFS(S1447=1,"Entry Level",S1447=2,"Junior",S1447=3,"Mid-Level",S1447=4,"Senior",S1447=5,"Executive")</f>
        <v>Senior</v>
      </c>
      <c r="U1447" t="s">
        <v>49</v>
      </c>
      <c r="V1447">
        <v>2</v>
      </c>
      <c r="W1447" t="str" cm="1">
        <f t="array" ref="W1447">_xlfn.IFS(V1447=1,"Low",V1447=2,"Medium",V1447=3,"High",V1447=4,"Very High")</f>
        <v>Medium</v>
      </c>
      <c r="X1447" t="s">
        <v>44</v>
      </c>
      <c r="Y1447" s="2">
        <v>13570</v>
      </c>
      <c r="Z1447" s="2">
        <v>5640</v>
      </c>
      <c r="AA1447">
        <v>0</v>
      </c>
      <c r="AB1447" t="s">
        <v>39</v>
      </c>
      <c r="AC1447">
        <v>23</v>
      </c>
      <c r="AD1447">
        <v>4</v>
      </c>
      <c r="AE1447" t="str" cm="1">
        <f t="array" ref="AE1447">_xlfn.IFS(AD1447=1,"Low",AD1447=2,"Good",AD1447=3,"Excellent",AD1447=4,"Outstanding")</f>
        <v>Outstanding</v>
      </c>
      <c r="AF1447">
        <v>3</v>
      </c>
      <c r="AG1447" t="str" cm="1">
        <f t="array" ref="AG1447">_xlfn.IFS(AF1447=1,"Low",AF1447=2,"Medium",AF1447=3,"High",AF1447=4,"Very High")</f>
        <v>High</v>
      </c>
      <c r="AH1447">
        <v>1</v>
      </c>
      <c r="AI1447">
        <v>21</v>
      </c>
      <c r="AJ1447">
        <v>3</v>
      </c>
      <c r="AK1447">
        <v>3</v>
      </c>
      <c r="AL1447" t="str" cm="1">
        <f t="array" ref="AL1447">_xlfn.IFS(AK1447=1,"Low",AK1447=2,"Medium",AK1447=3,"High",AK1447=4,"Very High")</f>
        <v>High</v>
      </c>
      <c r="AM1447">
        <v>20</v>
      </c>
      <c r="AN1447">
        <v>7</v>
      </c>
      <c r="AO1447">
        <v>0</v>
      </c>
      <c r="AP1447">
        <v>10</v>
      </c>
    </row>
    <row r="1448" spans="1:42">
      <c r="A1448">
        <v>34</v>
      </c>
      <c r="B1448" t="str" cm="1">
        <f t="array" ref="B1448">_xlfn.IFS(A1448&lt;=25,"18-25",A1448&lt;=35,"26-35",A1448&lt;=45,"36-45",A1448&lt;=55,"46-55",A1448&gt;55,"56+")</f>
        <v>26-35</v>
      </c>
      <c r="C1448" t="s">
        <v>39</v>
      </c>
      <c r="D1448" t="s">
        <v>33</v>
      </c>
      <c r="E1448" s="2">
        <v>704</v>
      </c>
      <c r="F1448" t="s">
        <v>34</v>
      </c>
      <c r="G1448">
        <v>28</v>
      </c>
      <c r="H1448" t="str">
        <f t="shared" si="22"/>
        <v>21-30 km</v>
      </c>
      <c r="I1448">
        <v>3</v>
      </c>
      <c r="J1448" t="str" cm="1">
        <f t="array" ref="J1448">_xlfn.IFS(I1448=1,"Below College",I1448=2,"College",I1448=3,"Bachelor",I1448=4,"Master",I1448=5,"Doctor")</f>
        <v>Bachelor</v>
      </c>
      <c r="K1448" t="s">
        <v>55</v>
      </c>
      <c r="L1448">
        <v>2035</v>
      </c>
      <c r="M1448">
        <v>4</v>
      </c>
      <c r="N1448" t="str" cm="1">
        <f t="array" ref="N1448">_xlfn.IFS(M1448=1,"Low",M1448=2,"Medium",M1448=3,"High",M1448=4,"Very High")</f>
        <v>Very High</v>
      </c>
      <c r="O1448" t="s">
        <v>36</v>
      </c>
      <c r="P1448" s="2">
        <v>95</v>
      </c>
      <c r="Q1448">
        <v>2</v>
      </c>
      <c r="R1448" t="str" cm="1">
        <f t="array" ref="R1448">_xlfn.IFS(Q1448=1,"Low",Q1448=2,"Medium",Q1448=3,"High",Q1448=4,"Very High")</f>
        <v>Medium</v>
      </c>
      <c r="S1448">
        <v>2</v>
      </c>
      <c r="T1448" t="str" cm="1">
        <f t="array" ref="T1448">_xlfn.IFS(S1448=1,"Entry Level",S1448=2,"Junior",S1448=3,"Mid-Level",S1448=4,"Senior",S1448=5,"Executive")</f>
        <v>Junior</v>
      </c>
      <c r="U1448" t="s">
        <v>37</v>
      </c>
      <c r="V1448">
        <v>3</v>
      </c>
      <c r="W1448" t="str" cm="1">
        <f t="array" ref="W1448">_xlfn.IFS(V1448=1,"Low",V1448=2,"Medium",V1448=3,"High",V1448=4,"Very High")</f>
        <v>High</v>
      </c>
      <c r="X1448" t="s">
        <v>44</v>
      </c>
      <c r="Y1448" s="2">
        <v>6712</v>
      </c>
      <c r="Z1448" s="2">
        <v>8978</v>
      </c>
      <c r="AA1448">
        <v>1</v>
      </c>
      <c r="AB1448" t="s">
        <v>39</v>
      </c>
      <c r="AC1448">
        <v>21</v>
      </c>
      <c r="AD1448">
        <v>4</v>
      </c>
      <c r="AE1448" t="str" cm="1">
        <f t="array" ref="AE1448">_xlfn.IFS(AD1448=1,"Low",AD1448=2,"Good",AD1448=3,"Excellent",AD1448=4,"Outstanding")</f>
        <v>Outstanding</v>
      </c>
      <c r="AF1448">
        <v>4</v>
      </c>
      <c r="AG1448" t="str" cm="1">
        <f t="array" ref="AG1448">_xlfn.IFS(AF1448=1,"Low",AF1448=2,"Medium",AF1448=3,"High",AF1448=4,"Very High")</f>
        <v>Very High</v>
      </c>
      <c r="AH1448">
        <v>2</v>
      </c>
      <c r="AI1448">
        <v>8</v>
      </c>
      <c r="AJ1448">
        <v>2</v>
      </c>
      <c r="AK1448">
        <v>3</v>
      </c>
      <c r="AL1448" t="str" cm="1">
        <f t="array" ref="AL1448">_xlfn.IFS(AK1448=1,"Low",AK1448=2,"Medium",AK1448=3,"High",AK1448=4,"Very High")</f>
        <v>High</v>
      </c>
      <c r="AM1448">
        <v>8</v>
      </c>
      <c r="AN1448">
        <v>7</v>
      </c>
      <c r="AO1448">
        <v>1</v>
      </c>
      <c r="AP1448">
        <v>7</v>
      </c>
    </row>
    <row r="1449" spans="1:42">
      <c r="A1449">
        <v>36</v>
      </c>
      <c r="B1449" t="str" cm="1">
        <f t="array" ref="B1449">_xlfn.IFS(A1449&lt;=25,"18-25",A1449&lt;=35,"26-35",A1449&lt;=45,"36-45",A1449&lt;=55,"46-55",A1449&gt;55,"56+")</f>
        <v>36-45</v>
      </c>
      <c r="C1449" t="s">
        <v>39</v>
      </c>
      <c r="D1449" t="s">
        <v>51</v>
      </c>
      <c r="E1449" s="2">
        <v>301</v>
      </c>
      <c r="F1449" t="s">
        <v>34</v>
      </c>
      <c r="G1449">
        <v>15</v>
      </c>
      <c r="H1449" t="str">
        <f t="shared" si="22"/>
        <v>11-20 km</v>
      </c>
      <c r="I1449">
        <v>4</v>
      </c>
      <c r="J1449" t="str" cm="1">
        <f t="array" ref="J1449">_xlfn.IFS(I1449=1,"Below College",I1449=2,"College",I1449=3,"Bachelor",I1449=4,"Master",I1449=5,"Doctor")</f>
        <v>Master</v>
      </c>
      <c r="K1449" t="s">
        <v>55</v>
      </c>
      <c r="L1449">
        <v>2036</v>
      </c>
      <c r="M1449">
        <v>4</v>
      </c>
      <c r="N1449" t="str" cm="1">
        <f t="array" ref="N1449">_xlfn.IFS(M1449=1,"Low",M1449=2,"Medium",M1449=3,"High",M1449=4,"Very High")</f>
        <v>Very High</v>
      </c>
      <c r="O1449" t="s">
        <v>42</v>
      </c>
      <c r="P1449" s="2">
        <v>88</v>
      </c>
      <c r="Q1449">
        <v>1</v>
      </c>
      <c r="R1449" t="str" cm="1">
        <f t="array" ref="R1449">_xlfn.IFS(Q1449=1,"Low",Q1449=2,"Medium",Q1449=3,"High",Q1449=4,"Very High")</f>
        <v>Low</v>
      </c>
      <c r="S1449">
        <v>2</v>
      </c>
      <c r="T1449" t="str" cm="1">
        <f t="array" ref="T1449">_xlfn.IFS(S1449=1,"Entry Level",S1449=2,"Junior",S1449=3,"Mid-Level",S1449=4,"Senior",S1449=5,"Executive")</f>
        <v>Junior</v>
      </c>
      <c r="U1449" t="s">
        <v>37</v>
      </c>
      <c r="V1449">
        <v>4</v>
      </c>
      <c r="W1449" t="str" cm="1">
        <f t="array" ref="W1449">_xlfn.IFS(V1449=1,"Low",V1449=2,"Medium",V1449=3,"High",V1449=4,"Very High")</f>
        <v>Very High</v>
      </c>
      <c r="X1449" t="s">
        <v>48</v>
      </c>
      <c r="Y1449" s="2">
        <v>5406</v>
      </c>
      <c r="Z1449" s="2">
        <v>10436</v>
      </c>
      <c r="AA1449">
        <v>1</v>
      </c>
      <c r="AB1449" t="s">
        <v>39</v>
      </c>
      <c r="AC1449">
        <v>24</v>
      </c>
      <c r="AD1449">
        <v>4</v>
      </c>
      <c r="AE1449" t="str" cm="1">
        <f t="array" ref="AE1449">_xlfn.IFS(AD1449=1,"Low",AD1449=2,"Good",AD1449=3,"Excellent",AD1449=4,"Outstanding")</f>
        <v>Outstanding</v>
      </c>
      <c r="AF1449">
        <v>1</v>
      </c>
      <c r="AG1449" t="str" cm="1">
        <f t="array" ref="AG1449">_xlfn.IFS(AF1449=1,"Low",AF1449=2,"Medium",AF1449=3,"High",AF1449=4,"Very High")</f>
        <v>Low</v>
      </c>
      <c r="AH1449">
        <v>1</v>
      </c>
      <c r="AI1449">
        <v>15</v>
      </c>
      <c r="AJ1449">
        <v>4</v>
      </c>
      <c r="AK1449">
        <v>2</v>
      </c>
      <c r="AL1449" t="str" cm="1">
        <f t="array" ref="AL1449">_xlfn.IFS(AK1449=1,"Low",AK1449=2,"Medium",AK1449=3,"High",AK1449=4,"Very High")</f>
        <v>Medium</v>
      </c>
      <c r="AM1449">
        <v>15</v>
      </c>
      <c r="AN1449">
        <v>12</v>
      </c>
      <c r="AO1449">
        <v>11</v>
      </c>
      <c r="AP1449">
        <v>11</v>
      </c>
    </row>
    <row r="1450" spans="1:42">
      <c r="A1450">
        <v>41</v>
      </c>
      <c r="B1450" t="str" cm="1">
        <f t="array" ref="B1450">_xlfn.IFS(A1450&lt;=25,"18-25",A1450&lt;=35,"26-35",A1450&lt;=45,"36-45",A1450&lt;=55,"46-55",A1450&gt;55,"56+")</f>
        <v>36-45</v>
      </c>
      <c r="C1450" t="s">
        <v>39</v>
      </c>
      <c r="D1450" t="s">
        <v>33</v>
      </c>
      <c r="E1450" s="2">
        <v>930</v>
      </c>
      <c r="F1450" t="s">
        <v>34</v>
      </c>
      <c r="G1450">
        <v>3</v>
      </c>
      <c r="H1450" t="str">
        <f t="shared" si="22"/>
        <v>1-10 km</v>
      </c>
      <c r="I1450">
        <v>3</v>
      </c>
      <c r="J1450" t="str" cm="1">
        <f t="array" ref="J1450">_xlfn.IFS(I1450=1,"Below College",I1450=2,"College",I1450=3,"Bachelor",I1450=4,"Master",I1450=5,"Doctor")</f>
        <v>Bachelor</v>
      </c>
      <c r="K1450" t="s">
        <v>35</v>
      </c>
      <c r="L1450">
        <v>2037</v>
      </c>
      <c r="M1450">
        <v>3</v>
      </c>
      <c r="N1450" t="str" cm="1">
        <f t="array" ref="N1450">_xlfn.IFS(M1450=1,"Low",M1450=2,"Medium",M1450=3,"High",M1450=4,"Very High")</f>
        <v>High</v>
      </c>
      <c r="O1450" t="s">
        <v>42</v>
      </c>
      <c r="P1450" s="2">
        <v>57</v>
      </c>
      <c r="Q1450">
        <v>2</v>
      </c>
      <c r="R1450" t="str" cm="1">
        <f t="array" ref="R1450">_xlfn.IFS(Q1450=1,"Low",Q1450=2,"Medium",Q1450=3,"High",Q1450=4,"Very High")</f>
        <v>Medium</v>
      </c>
      <c r="S1450">
        <v>2</v>
      </c>
      <c r="T1450" t="str" cm="1">
        <f t="array" ref="T1450">_xlfn.IFS(S1450=1,"Entry Level",S1450=2,"Junior",S1450=3,"Mid-Level",S1450=4,"Senior",S1450=5,"Executive")</f>
        <v>Junior</v>
      </c>
      <c r="U1450" t="s">
        <v>37</v>
      </c>
      <c r="V1450">
        <v>2</v>
      </c>
      <c r="W1450" t="str" cm="1">
        <f t="array" ref="W1450">_xlfn.IFS(V1450=1,"Low",V1450=2,"Medium",V1450=3,"High",V1450=4,"Very High")</f>
        <v>Medium</v>
      </c>
      <c r="X1450" t="s">
        <v>48</v>
      </c>
      <c r="Y1450" s="2">
        <v>8938</v>
      </c>
      <c r="Z1450" s="2">
        <v>12227</v>
      </c>
      <c r="AA1450">
        <v>2</v>
      </c>
      <c r="AB1450" t="s">
        <v>39</v>
      </c>
      <c r="AC1450">
        <v>11</v>
      </c>
      <c r="AD1450">
        <v>3</v>
      </c>
      <c r="AE1450" t="str" cm="1">
        <f t="array" ref="AE1450">_xlfn.IFS(AD1450=1,"Low",AD1450=2,"Good",AD1450=3,"Excellent",AD1450=4,"Outstanding")</f>
        <v>Excellent</v>
      </c>
      <c r="AF1450">
        <v>3</v>
      </c>
      <c r="AG1450" t="str" cm="1">
        <f t="array" ref="AG1450">_xlfn.IFS(AF1450=1,"Low",AF1450=2,"Medium",AF1450=3,"High",AF1450=4,"Very High")</f>
        <v>High</v>
      </c>
      <c r="AH1450">
        <v>1</v>
      </c>
      <c r="AI1450">
        <v>14</v>
      </c>
      <c r="AJ1450">
        <v>5</v>
      </c>
      <c r="AK1450">
        <v>3</v>
      </c>
      <c r="AL1450" t="str" cm="1">
        <f t="array" ref="AL1450">_xlfn.IFS(AK1450=1,"Low",AK1450=2,"Medium",AK1450=3,"High",AK1450=4,"Very High")</f>
        <v>High</v>
      </c>
      <c r="AM1450">
        <v>5</v>
      </c>
      <c r="AN1450">
        <v>4</v>
      </c>
      <c r="AO1450">
        <v>0</v>
      </c>
      <c r="AP1450">
        <v>4</v>
      </c>
    </row>
    <row r="1451" spans="1:42">
      <c r="A1451">
        <v>32</v>
      </c>
      <c r="B1451" t="str" cm="1">
        <f t="array" ref="B1451">_xlfn.IFS(A1451&lt;=25,"18-25",A1451&lt;=35,"26-35",A1451&lt;=45,"36-45",A1451&lt;=55,"46-55",A1451&gt;55,"56+")</f>
        <v>26-35</v>
      </c>
      <c r="C1451" t="s">
        <v>39</v>
      </c>
      <c r="D1451" t="s">
        <v>33</v>
      </c>
      <c r="E1451" s="2">
        <v>529</v>
      </c>
      <c r="F1451" t="s">
        <v>41</v>
      </c>
      <c r="G1451">
        <v>2</v>
      </c>
      <c r="H1451" t="str">
        <f t="shared" si="22"/>
        <v>1-10 km</v>
      </c>
      <c r="I1451">
        <v>3</v>
      </c>
      <c r="J1451" t="str" cm="1">
        <f t="array" ref="J1451">_xlfn.IFS(I1451=1,"Below College",I1451=2,"College",I1451=3,"Bachelor",I1451=4,"Master",I1451=5,"Doctor")</f>
        <v>Bachelor</v>
      </c>
      <c r="K1451" t="s">
        <v>56</v>
      </c>
      <c r="L1451">
        <v>2038</v>
      </c>
      <c r="M1451">
        <v>4</v>
      </c>
      <c r="N1451" t="str" cm="1">
        <f t="array" ref="N1451">_xlfn.IFS(M1451=1,"Low",M1451=2,"Medium",M1451=3,"High",M1451=4,"Very High")</f>
        <v>Very High</v>
      </c>
      <c r="O1451" t="s">
        <v>42</v>
      </c>
      <c r="P1451" s="2">
        <v>78</v>
      </c>
      <c r="Q1451">
        <v>3</v>
      </c>
      <c r="R1451" t="str" cm="1">
        <f t="array" ref="R1451">_xlfn.IFS(Q1451=1,"Low",Q1451=2,"Medium",Q1451=3,"High",Q1451=4,"Very High")</f>
        <v>High</v>
      </c>
      <c r="S1451">
        <v>1</v>
      </c>
      <c r="T1451" t="str" cm="1">
        <f t="array" ref="T1451">_xlfn.IFS(S1451=1,"Entry Level",S1451=2,"Junior",S1451=3,"Mid-Level",S1451=4,"Senior",S1451=5,"Executive")</f>
        <v>Entry Level</v>
      </c>
      <c r="U1451" t="s">
        <v>43</v>
      </c>
      <c r="V1451">
        <v>1</v>
      </c>
      <c r="W1451" t="str" cm="1">
        <f t="array" ref="W1451">_xlfn.IFS(V1451=1,"Low",V1451=2,"Medium",V1451=3,"High",V1451=4,"Very High")</f>
        <v>Low</v>
      </c>
      <c r="X1451" t="s">
        <v>38</v>
      </c>
      <c r="Y1451" s="2">
        <v>2439</v>
      </c>
      <c r="Z1451" s="2">
        <v>11288</v>
      </c>
      <c r="AA1451">
        <v>1</v>
      </c>
      <c r="AB1451" t="s">
        <v>39</v>
      </c>
      <c r="AC1451">
        <v>14</v>
      </c>
      <c r="AD1451">
        <v>3</v>
      </c>
      <c r="AE1451" t="str" cm="1">
        <f t="array" ref="AE1451">_xlfn.IFS(AD1451=1,"Low",AD1451=2,"Good",AD1451=3,"Excellent",AD1451=4,"Outstanding")</f>
        <v>Excellent</v>
      </c>
      <c r="AF1451">
        <v>4</v>
      </c>
      <c r="AG1451" t="str" cm="1">
        <f t="array" ref="AG1451">_xlfn.IFS(AF1451=1,"Low",AF1451=2,"Medium",AF1451=3,"High",AF1451=4,"Very High")</f>
        <v>Very High</v>
      </c>
      <c r="AH1451">
        <v>0</v>
      </c>
      <c r="AI1451">
        <v>4</v>
      </c>
      <c r="AJ1451">
        <v>4</v>
      </c>
      <c r="AK1451">
        <v>3</v>
      </c>
      <c r="AL1451" t="str" cm="1">
        <f t="array" ref="AL1451">_xlfn.IFS(AK1451=1,"Low",AK1451=2,"Medium",AK1451=3,"High",AK1451=4,"Very High")</f>
        <v>High</v>
      </c>
      <c r="AM1451">
        <v>4</v>
      </c>
      <c r="AN1451">
        <v>2</v>
      </c>
      <c r="AO1451">
        <v>1</v>
      </c>
      <c r="AP1451">
        <v>2</v>
      </c>
    </row>
    <row r="1452" spans="1:42">
      <c r="A1452">
        <v>35</v>
      </c>
      <c r="B1452" t="str" cm="1">
        <f t="array" ref="B1452">_xlfn.IFS(A1452&lt;=25,"18-25",A1452&lt;=35,"26-35",A1452&lt;=45,"36-45",A1452&lt;=55,"46-55",A1452&gt;55,"56+")</f>
        <v>26-35</v>
      </c>
      <c r="C1452" t="s">
        <v>39</v>
      </c>
      <c r="D1452" t="s">
        <v>33</v>
      </c>
      <c r="E1452" s="2">
        <v>1146</v>
      </c>
      <c r="F1452" t="s">
        <v>57</v>
      </c>
      <c r="G1452">
        <v>26</v>
      </c>
      <c r="H1452" t="str">
        <f t="shared" si="22"/>
        <v>21-30 km</v>
      </c>
      <c r="I1452">
        <v>4</v>
      </c>
      <c r="J1452" t="str" cm="1">
        <f t="array" ref="J1452">_xlfn.IFS(I1452=1,"Below College",I1452=2,"College",I1452=3,"Bachelor",I1452=4,"Master",I1452=5,"Doctor")</f>
        <v>Master</v>
      </c>
      <c r="K1452" t="s">
        <v>35</v>
      </c>
      <c r="L1452">
        <v>2040</v>
      </c>
      <c r="M1452">
        <v>3</v>
      </c>
      <c r="N1452" t="str" cm="1">
        <f t="array" ref="N1452">_xlfn.IFS(M1452=1,"Low",M1452=2,"Medium",M1452=3,"High",M1452=4,"Very High")</f>
        <v>High</v>
      </c>
      <c r="O1452" t="s">
        <v>36</v>
      </c>
      <c r="P1452" s="2">
        <v>31</v>
      </c>
      <c r="Q1452">
        <v>3</v>
      </c>
      <c r="R1452" t="str" cm="1">
        <f t="array" ref="R1452">_xlfn.IFS(Q1452=1,"Low",Q1452=2,"Medium",Q1452=3,"High",Q1452=4,"Very High")</f>
        <v>High</v>
      </c>
      <c r="S1452">
        <v>3</v>
      </c>
      <c r="T1452" t="str" cm="1">
        <f t="array" ref="T1452">_xlfn.IFS(S1452=1,"Entry Level",S1452=2,"Junior",S1452=3,"Mid-Level",S1452=4,"Senior",S1452=5,"Executive")</f>
        <v>Mid-Level</v>
      </c>
      <c r="U1452" t="s">
        <v>57</v>
      </c>
      <c r="V1452">
        <v>4</v>
      </c>
      <c r="W1452" t="str" cm="1">
        <f t="array" ref="W1452">_xlfn.IFS(V1452=1,"Low",V1452=2,"Medium",V1452=3,"High",V1452=4,"Very High")</f>
        <v>Very High</v>
      </c>
      <c r="X1452" t="s">
        <v>38</v>
      </c>
      <c r="Y1452" s="2">
        <v>8837</v>
      </c>
      <c r="Z1452" s="2">
        <v>16642</v>
      </c>
      <c r="AA1452">
        <v>1</v>
      </c>
      <c r="AB1452" t="s">
        <v>32</v>
      </c>
      <c r="AC1452">
        <v>16</v>
      </c>
      <c r="AD1452">
        <v>3</v>
      </c>
      <c r="AE1452" t="str" cm="1">
        <f t="array" ref="AE1452">_xlfn.IFS(AD1452=1,"Low",AD1452=2,"Good",AD1452=3,"Excellent",AD1452=4,"Outstanding")</f>
        <v>Excellent</v>
      </c>
      <c r="AF1452">
        <v>3</v>
      </c>
      <c r="AG1452" t="str" cm="1">
        <f t="array" ref="AG1452">_xlfn.IFS(AF1452=1,"Low",AF1452=2,"Medium",AF1452=3,"High",AF1452=4,"Very High")</f>
        <v>High</v>
      </c>
      <c r="AH1452">
        <v>0</v>
      </c>
      <c r="AI1452">
        <v>9</v>
      </c>
      <c r="AJ1452">
        <v>2</v>
      </c>
      <c r="AK1452">
        <v>3</v>
      </c>
      <c r="AL1452" t="str" cm="1">
        <f t="array" ref="AL1452">_xlfn.IFS(AK1452=1,"Low",AK1452=2,"Medium",AK1452=3,"High",AK1452=4,"Very High")</f>
        <v>High</v>
      </c>
      <c r="AM1452">
        <v>9</v>
      </c>
      <c r="AN1452">
        <v>0</v>
      </c>
      <c r="AO1452">
        <v>1</v>
      </c>
      <c r="AP1452">
        <v>7</v>
      </c>
    </row>
    <row r="1453" spans="1:42">
      <c r="A1453">
        <v>38</v>
      </c>
      <c r="B1453" t="str" cm="1">
        <f t="array" ref="B1453">_xlfn.IFS(A1453&lt;=25,"18-25",A1453&lt;=35,"26-35",A1453&lt;=45,"36-45",A1453&lt;=55,"46-55",A1453&gt;55,"56+")</f>
        <v>36-45</v>
      </c>
      <c r="C1453" t="s">
        <v>39</v>
      </c>
      <c r="D1453" t="s">
        <v>33</v>
      </c>
      <c r="E1453" s="2">
        <v>345</v>
      </c>
      <c r="F1453" t="s">
        <v>34</v>
      </c>
      <c r="G1453">
        <v>10</v>
      </c>
      <c r="H1453" t="str">
        <f t="shared" si="22"/>
        <v>1-10 km</v>
      </c>
      <c r="I1453">
        <v>2</v>
      </c>
      <c r="J1453" t="str" cm="1">
        <f t="array" ref="J1453">_xlfn.IFS(I1453=1,"Below College",I1453=2,"College",I1453=3,"Bachelor",I1453=4,"Master",I1453=5,"Doctor")</f>
        <v>College</v>
      </c>
      <c r="K1453" t="s">
        <v>35</v>
      </c>
      <c r="L1453">
        <v>2041</v>
      </c>
      <c r="M1453">
        <v>1</v>
      </c>
      <c r="N1453" t="str" cm="1">
        <f t="array" ref="N1453">_xlfn.IFS(M1453=1,"Low",M1453=2,"Medium",M1453=3,"High",M1453=4,"Very High")</f>
        <v>Low</v>
      </c>
      <c r="O1453" t="s">
        <v>36</v>
      </c>
      <c r="P1453" s="2">
        <v>100</v>
      </c>
      <c r="Q1453">
        <v>3</v>
      </c>
      <c r="R1453" t="str" cm="1">
        <f t="array" ref="R1453">_xlfn.IFS(Q1453=1,"Low",Q1453=2,"Medium",Q1453=3,"High",Q1453=4,"Very High")</f>
        <v>High</v>
      </c>
      <c r="S1453">
        <v>2</v>
      </c>
      <c r="T1453" t="str" cm="1">
        <f t="array" ref="T1453">_xlfn.IFS(S1453=1,"Entry Level",S1453=2,"Junior",S1453=3,"Mid-Level",S1453=4,"Senior",S1453=5,"Executive")</f>
        <v>Junior</v>
      </c>
      <c r="U1453" t="s">
        <v>37</v>
      </c>
      <c r="V1453">
        <v>4</v>
      </c>
      <c r="W1453" t="str" cm="1">
        <f t="array" ref="W1453">_xlfn.IFS(V1453=1,"Low",V1453=2,"Medium",V1453=3,"High",V1453=4,"Very High")</f>
        <v>Very High</v>
      </c>
      <c r="X1453" t="s">
        <v>44</v>
      </c>
      <c r="Y1453" s="2">
        <v>5343</v>
      </c>
      <c r="Z1453" s="2">
        <v>5982</v>
      </c>
      <c r="AA1453">
        <v>1</v>
      </c>
      <c r="AB1453" t="s">
        <v>39</v>
      </c>
      <c r="AC1453">
        <v>11</v>
      </c>
      <c r="AD1453">
        <v>3</v>
      </c>
      <c r="AE1453" t="str" cm="1">
        <f t="array" ref="AE1453">_xlfn.IFS(AD1453=1,"Low",AD1453=2,"Good",AD1453=3,"Excellent",AD1453=4,"Outstanding")</f>
        <v>Excellent</v>
      </c>
      <c r="AF1453">
        <v>3</v>
      </c>
      <c r="AG1453" t="str" cm="1">
        <f t="array" ref="AG1453">_xlfn.IFS(AF1453=1,"Low",AF1453=2,"Medium",AF1453=3,"High",AF1453=4,"Very High")</f>
        <v>High</v>
      </c>
      <c r="AH1453">
        <v>1</v>
      </c>
      <c r="AI1453">
        <v>10</v>
      </c>
      <c r="AJ1453">
        <v>1</v>
      </c>
      <c r="AK1453">
        <v>3</v>
      </c>
      <c r="AL1453" t="str" cm="1">
        <f t="array" ref="AL1453">_xlfn.IFS(AK1453=1,"Low",AK1453=2,"Medium",AK1453=3,"High",AK1453=4,"Very High")</f>
        <v>High</v>
      </c>
      <c r="AM1453">
        <v>10</v>
      </c>
      <c r="AN1453">
        <v>7</v>
      </c>
      <c r="AO1453">
        <v>1</v>
      </c>
      <c r="AP1453">
        <v>9</v>
      </c>
    </row>
    <row r="1454" spans="1:42">
      <c r="A1454">
        <v>50</v>
      </c>
      <c r="B1454" t="str" cm="1">
        <f t="array" ref="B1454">_xlfn.IFS(A1454&lt;=25,"18-25",A1454&lt;=35,"26-35",A1454&lt;=45,"36-45",A1454&lt;=55,"46-55",A1454&gt;55,"56+")</f>
        <v>46-55</v>
      </c>
      <c r="C1454" t="s">
        <v>32</v>
      </c>
      <c r="D1454" t="s">
        <v>40</v>
      </c>
      <c r="E1454" s="2">
        <v>878</v>
      </c>
      <c r="F1454" t="s">
        <v>34</v>
      </c>
      <c r="G1454">
        <v>1</v>
      </c>
      <c r="H1454" t="str">
        <f t="shared" si="22"/>
        <v>1-10 km</v>
      </c>
      <c r="I1454">
        <v>4</v>
      </c>
      <c r="J1454" t="str" cm="1">
        <f t="array" ref="J1454">_xlfn.IFS(I1454=1,"Below College",I1454=2,"College",I1454=3,"Bachelor",I1454=4,"Master",I1454=5,"Doctor")</f>
        <v>Master</v>
      </c>
      <c r="K1454" t="s">
        <v>35</v>
      </c>
      <c r="L1454">
        <v>2044</v>
      </c>
      <c r="M1454">
        <v>2</v>
      </c>
      <c r="N1454" t="str" cm="1">
        <f t="array" ref="N1454">_xlfn.IFS(M1454=1,"Low",M1454=2,"Medium",M1454=3,"High",M1454=4,"Very High")</f>
        <v>Medium</v>
      </c>
      <c r="O1454" t="s">
        <v>42</v>
      </c>
      <c r="P1454" s="2">
        <v>94</v>
      </c>
      <c r="Q1454">
        <v>3</v>
      </c>
      <c r="R1454" t="str" cm="1">
        <f t="array" ref="R1454">_xlfn.IFS(Q1454=1,"Low",Q1454=2,"Medium",Q1454=3,"High",Q1454=4,"Very High")</f>
        <v>High</v>
      </c>
      <c r="S1454">
        <v>2</v>
      </c>
      <c r="T1454" t="str" cm="1">
        <f t="array" ref="T1454">_xlfn.IFS(S1454=1,"Entry Level",S1454=2,"Junior",S1454=3,"Mid-Level",S1454=4,"Senior",S1454=5,"Executive")</f>
        <v>Junior</v>
      </c>
      <c r="U1454" t="s">
        <v>37</v>
      </c>
      <c r="V1454">
        <v>3</v>
      </c>
      <c r="W1454" t="str" cm="1">
        <f t="array" ref="W1454">_xlfn.IFS(V1454=1,"Low",V1454=2,"Medium",V1454=3,"High",V1454=4,"Very High")</f>
        <v>High</v>
      </c>
      <c r="X1454" t="s">
        <v>48</v>
      </c>
      <c r="Y1454" s="2">
        <v>6728</v>
      </c>
      <c r="Z1454" s="2">
        <v>14255</v>
      </c>
      <c r="AA1454">
        <v>7</v>
      </c>
      <c r="AB1454" t="s">
        <v>39</v>
      </c>
      <c r="AC1454">
        <v>12</v>
      </c>
      <c r="AD1454">
        <v>3</v>
      </c>
      <c r="AE1454" t="str" cm="1">
        <f t="array" ref="AE1454">_xlfn.IFS(AD1454=1,"Low",AD1454=2,"Good",AD1454=3,"Excellent",AD1454=4,"Outstanding")</f>
        <v>Excellent</v>
      </c>
      <c r="AF1454">
        <v>4</v>
      </c>
      <c r="AG1454" t="str" cm="1">
        <f t="array" ref="AG1454">_xlfn.IFS(AF1454=1,"Low",AF1454=2,"Medium",AF1454=3,"High",AF1454=4,"Very High")</f>
        <v>Very High</v>
      </c>
      <c r="AH1454">
        <v>2</v>
      </c>
      <c r="AI1454">
        <v>12</v>
      </c>
      <c r="AJ1454">
        <v>3</v>
      </c>
      <c r="AK1454">
        <v>3</v>
      </c>
      <c r="AL1454" t="str" cm="1">
        <f t="array" ref="AL1454">_xlfn.IFS(AK1454=1,"Low",AK1454=2,"Medium",AK1454=3,"High",AK1454=4,"Very High")</f>
        <v>High</v>
      </c>
      <c r="AM1454">
        <v>6</v>
      </c>
      <c r="AN1454">
        <v>3</v>
      </c>
      <c r="AO1454">
        <v>0</v>
      </c>
      <c r="AP1454">
        <v>1</v>
      </c>
    </row>
    <row r="1455" spans="1:42">
      <c r="A1455">
        <v>36</v>
      </c>
      <c r="B1455" t="str" cm="1">
        <f t="array" ref="B1455">_xlfn.IFS(A1455&lt;=25,"18-25",A1455&lt;=35,"26-35",A1455&lt;=45,"36-45",A1455&lt;=55,"46-55",A1455&gt;55,"56+")</f>
        <v>36-45</v>
      </c>
      <c r="C1455" t="s">
        <v>39</v>
      </c>
      <c r="D1455" t="s">
        <v>33</v>
      </c>
      <c r="E1455" s="2">
        <v>1120</v>
      </c>
      <c r="F1455" t="s">
        <v>34</v>
      </c>
      <c r="G1455">
        <v>11</v>
      </c>
      <c r="H1455" t="str">
        <f t="shared" si="22"/>
        <v>11-20 km</v>
      </c>
      <c r="I1455">
        <v>4</v>
      </c>
      <c r="J1455" t="str" cm="1">
        <f t="array" ref="J1455">_xlfn.IFS(I1455=1,"Below College",I1455=2,"College",I1455=3,"Bachelor",I1455=4,"Master",I1455=5,"Doctor")</f>
        <v>Master</v>
      </c>
      <c r="K1455" t="s">
        <v>55</v>
      </c>
      <c r="L1455">
        <v>2045</v>
      </c>
      <c r="M1455">
        <v>2</v>
      </c>
      <c r="N1455" t="str" cm="1">
        <f t="array" ref="N1455">_xlfn.IFS(M1455=1,"Low",M1455=2,"Medium",M1455=3,"High",M1455=4,"Very High")</f>
        <v>Medium</v>
      </c>
      <c r="O1455" t="s">
        <v>36</v>
      </c>
      <c r="P1455" s="2">
        <v>100</v>
      </c>
      <c r="Q1455">
        <v>2</v>
      </c>
      <c r="R1455" t="str" cm="1">
        <f t="array" ref="R1455">_xlfn.IFS(Q1455=1,"Low",Q1455=2,"Medium",Q1455=3,"High",Q1455=4,"Very High")</f>
        <v>Medium</v>
      </c>
      <c r="S1455">
        <v>2</v>
      </c>
      <c r="T1455" t="str" cm="1">
        <f t="array" ref="T1455">_xlfn.IFS(S1455=1,"Entry Level",S1455=2,"Junior",S1455=3,"Mid-Level",S1455=4,"Senior",S1455=5,"Executive")</f>
        <v>Junior</v>
      </c>
      <c r="U1455" t="s">
        <v>37</v>
      </c>
      <c r="V1455">
        <v>4</v>
      </c>
      <c r="W1455" t="str" cm="1">
        <f t="array" ref="W1455">_xlfn.IFS(V1455=1,"Low",V1455=2,"Medium",V1455=3,"High",V1455=4,"Very High")</f>
        <v>Very High</v>
      </c>
      <c r="X1455" t="s">
        <v>44</v>
      </c>
      <c r="Y1455" s="2">
        <v>6652</v>
      </c>
      <c r="Z1455" s="2">
        <v>14369</v>
      </c>
      <c r="AA1455">
        <v>4</v>
      </c>
      <c r="AB1455" t="s">
        <v>39</v>
      </c>
      <c r="AC1455">
        <v>13</v>
      </c>
      <c r="AD1455">
        <v>3</v>
      </c>
      <c r="AE1455" t="str" cm="1">
        <f t="array" ref="AE1455">_xlfn.IFS(AD1455=1,"Low",AD1455=2,"Good",AD1455=3,"Excellent",AD1455=4,"Outstanding")</f>
        <v>Excellent</v>
      </c>
      <c r="AF1455">
        <v>1</v>
      </c>
      <c r="AG1455" t="str" cm="1">
        <f t="array" ref="AG1455">_xlfn.IFS(AF1455=1,"Low",AF1455=2,"Medium",AF1455=3,"High",AF1455=4,"Very High")</f>
        <v>Low</v>
      </c>
      <c r="AH1455">
        <v>1</v>
      </c>
      <c r="AI1455">
        <v>8</v>
      </c>
      <c r="AJ1455">
        <v>2</v>
      </c>
      <c r="AK1455">
        <v>2</v>
      </c>
      <c r="AL1455" t="str" cm="1">
        <f t="array" ref="AL1455">_xlfn.IFS(AK1455=1,"Low",AK1455=2,"Medium",AK1455=3,"High",AK1455=4,"Very High")</f>
        <v>Medium</v>
      </c>
      <c r="AM1455">
        <v>6</v>
      </c>
      <c r="AN1455">
        <v>3</v>
      </c>
      <c r="AO1455">
        <v>0</v>
      </c>
      <c r="AP1455">
        <v>0</v>
      </c>
    </row>
    <row r="1456" spans="1:42">
      <c r="A1456">
        <v>45</v>
      </c>
      <c r="B1456" t="str" cm="1">
        <f t="array" ref="B1456">_xlfn.IFS(A1456&lt;=25,"18-25",A1456&lt;=35,"26-35",A1456&lt;=45,"36-45",A1456&lt;=55,"46-55",A1456&gt;55,"56+")</f>
        <v>36-45</v>
      </c>
      <c r="C1456" t="s">
        <v>39</v>
      </c>
      <c r="D1456" t="s">
        <v>33</v>
      </c>
      <c r="E1456" s="2">
        <v>374</v>
      </c>
      <c r="F1456" t="s">
        <v>34</v>
      </c>
      <c r="G1456">
        <v>20</v>
      </c>
      <c r="H1456" t="str">
        <f t="shared" si="22"/>
        <v>11-20 km</v>
      </c>
      <c r="I1456">
        <v>3</v>
      </c>
      <c r="J1456" t="str" cm="1">
        <f t="array" ref="J1456">_xlfn.IFS(I1456=1,"Below College",I1456=2,"College",I1456=3,"Bachelor",I1456=4,"Master",I1456=5,"Doctor")</f>
        <v>Bachelor</v>
      </c>
      <c r="K1456" t="s">
        <v>35</v>
      </c>
      <c r="L1456">
        <v>2046</v>
      </c>
      <c r="M1456">
        <v>4</v>
      </c>
      <c r="N1456" t="str" cm="1">
        <f t="array" ref="N1456">_xlfn.IFS(M1456=1,"Low",M1456=2,"Medium",M1456=3,"High",M1456=4,"Very High")</f>
        <v>Very High</v>
      </c>
      <c r="O1456" t="s">
        <v>36</v>
      </c>
      <c r="P1456" s="2">
        <v>50</v>
      </c>
      <c r="Q1456">
        <v>3</v>
      </c>
      <c r="R1456" t="str" cm="1">
        <f t="array" ref="R1456">_xlfn.IFS(Q1456=1,"Low",Q1456=2,"Medium",Q1456=3,"High",Q1456=4,"Very High")</f>
        <v>High</v>
      </c>
      <c r="S1456">
        <v>2</v>
      </c>
      <c r="T1456" t="str" cm="1">
        <f t="array" ref="T1456">_xlfn.IFS(S1456=1,"Entry Level",S1456=2,"Junior",S1456=3,"Mid-Level",S1456=4,"Senior",S1456=5,"Executive")</f>
        <v>Junior</v>
      </c>
      <c r="U1456" t="s">
        <v>37</v>
      </c>
      <c r="V1456">
        <v>3</v>
      </c>
      <c r="W1456" t="str" cm="1">
        <f t="array" ref="W1456">_xlfn.IFS(V1456=1,"Low",V1456=2,"Medium",V1456=3,"High",V1456=4,"Very High")</f>
        <v>High</v>
      </c>
      <c r="X1456" t="s">
        <v>38</v>
      </c>
      <c r="Y1456" s="2">
        <v>4850</v>
      </c>
      <c r="Z1456" s="2">
        <v>23333</v>
      </c>
      <c r="AA1456">
        <v>8</v>
      </c>
      <c r="AB1456" t="s">
        <v>39</v>
      </c>
      <c r="AC1456">
        <v>15</v>
      </c>
      <c r="AD1456">
        <v>3</v>
      </c>
      <c r="AE1456" t="str" cm="1">
        <f t="array" ref="AE1456">_xlfn.IFS(AD1456=1,"Low",AD1456=2,"Good",AD1456=3,"Excellent",AD1456=4,"Outstanding")</f>
        <v>Excellent</v>
      </c>
      <c r="AF1456">
        <v>3</v>
      </c>
      <c r="AG1456" t="str" cm="1">
        <f t="array" ref="AG1456">_xlfn.IFS(AF1456=1,"Low",AF1456=2,"Medium",AF1456=3,"High",AF1456=4,"Very High")</f>
        <v>High</v>
      </c>
      <c r="AH1456">
        <v>0</v>
      </c>
      <c r="AI1456">
        <v>8</v>
      </c>
      <c r="AJ1456">
        <v>3</v>
      </c>
      <c r="AK1456">
        <v>3</v>
      </c>
      <c r="AL1456" t="str" cm="1">
        <f t="array" ref="AL1456">_xlfn.IFS(AK1456=1,"Low",AK1456=2,"Medium",AK1456=3,"High",AK1456=4,"Very High")</f>
        <v>High</v>
      </c>
      <c r="AM1456">
        <v>5</v>
      </c>
      <c r="AN1456">
        <v>3</v>
      </c>
      <c r="AO1456">
        <v>0</v>
      </c>
      <c r="AP1456">
        <v>1</v>
      </c>
    </row>
    <row r="1457" spans="1:42">
      <c r="A1457">
        <v>40</v>
      </c>
      <c r="B1457" t="str" cm="1">
        <f t="array" ref="B1457">_xlfn.IFS(A1457&lt;=25,"18-25",A1457&lt;=35,"26-35",A1457&lt;=45,"36-45",A1457&lt;=55,"46-55",A1457&gt;55,"56+")</f>
        <v>36-45</v>
      </c>
      <c r="C1457" t="s">
        <v>39</v>
      </c>
      <c r="D1457" t="s">
        <v>33</v>
      </c>
      <c r="E1457" s="2">
        <v>1322</v>
      </c>
      <c r="F1457" t="s">
        <v>41</v>
      </c>
      <c r="G1457">
        <v>2</v>
      </c>
      <c r="H1457" t="str">
        <f t="shared" si="22"/>
        <v>1-10 km</v>
      </c>
      <c r="I1457">
        <v>4</v>
      </c>
      <c r="J1457" t="str" cm="1">
        <f t="array" ref="J1457">_xlfn.IFS(I1457=1,"Below College",I1457=2,"College",I1457=3,"Bachelor",I1457=4,"Master",I1457=5,"Doctor")</f>
        <v>Master</v>
      </c>
      <c r="K1457" t="s">
        <v>35</v>
      </c>
      <c r="L1457">
        <v>2048</v>
      </c>
      <c r="M1457">
        <v>3</v>
      </c>
      <c r="N1457" t="str" cm="1">
        <f t="array" ref="N1457">_xlfn.IFS(M1457=1,"Low",M1457=2,"Medium",M1457=3,"High",M1457=4,"Very High")</f>
        <v>High</v>
      </c>
      <c r="O1457" t="s">
        <v>42</v>
      </c>
      <c r="P1457" s="2">
        <v>52</v>
      </c>
      <c r="Q1457">
        <v>2</v>
      </c>
      <c r="R1457" t="str" cm="1">
        <f t="array" ref="R1457">_xlfn.IFS(Q1457=1,"Low",Q1457=2,"Medium",Q1457=3,"High",Q1457=4,"Very High")</f>
        <v>Medium</v>
      </c>
      <c r="S1457">
        <v>1</v>
      </c>
      <c r="T1457" t="str" cm="1">
        <f t="array" ref="T1457">_xlfn.IFS(S1457=1,"Entry Level",S1457=2,"Junior",S1457=3,"Mid-Level",S1457=4,"Senior",S1457=5,"Executive")</f>
        <v>Entry Level</v>
      </c>
      <c r="U1457" t="s">
        <v>43</v>
      </c>
      <c r="V1457">
        <v>3</v>
      </c>
      <c r="W1457" t="str" cm="1">
        <f t="array" ref="W1457">_xlfn.IFS(V1457=1,"Low",V1457=2,"Medium",V1457=3,"High",V1457=4,"Very High")</f>
        <v>High</v>
      </c>
      <c r="X1457" t="s">
        <v>38</v>
      </c>
      <c r="Y1457" s="2">
        <v>2809</v>
      </c>
      <c r="Z1457" s="2">
        <v>2725</v>
      </c>
      <c r="AA1457">
        <v>2</v>
      </c>
      <c r="AB1457" t="s">
        <v>39</v>
      </c>
      <c r="AC1457">
        <v>14</v>
      </c>
      <c r="AD1457">
        <v>3</v>
      </c>
      <c r="AE1457" t="str" cm="1">
        <f t="array" ref="AE1457">_xlfn.IFS(AD1457=1,"Low",AD1457=2,"Good",AD1457=3,"Excellent",AD1457=4,"Outstanding")</f>
        <v>Excellent</v>
      </c>
      <c r="AF1457">
        <v>4</v>
      </c>
      <c r="AG1457" t="str" cm="1">
        <f t="array" ref="AG1457">_xlfn.IFS(AF1457=1,"Low",AF1457=2,"Medium",AF1457=3,"High",AF1457=4,"Very High")</f>
        <v>Very High</v>
      </c>
      <c r="AH1457">
        <v>0</v>
      </c>
      <c r="AI1457">
        <v>8</v>
      </c>
      <c r="AJ1457">
        <v>2</v>
      </c>
      <c r="AK1457">
        <v>3</v>
      </c>
      <c r="AL1457" t="str" cm="1">
        <f t="array" ref="AL1457">_xlfn.IFS(AK1457=1,"Low",AK1457=2,"Medium",AK1457=3,"High",AK1457=4,"Very High")</f>
        <v>High</v>
      </c>
      <c r="AM1457">
        <v>2</v>
      </c>
      <c r="AN1457">
        <v>2</v>
      </c>
      <c r="AO1457">
        <v>2</v>
      </c>
      <c r="AP1457">
        <v>2</v>
      </c>
    </row>
    <row r="1458" spans="1:42">
      <c r="A1458">
        <v>35</v>
      </c>
      <c r="B1458" t="str" cm="1">
        <f t="array" ref="B1458">_xlfn.IFS(A1458&lt;=25,"18-25",A1458&lt;=35,"26-35",A1458&lt;=45,"36-45",A1458&lt;=55,"46-55",A1458&gt;55,"56+")</f>
        <v>26-35</v>
      </c>
      <c r="C1458" t="s">
        <v>39</v>
      </c>
      <c r="D1458" t="s">
        <v>40</v>
      </c>
      <c r="E1458" s="2">
        <v>1199</v>
      </c>
      <c r="F1458" t="s">
        <v>41</v>
      </c>
      <c r="G1458">
        <v>18</v>
      </c>
      <c r="H1458" t="str">
        <f t="shared" si="22"/>
        <v>11-20 km</v>
      </c>
      <c r="I1458">
        <v>4</v>
      </c>
      <c r="J1458" t="str" cm="1">
        <f t="array" ref="J1458">_xlfn.IFS(I1458=1,"Below College",I1458=2,"College",I1458=3,"Bachelor",I1458=4,"Master",I1458=5,"Doctor")</f>
        <v>Master</v>
      </c>
      <c r="K1458" t="s">
        <v>35</v>
      </c>
      <c r="L1458">
        <v>2049</v>
      </c>
      <c r="M1458">
        <v>3</v>
      </c>
      <c r="N1458" t="str" cm="1">
        <f t="array" ref="N1458">_xlfn.IFS(M1458=1,"Low",M1458=2,"Medium",M1458=3,"High",M1458=4,"Very High")</f>
        <v>High</v>
      </c>
      <c r="O1458" t="s">
        <v>42</v>
      </c>
      <c r="P1458" s="2">
        <v>80</v>
      </c>
      <c r="Q1458">
        <v>3</v>
      </c>
      <c r="R1458" t="str" cm="1">
        <f t="array" ref="R1458">_xlfn.IFS(Q1458=1,"Low",Q1458=2,"Medium",Q1458=3,"High",Q1458=4,"Very High")</f>
        <v>High</v>
      </c>
      <c r="S1458">
        <v>2</v>
      </c>
      <c r="T1458" t="str" cm="1">
        <f t="array" ref="T1458">_xlfn.IFS(S1458=1,"Entry Level",S1458=2,"Junior",S1458=3,"Mid-Level",S1458=4,"Senior",S1458=5,"Executive")</f>
        <v>Junior</v>
      </c>
      <c r="U1458" t="s">
        <v>50</v>
      </c>
      <c r="V1458">
        <v>3</v>
      </c>
      <c r="W1458" t="str" cm="1">
        <f t="array" ref="W1458">_xlfn.IFS(V1458=1,"Low",V1458=2,"Medium",V1458=3,"High",V1458=4,"Very High")</f>
        <v>High</v>
      </c>
      <c r="X1458" t="s">
        <v>44</v>
      </c>
      <c r="Y1458" s="2">
        <v>5689</v>
      </c>
      <c r="Z1458" s="2">
        <v>24594</v>
      </c>
      <c r="AA1458">
        <v>1</v>
      </c>
      <c r="AB1458" t="s">
        <v>32</v>
      </c>
      <c r="AC1458">
        <v>14</v>
      </c>
      <c r="AD1458">
        <v>3</v>
      </c>
      <c r="AE1458" t="str" cm="1">
        <f t="array" ref="AE1458">_xlfn.IFS(AD1458=1,"Low",AD1458=2,"Good",AD1458=3,"Excellent",AD1458=4,"Outstanding")</f>
        <v>Excellent</v>
      </c>
      <c r="AF1458">
        <v>4</v>
      </c>
      <c r="AG1458" t="str" cm="1">
        <f t="array" ref="AG1458">_xlfn.IFS(AF1458=1,"Low",AF1458=2,"Medium",AF1458=3,"High",AF1458=4,"Very High")</f>
        <v>Very High</v>
      </c>
      <c r="AH1458">
        <v>2</v>
      </c>
      <c r="AI1458">
        <v>10</v>
      </c>
      <c r="AJ1458">
        <v>2</v>
      </c>
      <c r="AK1458">
        <v>4</v>
      </c>
      <c r="AL1458" t="str" cm="1">
        <f t="array" ref="AL1458">_xlfn.IFS(AK1458=1,"Low",AK1458=2,"Medium",AK1458=3,"High",AK1458=4,"Very High")</f>
        <v>Very High</v>
      </c>
      <c r="AM1458">
        <v>10</v>
      </c>
      <c r="AN1458">
        <v>2</v>
      </c>
      <c r="AO1458">
        <v>0</v>
      </c>
      <c r="AP1458">
        <v>2</v>
      </c>
    </row>
    <row r="1459" spans="1:42">
      <c r="A1459">
        <v>40</v>
      </c>
      <c r="B1459" t="str" cm="1">
        <f t="array" ref="B1459">_xlfn.IFS(A1459&lt;=25,"18-25",A1459&lt;=35,"26-35",A1459&lt;=45,"36-45",A1459&lt;=55,"46-55",A1459&gt;55,"56+")</f>
        <v>36-45</v>
      </c>
      <c r="C1459" t="s">
        <v>39</v>
      </c>
      <c r="D1459" t="s">
        <v>33</v>
      </c>
      <c r="E1459" s="2">
        <v>1194</v>
      </c>
      <c r="F1459" t="s">
        <v>41</v>
      </c>
      <c r="G1459">
        <v>2</v>
      </c>
      <c r="H1459" t="str">
        <f t="shared" si="22"/>
        <v>1-10 km</v>
      </c>
      <c r="I1459">
        <v>4</v>
      </c>
      <c r="J1459" t="str" cm="1">
        <f t="array" ref="J1459">_xlfn.IFS(I1459=1,"Below College",I1459=2,"College",I1459=3,"Bachelor",I1459=4,"Master",I1459=5,"Doctor")</f>
        <v>Master</v>
      </c>
      <c r="K1459" t="s">
        <v>47</v>
      </c>
      <c r="L1459">
        <v>2051</v>
      </c>
      <c r="M1459">
        <v>3</v>
      </c>
      <c r="N1459" t="str" cm="1">
        <f t="array" ref="N1459">_xlfn.IFS(M1459=1,"Low",M1459=2,"Medium",M1459=3,"High",M1459=4,"Very High")</f>
        <v>High</v>
      </c>
      <c r="O1459" t="s">
        <v>36</v>
      </c>
      <c r="P1459" s="2">
        <v>98</v>
      </c>
      <c r="Q1459">
        <v>3</v>
      </c>
      <c r="R1459" t="str" cm="1">
        <f t="array" ref="R1459">_xlfn.IFS(Q1459=1,"Low",Q1459=2,"Medium",Q1459=3,"High",Q1459=4,"Very High")</f>
        <v>High</v>
      </c>
      <c r="S1459">
        <v>1</v>
      </c>
      <c r="T1459" t="str" cm="1">
        <f t="array" ref="T1459">_xlfn.IFS(S1459=1,"Entry Level",S1459=2,"Junior",S1459=3,"Mid-Level",S1459=4,"Senior",S1459=5,"Executive")</f>
        <v>Entry Level</v>
      </c>
      <c r="U1459" t="s">
        <v>43</v>
      </c>
      <c r="V1459">
        <v>3</v>
      </c>
      <c r="W1459" t="str" cm="1">
        <f t="array" ref="W1459">_xlfn.IFS(V1459=1,"Low",V1459=2,"Medium",V1459=3,"High",V1459=4,"Very High")</f>
        <v>High</v>
      </c>
      <c r="X1459" t="s">
        <v>44</v>
      </c>
      <c r="Y1459" s="2">
        <v>2001</v>
      </c>
      <c r="Z1459" s="2">
        <v>12549</v>
      </c>
      <c r="AA1459">
        <v>2</v>
      </c>
      <c r="AB1459" t="s">
        <v>39</v>
      </c>
      <c r="AC1459">
        <v>14</v>
      </c>
      <c r="AD1459">
        <v>3</v>
      </c>
      <c r="AE1459" t="str" cm="1">
        <f t="array" ref="AE1459">_xlfn.IFS(AD1459=1,"Low",AD1459=2,"Good",AD1459=3,"Excellent",AD1459=4,"Outstanding")</f>
        <v>Excellent</v>
      </c>
      <c r="AF1459">
        <v>2</v>
      </c>
      <c r="AG1459" t="str" cm="1">
        <f t="array" ref="AG1459">_xlfn.IFS(AF1459=1,"Low",AF1459=2,"Medium",AF1459=3,"High",AF1459=4,"Very High")</f>
        <v>Medium</v>
      </c>
      <c r="AH1459">
        <v>3</v>
      </c>
      <c r="AI1459">
        <v>20</v>
      </c>
      <c r="AJ1459">
        <v>2</v>
      </c>
      <c r="AK1459">
        <v>3</v>
      </c>
      <c r="AL1459" t="str" cm="1">
        <f t="array" ref="AL1459">_xlfn.IFS(AK1459=1,"Low",AK1459=2,"Medium",AK1459=3,"High",AK1459=4,"Very High")</f>
        <v>High</v>
      </c>
      <c r="AM1459">
        <v>5</v>
      </c>
      <c r="AN1459">
        <v>3</v>
      </c>
      <c r="AO1459">
        <v>0</v>
      </c>
      <c r="AP1459">
        <v>2</v>
      </c>
    </row>
    <row r="1460" spans="1:42">
      <c r="A1460">
        <v>35</v>
      </c>
      <c r="B1460" t="str" cm="1">
        <f t="array" ref="B1460">_xlfn.IFS(A1460&lt;=25,"18-25",A1460&lt;=35,"26-35",A1460&lt;=45,"36-45",A1460&lt;=55,"46-55",A1460&gt;55,"56+")</f>
        <v>26-35</v>
      </c>
      <c r="C1460" t="s">
        <v>39</v>
      </c>
      <c r="D1460" t="s">
        <v>33</v>
      </c>
      <c r="E1460" s="2">
        <v>287</v>
      </c>
      <c r="F1460" t="s">
        <v>41</v>
      </c>
      <c r="G1460">
        <v>1</v>
      </c>
      <c r="H1460" t="str">
        <f t="shared" si="22"/>
        <v>1-10 km</v>
      </c>
      <c r="I1460">
        <v>4</v>
      </c>
      <c r="J1460" t="str" cm="1">
        <f t="array" ref="J1460">_xlfn.IFS(I1460=1,"Below College",I1460=2,"College",I1460=3,"Bachelor",I1460=4,"Master",I1460=5,"Doctor")</f>
        <v>Master</v>
      </c>
      <c r="K1460" t="s">
        <v>35</v>
      </c>
      <c r="L1460">
        <v>2052</v>
      </c>
      <c r="M1460">
        <v>3</v>
      </c>
      <c r="N1460" t="str" cm="1">
        <f t="array" ref="N1460">_xlfn.IFS(M1460=1,"Low",M1460=2,"Medium",M1460=3,"High",M1460=4,"Very High")</f>
        <v>High</v>
      </c>
      <c r="O1460" t="s">
        <v>36</v>
      </c>
      <c r="P1460" s="2">
        <v>62</v>
      </c>
      <c r="Q1460">
        <v>1</v>
      </c>
      <c r="R1460" t="str" cm="1">
        <f t="array" ref="R1460">_xlfn.IFS(Q1460=1,"Low",Q1460=2,"Medium",Q1460=3,"High",Q1460=4,"Very High")</f>
        <v>Low</v>
      </c>
      <c r="S1460">
        <v>1</v>
      </c>
      <c r="T1460" t="str" cm="1">
        <f t="array" ref="T1460">_xlfn.IFS(S1460=1,"Entry Level",S1460=2,"Junior",S1460=3,"Mid-Level",S1460=4,"Senior",S1460=5,"Executive")</f>
        <v>Entry Level</v>
      </c>
      <c r="U1460" t="s">
        <v>43</v>
      </c>
      <c r="V1460">
        <v>4</v>
      </c>
      <c r="W1460" t="str" cm="1">
        <f t="array" ref="W1460">_xlfn.IFS(V1460=1,"Low",V1460=2,"Medium",V1460=3,"High",V1460=4,"Very High")</f>
        <v>Very High</v>
      </c>
      <c r="X1460" t="s">
        <v>44</v>
      </c>
      <c r="Y1460" s="2">
        <v>2977</v>
      </c>
      <c r="Z1460" s="2">
        <v>8952</v>
      </c>
      <c r="AA1460">
        <v>1</v>
      </c>
      <c r="AB1460" t="s">
        <v>39</v>
      </c>
      <c r="AC1460">
        <v>12</v>
      </c>
      <c r="AD1460">
        <v>3</v>
      </c>
      <c r="AE1460" t="str" cm="1">
        <f t="array" ref="AE1460">_xlfn.IFS(AD1460=1,"Low",AD1460=2,"Good",AD1460=3,"Excellent",AD1460=4,"Outstanding")</f>
        <v>Excellent</v>
      </c>
      <c r="AF1460">
        <v>4</v>
      </c>
      <c r="AG1460" t="str" cm="1">
        <f t="array" ref="AG1460">_xlfn.IFS(AF1460=1,"Low",AF1460=2,"Medium",AF1460=3,"High",AF1460=4,"Very High")</f>
        <v>Very High</v>
      </c>
      <c r="AH1460">
        <v>1</v>
      </c>
      <c r="AI1460">
        <v>4</v>
      </c>
      <c r="AJ1460">
        <v>5</v>
      </c>
      <c r="AK1460">
        <v>3</v>
      </c>
      <c r="AL1460" t="str" cm="1">
        <f t="array" ref="AL1460">_xlfn.IFS(AK1460=1,"Low",AK1460=2,"Medium",AK1460=3,"High",AK1460=4,"Very High")</f>
        <v>High</v>
      </c>
      <c r="AM1460">
        <v>4</v>
      </c>
      <c r="AN1460">
        <v>3</v>
      </c>
      <c r="AO1460">
        <v>1</v>
      </c>
      <c r="AP1460">
        <v>1</v>
      </c>
    </row>
    <row r="1461" spans="1:42">
      <c r="A1461">
        <v>29</v>
      </c>
      <c r="B1461" t="str" cm="1">
        <f t="array" ref="B1461">_xlfn.IFS(A1461&lt;=25,"18-25",A1461&lt;=35,"26-35",A1461&lt;=45,"36-45",A1461&lt;=55,"46-55",A1461&gt;55,"56+")</f>
        <v>26-35</v>
      </c>
      <c r="C1461" t="s">
        <v>39</v>
      </c>
      <c r="D1461" t="s">
        <v>33</v>
      </c>
      <c r="E1461" s="2">
        <v>1378</v>
      </c>
      <c r="F1461" t="s">
        <v>41</v>
      </c>
      <c r="G1461">
        <v>13</v>
      </c>
      <c r="H1461" t="str">
        <f t="shared" si="22"/>
        <v>11-20 km</v>
      </c>
      <c r="I1461">
        <v>2</v>
      </c>
      <c r="J1461" t="str" cm="1">
        <f t="array" ref="J1461">_xlfn.IFS(I1461=1,"Below College",I1461=2,"College",I1461=3,"Bachelor",I1461=4,"Master",I1461=5,"Doctor")</f>
        <v>College</v>
      </c>
      <c r="K1461" t="s">
        <v>45</v>
      </c>
      <c r="L1461">
        <v>2053</v>
      </c>
      <c r="M1461">
        <v>4</v>
      </c>
      <c r="N1461" t="str" cm="1">
        <f t="array" ref="N1461">_xlfn.IFS(M1461=1,"Low",M1461=2,"Medium",M1461=3,"High",M1461=4,"Very High")</f>
        <v>Very High</v>
      </c>
      <c r="O1461" t="s">
        <v>42</v>
      </c>
      <c r="P1461" s="2">
        <v>46</v>
      </c>
      <c r="Q1461">
        <v>2</v>
      </c>
      <c r="R1461" t="str" cm="1">
        <f t="array" ref="R1461">_xlfn.IFS(Q1461=1,"Low",Q1461=2,"Medium",Q1461=3,"High",Q1461=4,"Very High")</f>
        <v>Medium</v>
      </c>
      <c r="S1461">
        <v>2</v>
      </c>
      <c r="T1461" t="str" cm="1">
        <f t="array" ref="T1461">_xlfn.IFS(S1461=1,"Entry Level",S1461=2,"Junior",S1461=3,"Mid-Level",S1461=4,"Senior",S1461=5,"Executive")</f>
        <v>Junior</v>
      </c>
      <c r="U1461" t="s">
        <v>46</v>
      </c>
      <c r="V1461">
        <v>2</v>
      </c>
      <c r="W1461" t="str" cm="1">
        <f t="array" ref="W1461">_xlfn.IFS(V1461=1,"Low",V1461=2,"Medium",V1461=3,"High",V1461=4,"Very High")</f>
        <v>Medium</v>
      </c>
      <c r="X1461" t="s">
        <v>44</v>
      </c>
      <c r="Y1461" s="2">
        <v>4025</v>
      </c>
      <c r="Z1461" s="2">
        <v>23679</v>
      </c>
      <c r="AA1461">
        <v>4</v>
      </c>
      <c r="AB1461" t="s">
        <v>32</v>
      </c>
      <c r="AC1461">
        <v>13</v>
      </c>
      <c r="AD1461">
        <v>3</v>
      </c>
      <c r="AE1461" t="str" cm="1">
        <f t="array" ref="AE1461">_xlfn.IFS(AD1461=1,"Low",AD1461=2,"Good",AD1461=3,"Excellent",AD1461=4,"Outstanding")</f>
        <v>Excellent</v>
      </c>
      <c r="AF1461">
        <v>1</v>
      </c>
      <c r="AG1461" t="str" cm="1">
        <f t="array" ref="AG1461">_xlfn.IFS(AF1461=1,"Low",AF1461=2,"Medium",AF1461=3,"High",AF1461=4,"Very High")</f>
        <v>Low</v>
      </c>
      <c r="AH1461">
        <v>1</v>
      </c>
      <c r="AI1461">
        <v>10</v>
      </c>
      <c r="AJ1461">
        <v>2</v>
      </c>
      <c r="AK1461">
        <v>3</v>
      </c>
      <c r="AL1461" t="str" cm="1">
        <f t="array" ref="AL1461">_xlfn.IFS(AK1461=1,"Low",AK1461=2,"Medium",AK1461=3,"High",AK1461=4,"Very High")</f>
        <v>High</v>
      </c>
      <c r="AM1461">
        <v>4</v>
      </c>
      <c r="AN1461">
        <v>3</v>
      </c>
      <c r="AO1461">
        <v>0</v>
      </c>
      <c r="AP1461">
        <v>3</v>
      </c>
    </row>
    <row r="1462" spans="1:42">
      <c r="A1462">
        <v>29</v>
      </c>
      <c r="B1462" t="str" cm="1">
        <f t="array" ref="B1462">_xlfn.IFS(A1462&lt;=25,"18-25",A1462&lt;=35,"26-35",A1462&lt;=45,"36-45",A1462&lt;=55,"46-55",A1462&gt;55,"56+")</f>
        <v>26-35</v>
      </c>
      <c r="C1462" t="s">
        <v>39</v>
      </c>
      <c r="D1462" t="s">
        <v>33</v>
      </c>
      <c r="E1462" s="2">
        <v>468</v>
      </c>
      <c r="F1462" t="s">
        <v>41</v>
      </c>
      <c r="G1462">
        <v>28</v>
      </c>
      <c r="H1462" t="str">
        <f t="shared" si="22"/>
        <v>21-30 km</v>
      </c>
      <c r="I1462">
        <v>4</v>
      </c>
      <c r="J1462" t="str" cm="1">
        <f t="array" ref="J1462">_xlfn.IFS(I1462=1,"Below College",I1462=2,"College",I1462=3,"Bachelor",I1462=4,"Master",I1462=5,"Doctor")</f>
        <v>Master</v>
      </c>
      <c r="K1462" t="s">
        <v>47</v>
      </c>
      <c r="L1462">
        <v>2054</v>
      </c>
      <c r="M1462">
        <v>4</v>
      </c>
      <c r="N1462" t="str" cm="1">
        <f t="array" ref="N1462">_xlfn.IFS(M1462=1,"Low",M1462=2,"Medium",M1462=3,"High",M1462=4,"Very High")</f>
        <v>Very High</v>
      </c>
      <c r="O1462" t="s">
        <v>36</v>
      </c>
      <c r="P1462" s="2">
        <v>73</v>
      </c>
      <c r="Q1462">
        <v>2</v>
      </c>
      <c r="R1462" t="str" cm="1">
        <f t="array" ref="R1462">_xlfn.IFS(Q1462=1,"Low",Q1462=2,"Medium",Q1462=3,"High",Q1462=4,"Very High")</f>
        <v>Medium</v>
      </c>
      <c r="S1462">
        <v>1</v>
      </c>
      <c r="T1462" t="str" cm="1">
        <f t="array" ref="T1462">_xlfn.IFS(S1462=1,"Entry Level",S1462=2,"Junior",S1462=3,"Mid-Level",S1462=4,"Senior",S1462=5,"Executive")</f>
        <v>Entry Level</v>
      </c>
      <c r="U1462" t="s">
        <v>43</v>
      </c>
      <c r="V1462">
        <v>1</v>
      </c>
      <c r="W1462" t="str" cm="1">
        <f t="array" ref="W1462">_xlfn.IFS(V1462=1,"Low",V1462=2,"Medium",V1462=3,"High",V1462=4,"Very High")</f>
        <v>Low</v>
      </c>
      <c r="X1462" t="s">
        <v>38</v>
      </c>
      <c r="Y1462" s="2">
        <v>3785</v>
      </c>
      <c r="Z1462" s="2">
        <v>8489</v>
      </c>
      <c r="AA1462">
        <v>1</v>
      </c>
      <c r="AB1462" t="s">
        <v>39</v>
      </c>
      <c r="AC1462">
        <v>14</v>
      </c>
      <c r="AD1462">
        <v>3</v>
      </c>
      <c r="AE1462" t="str" cm="1">
        <f t="array" ref="AE1462">_xlfn.IFS(AD1462=1,"Low",AD1462=2,"Good",AD1462=3,"Excellent",AD1462=4,"Outstanding")</f>
        <v>Excellent</v>
      </c>
      <c r="AF1462">
        <v>2</v>
      </c>
      <c r="AG1462" t="str" cm="1">
        <f t="array" ref="AG1462">_xlfn.IFS(AF1462=1,"Low",AF1462=2,"Medium",AF1462=3,"High",AF1462=4,"Very High")</f>
        <v>Medium</v>
      </c>
      <c r="AH1462">
        <v>0</v>
      </c>
      <c r="AI1462">
        <v>5</v>
      </c>
      <c r="AJ1462">
        <v>3</v>
      </c>
      <c r="AK1462">
        <v>1</v>
      </c>
      <c r="AL1462" t="str" cm="1">
        <f t="array" ref="AL1462">_xlfn.IFS(AK1462=1,"Low",AK1462=2,"Medium",AK1462=3,"High",AK1462=4,"Very High")</f>
        <v>Low</v>
      </c>
      <c r="AM1462">
        <v>5</v>
      </c>
      <c r="AN1462">
        <v>4</v>
      </c>
      <c r="AO1462">
        <v>0</v>
      </c>
      <c r="AP1462">
        <v>4</v>
      </c>
    </row>
    <row r="1463" spans="1:42">
      <c r="A1463">
        <v>50</v>
      </c>
      <c r="B1463" t="str" cm="1">
        <f t="array" ref="B1463">_xlfn.IFS(A1463&lt;=25,"18-25",A1463&lt;=35,"26-35",A1463&lt;=45,"36-45",A1463&lt;=55,"46-55",A1463&gt;55,"56+")</f>
        <v>46-55</v>
      </c>
      <c r="C1463" t="s">
        <v>32</v>
      </c>
      <c r="D1463" t="s">
        <v>33</v>
      </c>
      <c r="E1463" s="2">
        <v>410</v>
      </c>
      <c r="F1463" t="s">
        <v>34</v>
      </c>
      <c r="G1463">
        <v>28</v>
      </c>
      <c r="H1463" t="str">
        <f t="shared" si="22"/>
        <v>21-30 km</v>
      </c>
      <c r="I1463">
        <v>3</v>
      </c>
      <c r="J1463" t="str" cm="1">
        <f t="array" ref="J1463">_xlfn.IFS(I1463=1,"Below College",I1463=2,"College",I1463=3,"Bachelor",I1463=4,"Master",I1463=5,"Doctor")</f>
        <v>Bachelor</v>
      </c>
      <c r="K1463" t="s">
        <v>55</v>
      </c>
      <c r="L1463">
        <v>2055</v>
      </c>
      <c r="M1463">
        <v>4</v>
      </c>
      <c r="N1463" t="str" cm="1">
        <f t="array" ref="N1463">_xlfn.IFS(M1463=1,"Low",M1463=2,"Medium",M1463=3,"High",M1463=4,"Very High")</f>
        <v>Very High</v>
      </c>
      <c r="O1463" t="s">
        <v>42</v>
      </c>
      <c r="P1463" s="2">
        <v>39</v>
      </c>
      <c r="Q1463">
        <v>2</v>
      </c>
      <c r="R1463" t="str" cm="1">
        <f t="array" ref="R1463">_xlfn.IFS(Q1463=1,"Low",Q1463=2,"Medium",Q1463=3,"High",Q1463=4,"Very High")</f>
        <v>Medium</v>
      </c>
      <c r="S1463">
        <v>3</v>
      </c>
      <c r="T1463" t="str" cm="1">
        <f t="array" ref="T1463">_xlfn.IFS(S1463=1,"Entry Level",S1463=2,"Junior",S1463=3,"Mid-Level",S1463=4,"Senior",S1463=5,"Executive")</f>
        <v>Mid-Level</v>
      </c>
      <c r="U1463" t="s">
        <v>37</v>
      </c>
      <c r="V1463">
        <v>1</v>
      </c>
      <c r="W1463" t="str" cm="1">
        <f t="array" ref="W1463">_xlfn.IFS(V1463=1,"Low",V1463=2,"Medium",V1463=3,"High",V1463=4,"Very High")</f>
        <v>Low</v>
      </c>
      <c r="X1463" t="s">
        <v>48</v>
      </c>
      <c r="Y1463" s="2">
        <v>10854</v>
      </c>
      <c r="Z1463" s="2">
        <v>16586</v>
      </c>
      <c r="AA1463">
        <v>4</v>
      </c>
      <c r="AB1463" t="s">
        <v>32</v>
      </c>
      <c r="AC1463">
        <v>13</v>
      </c>
      <c r="AD1463">
        <v>3</v>
      </c>
      <c r="AE1463" t="str" cm="1">
        <f t="array" ref="AE1463">_xlfn.IFS(AD1463=1,"Low",AD1463=2,"Good",AD1463=3,"Excellent",AD1463=4,"Outstanding")</f>
        <v>Excellent</v>
      </c>
      <c r="AF1463">
        <v>2</v>
      </c>
      <c r="AG1463" t="str" cm="1">
        <f t="array" ref="AG1463">_xlfn.IFS(AF1463=1,"Low",AF1463=2,"Medium",AF1463=3,"High",AF1463=4,"Very High")</f>
        <v>Medium</v>
      </c>
      <c r="AH1463">
        <v>1</v>
      </c>
      <c r="AI1463">
        <v>20</v>
      </c>
      <c r="AJ1463">
        <v>3</v>
      </c>
      <c r="AK1463">
        <v>3</v>
      </c>
      <c r="AL1463" t="str" cm="1">
        <f t="array" ref="AL1463">_xlfn.IFS(AK1463=1,"Low",AK1463=2,"Medium",AK1463=3,"High",AK1463=4,"Very High")</f>
        <v>High</v>
      </c>
      <c r="AM1463">
        <v>3</v>
      </c>
      <c r="AN1463">
        <v>2</v>
      </c>
      <c r="AO1463">
        <v>2</v>
      </c>
      <c r="AP1463">
        <v>0</v>
      </c>
    </row>
    <row r="1464" spans="1:42">
      <c r="A1464">
        <v>39</v>
      </c>
      <c r="B1464" t="str" cm="1">
        <f t="array" ref="B1464">_xlfn.IFS(A1464&lt;=25,"18-25",A1464&lt;=35,"26-35",A1464&lt;=45,"36-45",A1464&lt;=55,"46-55",A1464&gt;55,"56+")</f>
        <v>36-45</v>
      </c>
      <c r="C1464" t="s">
        <v>39</v>
      </c>
      <c r="D1464" t="s">
        <v>33</v>
      </c>
      <c r="E1464" s="2">
        <v>722</v>
      </c>
      <c r="F1464" t="s">
        <v>34</v>
      </c>
      <c r="G1464">
        <v>24</v>
      </c>
      <c r="H1464" t="str">
        <f t="shared" si="22"/>
        <v>21-30 km</v>
      </c>
      <c r="I1464">
        <v>1</v>
      </c>
      <c r="J1464" t="str" cm="1">
        <f t="array" ref="J1464">_xlfn.IFS(I1464=1,"Below College",I1464=2,"College",I1464=3,"Bachelor",I1464=4,"Master",I1464=5,"Doctor")</f>
        <v>Below College</v>
      </c>
      <c r="K1464" t="s">
        <v>55</v>
      </c>
      <c r="L1464">
        <v>2056</v>
      </c>
      <c r="M1464">
        <v>2</v>
      </c>
      <c r="N1464" t="str" cm="1">
        <f t="array" ref="N1464">_xlfn.IFS(M1464=1,"Low",M1464=2,"Medium",M1464=3,"High",M1464=4,"Very High")</f>
        <v>Medium</v>
      </c>
      <c r="O1464" t="s">
        <v>36</v>
      </c>
      <c r="P1464" s="2">
        <v>60</v>
      </c>
      <c r="Q1464">
        <v>2</v>
      </c>
      <c r="R1464" t="str" cm="1">
        <f t="array" ref="R1464">_xlfn.IFS(Q1464=1,"Low",Q1464=2,"Medium",Q1464=3,"High",Q1464=4,"Very High")</f>
        <v>Medium</v>
      </c>
      <c r="S1464">
        <v>4</v>
      </c>
      <c r="T1464" t="str" cm="1">
        <f t="array" ref="T1464">_xlfn.IFS(S1464=1,"Entry Level",S1464=2,"Junior",S1464=3,"Mid-Level",S1464=4,"Senior",S1464=5,"Executive")</f>
        <v>Senior</v>
      </c>
      <c r="U1464" t="s">
        <v>37</v>
      </c>
      <c r="V1464">
        <v>4</v>
      </c>
      <c r="W1464" t="str" cm="1">
        <f t="array" ref="W1464">_xlfn.IFS(V1464=1,"Low",V1464=2,"Medium",V1464=3,"High",V1464=4,"Very High")</f>
        <v>Very High</v>
      </c>
      <c r="X1464" t="s">
        <v>44</v>
      </c>
      <c r="Y1464" s="2">
        <v>12031</v>
      </c>
      <c r="Z1464" s="2">
        <v>8828</v>
      </c>
      <c r="AA1464">
        <v>0</v>
      </c>
      <c r="AB1464" t="s">
        <v>39</v>
      </c>
      <c r="AC1464">
        <v>11</v>
      </c>
      <c r="AD1464">
        <v>3</v>
      </c>
      <c r="AE1464" t="str" cm="1">
        <f t="array" ref="AE1464">_xlfn.IFS(AD1464=1,"Low",AD1464=2,"Good",AD1464=3,"Excellent",AD1464=4,"Outstanding")</f>
        <v>Excellent</v>
      </c>
      <c r="AF1464">
        <v>1</v>
      </c>
      <c r="AG1464" t="str" cm="1">
        <f t="array" ref="AG1464">_xlfn.IFS(AF1464=1,"Low",AF1464=2,"Medium",AF1464=3,"High",AF1464=4,"Very High")</f>
        <v>Low</v>
      </c>
      <c r="AH1464">
        <v>1</v>
      </c>
      <c r="AI1464">
        <v>21</v>
      </c>
      <c r="AJ1464">
        <v>2</v>
      </c>
      <c r="AK1464">
        <v>2</v>
      </c>
      <c r="AL1464" t="str" cm="1">
        <f t="array" ref="AL1464">_xlfn.IFS(AK1464=1,"Low",AK1464=2,"Medium",AK1464=3,"High",AK1464=4,"Very High")</f>
        <v>Medium</v>
      </c>
      <c r="AM1464">
        <v>20</v>
      </c>
      <c r="AN1464">
        <v>9</v>
      </c>
      <c r="AO1464">
        <v>9</v>
      </c>
      <c r="AP1464">
        <v>6</v>
      </c>
    </row>
    <row r="1465" spans="1:42">
      <c r="A1465">
        <v>31</v>
      </c>
      <c r="B1465" t="str" cm="1">
        <f t="array" ref="B1465">_xlfn.IFS(A1465&lt;=25,"18-25",A1465&lt;=35,"26-35",A1465&lt;=45,"36-45",A1465&lt;=55,"46-55",A1465&gt;55,"56+")</f>
        <v>26-35</v>
      </c>
      <c r="C1465" t="s">
        <v>39</v>
      </c>
      <c r="D1465" t="s">
        <v>51</v>
      </c>
      <c r="E1465" s="2">
        <v>325</v>
      </c>
      <c r="F1465" t="s">
        <v>41</v>
      </c>
      <c r="G1465">
        <v>5</v>
      </c>
      <c r="H1465" t="str">
        <f t="shared" si="22"/>
        <v>1-10 km</v>
      </c>
      <c r="I1465">
        <v>3</v>
      </c>
      <c r="J1465" t="str" cm="1">
        <f t="array" ref="J1465">_xlfn.IFS(I1465=1,"Below College",I1465=2,"College",I1465=3,"Bachelor",I1465=4,"Master",I1465=5,"Doctor")</f>
        <v>Bachelor</v>
      </c>
      <c r="K1465" t="s">
        <v>47</v>
      </c>
      <c r="L1465">
        <v>2057</v>
      </c>
      <c r="M1465">
        <v>2</v>
      </c>
      <c r="N1465" t="str" cm="1">
        <f t="array" ref="N1465">_xlfn.IFS(M1465=1,"Low",M1465=2,"Medium",M1465=3,"High",M1465=4,"Very High")</f>
        <v>Medium</v>
      </c>
      <c r="O1465" t="s">
        <v>42</v>
      </c>
      <c r="P1465" s="2">
        <v>74</v>
      </c>
      <c r="Q1465">
        <v>3</v>
      </c>
      <c r="R1465" t="str" cm="1">
        <f t="array" ref="R1465">_xlfn.IFS(Q1465=1,"Low",Q1465=2,"Medium",Q1465=3,"High",Q1465=4,"Very High")</f>
        <v>High</v>
      </c>
      <c r="S1465">
        <v>2</v>
      </c>
      <c r="T1465" t="str" cm="1">
        <f t="array" ref="T1465">_xlfn.IFS(S1465=1,"Entry Level",S1465=2,"Junior",S1465=3,"Mid-Level",S1465=4,"Senior",S1465=5,"Executive")</f>
        <v>Junior</v>
      </c>
      <c r="U1465" t="s">
        <v>49</v>
      </c>
      <c r="V1465">
        <v>1</v>
      </c>
      <c r="W1465" t="str" cm="1">
        <f t="array" ref="W1465">_xlfn.IFS(V1465=1,"Low",V1465=2,"Medium",V1465=3,"High",V1465=4,"Very High")</f>
        <v>Low</v>
      </c>
      <c r="X1465" t="s">
        <v>38</v>
      </c>
      <c r="Y1465" s="2">
        <v>9936</v>
      </c>
      <c r="Z1465" s="2">
        <v>3787</v>
      </c>
      <c r="AA1465">
        <v>0</v>
      </c>
      <c r="AB1465" t="s">
        <v>39</v>
      </c>
      <c r="AC1465">
        <v>19</v>
      </c>
      <c r="AD1465">
        <v>3</v>
      </c>
      <c r="AE1465" t="str" cm="1">
        <f t="array" ref="AE1465">_xlfn.IFS(AD1465=1,"Low",AD1465=2,"Good",AD1465=3,"Excellent",AD1465=4,"Outstanding")</f>
        <v>Excellent</v>
      </c>
      <c r="AF1465">
        <v>2</v>
      </c>
      <c r="AG1465" t="str" cm="1">
        <f t="array" ref="AG1465">_xlfn.IFS(AF1465=1,"Low",AF1465=2,"Medium",AF1465=3,"High",AF1465=4,"Very High")</f>
        <v>Medium</v>
      </c>
      <c r="AH1465">
        <v>0</v>
      </c>
      <c r="AI1465">
        <v>10</v>
      </c>
      <c r="AJ1465">
        <v>2</v>
      </c>
      <c r="AK1465">
        <v>3</v>
      </c>
      <c r="AL1465" t="str" cm="1">
        <f t="array" ref="AL1465">_xlfn.IFS(AK1465=1,"Low",AK1465=2,"Medium",AK1465=3,"High",AK1465=4,"Very High")</f>
        <v>High</v>
      </c>
      <c r="AM1465">
        <v>9</v>
      </c>
      <c r="AN1465">
        <v>4</v>
      </c>
      <c r="AO1465">
        <v>1</v>
      </c>
      <c r="AP1465">
        <v>7</v>
      </c>
    </row>
    <row r="1466" spans="1:42">
      <c r="A1466">
        <v>26</v>
      </c>
      <c r="B1466" t="str" cm="1">
        <f t="array" ref="B1466">_xlfn.IFS(A1466&lt;=25,"18-25",A1466&lt;=35,"26-35",A1466&lt;=45,"36-45",A1466&lt;=55,"46-55",A1466&gt;55,"56+")</f>
        <v>26-35</v>
      </c>
      <c r="C1466" t="s">
        <v>39</v>
      </c>
      <c r="D1466" t="s">
        <v>33</v>
      </c>
      <c r="E1466" s="2">
        <v>1167</v>
      </c>
      <c r="F1466" t="s">
        <v>34</v>
      </c>
      <c r="G1466">
        <v>5</v>
      </c>
      <c r="H1466" t="str">
        <f t="shared" si="22"/>
        <v>1-10 km</v>
      </c>
      <c r="I1466">
        <v>3</v>
      </c>
      <c r="J1466" t="str" cm="1">
        <f t="array" ref="J1466">_xlfn.IFS(I1466=1,"Below College",I1466=2,"College",I1466=3,"Bachelor",I1466=4,"Master",I1466=5,"Doctor")</f>
        <v>Bachelor</v>
      </c>
      <c r="K1466" t="s">
        <v>45</v>
      </c>
      <c r="L1466">
        <v>2060</v>
      </c>
      <c r="M1466">
        <v>4</v>
      </c>
      <c r="N1466" t="str" cm="1">
        <f t="array" ref="N1466">_xlfn.IFS(M1466=1,"Low",M1466=2,"Medium",M1466=3,"High",M1466=4,"Very High")</f>
        <v>Very High</v>
      </c>
      <c r="O1466" t="s">
        <v>36</v>
      </c>
      <c r="P1466" s="2">
        <v>30</v>
      </c>
      <c r="Q1466">
        <v>2</v>
      </c>
      <c r="R1466" t="str" cm="1">
        <f t="array" ref="R1466">_xlfn.IFS(Q1466=1,"Low",Q1466=2,"Medium",Q1466=3,"High",Q1466=4,"Very High")</f>
        <v>Medium</v>
      </c>
      <c r="S1466">
        <v>1</v>
      </c>
      <c r="T1466" t="str" cm="1">
        <f t="array" ref="T1466">_xlfn.IFS(S1466=1,"Entry Level",S1466=2,"Junior",S1466=3,"Mid-Level",S1466=4,"Senior",S1466=5,"Executive")</f>
        <v>Entry Level</v>
      </c>
      <c r="U1466" t="s">
        <v>53</v>
      </c>
      <c r="V1466">
        <v>3</v>
      </c>
      <c r="W1466" t="str" cm="1">
        <f t="array" ref="W1466">_xlfn.IFS(V1466=1,"Low",V1466=2,"Medium",V1466=3,"High",V1466=4,"Very High")</f>
        <v>High</v>
      </c>
      <c r="X1466" t="s">
        <v>38</v>
      </c>
      <c r="Y1466" s="2">
        <v>2966</v>
      </c>
      <c r="Z1466" s="2">
        <v>21378</v>
      </c>
      <c r="AA1466">
        <v>0</v>
      </c>
      <c r="AB1466" t="s">
        <v>39</v>
      </c>
      <c r="AC1466">
        <v>18</v>
      </c>
      <c r="AD1466">
        <v>3</v>
      </c>
      <c r="AE1466" t="str" cm="1">
        <f t="array" ref="AE1466">_xlfn.IFS(AD1466=1,"Low",AD1466=2,"Good",AD1466=3,"Excellent",AD1466=4,"Outstanding")</f>
        <v>Excellent</v>
      </c>
      <c r="AF1466">
        <v>4</v>
      </c>
      <c r="AG1466" t="str" cm="1">
        <f t="array" ref="AG1466">_xlfn.IFS(AF1466=1,"Low",AF1466=2,"Medium",AF1466=3,"High",AF1466=4,"Very High")</f>
        <v>Very High</v>
      </c>
      <c r="AH1466">
        <v>0</v>
      </c>
      <c r="AI1466">
        <v>5</v>
      </c>
      <c r="AJ1466">
        <v>2</v>
      </c>
      <c r="AK1466">
        <v>3</v>
      </c>
      <c r="AL1466" t="str" cm="1">
        <f t="array" ref="AL1466">_xlfn.IFS(AK1466=1,"Low",AK1466=2,"Medium",AK1466=3,"High",AK1466=4,"Very High")</f>
        <v>High</v>
      </c>
      <c r="AM1466">
        <v>4</v>
      </c>
      <c r="AN1466">
        <v>2</v>
      </c>
      <c r="AO1466">
        <v>0</v>
      </c>
      <c r="AP1466">
        <v>0</v>
      </c>
    </row>
    <row r="1467" spans="1:42">
      <c r="A1467">
        <v>36</v>
      </c>
      <c r="B1467" t="str" cm="1">
        <f t="array" ref="B1467">_xlfn.IFS(A1467&lt;=25,"18-25",A1467&lt;=35,"26-35",A1467&lt;=45,"36-45",A1467&lt;=55,"46-55",A1467&gt;55,"56+")</f>
        <v>36-45</v>
      </c>
      <c r="C1467" t="s">
        <v>39</v>
      </c>
      <c r="D1467" t="s">
        <v>40</v>
      </c>
      <c r="E1467" s="2">
        <v>884</v>
      </c>
      <c r="F1467" t="s">
        <v>41</v>
      </c>
      <c r="G1467">
        <v>23</v>
      </c>
      <c r="H1467" t="str">
        <f t="shared" si="22"/>
        <v>21-30 km</v>
      </c>
      <c r="I1467">
        <v>2</v>
      </c>
      <c r="J1467" t="str" cm="1">
        <f t="array" ref="J1467">_xlfn.IFS(I1467=1,"Below College",I1467=2,"College",I1467=3,"Bachelor",I1467=4,"Master",I1467=5,"Doctor")</f>
        <v>College</v>
      </c>
      <c r="K1467" t="s">
        <v>47</v>
      </c>
      <c r="L1467">
        <v>2061</v>
      </c>
      <c r="M1467">
        <v>3</v>
      </c>
      <c r="N1467" t="str" cm="1">
        <f t="array" ref="N1467">_xlfn.IFS(M1467=1,"Low",M1467=2,"Medium",M1467=3,"High",M1467=4,"Very High")</f>
        <v>High</v>
      </c>
      <c r="O1467" t="s">
        <v>42</v>
      </c>
      <c r="P1467" s="2">
        <v>41</v>
      </c>
      <c r="Q1467">
        <v>4</v>
      </c>
      <c r="R1467" t="str" cm="1">
        <f t="array" ref="R1467">_xlfn.IFS(Q1467=1,"Low",Q1467=2,"Medium",Q1467=3,"High",Q1467=4,"Very High")</f>
        <v>Very High</v>
      </c>
      <c r="S1467">
        <v>2</v>
      </c>
      <c r="T1467" t="str" cm="1">
        <f t="array" ref="T1467">_xlfn.IFS(S1467=1,"Entry Level",S1467=2,"Junior",S1467=3,"Mid-Level",S1467=4,"Senior",S1467=5,"Executive")</f>
        <v>Junior</v>
      </c>
      <c r="U1467" t="s">
        <v>46</v>
      </c>
      <c r="V1467">
        <v>4</v>
      </c>
      <c r="W1467" t="str" cm="1">
        <f t="array" ref="W1467">_xlfn.IFS(V1467=1,"Low",V1467=2,"Medium",V1467=3,"High",V1467=4,"Very High")</f>
        <v>Very High</v>
      </c>
      <c r="X1467" t="s">
        <v>44</v>
      </c>
      <c r="Y1467" s="2">
        <v>2571</v>
      </c>
      <c r="Z1467" s="2">
        <v>12290</v>
      </c>
      <c r="AA1467">
        <v>4</v>
      </c>
      <c r="AB1467" t="s">
        <v>39</v>
      </c>
      <c r="AC1467">
        <v>17</v>
      </c>
      <c r="AD1467">
        <v>3</v>
      </c>
      <c r="AE1467" t="str" cm="1">
        <f t="array" ref="AE1467">_xlfn.IFS(AD1467=1,"Low",AD1467=2,"Good",AD1467=3,"Excellent",AD1467=4,"Outstanding")</f>
        <v>Excellent</v>
      </c>
      <c r="AF1467">
        <v>3</v>
      </c>
      <c r="AG1467" t="str" cm="1">
        <f t="array" ref="AG1467">_xlfn.IFS(AF1467=1,"Low",AF1467=2,"Medium",AF1467=3,"High",AF1467=4,"Very High")</f>
        <v>High</v>
      </c>
      <c r="AH1467">
        <v>1</v>
      </c>
      <c r="AI1467">
        <v>17</v>
      </c>
      <c r="AJ1467">
        <v>3</v>
      </c>
      <c r="AK1467">
        <v>3</v>
      </c>
      <c r="AL1467" t="str" cm="1">
        <f t="array" ref="AL1467">_xlfn.IFS(AK1467=1,"Low",AK1467=2,"Medium",AK1467=3,"High",AK1467=4,"Very High")</f>
        <v>High</v>
      </c>
      <c r="AM1467">
        <v>5</v>
      </c>
      <c r="AN1467">
        <v>2</v>
      </c>
      <c r="AO1467">
        <v>0</v>
      </c>
      <c r="AP1467">
        <v>3</v>
      </c>
    </row>
    <row r="1468" spans="1:42">
      <c r="A1468">
        <v>39</v>
      </c>
      <c r="B1468" t="str" cm="1">
        <f t="array" ref="B1468">_xlfn.IFS(A1468&lt;=25,"18-25",A1468&lt;=35,"26-35",A1468&lt;=45,"36-45",A1468&lt;=55,"46-55",A1468&gt;55,"56+")</f>
        <v>36-45</v>
      </c>
      <c r="C1468" t="s">
        <v>39</v>
      </c>
      <c r="D1468" t="s">
        <v>33</v>
      </c>
      <c r="E1468" s="2">
        <v>613</v>
      </c>
      <c r="F1468" t="s">
        <v>41</v>
      </c>
      <c r="G1468">
        <v>6</v>
      </c>
      <c r="H1468" t="str">
        <f t="shared" si="22"/>
        <v>1-10 km</v>
      </c>
      <c r="I1468">
        <v>1</v>
      </c>
      <c r="J1468" t="str" cm="1">
        <f t="array" ref="J1468">_xlfn.IFS(I1468=1,"Below College",I1468=2,"College",I1468=3,"Bachelor",I1468=4,"Master",I1468=5,"Doctor")</f>
        <v>Below College</v>
      </c>
      <c r="K1468" t="s">
        <v>47</v>
      </c>
      <c r="L1468">
        <v>2062</v>
      </c>
      <c r="M1468">
        <v>4</v>
      </c>
      <c r="N1468" t="str" cm="1">
        <f t="array" ref="N1468">_xlfn.IFS(M1468=1,"Low",M1468=2,"Medium",M1468=3,"High",M1468=4,"Very High")</f>
        <v>Very High</v>
      </c>
      <c r="O1468" t="s">
        <v>42</v>
      </c>
      <c r="P1468" s="2">
        <v>42</v>
      </c>
      <c r="Q1468">
        <v>2</v>
      </c>
      <c r="R1468" t="str" cm="1">
        <f t="array" ref="R1468">_xlfn.IFS(Q1468=1,"Low",Q1468=2,"Medium",Q1468=3,"High",Q1468=4,"Very High")</f>
        <v>Medium</v>
      </c>
      <c r="S1468">
        <v>3</v>
      </c>
      <c r="T1468" t="str" cm="1">
        <f t="array" ref="T1468">_xlfn.IFS(S1468=1,"Entry Level",S1468=2,"Junior",S1468=3,"Mid-Level",S1468=4,"Senior",S1468=5,"Executive")</f>
        <v>Mid-Level</v>
      </c>
      <c r="U1468" t="s">
        <v>50</v>
      </c>
      <c r="V1468">
        <v>1</v>
      </c>
      <c r="W1468" t="str" cm="1">
        <f t="array" ref="W1468">_xlfn.IFS(V1468=1,"Low",V1468=2,"Medium",V1468=3,"High",V1468=4,"Very High")</f>
        <v>Low</v>
      </c>
      <c r="X1468" t="s">
        <v>44</v>
      </c>
      <c r="Y1468" s="2">
        <v>9991</v>
      </c>
      <c r="Z1468" s="2">
        <v>21457</v>
      </c>
      <c r="AA1468">
        <v>4</v>
      </c>
      <c r="AB1468" t="s">
        <v>39</v>
      </c>
      <c r="AC1468">
        <v>15</v>
      </c>
      <c r="AD1468">
        <v>3</v>
      </c>
      <c r="AE1468" t="str" cm="1">
        <f t="array" ref="AE1468">_xlfn.IFS(AD1468=1,"Low",AD1468=2,"Good",AD1468=3,"Excellent",AD1468=4,"Outstanding")</f>
        <v>Excellent</v>
      </c>
      <c r="AF1468">
        <v>1</v>
      </c>
      <c r="AG1468" t="str" cm="1">
        <f t="array" ref="AG1468">_xlfn.IFS(AF1468=1,"Low",AF1468=2,"Medium",AF1468=3,"High",AF1468=4,"Very High")</f>
        <v>Low</v>
      </c>
      <c r="AH1468">
        <v>1</v>
      </c>
      <c r="AI1468">
        <v>9</v>
      </c>
      <c r="AJ1468">
        <v>5</v>
      </c>
      <c r="AK1468">
        <v>3</v>
      </c>
      <c r="AL1468" t="str" cm="1">
        <f t="array" ref="AL1468">_xlfn.IFS(AK1468=1,"Low",AK1468=2,"Medium",AK1468=3,"High",AK1468=4,"Very High")</f>
        <v>High</v>
      </c>
      <c r="AM1468">
        <v>7</v>
      </c>
      <c r="AN1468">
        <v>7</v>
      </c>
      <c r="AO1468">
        <v>1</v>
      </c>
      <c r="AP1468">
        <v>7</v>
      </c>
    </row>
    <row r="1469" spans="1:42">
      <c r="A1469">
        <v>27</v>
      </c>
      <c r="B1469" t="str" cm="1">
        <f t="array" ref="B1469">_xlfn.IFS(A1469&lt;=25,"18-25",A1469&lt;=35,"26-35",A1469&lt;=45,"36-45",A1469&lt;=55,"46-55",A1469&gt;55,"56+")</f>
        <v>26-35</v>
      </c>
      <c r="C1469" t="s">
        <v>39</v>
      </c>
      <c r="D1469" t="s">
        <v>33</v>
      </c>
      <c r="E1469" s="2">
        <v>155</v>
      </c>
      <c r="F1469" t="s">
        <v>41</v>
      </c>
      <c r="G1469">
        <v>4</v>
      </c>
      <c r="H1469" t="str">
        <f t="shared" si="22"/>
        <v>1-10 km</v>
      </c>
      <c r="I1469">
        <v>3</v>
      </c>
      <c r="J1469" t="str" cm="1">
        <f t="array" ref="J1469">_xlfn.IFS(I1469=1,"Below College",I1469=2,"College",I1469=3,"Bachelor",I1469=4,"Master",I1469=5,"Doctor")</f>
        <v>Bachelor</v>
      </c>
      <c r="K1469" t="s">
        <v>35</v>
      </c>
      <c r="L1469">
        <v>2064</v>
      </c>
      <c r="M1469">
        <v>2</v>
      </c>
      <c r="N1469" t="str" cm="1">
        <f t="array" ref="N1469">_xlfn.IFS(M1469=1,"Low",M1469=2,"Medium",M1469=3,"High",M1469=4,"Very High")</f>
        <v>Medium</v>
      </c>
      <c r="O1469" t="s">
        <v>42</v>
      </c>
      <c r="P1469" s="2">
        <v>87</v>
      </c>
      <c r="Q1469">
        <v>4</v>
      </c>
      <c r="R1469" t="str" cm="1">
        <f t="array" ref="R1469">_xlfn.IFS(Q1469=1,"Low",Q1469=2,"Medium",Q1469=3,"High",Q1469=4,"Very High")</f>
        <v>Very High</v>
      </c>
      <c r="S1469">
        <v>2</v>
      </c>
      <c r="T1469" t="str" cm="1">
        <f t="array" ref="T1469">_xlfn.IFS(S1469=1,"Entry Level",S1469=2,"Junior",S1469=3,"Mid-Level",S1469=4,"Senior",S1469=5,"Executive")</f>
        <v>Junior</v>
      </c>
      <c r="U1469" t="s">
        <v>49</v>
      </c>
      <c r="V1469">
        <v>2</v>
      </c>
      <c r="W1469" t="str" cm="1">
        <f t="array" ref="W1469">_xlfn.IFS(V1469=1,"Low",V1469=2,"Medium",V1469=3,"High",V1469=4,"Very High")</f>
        <v>Medium</v>
      </c>
      <c r="X1469" t="s">
        <v>44</v>
      </c>
      <c r="Y1469" s="2">
        <v>6142</v>
      </c>
      <c r="Z1469" s="2">
        <v>5174</v>
      </c>
      <c r="AA1469">
        <v>1</v>
      </c>
      <c r="AB1469" t="s">
        <v>32</v>
      </c>
      <c r="AC1469">
        <v>20</v>
      </c>
      <c r="AD1469">
        <v>4</v>
      </c>
      <c r="AE1469" t="str" cm="1">
        <f t="array" ref="AE1469">_xlfn.IFS(AD1469=1,"Low",AD1469=2,"Good",AD1469=3,"Excellent",AD1469=4,"Outstanding")</f>
        <v>Outstanding</v>
      </c>
      <c r="AF1469">
        <v>2</v>
      </c>
      <c r="AG1469" t="str" cm="1">
        <f t="array" ref="AG1469">_xlfn.IFS(AF1469=1,"Low",AF1469=2,"Medium",AF1469=3,"High",AF1469=4,"Very High")</f>
        <v>Medium</v>
      </c>
      <c r="AH1469">
        <v>1</v>
      </c>
      <c r="AI1469">
        <v>6</v>
      </c>
      <c r="AJ1469">
        <v>0</v>
      </c>
      <c r="AK1469">
        <v>3</v>
      </c>
      <c r="AL1469" t="str" cm="1">
        <f t="array" ref="AL1469">_xlfn.IFS(AK1469=1,"Low",AK1469=2,"Medium",AK1469=3,"High",AK1469=4,"Very High")</f>
        <v>High</v>
      </c>
      <c r="AM1469">
        <v>6</v>
      </c>
      <c r="AN1469">
        <v>2</v>
      </c>
      <c r="AO1469">
        <v>0</v>
      </c>
      <c r="AP1469">
        <v>3</v>
      </c>
    </row>
    <row r="1470" spans="1:42">
      <c r="A1470">
        <v>49</v>
      </c>
      <c r="B1470" t="str" cm="1">
        <f t="array" ref="B1470">_xlfn.IFS(A1470&lt;=25,"18-25",A1470&lt;=35,"26-35",A1470&lt;=45,"36-45",A1470&lt;=55,"46-55",A1470&gt;55,"56+")</f>
        <v>46-55</v>
      </c>
      <c r="C1470" t="s">
        <v>39</v>
      </c>
      <c r="D1470" t="s">
        <v>40</v>
      </c>
      <c r="E1470" s="2">
        <v>1023</v>
      </c>
      <c r="F1470" t="s">
        <v>34</v>
      </c>
      <c r="G1470">
        <v>2</v>
      </c>
      <c r="H1470" t="str">
        <f t="shared" si="22"/>
        <v>1-10 km</v>
      </c>
      <c r="I1470">
        <v>3</v>
      </c>
      <c r="J1470" t="str" cm="1">
        <f t="array" ref="J1470">_xlfn.IFS(I1470=1,"Below College",I1470=2,"College",I1470=3,"Bachelor",I1470=4,"Master",I1470=5,"Doctor")</f>
        <v>Bachelor</v>
      </c>
      <c r="K1470" t="s">
        <v>47</v>
      </c>
      <c r="L1470">
        <v>2065</v>
      </c>
      <c r="M1470">
        <v>4</v>
      </c>
      <c r="N1470" t="str" cm="1">
        <f t="array" ref="N1470">_xlfn.IFS(M1470=1,"Low",M1470=2,"Medium",M1470=3,"High",M1470=4,"Very High")</f>
        <v>Very High</v>
      </c>
      <c r="O1470" t="s">
        <v>42</v>
      </c>
      <c r="P1470" s="2">
        <v>63</v>
      </c>
      <c r="Q1470">
        <v>2</v>
      </c>
      <c r="R1470" t="str" cm="1">
        <f t="array" ref="R1470">_xlfn.IFS(Q1470=1,"Low",Q1470=2,"Medium",Q1470=3,"High",Q1470=4,"Very High")</f>
        <v>Medium</v>
      </c>
      <c r="S1470">
        <v>2</v>
      </c>
      <c r="T1470" t="str" cm="1">
        <f t="array" ref="T1470">_xlfn.IFS(S1470=1,"Entry Level",S1470=2,"Junior",S1470=3,"Mid-Level",S1470=4,"Senior",S1470=5,"Executive")</f>
        <v>Junior</v>
      </c>
      <c r="U1470" t="s">
        <v>37</v>
      </c>
      <c r="V1470">
        <v>2</v>
      </c>
      <c r="W1470" t="str" cm="1">
        <f t="array" ref="W1470">_xlfn.IFS(V1470=1,"Low",V1470=2,"Medium",V1470=3,"High",V1470=4,"Very High")</f>
        <v>Medium</v>
      </c>
      <c r="X1470" t="s">
        <v>44</v>
      </c>
      <c r="Y1470" s="2">
        <v>5390</v>
      </c>
      <c r="Z1470" s="2">
        <v>13243</v>
      </c>
      <c r="AA1470">
        <v>2</v>
      </c>
      <c r="AB1470" t="s">
        <v>39</v>
      </c>
      <c r="AC1470">
        <v>14</v>
      </c>
      <c r="AD1470">
        <v>3</v>
      </c>
      <c r="AE1470" t="str" cm="1">
        <f t="array" ref="AE1470">_xlfn.IFS(AD1470=1,"Low",AD1470=2,"Good",AD1470=3,"Excellent",AD1470=4,"Outstanding")</f>
        <v>Excellent</v>
      </c>
      <c r="AF1470">
        <v>4</v>
      </c>
      <c r="AG1470" t="str" cm="1">
        <f t="array" ref="AG1470">_xlfn.IFS(AF1470=1,"Low",AF1470=2,"Medium",AF1470=3,"High",AF1470=4,"Very High")</f>
        <v>Very High</v>
      </c>
      <c r="AH1470">
        <v>0</v>
      </c>
      <c r="AI1470">
        <v>17</v>
      </c>
      <c r="AJ1470">
        <v>3</v>
      </c>
      <c r="AK1470">
        <v>2</v>
      </c>
      <c r="AL1470" t="str" cm="1">
        <f t="array" ref="AL1470">_xlfn.IFS(AK1470=1,"Low",AK1470=2,"Medium",AK1470=3,"High",AK1470=4,"Very High")</f>
        <v>Medium</v>
      </c>
      <c r="AM1470">
        <v>9</v>
      </c>
      <c r="AN1470">
        <v>6</v>
      </c>
      <c r="AO1470">
        <v>0</v>
      </c>
      <c r="AP1470">
        <v>8</v>
      </c>
    </row>
    <row r="1471" spans="1:42">
      <c r="A1471">
        <v>34</v>
      </c>
      <c r="B1471" t="str" cm="1">
        <f t="array" ref="B1471">_xlfn.IFS(A1471&lt;=25,"18-25",A1471&lt;=35,"26-35",A1471&lt;=45,"36-45",A1471&lt;=55,"46-55",A1471&gt;55,"56+")</f>
        <v>26-35</v>
      </c>
      <c r="C1471" t="s">
        <v>39</v>
      </c>
      <c r="D1471" t="s">
        <v>33</v>
      </c>
      <c r="E1471" s="2">
        <v>628</v>
      </c>
      <c r="F1471" t="s">
        <v>41</v>
      </c>
      <c r="G1471">
        <v>8</v>
      </c>
      <c r="H1471" t="str">
        <f t="shared" si="22"/>
        <v>1-10 km</v>
      </c>
      <c r="I1471">
        <v>3</v>
      </c>
      <c r="J1471" t="str" cm="1">
        <f t="array" ref="J1471">_xlfn.IFS(I1471=1,"Below College",I1471=2,"College",I1471=3,"Bachelor",I1471=4,"Master",I1471=5,"Doctor")</f>
        <v>Bachelor</v>
      </c>
      <c r="K1471" t="s">
        <v>47</v>
      </c>
      <c r="L1471">
        <v>2068</v>
      </c>
      <c r="M1471">
        <v>2</v>
      </c>
      <c r="N1471" t="str" cm="1">
        <f t="array" ref="N1471">_xlfn.IFS(M1471=1,"Low",M1471=2,"Medium",M1471=3,"High",M1471=4,"Very High")</f>
        <v>Medium</v>
      </c>
      <c r="O1471" t="s">
        <v>42</v>
      </c>
      <c r="P1471" s="2">
        <v>82</v>
      </c>
      <c r="Q1471">
        <v>4</v>
      </c>
      <c r="R1471" t="str" cm="1">
        <f t="array" ref="R1471">_xlfn.IFS(Q1471=1,"Low",Q1471=2,"Medium",Q1471=3,"High",Q1471=4,"Very High")</f>
        <v>Very High</v>
      </c>
      <c r="S1471">
        <v>2</v>
      </c>
      <c r="T1471" t="str" cm="1">
        <f t="array" ref="T1471">_xlfn.IFS(S1471=1,"Entry Level",S1471=2,"Junior",S1471=3,"Mid-Level",S1471=4,"Senior",S1471=5,"Executive")</f>
        <v>Junior</v>
      </c>
      <c r="U1471" t="s">
        <v>46</v>
      </c>
      <c r="V1471">
        <v>3</v>
      </c>
      <c r="W1471" t="str" cm="1">
        <f t="array" ref="W1471">_xlfn.IFS(V1471=1,"Low",V1471=2,"Medium",V1471=3,"High",V1471=4,"Very High")</f>
        <v>High</v>
      </c>
      <c r="X1471" t="s">
        <v>44</v>
      </c>
      <c r="Y1471" s="2">
        <v>4404</v>
      </c>
      <c r="Z1471" s="2">
        <v>10228</v>
      </c>
      <c r="AA1471">
        <v>2</v>
      </c>
      <c r="AB1471" t="s">
        <v>39</v>
      </c>
      <c r="AC1471">
        <v>12</v>
      </c>
      <c r="AD1471">
        <v>3</v>
      </c>
      <c r="AE1471" t="str" cm="1">
        <f t="array" ref="AE1471">_xlfn.IFS(AD1471=1,"Low",AD1471=2,"Good",AD1471=3,"Excellent",AD1471=4,"Outstanding")</f>
        <v>Excellent</v>
      </c>
      <c r="AF1471">
        <v>1</v>
      </c>
      <c r="AG1471" t="str" cm="1">
        <f t="array" ref="AG1471">_xlfn.IFS(AF1471=1,"Low",AF1471=2,"Medium",AF1471=3,"High",AF1471=4,"Very High")</f>
        <v>Low</v>
      </c>
      <c r="AH1471">
        <v>0</v>
      </c>
      <c r="AI1471">
        <v>6</v>
      </c>
      <c r="AJ1471">
        <v>3</v>
      </c>
      <c r="AK1471">
        <v>4</v>
      </c>
      <c r="AL1471" t="str" cm="1">
        <f t="array" ref="AL1471">_xlfn.IFS(AK1471=1,"Low",AK1471=2,"Medium",AK1471=3,"High",AK1471=4,"Very High")</f>
        <v>Very High</v>
      </c>
      <c r="AM1471">
        <v>4</v>
      </c>
      <c r="AN1471">
        <v>3</v>
      </c>
      <c r="AO1471">
        <v>1</v>
      </c>
      <c r="AP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HR-Employee DashBoard</vt:lpstr>
      <vt:lpstr>Department_Detail</vt:lpstr>
      <vt:lpstr>Department</vt:lpstr>
      <vt:lpstr>OverTime</vt:lpstr>
      <vt:lpstr>JobSatisfaction</vt:lpstr>
      <vt:lpstr>AgeGroup</vt:lpstr>
      <vt:lpstr>JobRole</vt:lpstr>
      <vt:lpstr>MaritalStatus</vt:lpstr>
      <vt:lpstr>MonthlyIncome by JobRole</vt:lpstr>
      <vt:lpstr>Sheet2</vt:lpstr>
      <vt:lpstr>Sheet6</vt:lpstr>
      <vt:lpstr>HR-employee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Kingsley Andrew</cp:lastModifiedBy>
  <dcterms:created xsi:type="dcterms:W3CDTF">2026-07-06T13:47:20Z</dcterms:created>
  <dcterms:modified xsi:type="dcterms:W3CDTF">2026-07-20T00:50:10Z</dcterms:modified>
</cp:coreProperties>
</file>